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eu Drive\COTAÇÕES\COTAÇÕES - VENDAS\2026\2025 - 2026 CTC003.25 HUOP -Proj. Cascavel\"/>
    </mc:Choice>
  </mc:AlternateContent>
  <xr:revisionPtr revIDLastSave="0" documentId="8_{015F95E1-27C1-4397-B031-7C421553BF70}" xr6:coauthVersionLast="47" xr6:coauthVersionMax="47" xr10:uidLastSave="{00000000-0000-0000-0000-000000000000}"/>
  <bookViews>
    <workbookView xWindow="-120" yWindow="-120" windowWidth="20730" windowHeight="11040" activeTab="1" xr2:uid="{0152D377-DCD2-4A2C-959F-3FEE26F56B59}"/>
  </bookViews>
  <sheets>
    <sheet name="PROPOSTAS RESUMO" sheetId="3" r:id="rId1"/>
    <sheet name="PROPOSTAS LISTA " sheetId="2" r:id="rId2"/>
  </sheets>
  <externalReferences>
    <externalReference r:id="rId3"/>
    <externalReference r:id="rId4"/>
  </externalReferences>
  <definedNames>
    <definedName name="_xlnm.Print_Area" localSheetId="0">'PROPOSTAS RESUMO'!$A$16:$J$113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09" i="3" l="1"/>
  <c r="N1222" i="2"/>
  <c r="O1222" i="2" s="1"/>
  <c r="J1222" i="2" s="1"/>
  <c r="N1223" i="2"/>
  <c r="O1223" i="2" s="1"/>
  <c r="J1223" i="2" s="1"/>
  <c r="N1224" i="2"/>
  <c r="N1235" i="2"/>
  <c r="O1235" i="2" s="1"/>
  <c r="J1235" i="2" s="1"/>
  <c r="N1251" i="2"/>
  <c r="O1251" i="2" s="1"/>
  <c r="J1251" i="2" s="1"/>
  <c r="N1254" i="2"/>
  <c r="O1254" i="2" s="1"/>
  <c r="J1254" i="2" s="1"/>
  <c r="N1255" i="2"/>
  <c r="O1255" i="2" s="1"/>
  <c r="J1255" i="2" s="1"/>
  <c r="N1259" i="2"/>
  <c r="O1259" i="2" s="1"/>
  <c r="J1259" i="2" s="1"/>
  <c r="N1267" i="2"/>
  <c r="O1267" i="2" s="1"/>
  <c r="J1267" i="2" s="1"/>
  <c r="N1283" i="2"/>
  <c r="O1283" i="2" s="1"/>
  <c r="J1283" i="2" s="1"/>
  <c r="N1285" i="2"/>
  <c r="O1285" i="2" s="1"/>
  <c r="J1285" i="2" s="1"/>
  <c r="N1286" i="2"/>
  <c r="O1286" i="2" s="1"/>
  <c r="J1286" i="2" s="1"/>
  <c r="N1287" i="2"/>
  <c r="O1287" i="2" s="1"/>
  <c r="J1287" i="2" s="1"/>
  <c r="N1288" i="2"/>
  <c r="O1288" i="2" s="1"/>
  <c r="J1288" i="2" s="1"/>
  <c r="N1291" i="2"/>
  <c r="O1291" i="2" s="1"/>
  <c r="J1291" i="2" s="1"/>
  <c r="I1299" i="2"/>
  <c r="N1315" i="2"/>
  <c r="O1315" i="2" s="1"/>
  <c r="J1315" i="2" s="1"/>
  <c r="N1347" i="2"/>
  <c r="O1347" i="2" s="1"/>
  <c r="J1347" i="2" s="1"/>
  <c r="N1404" i="2"/>
  <c r="O1404" i="2" s="1"/>
  <c r="J1404" i="2" s="1"/>
  <c r="N1221" i="2"/>
  <c r="O1221" i="2" s="1"/>
  <c r="J1221" i="2" s="1"/>
  <c r="N1227" i="2"/>
  <c r="O1227" i="2" s="1"/>
  <c r="J1227" i="2" s="1"/>
  <c r="N1237" i="2"/>
  <c r="O1237" i="2" s="1"/>
  <c r="J1237" i="2" s="1"/>
  <c r="N1238" i="2"/>
  <c r="O1238" i="2" s="1"/>
  <c r="J1238" i="2" s="1"/>
  <c r="N1240" i="2"/>
  <c r="N1243" i="2"/>
  <c r="O1243" i="2" s="1"/>
  <c r="J1243" i="2" s="1"/>
  <c r="N1253" i="2"/>
  <c r="O1253" i="2" s="1"/>
  <c r="J1253" i="2" s="1"/>
  <c r="N1256" i="2"/>
  <c r="N1269" i="2"/>
  <c r="O1269" i="2" s="1"/>
  <c r="J1269" i="2" s="1"/>
  <c r="N1270" i="2"/>
  <c r="O1270" i="2" s="1"/>
  <c r="J1270" i="2" s="1"/>
  <c r="N1275" i="2"/>
  <c r="O1275" i="2" s="1"/>
  <c r="J1275" i="2" s="1"/>
  <c r="K1275" i="2" s="1"/>
  <c r="N1301" i="2"/>
  <c r="O1301" i="2" s="1"/>
  <c r="J1301" i="2" s="1"/>
  <c r="N1302" i="2"/>
  <c r="O1302" i="2" s="1"/>
  <c r="J1302" i="2" s="1"/>
  <c r="I1333" i="2"/>
  <c r="N1349" i="2"/>
  <c r="O1349" i="2" s="1"/>
  <c r="J1349" i="2" s="1"/>
  <c r="N1392" i="2"/>
  <c r="N1408" i="2"/>
  <c r="N1239" i="2"/>
  <c r="O1239" i="2" s="1"/>
  <c r="J1239" i="2" s="1"/>
  <c r="N1242" i="2"/>
  <c r="N1271" i="2"/>
  <c r="O1271" i="2" s="1"/>
  <c r="J1271" i="2" s="1"/>
  <c r="N1303" i="2"/>
  <c r="O1303" i="2" s="1"/>
  <c r="J1303" i="2" s="1"/>
  <c r="N1335" i="2"/>
  <c r="O1335" i="2" s="1"/>
  <c r="J1335" i="2" s="1"/>
  <c r="N1406" i="2"/>
  <c r="O1406" i="2" s="1"/>
  <c r="J1406" i="2" s="1"/>
  <c r="N825" i="2"/>
  <c r="O825" i="2" s="1"/>
  <c r="J825" i="2" s="1"/>
  <c r="K825" i="2" s="1"/>
  <c r="N836" i="2"/>
  <c r="O836" i="2" s="1"/>
  <c r="J836" i="2" s="1"/>
  <c r="K836" i="2" s="1"/>
  <c r="N722" i="2"/>
  <c r="N739" i="2"/>
  <c r="O739" i="2" s="1"/>
  <c r="J739" i="2" s="1"/>
  <c r="N757" i="2"/>
  <c r="N769" i="2"/>
  <c r="O769" i="2" s="1"/>
  <c r="J769" i="2" s="1"/>
  <c r="K769" i="2" s="1"/>
  <c r="N690" i="2"/>
  <c r="N755" i="2"/>
  <c r="O755" i="2" s="1"/>
  <c r="J755" i="2" s="1"/>
  <c r="I1712" i="2"/>
  <c r="N1714" i="2"/>
  <c r="O1714" i="2" s="1"/>
  <c r="J1714" i="2" s="1"/>
  <c r="K1714" i="2" s="1"/>
  <c r="N1681" i="2"/>
  <c r="I1683" i="2"/>
  <c r="N1656" i="2"/>
  <c r="N1583" i="2"/>
  <c r="O1583" i="2" s="1"/>
  <c r="J1583" i="2" s="1"/>
  <c r="K1583" i="2" s="1"/>
  <c r="N1596" i="2"/>
  <c r="O1596" i="2" s="1"/>
  <c r="J1596" i="2" s="1"/>
  <c r="K1596" i="2" s="1"/>
  <c r="N1602" i="2"/>
  <c r="N1612" i="2"/>
  <c r="O1612" i="2" s="1"/>
  <c r="J1612" i="2" s="1"/>
  <c r="K1612" i="2" s="1"/>
  <c r="N1615" i="2"/>
  <c r="O1615" i="2" s="1"/>
  <c r="J1615" i="2" s="1"/>
  <c r="K1615" i="2" s="1"/>
  <c r="I1621" i="2"/>
  <c r="I1631" i="2"/>
  <c r="I1632" i="2"/>
  <c r="I1637" i="2"/>
  <c r="N1518" i="2"/>
  <c r="O1518" i="2" s="1"/>
  <c r="J1518" i="2" s="1"/>
  <c r="N1520" i="2"/>
  <c r="O1520" i="2" s="1"/>
  <c r="J1520" i="2" s="1"/>
  <c r="K1520" i="2" s="1"/>
  <c r="N1531" i="2"/>
  <c r="O1531" i="2" s="1"/>
  <c r="J1531" i="2" s="1"/>
  <c r="K1531" i="2" s="1"/>
  <c r="N1534" i="2"/>
  <c r="O1534" i="2" s="1"/>
  <c r="J1534" i="2" s="1"/>
  <c r="N1536" i="2"/>
  <c r="N1547" i="2"/>
  <c r="O1547" i="2" s="1"/>
  <c r="J1547" i="2" s="1"/>
  <c r="K1547" i="2" s="1"/>
  <c r="N1549" i="2"/>
  <c r="O1549" i="2" s="1"/>
  <c r="J1549" i="2" s="1"/>
  <c r="K1549" i="2" s="1"/>
  <c r="N1550" i="2"/>
  <c r="O1550" i="2" s="1"/>
  <c r="J1550" i="2" s="1"/>
  <c r="K1550" i="2" s="1"/>
  <c r="N1485" i="2"/>
  <c r="O1485" i="2" s="1"/>
  <c r="J1485" i="2" s="1"/>
  <c r="K1485" i="2" s="1"/>
  <c r="N1501" i="2"/>
  <c r="O1501" i="2" s="1"/>
  <c r="J1501" i="2" s="1"/>
  <c r="I1429" i="2"/>
  <c r="N1431" i="2"/>
  <c r="O1431" i="2" s="1"/>
  <c r="J1431" i="2" s="1"/>
  <c r="N1432" i="2"/>
  <c r="N1433" i="2"/>
  <c r="N1435" i="2"/>
  <c r="O1435" i="2" s="1"/>
  <c r="J1435" i="2" s="1"/>
  <c r="K1435" i="2" s="1"/>
  <c r="N1122" i="2"/>
  <c r="O1122" i="2" s="1"/>
  <c r="J1122" i="2" s="1"/>
  <c r="N1132" i="2"/>
  <c r="O1132" i="2" s="1"/>
  <c r="J1132" i="2" s="1"/>
  <c r="N1135" i="2"/>
  <c r="N1136" i="2"/>
  <c r="N1138" i="2"/>
  <c r="N1151" i="2"/>
  <c r="O1151" i="2" s="1"/>
  <c r="J1151" i="2" s="1"/>
  <c r="N1154" i="2"/>
  <c r="O1154" i="2" s="1"/>
  <c r="J1154" i="2" s="1"/>
  <c r="N1164" i="2"/>
  <c r="O1164" i="2" s="1"/>
  <c r="J1164" i="2" s="1"/>
  <c r="N1167" i="2"/>
  <c r="O1167" i="2" s="1"/>
  <c r="J1167" i="2" s="1"/>
  <c r="N1168" i="2"/>
  <c r="N1180" i="2"/>
  <c r="O1180" i="2" s="1"/>
  <c r="J1180" i="2" s="1"/>
  <c r="N1079" i="2"/>
  <c r="N1083" i="2"/>
  <c r="O1083" i="2" s="1"/>
  <c r="J1083" i="2" s="1"/>
  <c r="N1091" i="2"/>
  <c r="O1091" i="2" s="1"/>
  <c r="J1091" i="2" s="1"/>
  <c r="N1100" i="2"/>
  <c r="N1107" i="2"/>
  <c r="O1107" i="2" s="1"/>
  <c r="J1107" i="2" s="1"/>
  <c r="N1110" i="2"/>
  <c r="O1110" i="2" s="1"/>
  <c r="J1110" i="2" s="1"/>
  <c r="N1111" i="2"/>
  <c r="O1111" i="2" s="1"/>
  <c r="J1111" i="2" s="1"/>
  <c r="K1111" i="2" s="1"/>
  <c r="N1112" i="2"/>
  <c r="O1112" i="2" s="1"/>
  <c r="J1112" i="2" s="1"/>
  <c r="N1039" i="2"/>
  <c r="O1039" i="2" s="1"/>
  <c r="J1039" i="2" s="1"/>
  <c r="K1039" i="2" s="1"/>
  <c r="N1040" i="2"/>
  <c r="N1041" i="2"/>
  <c r="O1041" i="2" s="1"/>
  <c r="J1041" i="2" s="1"/>
  <c r="N1042" i="2"/>
  <c r="N1053" i="2"/>
  <c r="O1053" i="2" s="1"/>
  <c r="J1053" i="2" s="1"/>
  <c r="N1062" i="2"/>
  <c r="N1070" i="2"/>
  <c r="N1029" i="2"/>
  <c r="N971" i="2"/>
  <c r="O971" i="2" s="1"/>
  <c r="J971" i="2" s="1"/>
  <c r="N976" i="2"/>
  <c r="N983" i="2"/>
  <c r="O983" i="2" s="1"/>
  <c r="J983" i="2" s="1"/>
  <c r="N987" i="2"/>
  <c r="O987" i="2" s="1"/>
  <c r="J987" i="2" s="1"/>
  <c r="K987" i="2" s="1"/>
  <c r="N988" i="2"/>
  <c r="O988" i="2" s="1"/>
  <c r="J988" i="2" s="1"/>
  <c r="N989" i="2"/>
  <c r="N992" i="2"/>
  <c r="O992" i="2" s="1"/>
  <c r="J992" i="2" s="1"/>
  <c r="N998" i="2"/>
  <c r="N1003" i="2"/>
  <c r="O1003" i="2" s="1"/>
  <c r="J1003" i="2" s="1"/>
  <c r="N967" i="2"/>
  <c r="O967" i="2" s="1"/>
  <c r="J967" i="2" s="1"/>
  <c r="K967" i="2" s="1"/>
  <c r="N915" i="2"/>
  <c r="O915" i="2" s="1"/>
  <c r="J915" i="2" s="1"/>
  <c r="N916" i="2"/>
  <c r="N923" i="2"/>
  <c r="O923" i="2" s="1"/>
  <c r="J923" i="2" s="1"/>
  <c r="N931" i="2"/>
  <c r="O931" i="2" s="1"/>
  <c r="J931" i="2" s="1"/>
  <c r="N947" i="2"/>
  <c r="N948" i="2"/>
  <c r="O948" i="2" s="1"/>
  <c r="J948" i="2" s="1"/>
  <c r="I865" i="2"/>
  <c r="N659" i="2"/>
  <c r="O659" i="2" s="1"/>
  <c r="J659" i="2" s="1"/>
  <c r="K659" i="2" s="1"/>
  <c r="N663" i="2"/>
  <c r="O663" i="2" s="1"/>
  <c r="J663" i="2" s="1"/>
  <c r="K663" i="2" s="1"/>
  <c r="I676" i="2"/>
  <c r="I677" i="2"/>
  <c r="N679" i="2"/>
  <c r="O679" i="2" s="1"/>
  <c r="J679" i="2" s="1"/>
  <c r="K679" i="2" s="1"/>
  <c r="N680" i="2"/>
  <c r="O680" i="2" s="1"/>
  <c r="J680" i="2" s="1"/>
  <c r="K680" i="2" s="1"/>
  <c r="N608" i="2"/>
  <c r="O608" i="2" s="1"/>
  <c r="J608" i="2" s="1"/>
  <c r="K608" i="2" s="1"/>
  <c r="I618" i="2"/>
  <c r="N633" i="2"/>
  <c r="O633" i="2" s="1"/>
  <c r="J633" i="2" s="1"/>
  <c r="N640" i="2"/>
  <c r="N641" i="2"/>
  <c r="O641" i="2" s="1"/>
  <c r="J641" i="2" s="1"/>
  <c r="K641" i="2" s="1"/>
  <c r="N649" i="2"/>
  <c r="I651" i="2"/>
  <c r="N552" i="2"/>
  <c r="N553" i="2"/>
  <c r="N564" i="2"/>
  <c r="O564" i="2" s="1"/>
  <c r="J564" i="2" s="1"/>
  <c r="K564" i="2" s="1"/>
  <c r="N565" i="2"/>
  <c r="N567" i="2"/>
  <c r="O567" i="2" s="1"/>
  <c r="J567" i="2" s="1"/>
  <c r="K567" i="2" s="1"/>
  <c r="N578" i="2"/>
  <c r="O578" i="2" s="1"/>
  <c r="J578" i="2" s="1"/>
  <c r="N581" i="2"/>
  <c r="N582" i="2"/>
  <c r="N584" i="2"/>
  <c r="N454" i="2"/>
  <c r="O454" i="2" s="1"/>
  <c r="J454" i="2" s="1"/>
  <c r="K454" i="2" s="1"/>
  <c r="N459" i="2"/>
  <c r="O459" i="2" s="1"/>
  <c r="J459" i="2" s="1"/>
  <c r="K459" i="2" s="1"/>
  <c r="N468" i="2"/>
  <c r="N472" i="2"/>
  <c r="O472" i="2" s="1"/>
  <c r="J472" i="2" s="1"/>
  <c r="K472" i="2" s="1"/>
  <c r="N473" i="2"/>
  <c r="N475" i="2"/>
  <c r="N484" i="2"/>
  <c r="N486" i="2"/>
  <c r="O486" i="2" s="1"/>
  <c r="J486" i="2" s="1"/>
  <c r="K486" i="2" s="1"/>
  <c r="N491" i="2"/>
  <c r="O491" i="2" s="1"/>
  <c r="J491" i="2" s="1"/>
  <c r="N500" i="2"/>
  <c r="N502" i="2"/>
  <c r="N504" i="2"/>
  <c r="O504" i="2" s="1"/>
  <c r="J504" i="2" s="1"/>
  <c r="K504" i="2" s="1"/>
  <c r="N505" i="2"/>
  <c r="O505" i="2" s="1"/>
  <c r="J505" i="2" s="1"/>
  <c r="I516" i="2"/>
  <c r="N518" i="2"/>
  <c r="O518" i="2" s="1"/>
  <c r="J518" i="2" s="1"/>
  <c r="K518" i="2" s="1"/>
  <c r="N523" i="2"/>
  <c r="N534" i="2"/>
  <c r="O534" i="2" s="1"/>
  <c r="J534" i="2" s="1"/>
  <c r="K534" i="2" s="1"/>
  <c r="N536" i="2"/>
  <c r="O536" i="2" s="1"/>
  <c r="J536" i="2" s="1"/>
  <c r="K536" i="2" s="1"/>
  <c r="N537" i="2"/>
  <c r="O537" i="2" s="1"/>
  <c r="J537" i="2" s="1"/>
  <c r="K537" i="2" s="1"/>
  <c r="N539" i="2"/>
  <c r="O539" i="2" s="1"/>
  <c r="J539" i="2" s="1"/>
  <c r="K539" i="2" s="1"/>
  <c r="N452" i="2"/>
  <c r="N397" i="2"/>
  <c r="N413" i="2"/>
  <c r="O413" i="2" s="1"/>
  <c r="J413" i="2" s="1"/>
  <c r="N429" i="2"/>
  <c r="O429" i="2" s="1"/>
  <c r="J429" i="2" s="1"/>
  <c r="N445" i="2"/>
  <c r="I369" i="2"/>
  <c r="N333" i="2"/>
  <c r="O333" i="2" s="1"/>
  <c r="J333" i="2" s="1"/>
  <c r="K333" i="2" s="1"/>
  <c r="N334" i="2"/>
  <c r="N337" i="2"/>
  <c r="O337" i="2" s="1"/>
  <c r="J337" i="2" s="1"/>
  <c r="K337" i="2" s="1"/>
  <c r="N344" i="2"/>
  <c r="O344" i="2" s="1"/>
  <c r="J344" i="2" s="1"/>
  <c r="N346" i="2"/>
  <c r="O346" i="2" s="1"/>
  <c r="J346" i="2" s="1"/>
  <c r="K346" i="2" s="1"/>
  <c r="I268" i="2"/>
  <c r="N269" i="2"/>
  <c r="N272" i="2"/>
  <c r="N274" i="2"/>
  <c r="O274" i="2" s="1"/>
  <c r="J274" i="2" s="1"/>
  <c r="K274" i="2" s="1"/>
  <c r="N276" i="2"/>
  <c r="O276" i="2" s="1"/>
  <c r="J276" i="2" s="1"/>
  <c r="N285" i="2"/>
  <c r="O285" i="2" s="1"/>
  <c r="J285" i="2" s="1"/>
  <c r="K285" i="2" s="1"/>
  <c r="N288" i="2"/>
  <c r="O288" i="2" s="1"/>
  <c r="J288" i="2" s="1"/>
  <c r="K288" i="2" s="1"/>
  <c r="N298" i="2"/>
  <c r="O298" i="2" s="1"/>
  <c r="J298" i="2" s="1"/>
  <c r="K298" i="2" s="1"/>
  <c r="I306" i="2"/>
  <c r="N319" i="2"/>
  <c r="O319" i="2" s="1"/>
  <c r="J319" i="2" s="1"/>
  <c r="K319" i="2" s="1"/>
  <c r="N296" i="2"/>
  <c r="O296" i="2" s="1"/>
  <c r="J296" i="2" s="1"/>
  <c r="K296" i="2" s="1"/>
  <c r="N309" i="2"/>
  <c r="O309" i="2" s="1"/>
  <c r="J309" i="2" s="1"/>
  <c r="I254" i="2"/>
  <c r="N264" i="2"/>
  <c r="O264" i="2" s="1"/>
  <c r="J264" i="2" s="1"/>
  <c r="K264" i="2" s="1"/>
  <c r="N270" i="2"/>
  <c r="O270" i="2" s="1"/>
  <c r="J270" i="2" s="1"/>
  <c r="K270" i="2" s="1"/>
  <c r="N271" i="2"/>
  <c r="O271" i="2" s="1"/>
  <c r="J271" i="2" s="1"/>
  <c r="K271" i="2" s="1"/>
  <c r="N275" i="2"/>
  <c r="I286" i="2"/>
  <c r="N321" i="2"/>
  <c r="O321" i="2" s="1"/>
  <c r="J321" i="2" s="1"/>
  <c r="K321" i="2" s="1"/>
  <c r="N322" i="2"/>
  <c r="O322" i="2" s="1"/>
  <c r="J322" i="2" s="1"/>
  <c r="K322" i="2" s="1"/>
  <c r="I323" i="2"/>
  <c r="N305" i="2"/>
  <c r="O305" i="2" s="1"/>
  <c r="J305" i="2" s="1"/>
  <c r="K305" i="2" s="1"/>
  <c r="N823" i="2"/>
  <c r="O823" i="2" s="1"/>
  <c r="J823" i="2" s="1"/>
  <c r="K823" i="2" s="1"/>
  <c r="N839" i="2"/>
  <c r="N237" i="2"/>
  <c r="O237" i="2" s="1"/>
  <c r="J237" i="2" s="1"/>
  <c r="K237" i="2" s="1"/>
  <c r="N242" i="2"/>
  <c r="O242" i="2" s="1"/>
  <c r="J242" i="2" s="1"/>
  <c r="K242" i="2" s="1"/>
  <c r="N144" i="2"/>
  <c r="O144" i="2" s="1"/>
  <c r="J144" i="2" s="1"/>
  <c r="K144" i="2" s="1"/>
  <c r="N190" i="2"/>
  <c r="O190" i="2" s="1"/>
  <c r="J190" i="2" s="1"/>
  <c r="N212" i="2"/>
  <c r="N219" i="2"/>
  <c r="N244" i="2"/>
  <c r="I200" i="2"/>
  <c r="N201" i="2"/>
  <c r="O201" i="2" s="1"/>
  <c r="J201" i="2" s="1"/>
  <c r="K201" i="2" s="1"/>
  <c r="N211" i="2"/>
  <c r="O211" i="2" s="1"/>
  <c r="J211" i="2" s="1"/>
  <c r="K211" i="2" s="1"/>
  <c r="N213" i="2"/>
  <c r="N217" i="2"/>
  <c r="O217" i="2" s="1"/>
  <c r="J217" i="2" s="1"/>
  <c r="K217" i="2" s="1"/>
  <c r="I229" i="2"/>
  <c r="N239" i="2"/>
  <c r="O239" i="2" s="1"/>
  <c r="J239" i="2" s="1"/>
  <c r="K239" i="2" s="1"/>
  <c r="I304" i="2"/>
  <c r="I313" i="2"/>
  <c r="I145" i="2"/>
  <c r="I150" i="2"/>
  <c r="I166" i="2"/>
  <c r="N142" i="2"/>
  <c r="O142" i="2" s="1"/>
  <c r="J142" i="2" s="1"/>
  <c r="K142" i="2" s="1"/>
  <c r="I123" i="2"/>
  <c r="I125" i="2"/>
  <c r="N126" i="2"/>
  <c r="O126" i="2" s="1"/>
  <c r="J126" i="2" s="1"/>
  <c r="N127" i="2"/>
  <c r="N128" i="2"/>
  <c r="N135" i="2"/>
  <c r="O135" i="2" s="1"/>
  <c r="J135" i="2" s="1"/>
  <c r="I136" i="2"/>
  <c r="I62" i="2"/>
  <c r="N63" i="2"/>
  <c r="O63" i="2" s="1"/>
  <c r="J63" i="2" s="1"/>
  <c r="K63" i="2" s="1"/>
  <c r="N65" i="2"/>
  <c r="O65" i="2" s="1"/>
  <c r="J65" i="2" s="1"/>
  <c r="I66" i="2"/>
  <c r="N67" i="2"/>
  <c r="I68" i="2"/>
  <c r="N76" i="2"/>
  <c r="I78" i="2"/>
  <c r="N79" i="2"/>
  <c r="N80" i="2"/>
  <c r="O80" i="2" s="1"/>
  <c r="J80" i="2" s="1"/>
  <c r="K80" i="2" s="1"/>
  <c r="N81" i="2"/>
  <c r="O81" i="2" s="1"/>
  <c r="J81" i="2" s="1"/>
  <c r="K81" i="2" s="1"/>
  <c r="N83" i="2"/>
  <c r="O83" i="2" s="1"/>
  <c r="J83" i="2" s="1"/>
  <c r="K83" i="2" s="1"/>
  <c r="N90" i="2"/>
  <c r="O90" i="2" s="1"/>
  <c r="J90" i="2" s="1"/>
  <c r="K90" i="2" s="1"/>
  <c r="N92" i="2"/>
  <c r="O92" i="2" s="1"/>
  <c r="J92" i="2" s="1"/>
  <c r="N96" i="2"/>
  <c r="N97" i="2"/>
  <c r="O97" i="2" s="1"/>
  <c r="J97" i="2" s="1"/>
  <c r="N98" i="2"/>
  <c r="O98" i="2" s="1"/>
  <c r="J98" i="2" s="1"/>
  <c r="K98" i="2" s="1"/>
  <c r="N99" i="2"/>
  <c r="O99" i="2" s="1"/>
  <c r="J99" i="2" s="1"/>
  <c r="N100" i="2"/>
  <c r="O100" i="2" s="1"/>
  <c r="J100" i="2" s="1"/>
  <c r="K100" i="2" s="1"/>
  <c r="N106" i="2"/>
  <c r="O106" i="2" s="1"/>
  <c r="J106" i="2" s="1"/>
  <c r="K106" i="2" s="1"/>
  <c r="N107" i="2"/>
  <c r="O107" i="2" s="1"/>
  <c r="J107" i="2" s="1"/>
  <c r="K107" i="2" s="1"/>
  <c r="N110" i="2"/>
  <c r="O110" i="2" s="1"/>
  <c r="J110" i="2" s="1"/>
  <c r="K110" i="2" s="1"/>
  <c r="I111" i="2"/>
  <c r="I112" i="2"/>
  <c r="I114" i="2"/>
  <c r="N33" i="2"/>
  <c r="O33" i="2" s="1"/>
  <c r="J33" i="2" s="1"/>
  <c r="K33" i="2" s="1"/>
  <c r="I35" i="2"/>
  <c r="N164" i="2"/>
  <c r="N62" i="2"/>
  <c r="O62" i="2" s="1"/>
  <c r="J62" i="2" s="1"/>
  <c r="K62" i="2" s="1"/>
  <c r="I69" i="2"/>
  <c r="N70" i="2"/>
  <c r="N74" i="2"/>
  <c r="O74" i="2" s="1"/>
  <c r="J74" i="2" s="1"/>
  <c r="K74" i="2" s="1"/>
  <c r="I84" i="2"/>
  <c r="N86" i="2"/>
  <c r="O86" i="2" s="1"/>
  <c r="J86" i="2" s="1"/>
  <c r="N93" i="2"/>
  <c r="O93" i="2" s="1"/>
  <c r="J93" i="2" s="1"/>
  <c r="K93" i="2" s="1"/>
  <c r="N101" i="2"/>
  <c r="O101" i="2" s="1"/>
  <c r="J101" i="2" s="1"/>
  <c r="N102" i="2"/>
  <c r="O102" i="2" s="1"/>
  <c r="J102" i="2" s="1"/>
  <c r="I121" i="2"/>
  <c r="N122" i="2"/>
  <c r="O122" i="2" s="1"/>
  <c r="J122" i="2" s="1"/>
  <c r="K122" i="2" s="1"/>
  <c r="I124" i="2"/>
  <c r="N61" i="2"/>
  <c r="I63" i="2"/>
  <c r="N64" i="2"/>
  <c r="O64" i="2" s="1"/>
  <c r="J64" i="2" s="1"/>
  <c r="K64" i="2" s="1"/>
  <c r="N108" i="2"/>
  <c r="O108" i="2" s="1"/>
  <c r="J108" i="2" s="1"/>
  <c r="N120" i="2"/>
  <c r="N134" i="2"/>
  <c r="O134" i="2" s="1"/>
  <c r="J134" i="2" s="1"/>
  <c r="K134" i="2" s="1"/>
  <c r="N137" i="2"/>
  <c r="O137" i="2" s="1"/>
  <c r="J137" i="2" s="1"/>
  <c r="K137" i="2" s="1"/>
  <c r="N77" i="2"/>
  <c r="O77" i="2" s="1"/>
  <c r="J77" i="2" s="1"/>
  <c r="K77" i="2" s="1"/>
  <c r="I91" i="2"/>
  <c r="I115" i="2"/>
  <c r="I19" i="2"/>
  <c r="N14" i="2"/>
  <c r="O14" i="2" s="1"/>
  <c r="J14" i="2" s="1"/>
  <c r="I51" i="2"/>
  <c r="N72" i="2"/>
  <c r="O72" i="2" s="1"/>
  <c r="J72" i="2" s="1"/>
  <c r="K72" i="2" s="1"/>
  <c r="N73" i="2"/>
  <c r="O73" i="2" s="1"/>
  <c r="J73" i="2" s="1"/>
  <c r="K73" i="2" s="1"/>
  <c r="N88" i="2"/>
  <c r="O88" i="2" s="1"/>
  <c r="J88" i="2" s="1"/>
  <c r="K88" i="2" s="1"/>
  <c r="N109" i="2"/>
  <c r="O109" i="2" s="1"/>
  <c r="J109" i="2" s="1"/>
  <c r="K109" i="2" s="1"/>
  <c r="N94" i="2"/>
  <c r="J941" i="2"/>
  <c r="K941" i="2" s="1"/>
  <c r="N56" i="2"/>
  <c r="O56" i="2" s="1"/>
  <c r="N57" i="2"/>
  <c r="O57" i="2" s="1"/>
  <c r="N58" i="2"/>
  <c r="O58" i="2" s="1"/>
  <c r="N59" i="2"/>
  <c r="O59" i="2" s="1"/>
  <c r="N71" i="2"/>
  <c r="O71" i="2" s="1"/>
  <c r="J71" i="2" s="1"/>
  <c r="K71" i="2" s="1"/>
  <c r="N87" i="2"/>
  <c r="O87" i="2" s="1"/>
  <c r="J87" i="2" s="1"/>
  <c r="K87" i="2" s="1"/>
  <c r="N89" i="2"/>
  <c r="O89" i="2" s="1"/>
  <c r="J89" i="2" s="1"/>
  <c r="K89" i="2" s="1"/>
  <c r="N103" i="2"/>
  <c r="O103" i="2" s="1"/>
  <c r="J103" i="2" s="1"/>
  <c r="K103" i="2" s="1"/>
  <c r="N104" i="2"/>
  <c r="O104" i="2" s="1"/>
  <c r="J104" i="2" s="1"/>
  <c r="K104" i="2" s="1"/>
  <c r="N105" i="2"/>
  <c r="O105" i="2" s="1"/>
  <c r="J105" i="2" s="1"/>
  <c r="K105" i="2" s="1"/>
  <c r="N116" i="2"/>
  <c r="O116" i="2" s="1"/>
  <c r="N117" i="2"/>
  <c r="O117" i="2" s="1"/>
  <c r="N118" i="2"/>
  <c r="O118" i="2" s="1"/>
  <c r="N119" i="2"/>
  <c r="O119" i="2" s="1"/>
  <c r="N131" i="2"/>
  <c r="O131" i="2" s="1"/>
  <c r="J131" i="2" s="1"/>
  <c r="K131" i="2" s="1"/>
  <c r="N132" i="2"/>
  <c r="O132" i="2" s="1"/>
  <c r="J132" i="2" s="1"/>
  <c r="K132" i="2" s="1"/>
  <c r="N133" i="2"/>
  <c r="O133" i="2" s="1"/>
  <c r="J133" i="2" s="1"/>
  <c r="K133" i="2" s="1"/>
  <c r="N138" i="2"/>
  <c r="O138" i="2" s="1"/>
  <c r="N139" i="2"/>
  <c r="O139" i="2" s="1"/>
  <c r="N140" i="2"/>
  <c r="O140" i="2" s="1"/>
  <c r="N141" i="2"/>
  <c r="O141" i="2" s="1"/>
  <c r="N157" i="2"/>
  <c r="O157" i="2" s="1"/>
  <c r="J157" i="2" s="1"/>
  <c r="N173" i="2"/>
  <c r="O173" i="2" s="1"/>
  <c r="J173" i="2" s="1"/>
  <c r="N189" i="2"/>
  <c r="O189" i="2" s="1"/>
  <c r="J189" i="2" s="1"/>
  <c r="N195" i="2"/>
  <c r="O195" i="2" s="1"/>
  <c r="N196" i="2"/>
  <c r="O196" i="2" s="1"/>
  <c r="N197" i="2"/>
  <c r="O197" i="2" s="1"/>
  <c r="N198" i="2"/>
  <c r="O198" i="2" s="1"/>
  <c r="N249" i="2"/>
  <c r="O249" i="2" s="1"/>
  <c r="N250" i="2"/>
  <c r="O250" i="2" s="1"/>
  <c r="N251" i="2"/>
  <c r="O251" i="2" s="1"/>
  <c r="N252" i="2"/>
  <c r="O252" i="2" s="1"/>
  <c r="N254" i="2"/>
  <c r="O254" i="2" s="1"/>
  <c r="J254" i="2" s="1"/>
  <c r="N261" i="2"/>
  <c r="O261" i="2" s="1"/>
  <c r="J261" i="2" s="1"/>
  <c r="K261" i="2" s="1"/>
  <c r="N263" i="2"/>
  <c r="N265" i="2"/>
  <c r="O265" i="2" s="1"/>
  <c r="J265" i="2" s="1"/>
  <c r="K265" i="2" s="1"/>
  <c r="N277" i="2"/>
  <c r="O277" i="2" s="1"/>
  <c r="J277" i="2" s="1"/>
  <c r="K277" i="2" s="1"/>
  <c r="N279" i="2"/>
  <c r="O279" i="2" s="1"/>
  <c r="J279" i="2" s="1"/>
  <c r="K279" i="2" s="1"/>
  <c r="N290" i="2"/>
  <c r="O290" i="2" s="1"/>
  <c r="N291" i="2"/>
  <c r="O291" i="2" s="1"/>
  <c r="N292" i="2"/>
  <c r="O292" i="2" s="1"/>
  <c r="N293" i="2"/>
  <c r="O293" i="2" s="1"/>
  <c r="N295" i="2"/>
  <c r="N302" i="2"/>
  <c r="O302" i="2" s="1"/>
  <c r="J302" i="2" s="1"/>
  <c r="N306" i="2"/>
  <c r="O306" i="2" s="1"/>
  <c r="J306" i="2" s="1"/>
  <c r="K306" i="2" s="1"/>
  <c r="N313" i="2"/>
  <c r="O313" i="2" s="1"/>
  <c r="J313" i="2" s="1"/>
  <c r="K313" i="2" s="1"/>
  <c r="N314" i="2"/>
  <c r="O314" i="2" s="1"/>
  <c r="J314" i="2" s="1"/>
  <c r="K314" i="2" s="1"/>
  <c r="N318" i="2"/>
  <c r="O318" i="2" s="1"/>
  <c r="J318" i="2" s="1"/>
  <c r="K318" i="2" s="1"/>
  <c r="N324" i="2"/>
  <c r="O324" i="2" s="1"/>
  <c r="N325" i="2"/>
  <c r="O325" i="2" s="1"/>
  <c r="N326" i="2"/>
  <c r="O326" i="2" s="1"/>
  <c r="N327" i="2"/>
  <c r="O327" i="2" s="1"/>
  <c r="N328" i="2"/>
  <c r="O328" i="2" s="1"/>
  <c r="J328" i="2" s="1"/>
  <c r="K328" i="2" s="1"/>
  <c r="N329" i="2"/>
  <c r="O329" i="2" s="1"/>
  <c r="J329" i="2" s="1"/>
  <c r="K329" i="2" s="1"/>
  <c r="N330" i="2"/>
  <c r="O330" i="2" s="1"/>
  <c r="J330" i="2" s="1"/>
  <c r="K330" i="2" s="1"/>
  <c r="N331" i="2"/>
  <c r="O331" i="2" s="1"/>
  <c r="J331" i="2" s="1"/>
  <c r="K331" i="2" s="1"/>
  <c r="N332" i="2"/>
  <c r="O332" i="2" s="1"/>
  <c r="J332" i="2" s="1"/>
  <c r="K332" i="2" s="1"/>
  <c r="N335" i="2"/>
  <c r="O335" i="2" s="1"/>
  <c r="J335" i="2" s="1"/>
  <c r="K335" i="2" s="1"/>
  <c r="N336" i="2"/>
  <c r="O336" i="2" s="1"/>
  <c r="J336" i="2" s="1"/>
  <c r="K336" i="2" s="1"/>
  <c r="N338" i="2"/>
  <c r="O338" i="2" s="1"/>
  <c r="J338" i="2" s="1"/>
  <c r="K338" i="2" s="1"/>
  <c r="N339" i="2"/>
  <c r="O339" i="2" s="1"/>
  <c r="J339" i="2" s="1"/>
  <c r="K339" i="2" s="1"/>
  <c r="N340" i="2"/>
  <c r="O340" i="2" s="1"/>
  <c r="J340" i="2" s="1"/>
  <c r="K340" i="2" s="1"/>
  <c r="N341" i="2"/>
  <c r="O341" i="2" s="1"/>
  <c r="J341" i="2" s="1"/>
  <c r="K341" i="2" s="1"/>
  <c r="N342" i="2"/>
  <c r="O342" i="2" s="1"/>
  <c r="J342" i="2" s="1"/>
  <c r="K342" i="2" s="1"/>
  <c r="N343" i="2"/>
  <c r="O343" i="2" s="1"/>
  <c r="J343" i="2" s="1"/>
  <c r="N345" i="2"/>
  <c r="O345" i="2" s="1"/>
  <c r="J345" i="2" s="1"/>
  <c r="K345" i="2" s="1"/>
  <c r="N347" i="2"/>
  <c r="O347" i="2" s="1"/>
  <c r="J347" i="2" s="1"/>
  <c r="K347" i="2" s="1"/>
  <c r="N348" i="2"/>
  <c r="O348" i="2" s="1"/>
  <c r="J348" i="2" s="1"/>
  <c r="K348" i="2" s="1"/>
  <c r="N349" i="2"/>
  <c r="O349" i="2" s="1"/>
  <c r="N350" i="2"/>
  <c r="O350" i="2" s="1"/>
  <c r="N351" i="2"/>
  <c r="O351" i="2" s="1"/>
  <c r="N352" i="2"/>
  <c r="O352" i="2" s="1"/>
  <c r="N353" i="2"/>
  <c r="O353" i="2" s="1"/>
  <c r="J353" i="2" s="1"/>
  <c r="K353" i="2" s="1"/>
  <c r="N354" i="2"/>
  <c r="O354" i="2" s="1"/>
  <c r="J354" i="2" s="1"/>
  <c r="K354" i="2" s="1"/>
  <c r="N355" i="2"/>
  <c r="O355" i="2" s="1"/>
  <c r="J355" i="2" s="1"/>
  <c r="K355" i="2" s="1"/>
  <c r="N356" i="2"/>
  <c r="O356" i="2" s="1"/>
  <c r="J356" i="2" s="1"/>
  <c r="K356" i="2" s="1"/>
  <c r="N357" i="2"/>
  <c r="O357" i="2" s="1"/>
  <c r="J357" i="2" s="1"/>
  <c r="K357" i="2" s="1"/>
  <c r="N358" i="2"/>
  <c r="O358" i="2" s="1"/>
  <c r="J358" i="2" s="1"/>
  <c r="N359" i="2"/>
  <c r="O359" i="2" s="1"/>
  <c r="J359" i="2" s="1"/>
  <c r="N360" i="2"/>
  <c r="O360" i="2" s="1"/>
  <c r="J360" i="2" s="1"/>
  <c r="K360" i="2" s="1"/>
  <c r="N361" i="2"/>
  <c r="O361" i="2" s="1"/>
  <c r="J361" i="2" s="1"/>
  <c r="K361" i="2" s="1"/>
  <c r="N362" i="2"/>
  <c r="O362" i="2" s="1"/>
  <c r="J362" i="2" s="1"/>
  <c r="K362" i="2" s="1"/>
  <c r="N363" i="2"/>
  <c r="O363" i="2" s="1"/>
  <c r="J363" i="2" s="1"/>
  <c r="K363" i="2" s="1"/>
  <c r="N364" i="2"/>
  <c r="O364" i="2" s="1"/>
  <c r="J364" i="2" s="1"/>
  <c r="K364" i="2" s="1"/>
  <c r="N365" i="2"/>
  <c r="O365" i="2" s="1"/>
  <c r="J365" i="2" s="1"/>
  <c r="K365" i="2" s="1"/>
  <c r="N366" i="2"/>
  <c r="O366" i="2" s="1"/>
  <c r="J366" i="2" s="1"/>
  <c r="K366" i="2" s="1"/>
  <c r="N367" i="2"/>
  <c r="O367" i="2" s="1"/>
  <c r="J367" i="2" s="1"/>
  <c r="N368" i="2"/>
  <c r="O368" i="2" s="1"/>
  <c r="J368" i="2" s="1"/>
  <c r="K368" i="2" s="1"/>
  <c r="N370" i="2"/>
  <c r="O370" i="2" s="1"/>
  <c r="J370" i="2" s="1"/>
  <c r="K370" i="2" s="1"/>
  <c r="N371" i="2"/>
  <c r="O371" i="2" s="1"/>
  <c r="J371" i="2" s="1"/>
  <c r="K371" i="2" s="1"/>
  <c r="N372" i="2"/>
  <c r="O372" i="2" s="1"/>
  <c r="J372" i="2" s="1"/>
  <c r="N373" i="2"/>
  <c r="O373" i="2" s="1"/>
  <c r="J373" i="2" s="1"/>
  <c r="K373" i="2" s="1"/>
  <c r="N374" i="2"/>
  <c r="O374" i="2" s="1"/>
  <c r="J374" i="2" s="1"/>
  <c r="K374" i="2" s="1"/>
  <c r="N375" i="2"/>
  <c r="O375" i="2" s="1"/>
  <c r="J375" i="2" s="1"/>
  <c r="K375" i="2" s="1"/>
  <c r="N376" i="2"/>
  <c r="O376" i="2" s="1"/>
  <c r="J376" i="2" s="1"/>
  <c r="K376" i="2" s="1"/>
  <c r="N377" i="2"/>
  <c r="O377" i="2" s="1"/>
  <c r="N378" i="2"/>
  <c r="O378" i="2" s="1"/>
  <c r="N379" i="2"/>
  <c r="O379" i="2" s="1"/>
  <c r="N380" i="2"/>
  <c r="O380" i="2" s="1"/>
  <c r="N381" i="2"/>
  <c r="O381" i="2" s="1"/>
  <c r="J381" i="2" s="1"/>
  <c r="K381" i="2" s="1"/>
  <c r="N382" i="2"/>
  <c r="O382" i="2" s="1"/>
  <c r="J382" i="2" s="1"/>
  <c r="K382" i="2" s="1"/>
  <c r="N383" i="2"/>
  <c r="O383" i="2" s="1"/>
  <c r="J383" i="2" s="1"/>
  <c r="K383" i="2" s="1"/>
  <c r="N384" i="2"/>
  <c r="O384" i="2" s="1"/>
  <c r="J384" i="2" s="1"/>
  <c r="K384" i="2" s="1"/>
  <c r="N385" i="2"/>
  <c r="O385" i="2" s="1"/>
  <c r="J385" i="2" s="1"/>
  <c r="K385" i="2" s="1"/>
  <c r="N386" i="2"/>
  <c r="O386" i="2" s="1"/>
  <c r="J386" i="2" s="1"/>
  <c r="K386" i="2" s="1"/>
  <c r="N387" i="2"/>
  <c r="O387" i="2" s="1"/>
  <c r="J387" i="2" s="1"/>
  <c r="K387" i="2" s="1"/>
  <c r="N388" i="2"/>
  <c r="O388" i="2" s="1"/>
  <c r="J388" i="2" s="1"/>
  <c r="N389" i="2"/>
  <c r="O389" i="2" s="1"/>
  <c r="J389" i="2" s="1"/>
  <c r="K389" i="2" s="1"/>
  <c r="N390" i="2"/>
  <c r="O390" i="2" s="1"/>
  <c r="J390" i="2" s="1"/>
  <c r="K390" i="2" s="1"/>
  <c r="N391" i="2"/>
  <c r="O391" i="2" s="1"/>
  <c r="J391" i="2" s="1"/>
  <c r="K391" i="2" s="1"/>
  <c r="N392" i="2"/>
  <c r="O392" i="2" s="1"/>
  <c r="J392" i="2" s="1"/>
  <c r="K392" i="2" s="1"/>
  <c r="N393" i="2"/>
  <c r="O393" i="2" s="1"/>
  <c r="J393" i="2" s="1"/>
  <c r="K393" i="2" s="1"/>
  <c r="N394" i="2"/>
  <c r="O394" i="2" s="1"/>
  <c r="J394" i="2" s="1"/>
  <c r="K394" i="2" s="1"/>
  <c r="N395" i="2"/>
  <c r="O395" i="2"/>
  <c r="J395" i="2" s="1"/>
  <c r="K395" i="2" s="1"/>
  <c r="N396" i="2"/>
  <c r="O396" i="2" s="1"/>
  <c r="J396" i="2" s="1"/>
  <c r="K396" i="2" s="1"/>
  <c r="N398" i="2"/>
  <c r="O398" i="2" s="1"/>
  <c r="J398" i="2" s="1"/>
  <c r="K398" i="2" s="1"/>
  <c r="N399" i="2"/>
  <c r="O399" i="2" s="1"/>
  <c r="J399" i="2" s="1"/>
  <c r="K399" i="2" s="1"/>
  <c r="N400" i="2"/>
  <c r="O400" i="2" s="1"/>
  <c r="J400" i="2" s="1"/>
  <c r="K400" i="2" s="1"/>
  <c r="N401" i="2"/>
  <c r="O401" i="2" s="1"/>
  <c r="J401" i="2" s="1"/>
  <c r="K401" i="2" s="1"/>
  <c r="N402" i="2"/>
  <c r="O402" i="2" s="1"/>
  <c r="J402" i="2" s="1"/>
  <c r="K402" i="2" s="1"/>
  <c r="N403" i="2"/>
  <c r="O403" i="2" s="1"/>
  <c r="J403" i="2" s="1"/>
  <c r="K403" i="2" s="1"/>
  <c r="N404" i="2"/>
  <c r="O404" i="2" s="1"/>
  <c r="J404" i="2" s="1"/>
  <c r="N405" i="2"/>
  <c r="O405" i="2" s="1"/>
  <c r="J405" i="2" s="1"/>
  <c r="K405" i="2" s="1"/>
  <c r="N406" i="2"/>
  <c r="O406" i="2" s="1"/>
  <c r="J406" i="2" s="1"/>
  <c r="K406" i="2" s="1"/>
  <c r="N407" i="2"/>
  <c r="O407" i="2" s="1"/>
  <c r="J407" i="2" s="1"/>
  <c r="K407" i="2" s="1"/>
  <c r="N408" i="2"/>
  <c r="O408" i="2" s="1"/>
  <c r="J408" i="2" s="1"/>
  <c r="K408" i="2" s="1"/>
  <c r="N409" i="2"/>
  <c r="O409" i="2" s="1"/>
  <c r="J409" i="2" s="1"/>
  <c r="K409" i="2" s="1"/>
  <c r="N410" i="2"/>
  <c r="O410" i="2" s="1"/>
  <c r="J410" i="2" s="1"/>
  <c r="K410" i="2" s="1"/>
  <c r="N411" i="2"/>
  <c r="O411" i="2" s="1"/>
  <c r="J411" i="2" s="1"/>
  <c r="K411" i="2" s="1"/>
  <c r="N412" i="2"/>
  <c r="O412" i="2" s="1"/>
  <c r="J412" i="2" s="1"/>
  <c r="N414" i="2"/>
  <c r="O414" i="2" s="1"/>
  <c r="J414" i="2" s="1"/>
  <c r="K414" i="2" s="1"/>
  <c r="N415" i="2"/>
  <c r="O415" i="2" s="1"/>
  <c r="J415" i="2" s="1"/>
  <c r="K415" i="2" s="1"/>
  <c r="N416" i="2"/>
  <c r="O416" i="2" s="1"/>
  <c r="J416" i="2" s="1"/>
  <c r="K416" i="2" s="1"/>
  <c r="N417" i="2"/>
  <c r="O417" i="2" s="1"/>
  <c r="J417" i="2" s="1"/>
  <c r="K417" i="2" s="1"/>
  <c r="N418" i="2"/>
  <c r="O418" i="2" s="1"/>
  <c r="J418" i="2" s="1"/>
  <c r="K418" i="2" s="1"/>
  <c r="N419" i="2"/>
  <c r="O419" i="2" s="1"/>
  <c r="J419" i="2" s="1"/>
  <c r="K419" i="2" s="1"/>
  <c r="N420" i="2"/>
  <c r="O420" i="2" s="1"/>
  <c r="J420" i="2" s="1"/>
  <c r="N421" i="2"/>
  <c r="O421" i="2" s="1"/>
  <c r="J421" i="2" s="1"/>
  <c r="K421" i="2" s="1"/>
  <c r="N422" i="2"/>
  <c r="O422" i="2" s="1"/>
  <c r="J422" i="2" s="1"/>
  <c r="K422" i="2" s="1"/>
  <c r="N423" i="2"/>
  <c r="O423" i="2" s="1"/>
  <c r="J423" i="2" s="1"/>
  <c r="K423" i="2" s="1"/>
  <c r="N424" i="2"/>
  <c r="O424" i="2" s="1"/>
  <c r="J424" i="2" s="1"/>
  <c r="K424" i="2" s="1"/>
  <c r="N425" i="2"/>
  <c r="O425" i="2" s="1"/>
  <c r="J425" i="2" s="1"/>
  <c r="K425" i="2" s="1"/>
  <c r="N426" i="2"/>
  <c r="O426" i="2" s="1"/>
  <c r="J426" i="2" s="1"/>
  <c r="K426" i="2" s="1"/>
  <c r="N427" i="2"/>
  <c r="O427" i="2" s="1"/>
  <c r="J427" i="2" s="1"/>
  <c r="K427" i="2" s="1"/>
  <c r="N428" i="2"/>
  <c r="O428" i="2" s="1"/>
  <c r="J428" i="2" s="1"/>
  <c r="N430" i="2"/>
  <c r="O430" i="2" s="1"/>
  <c r="J430" i="2" s="1"/>
  <c r="K430" i="2" s="1"/>
  <c r="N431" i="2"/>
  <c r="O431" i="2" s="1"/>
  <c r="J431" i="2" s="1"/>
  <c r="K431" i="2" s="1"/>
  <c r="N432" i="2"/>
  <c r="O432" i="2" s="1"/>
  <c r="J432" i="2" s="1"/>
  <c r="K432" i="2" s="1"/>
  <c r="N433" i="2"/>
  <c r="O433" i="2" s="1"/>
  <c r="J433" i="2" s="1"/>
  <c r="K433" i="2" s="1"/>
  <c r="N434" i="2"/>
  <c r="O434" i="2" s="1"/>
  <c r="J434" i="2" s="1"/>
  <c r="K434" i="2" s="1"/>
  <c r="N435" i="2"/>
  <c r="O435" i="2" s="1"/>
  <c r="J435" i="2" s="1"/>
  <c r="K435" i="2" s="1"/>
  <c r="N436" i="2"/>
  <c r="O436" i="2" s="1"/>
  <c r="J436" i="2" s="1"/>
  <c r="N437" i="2"/>
  <c r="O437" i="2" s="1"/>
  <c r="J437" i="2" s="1"/>
  <c r="K437" i="2" s="1"/>
  <c r="N438" i="2"/>
  <c r="O438" i="2" s="1"/>
  <c r="J438" i="2" s="1"/>
  <c r="K438" i="2" s="1"/>
  <c r="N439" i="2"/>
  <c r="O439" i="2" s="1"/>
  <c r="J439" i="2" s="1"/>
  <c r="K439" i="2" s="1"/>
  <c r="N440" i="2"/>
  <c r="O440" i="2" s="1"/>
  <c r="J440" i="2" s="1"/>
  <c r="K440" i="2" s="1"/>
  <c r="N441" i="2"/>
  <c r="O441" i="2" s="1"/>
  <c r="J441" i="2" s="1"/>
  <c r="K441" i="2" s="1"/>
  <c r="N442" i="2"/>
  <c r="O442" i="2" s="1"/>
  <c r="J442" i="2" s="1"/>
  <c r="K442" i="2" s="1"/>
  <c r="N443" i="2"/>
  <c r="O443" i="2" s="1"/>
  <c r="J443" i="2" s="1"/>
  <c r="K443" i="2" s="1"/>
  <c r="N444" i="2"/>
  <c r="O444" i="2" s="1"/>
  <c r="J444" i="2" s="1"/>
  <c r="K444" i="2" s="1"/>
  <c r="N446" i="2"/>
  <c r="O446" i="2" s="1"/>
  <c r="J446" i="2" s="1"/>
  <c r="K446" i="2" s="1"/>
  <c r="N447" i="2"/>
  <c r="O447" i="2" s="1"/>
  <c r="J447" i="2" s="1"/>
  <c r="K447" i="2" s="1"/>
  <c r="N448" i="2"/>
  <c r="O448" i="2" s="1"/>
  <c r="N449" i="2"/>
  <c r="O449" i="2" s="1"/>
  <c r="N450" i="2"/>
  <c r="O450" i="2" s="1"/>
  <c r="N451" i="2"/>
  <c r="O451" i="2" s="1"/>
  <c r="N453" i="2"/>
  <c r="O453" i="2" s="1"/>
  <c r="J453" i="2" s="1"/>
  <c r="K453" i="2" s="1"/>
  <c r="N455" i="2"/>
  <c r="O455" i="2" s="1"/>
  <c r="J455" i="2" s="1"/>
  <c r="K455" i="2" s="1"/>
  <c r="N456" i="2"/>
  <c r="O456" i="2" s="1"/>
  <c r="J456" i="2" s="1"/>
  <c r="N457" i="2"/>
  <c r="O457" i="2" s="1"/>
  <c r="J457" i="2" s="1"/>
  <c r="K457" i="2" s="1"/>
  <c r="N458" i="2"/>
  <c r="O458" i="2" s="1"/>
  <c r="J458" i="2" s="1"/>
  <c r="K458" i="2" s="1"/>
  <c r="N460" i="2"/>
  <c r="O460" i="2" s="1"/>
  <c r="J460" i="2" s="1"/>
  <c r="K460" i="2" s="1"/>
  <c r="N461" i="2"/>
  <c r="O461" i="2" s="1"/>
  <c r="J461" i="2" s="1"/>
  <c r="K461" i="2" s="1"/>
  <c r="N462" i="2"/>
  <c r="O462" i="2" s="1"/>
  <c r="J462" i="2" s="1"/>
  <c r="N463" i="2"/>
  <c r="O463" i="2" s="1"/>
  <c r="J463" i="2" s="1"/>
  <c r="K463" i="2" s="1"/>
  <c r="N464" i="2"/>
  <c r="O464" i="2" s="1"/>
  <c r="J464" i="2" s="1"/>
  <c r="K464" i="2" s="1"/>
  <c r="N465" i="2"/>
  <c r="O465" i="2" s="1"/>
  <c r="J465" i="2" s="1"/>
  <c r="K465" i="2" s="1"/>
  <c r="N466" i="2"/>
  <c r="O466" i="2" s="1"/>
  <c r="J466" i="2" s="1"/>
  <c r="K466" i="2" s="1"/>
  <c r="N467" i="2"/>
  <c r="O467" i="2" s="1"/>
  <c r="J467" i="2" s="1"/>
  <c r="K467" i="2" s="1"/>
  <c r="N469" i="2"/>
  <c r="O469" i="2" s="1"/>
  <c r="J469" i="2" s="1"/>
  <c r="K469" i="2" s="1"/>
  <c r="N470" i="2"/>
  <c r="O470" i="2" s="1"/>
  <c r="J470" i="2" s="1"/>
  <c r="K470" i="2" s="1"/>
  <c r="N471" i="2"/>
  <c r="O471" i="2" s="1"/>
  <c r="J471" i="2" s="1"/>
  <c r="K471" i="2" s="1"/>
  <c r="N474" i="2"/>
  <c r="O474" i="2" s="1"/>
  <c r="J474" i="2" s="1"/>
  <c r="K474" i="2" s="1"/>
  <c r="N476" i="2"/>
  <c r="O476" i="2" s="1"/>
  <c r="J476" i="2" s="1"/>
  <c r="N477" i="2"/>
  <c r="O477" i="2" s="1"/>
  <c r="J477" i="2" s="1"/>
  <c r="N478" i="2"/>
  <c r="O478" i="2" s="1"/>
  <c r="J478" i="2" s="1"/>
  <c r="K478" i="2" s="1"/>
  <c r="N479" i="2"/>
  <c r="O479" i="2" s="1"/>
  <c r="J479" i="2" s="1"/>
  <c r="K479" i="2" s="1"/>
  <c r="N480" i="2"/>
  <c r="O480" i="2" s="1"/>
  <c r="J480" i="2" s="1"/>
  <c r="K480" i="2" s="1"/>
  <c r="N481" i="2"/>
  <c r="O481" i="2" s="1"/>
  <c r="J481" i="2" s="1"/>
  <c r="K481" i="2" s="1"/>
  <c r="N482" i="2"/>
  <c r="O482" i="2" s="1"/>
  <c r="J482" i="2" s="1"/>
  <c r="K482" i="2" s="1"/>
  <c r="N483" i="2"/>
  <c r="O483" i="2" s="1"/>
  <c r="J483" i="2" s="1"/>
  <c r="K483" i="2" s="1"/>
  <c r="N485" i="2"/>
  <c r="O485" i="2" s="1"/>
  <c r="J485" i="2" s="1"/>
  <c r="K485" i="2" s="1"/>
  <c r="N487" i="2"/>
  <c r="O487" i="2" s="1"/>
  <c r="J487" i="2" s="1"/>
  <c r="K487" i="2" s="1"/>
  <c r="N488" i="2"/>
  <c r="O488" i="2" s="1"/>
  <c r="J488" i="2" s="1"/>
  <c r="K488" i="2" s="1"/>
  <c r="N489" i="2"/>
  <c r="O489" i="2" s="1"/>
  <c r="J489" i="2" s="1"/>
  <c r="K489" i="2" s="1"/>
  <c r="N490" i="2"/>
  <c r="O490" i="2" s="1"/>
  <c r="J490" i="2" s="1"/>
  <c r="N492" i="2"/>
  <c r="O492" i="2" s="1"/>
  <c r="J492" i="2" s="1"/>
  <c r="K492" i="2" s="1"/>
  <c r="N493" i="2"/>
  <c r="O493" i="2" s="1"/>
  <c r="J493" i="2" s="1"/>
  <c r="K493" i="2" s="1"/>
  <c r="N494" i="2"/>
  <c r="O494" i="2" s="1"/>
  <c r="J494" i="2" s="1"/>
  <c r="K494" i="2" s="1"/>
  <c r="N495" i="2"/>
  <c r="O495" i="2" s="1"/>
  <c r="J495" i="2" s="1"/>
  <c r="K495" i="2" s="1"/>
  <c r="N496" i="2"/>
  <c r="O496" i="2" s="1"/>
  <c r="J496" i="2" s="1"/>
  <c r="K496" i="2" s="1"/>
  <c r="N497" i="2"/>
  <c r="O497" i="2" s="1"/>
  <c r="J497" i="2" s="1"/>
  <c r="K497" i="2" s="1"/>
  <c r="N498" i="2"/>
  <c r="O498" i="2" s="1"/>
  <c r="J498" i="2" s="1"/>
  <c r="K498" i="2" s="1"/>
  <c r="N499" i="2"/>
  <c r="O499" i="2" s="1"/>
  <c r="J499" i="2" s="1"/>
  <c r="K499" i="2" s="1"/>
  <c r="N501" i="2"/>
  <c r="O501" i="2" s="1"/>
  <c r="J501" i="2" s="1"/>
  <c r="K501" i="2" s="1"/>
  <c r="N503" i="2"/>
  <c r="O503" i="2" s="1"/>
  <c r="J503" i="2" s="1"/>
  <c r="K503" i="2" s="1"/>
  <c r="N506" i="2"/>
  <c r="O506" i="2" s="1"/>
  <c r="J506" i="2" s="1"/>
  <c r="K506" i="2" s="1"/>
  <c r="N507" i="2"/>
  <c r="O507" i="2" s="1"/>
  <c r="J507" i="2" s="1"/>
  <c r="N508" i="2"/>
  <c r="O508" i="2" s="1"/>
  <c r="J508" i="2" s="1"/>
  <c r="K508" i="2" s="1"/>
  <c r="N509" i="2"/>
  <c r="O509" i="2" s="1"/>
  <c r="J509" i="2" s="1"/>
  <c r="K509" i="2" s="1"/>
  <c r="N510" i="2"/>
  <c r="O510" i="2" s="1"/>
  <c r="J510" i="2" s="1"/>
  <c r="K510" i="2" s="1"/>
  <c r="N511" i="2"/>
  <c r="O511" i="2" s="1"/>
  <c r="J511" i="2" s="1"/>
  <c r="K511" i="2" s="1"/>
  <c r="N512" i="2"/>
  <c r="O512" i="2" s="1"/>
  <c r="J512" i="2" s="1"/>
  <c r="K512" i="2" s="1"/>
  <c r="N513" i="2"/>
  <c r="O513" i="2" s="1"/>
  <c r="J513" i="2" s="1"/>
  <c r="N514" i="2"/>
  <c r="O514" i="2" s="1"/>
  <c r="J514" i="2" s="1"/>
  <c r="K514" i="2" s="1"/>
  <c r="N515" i="2"/>
  <c r="O515" i="2" s="1"/>
  <c r="J515" i="2" s="1"/>
  <c r="K515" i="2" s="1"/>
  <c r="N517" i="2"/>
  <c r="O517" i="2" s="1"/>
  <c r="J517" i="2" s="1"/>
  <c r="K517" i="2" s="1"/>
  <c r="N519" i="2"/>
  <c r="O519" i="2" s="1"/>
  <c r="J519" i="2" s="1"/>
  <c r="K519" i="2" s="1"/>
  <c r="N520" i="2"/>
  <c r="O520" i="2" s="1"/>
  <c r="J520" i="2" s="1"/>
  <c r="K520" i="2" s="1"/>
  <c r="N521" i="2"/>
  <c r="O521" i="2" s="1"/>
  <c r="J521" i="2" s="1"/>
  <c r="N522" i="2"/>
  <c r="O522" i="2" s="1"/>
  <c r="J522" i="2" s="1"/>
  <c r="K522" i="2" s="1"/>
  <c r="N524" i="2"/>
  <c r="O524" i="2" s="1"/>
  <c r="J524" i="2" s="1"/>
  <c r="K524" i="2" s="1"/>
  <c r="N525" i="2"/>
  <c r="O525" i="2" s="1"/>
  <c r="J525" i="2" s="1"/>
  <c r="K525" i="2" s="1"/>
  <c r="N526" i="2"/>
  <c r="O526" i="2" s="1"/>
  <c r="J526" i="2" s="1"/>
  <c r="N527" i="2"/>
  <c r="O527" i="2" s="1"/>
  <c r="J527" i="2" s="1"/>
  <c r="K527" i="2" s="1"/>
  <c r="N528" i="2"/>
  <c r="O528" i="2" s="1"/>
  <c r="J528" i="2" s="1"/>
  <c r="K528" i="2" s="1"/>
  <c r="N529" i="2"/>
  <c r="O529" i="2" s="1"/>
  <c r="J529" i="2" s="1"/>
  <c r="K529" i="2" s="1"/>
  <c r="N530" i="2"/>
  <c r="O530" i="2" s="1"/>
  <c r="J530" i="2" s="1"/>
  <c r="K530" i="2" s="1"/>
  <c r="N531" i="2"/>
  <c r="O531" i="2" s="1"/>
  <c r="J531" i="2" s="1"/>
  <c r="K531" i="2" s="1"/>
  <c r="N533" i="2"/>
  <c r="O533" i="2" s="1"/>
  <c r="J533" i="2" s="1"/>
  <c r="K533" i="2" s="1"/>
  <c r="N535" i="2"/>
  <c r="O535" i="2" s="1"/>
  <c r="J535" i="2" s="1"/>
  <c r="K535" i="2" s="1"/>
  <c r="N538" i="2"/>
  <c r="O538" i="2" s="1"/>
  <c r="J538" i="2" s="1"/>
  <c r="K538" i="2" s="1"/>
  <c r="N540" i="2"/>
  <c r="O540" i="2" s="1"/>
  <c r="J540" i="2" s="1"/>
  <c r="N541" i="2"/>
  <c r="O541" i="2" s="1"/>
  <c r="J541" i="2" s="1"/>
  <c r="K541" i="2" s="1"/>
  <c r="N542" i="2"/>
  <c r="O542" i="2"/>
  <c r="N543" i="2"/>
  <c r="O543" i="2" s="1"/>
  <c r="N544" i="2"/>
  <c r="O544" i="2" s="1"/>
  <c r="N545" i="2"/>
  <c r="O545" i="2" s="1"/>
  <c r="N546" i="2"/>
  <c r="O546" i="2" s="1"/>
  <c r="J546" i="2" s="1"/>
  <c r="K546" i="2" s="1"/>
  <c r="N547" i="2"/>
  <c r="O547" i="2" s="1"/>
  <c r="J547" i="2" s="1"/>
  <c r="K547" i="2" s="1"/>
  <c r="N548" i="2"/>
  <c r="O548" i="2" s="1"/>
  <c r="J548" i="2" s="1"/>
  <c r="K548" i="2" s="1"/>
  <c r="N549" i="2"/>
  <c r="O549" i="2" s="1"/>
  <c r="J549" i="2" s="1"/>
  <c r="K549" i="2" s="1"/>
  <c r="N550" i="2"/>
  <c r="O550" i="2" s="1"/>
  <c r="J550" i="2" s="1"/>
  <c r="N551" i="2"/>
  <c r="O551" i="2" s="1"/>
  <c r="J551" i="2" s="1"/>
  <c r="N554" i="2"/>
  <c r="O554" i="2" s="1"/>
  <c r="J554" i="2" s="1"/>
  <c r="K554" i="2" s="1"/>
  <c r="N555" i="2"/>
  <c r="O555" i="2" s="1"/>
  <c r="J555" i="2" s="1"/>
  <c r="K555" i="2" s="1"/>
  <c r="N556" i="2"/>
  <c r="O556" i="2" s="1"/>
  <c r="J556" i="2" s="1"/>
  <c r="K556" i="2" s="1"/>
  <c r="N557" i="2"/>
  <c r="O557" i="2" s="1"/>
  <c r="J557" i="2" s="1"/>
  <c r="K557" i="2" s="1"/>
  <c r="N558" i="2"/>
  <c r="O558" i="2" s="1"/>
  <c r="J558" i="2" s="1"/>
  <c r="K558" i="2" s="1"/>
  <c r="N559" i="2"/>
  <c r="O559" i="2"/>
  <c r="J559" i="2" s="1"/>
  <c r="K559" i="2" s="1"/>
  <c r="N560" i="2"/>
  <c r="O560" i="2" s="1"/>
  <c r="J560" i="2" s="1"/>
  <c r="K560" i="2" s="1"/>
  <c r="N561" i="2"/>
  <c r="O561" i="2" s="1"/>
  <c r="J561" i="2" s="1"/>
  <c r="K561" i="2" s="1"/>
  <c r="N563" i="2"/>
  <c r="O563" i="2" s="1"/>
  <c r="J563" i="2" s="1"/>
  <c r="K563" i="2" s="1"/>
  <c r="N566" i="2"/>
  <c r="O566" i="2" s="1"/>
  <c r="J566" i="2" s="1"/>
  <c r="N568" i="2"/>
  <c r="O568" i="2" s="1"/>
  <c r="J568" i="2" s="1"/>
  <c r="K568" i="2" s="1"/>
  <c r="N569" i="2"/>
  <c r="O569" i="2"/>
  <c r="J569" i="2" s="1"/>
  <c r="K569" i="2" s="1"/>
  <c r="N570" i="2"/>
  <c r="O570" i="2" s="1"/>
  <c r="J570" i="2" s="1"/>
  <c r="K570" i="2" s="1"/>
  <c r="N571" i="2"/>
  <c r="O571" i="2" s="1"/>
  <c r="J571" i="2" s="1"/>
  <c r="N572" i="2"/>
  <c r="O572" i="2" s="1"/>
  <c r="J572" i="2" s="1"/>
  <c r="N573" i="2"/>
  <c r="O573" i="2" s="1"/>
  <c r="J573" i="2" s="1"/>
  <c r="K573" i="2" s="1"/>
  <c r="N574" i="2"/>
  <c r="O574" i="2" s="1"/>
  <c r="J574" i="2" s="1"/>
  <c r="K574" i="2" s="1"/>
  <c r="N575" i="2"/>
  <c r="O575" i="2" s="1"/>
  <c r="J575" i="2" s="1"/>
  <c r="K575" i="2" s="1"/>
  <c r="N576" i="2"/>
  <c r="O576" i="2" s="1"/>
  <c r="J576" i="2" s="1"/>
  <c r="K576" i="2" s="1"/>
  <c r="N577" i="2"/>
  <c r="O577" i="2" s="1"/>
  <c r="J577" i="2" s="1"/>
  <c r="K577" i="2" s="1"/>
  <c r="N579" i="2"/>
  <c r="O579" i="2" s="1"/>
  <c r="J579" i="2" s="1"/>
  <c r="K579" i="2" s="1"/>
  <c r="N580" i="2"/>
  <c r="O580" i="2" s="1"/>
  <c r="J580" i="2" s="1"/>
  <c r="N583" i="2"/>
  <c r="O583" i="2" s="1"/>
  <c r="J583" i="2" s="1"/>
  <c r="K583" i="2" s="1"/>
  <c r="N585" i="2"/>
  <c r="O585" i="2" s="1"/>
  <c r="J585" i="2" s="1"/>
  <c r="K585" i="2" s="1"/>
  <c r="N586" i="2"/>
  <c r="O586" i="2" s="1"/>
  <c r="J586" i="2" s="1"/>
  <c r="N587" i="2"/>
  <c r="O587" i="2" s="1"/>
  <c r="J587" i="2" s="1"/>
  <c r="N588" i="2"/>
  <c r="O588" i="2" s="1"/>
  <c r="J588" i="2" s="1"/>
  <c r="K588" i="2" s="1"/>
  <c r="N589" i="2"/>
  <c r="O589" i="2" s="1"/>
  <c r="J589" i="2" s="1"/>
  <c r="K589" i="2" s="1"/>
  <c r="N590" i="2"/>
  <c r="O590" i="2" s="1"/>
  <c r="J590" i="2" s="1"/>
  <c r="K590" i="2" s="1"/>
  <c r="N591" i="2"/>
  <c r="O591" i="2" s="1"/>
  <c r="J591" i="2" s="1"/>
  <c r="K591" i="2" s="1"/>
  <c r="N592" i="2"/>
  <c r="O592" i="2" s="1"/>
  <c r="J592" i="2" s="1"/>
  <c r="K592" i="2" s="1"/>
  <c r="N593" i="2"/>
  <c r="O593" i="2" s="1"/>
  <c r="J593" i="2" s="1"/>
  <c r="K593" i="2" s="1"/>
  <c r="N595" i="2"/>
  <c r="O595" i="2" s="1"/>
  <c r="J595" i="2" s="1"/>
  <c r="K595" i="2" s="1"/>
  <c r="N596" i="2"/>
  <c r="O596" i="2" s="1"/>
  <c r="J596" i="2" s="1"/>
  <c r="K596" i="2" s="1"/>
  <c r="N597" i="2"/>
  <c r="O597" i="2" s="1"/>
  <c r="J597" i="2" s="1"/>
  <c r="K597" i="2" s="1"/>
  <c r="N598" i="2"/>
  <c r="O598" i="2" s="1"/>
  <c r="J598" i="2" s="1"/>
  <c r="K598" i="2" s="1"/>
  <c r="N599" i="2"/>
  <c r="O599" i="2" s="1"/>
  <c r="N600" i="2"/>
  <c r="O600" i="2" s="1"/>
  <c r="N601" i="2"/>
  <c r="O601" i="2" s="1"/>
  <c r="N602" i="2"/>
  <c r="O602" i="2" s="1"/>
  <c r="N603" i="2"/>
  <c r="O603" i="2" s="1"/>
  <c r="J603" i="2" s="1"/>
  <c r="K603" i="2" s="1"/>
  <c r="N604" i="2"/>
  <c r="O604" i="2" s="1"/>
  <c r="J604" i="2" s="1"/>
  <c r="K604" i="2" s="1"/>
  <c r="N605" i="2"/>
  <c r="O605" i="2" s="1"/>
  <c r="J605" i="2" s="1"/>
  <c r="K605" i="2" s="1"/>
  <c r="N606" i="2"/>
  <c r="O606" i="2" s="1"/>
  <c r="J606" i="2" s="1"/>
  <c r="K606" i="2" s="1"/>
  <c r="N607" i="2"/>
  <c r="O607" i="2" s="1"/>
  <c r="J607" i="2" s="1"/>
  <c r="N609" i="2"/>
  <c r="O609" i="2" s="1"/>
  <c r="J609" i="2" s="1"/>
  <c r="K609" i="2" s="1"/>
  <c r="N610" i="2"/>
  <c r="O610" i="2" s="1"/>
  <c r="J610" i="2" s="1"/>
  <c r="K610" i="2" s="1"/>
  <c r="N611" i="2"/>
  <c r="O611" i="2" s="1"/>
  <c r="J611" i="2" s="1"/>
  <c r="K611" i="2" s="1"/>
  <c r="N612" i="2"/>
  <c r="O612" i="2" s="1"/>
  <c r="J612" i="2" s="1"/>
  <c r="K612" i="2" s="1"/>
  <c r="N613" i="2"/>
  <c r="O613" i="2" s="1"/>
  <c r="J613" i="2" s="1"/>
  <c r="K613" i="2" s="1"/>
  <c r="N614" i="2"/>
  <c r="O614" i="2" s="1"/>
  <c r="J614" i="2" s="1"/>
  <c r="K614" i="2" s="1"/>
  <c r="N615" i="2"/>
  <c r="O615" i="2" s="1"/>
  <c r="J615" i="2" s="1"/>
  <c r="K615" i="2" s="1"/>
  <c r="N616" i="2"/>
  <c r="O616" i="2" s="1"/>
  <c r="J616" i="2" s="1"/>
  <c r="K616" i="2" s="1"/>
  <c r="N617" i="2"/>
  <c r="O617" i="2" s="1"/>
  <c r="J617" i="2" s="1"/>
  <c r="K617" i="2" s="1"/>
  <c r="N620" i="2"/>
  <c r="O620" i="2" s="1"/>
  <c r="J620" i="2" s="1"/>
  <c r="K620" i="2" s="1"/>
  <c r="N621" i="2"/>
  <c r="O621" i="2" s="1"/>
  <c r="J621" i="2" s="1"/>
  <c r="K621" i="2" s="1"/>
  <c r="N622" i="2"/>
  <c r="O622" i="2" s="1"/>
  <c r="J622" i="2" s="1"/>
  <c r="K622" i="2" s="1"/>
  <c r="N623" i="2"/>
  <c r="O623" i="2" s="1"/>
  <c r="J623" i="2" s="1"/>
  <c r="K623" i="2" s="1"/>
  <c r="N624" i="2"/>
  <c r="O624" i="2" s="1"/>
  <c r="J624" i="2" s="1"/>
  <c r="K624" i="2" s="1"/>
  <c r="N625" i="2"/>
  <c r="O625" i="2" s="1"/>
  <c r="J625" i="2" s="1"/>
  <c r="K625" i="2" s="1"/>
  <c r="N626" i="2"/>
  <c r="O626" i="2" s="1"/>
  <c r="J626" i="2" s="1"/>
  <c r="N627" i="2"/>
  <c r="O627" i="2" s="1"/>
  <c r="J627" i="2" s="1"/>
  <c r="K627" i="2" s="1"/>
  <c r="N628" i="2"/>
  <c r="O628" i="2" s="1"/>
  <c r="J628" i="2" s="1"/>
  <c r="N629" i="2"/>
  <c r="O629" i="2" s="1"/>
  <c r="J629" i="2" s="1"/>
  <c r="N630" i="2"/>
  <c r="O630" i="2" s="1"/>
  <c r="J630" i="2" s="1"/>
  <c r="K630" i="2" s="1"/>
  <c r="N631" i="2"/>
  <c r="O631" i="2" s="1"/>
  <c r="J631" i="2" s="1"/>
  <c r="K631" i="2" s="1"/>
  <c r="N632" i="2"/>
  <c r="O632" i="2" s="1"/>
  <c r="J632" i="2" s="1"/>
  <c r="K632" i="2" s="1"/>
  <c r="N634" i="2"/>
  <c r="O634" i="2" s="1"/>
  <c r="J634" i="2" s="1"/>
  <c r="K634" i="2" s="1"/>
  <c r="N635" i="2"/>
  <c r="O635" i="2" s="1"/>
  <c r="J635" i="2" s="1"/>
  <c r="N636" i="2"/>
  <c r="O636" i="2" s="1"/>
  <c r="J636" i="2" s="1"/>
  <c r="K636" i="2" s="1"/>
  <c r="N637" i="2"/>
  <c r="O637" i="2" s="1"/>
  <c r="J637" i="2" s="1"/>
  <c r="K637" i="2" s="1"/>
  <c r="N638" i="2"/>
  <c r="O638" i="2" s="1"/>
  <c r="J638" i="2" s="1"/>
  <c r="K638" i="2" s="1"/>
  <c r="N639" i="2"/>
  <c r="O639" i="2" s="1"/>
  <c r="J639" i="2" s="1"/>
  <c r="N642" i="2"/>
  <c r="O642" i="2" s="1"/>
  <c r="J642" i="2" s="1"/>
  <c r="K642" i="2" s="1"/>
  <c r="N643" i="2"/>
  <c r="O643" i="2" s="1"/>
  <c r="J643" i="2" s="1"/>
  <c r="K643" i="2" s="1"/>
  <c r="N644" i="2"/>
  <c r="O644" i="2" s="1"/>
  <c r="J644" i="2" s="1"/>
  <c r="N645" i="2"/>
  <c r="O645" i="2" s="1"/>
  <c r="J645" i="2" s="1"/>
  <c r="K645" i="2" s="1"/>
  <c r="N646" i="2"/>
  <c r="O646" i="2" s="1"/>
  <c r="J646" i="2" s="1"/>
  <c r="K646" i="2" s="1"/>
  <c r="N647" i="2"/>
  <c r="O647" i="2" s="1"/>
  <c r="J647" i="2" s="1"/>
  <c r="K647" i="2" s="1"/>
  <c r="N648" i="2"/>
  <c r="O648" i="2" s="1"/>
  <c r="J648" i="2" s="1"/>
  <c r="K648" i="2" s="1"/>
  <c r="N652" i="2"/>
  <c r="O652" i="2" s="1"/>
  <c r="N653" i="2"/>
  <c r="O653" i="2" s="1"/>
  <c r="N654" i="2"/>
  <c r="O654" i="2" s="1"/>
  <c r="N655" i="2"/>
  <c r="O655" i="2" s="1"/>
  <c r="N656" i="2"/>
  <c r="O656" i="2" s="1"/>
  <c r="J656" i="2" s="1"/>
  <c r="K656" i="2" s="1"/>
  <c r="N657" i="2"/>
  <c r="O657" i="2" s="1"/>
  <c r="J657" i="2" s="1"/>
  <c r="K657" i="2" s="1"/>
  <c r="N660" i="2"/>
  <c r="O660" i="2" s="1"/>
  <c r="J660" i="2" s="1"/>
  <c r="K660" i="2" s="1"/>
  <c r="N661" i="2"/>
  <c r="O661" i="2" s="1"/>
  <c r="J661" i="2" s="1"/>
  <c r="K661" i="2" s="1"/>
  <c r="N662" i="2"/>
  <c r="O662" i="2" s="1"/>
  <c r="J662" i="2" s="1"/>
  <c r="N664" i="2"/>
  <c r="O664" i="2" s="1"/>
  <c r="J664" i="2" s="1"/>
  <c r="K664" i="2" s="1"/>
  <c r="N665" i="2"/>
  <c r="O665" i="2" s="1"/>
  <c r="J665" i="2" s="1"/>
  <c r="K665" i="2" s="1"/>
  <c r="N666" i="2"/>
  <c r="O666" i="2" s="1"/>
  <c r="J666" i="2" s="1"/>
  <c r="K666" i="2" s="1"/>
  <c r="N667" i="2"/>
  <c r="O667" i="2" s="1"/>
  <c r="J667" i="2" s="1"/>
  <c r="K667" i="2" s="1"/>
  <c r="N668" i="2"/>
  <c r="O668" i="2" s="1"/>
  <c r="J668" i="2" s="1"/>
  <c r="K668" i="2" s="1"/>
  <c r="N669" i="2"/>
  <c r="O669" i="2" s="1"/>
  <c r="J669" i="2" s="1"/>
  <c r="K669" i="2" s="1"/>
  <c r="N670" i="2"/>
  <c r="O670" i="2" s="1"/>
  <c r="J670" i="2" s="1"/>
  <c r="K670" i="2" s="1"/>
  <c r="N671" i="2"/>
  <c r="O671" i="2" s="1"/>
  <c r="J671" i="2" s="1"/>
  <c r="K671" i="2" s="1"/>
  <c r="N672" i="2"/>
  <c r="O672" i="2" s="1"/>
  <c r="J672" i="2" s="1"/>
  <c r="N673" i="2"/>
  <c r="O673" i="2" s="1"/>
  <c r="J673" i="2" s="1"/>
  <c r="K673" i="2" s="1"/>
  <c r="N674" i="2"/>
  <c r="O674" i="2" s="1"/>
  <c r="J674" i="2" s="1"/>
  <c r="K674" i="2" s="1"/>
  <c r="N675" i="2"/>
  <c r="O675" i="2" s="1"/>
  <c r="J675" i="2" s="1"/>
  <c r="K675" i="2" s="1"/>
  <c r="N678" i="2"/>
  <c r="O678" i="2" s="1"/>
  <c r="J678" i="2" s="1"/>
  <c r="K678" i="2" s="1"/>
  <c r="N681" i="2"/>
  <c r="O681" i="2" s="1"/>
  <c r="J681" i="2" s="1"/>
  <c r="K681" i="2" s="1"/>
  <c r="N682" i="2"/>
  <c r="O682" i="2" s="1"/>
  <c r="J682" i="2" s="1"/>
  <c r="K682" i="2" s="1"/>
  <c r="N683" i="2"/>
  <c r="O683" i="2" s="1"/>
  <c r="J683" i="2" s="1"/>
  <c r="K683" i="2" s="1"/>
  <c r="N684" i="2"/>
  <c r="O684" i="2" s="1"/>
  <c r="J684" i="2" s="1"/>
  <c r="K684" i="2" s="1"/>
  <c r="N685" i="2"/>
  <c r="O685" i="2" s="1"/>
  <c r="N686" i="2"/>
  <c r="O686" i="2" s="1"/>
  <c r="N687" i="2"/>
  <c r="O687" i="2" s="1"/>
  <c r="N688" i="2"/>
  <c r="O688" i="2" s="1"/>
  <c r="N731" i="2"/>
  <c r="O731" i="2" s="1"/>
  <c r="N732" i="2"/>
  <c r="O732" i="2" s="1"/>
  <c r="N733" i="2"/>
  <c r="O733" i="2" s="1"/>
  <c r="N734" i="2"/>
  <c r="O734" i="2" s="1"/>
  <c r="N779" i="2"/>
  <c r="O779" i="2" s="1"/>
  <c r="N780" i="2"/>
  <c r="O780" i="2" s="1"/>
  <c r="N781" i="2"/>
  <c r="O781" i="2" s="1"/>
  <c r="N782" i="2"/>
  <c r="O782" i="2" s="1"/>
  <c r="N815" i="2"/>
  <c r="O815" i="2" s="1"/>
  <c r="N816" i="2"/>
  <c r="O816" i="2" s="1"/>
  <c r="N817" i="2"/>
  <c r="O817" i="2" s="1"/>
  <c r="N818" i="2"/>
  <c r="O818" i="2" s="1"/>
  <c r="N851" i="2"/>
  <c r="O851" i="2" s="1"/>
  <c r="N852" i="2"/>
  <c r="O852" i="2" s="1"/>
  <c r="N853" i="2"/>
  <c r="O853" i="2" s="1"/>
  <c r="N854" i="2"/>
  <c r="O854" i="2" s="1"/>
  <c r="N880" i="2"/>
  <c r="O880" i="2" s="1"/>
  <c r="N881" i="2"/>
  <c r="O881" i="2" s="1"/>
  <c r="N882" i="2"/>
  <c r="O882" i="2" s="1"/>
  <c r="N883" i="2"/>
  <c r="O883" i="2" s="1"/>
  <c r="N884" i="2"/>
  <c r="O884" i="2" s="1"/>
  <c r="J884" i="2" s="1"/>
  <c r="N885" i="2"/>
  <c r="O885" i="2" s="1"/>
  <c r="J885" i="2" s="1"/>
  <c r="N886" i="2"/>
  <c r="O886" i="2" s="1"/>
  <c r="J886" i="2" s="1"/>
  <c r="N887" i="2"/>
  <c r="O887" i="2" s="1"/>
  <c r="J887" i="2" s="1"/>
  <c r="N888" i="2"/>
  <c r="O888" i="2" s="1"/>
  <c r="J888" i="2" s="1"/>
  <c r="N889" i="2"/>
  <c r="O889" i="2" s="1"/>
  <c r="J889" i="2" s="1"/>
  <c r="N890" i="2"/>
  <c r="O890" i="2" s="1"/>
  <c r="J890" i="2" s="1"/>
  <c r="N891" i="2"/>
  <c r="O891" i="2" s="1"/>
  <c r="J891" i="2" s="1"/>
  <c r="N892" i="2"/>
  <c r="O892" i="2" s="1"/>
  <c r="J892" i="2" s="1"/>
  <c r="K892" i="2" s="1"/>
  <c r="N893" i="2"/>
  <c r="O893" i="2" s="1"/>
  <c r="J893" i="2" s="1"/>
  <c r="N894" i="2"/>
  <c r="O894" i="2" s="1"/>
  <c r="J894" i="2" s="1"/>
  <c r="N895" i="2"/>
  <c r="O895" i="2" s="1"/>
  <c r="J895" i="2" s="1"/>
  <c r="N896" i="2"/>
  <c r="O896" i="2" s="1"/>
  <c r="J896" i="2" s="1"/>
  <c r="N897" i="2"/>
  <c r="O897" i="2" s="1"/>
  <c r="J897" i="2" s="1"/>
  <c r="N898" i="2"/>
  <c r="O898" i="2" s="1"/>
  <c r="J898" i="2" s="1"/>
  <c r="N901" i="2"/>
  <c r="O901" i="2" s="1"/>
  <c r="J901" i="2" s="1"/>
  <c r="N902" i="2"/>
  <c r="O902" i="2" s="1"/>
  <c r="J902" i="2" s="1"/>
  <c r="N903" i="2"/>
  <c r="O903" i="2" s="1"/>
  <c r="J903" i="2" s="1"/>
  <c r="N904" i="2"/>
  <c r="O904" i="2" s="1"/>
  <c r="J904" i="2" s="1"/>
  <c r="N905" i="2"/>
  <c r="O905" i="2" s="1"/>
  <c r="J905" i="2" s="1"/>
  <c r="N906" i="2"/>
  <c r="O906" i="2" s="1"/>
  <c r="J906" i="2" s="1"/>
  <c r="N907" i="2"/>
  <c r="O907" i="2" s="1"/>
  <c r="J907" i="2" s="1"/>
  <c r="N908" i="2"/>
  <c r="O908" i="2" s="1"/>
  <c r="J908" i="2" s="1"/>
  <c r="N909" i="2"/>
  <c r="O909" i="2"/>
  <c r="J909" i="2" s="1"/>
  <c r="N910" i="2"/>
  <c r="O910" i="2" s="1"/>
  <c r="J910" i="2" s="1"/>
  <c r="N911" i="2"/>
  <c r="O911" i="2" s="1"/>
  <c r="J911" i="2" s="1"/>
  <c r="N912" i="2"/>
  <c r="O912" i="2" s="1"/>
  <c r="J912" i="2" s="1"/>
  <c r="N913" i="2"/>
  <c r="O913" i="2" s="1"/>
  <c r="J913" i="2" s="1"/>
  <c r="N914" i="2"/>
  <c r="O914" i="2" s="1"/>
  <c r="J914" i="2" s="1"/>
  <c r="K914" i="2" s="1"/>
  <c r="N917" i="2"/>
  <c r="O917" i="2" s="1"/>
  <c r="J917" i="2" s="1"/>
  <c r="K917" i="2" s="1"/>
  <c r="N918" i="2"/>
  <c r="O918" i="2" s="1"/>
  <c r="J918" i="2" s="1"/>
  <c r="N919" i="2"/>
  <c r="O919" i="2" s="1"/>
  <c r="J919" i="2" s="1"/>
  <c r="N920" i="2"/>
  <c r="O920" i="2" s="1"/>
  <c r="J920" i="2" s="1"/>
  <c r="N921" i="2"/>
  <c r="O921" i="2" s="1"/>
  <c r="J921" i="2" s="1"/>
  <c r="N922" i="2"/>
  <c r="O922" i="2" s="1"/>
  <c r="J922" i="2" s="1"/>
  <c r="N924" i="2"/>
  <c r="O924" i="2" s="1"/>
  <c r="J924" i="2" s="1"/>
  <c r="N925" i="2"/>
  <c r="O925" i="2" s="1"/>
  <c r="J925" i="2" s="1"/>
  <c r="N926" i="2"/>
  <c r="O926" i="2" s="1"/>
  <c r="J926" i="2" s="1"/>
  <c r="N927" i="2"/>
  <c r="O927" i="2" s="1"/>
  <c r="J927" i="2" s="1"/>
  <c r="K927" i="2" s="1"/>
  <c r="N928" i="2"/>
  <c r="O928" i="2" s="1"/>
  <c r="J928" i="2" s="1"/>
  <c r="N929" i="2"/>
  <c r="O929" i="2" s="1"/>
  <c r="J929" i="2" s="1"/>
  <c r="N930" i="2"/>
  <c r="O930" i="2" s="1"/>
  <c r="J930" i="2" s="1"/>
  <c r="N933" i="2"/>
  <c r="O933" i="2" s="1"/>
  <c r="J933" i="2" s="1"/>
  <c r="N934" i="2"/>
  <c r="O934" i="2" s="1"/>
  <c r="J934" i="2" s="1"/>
  <c r="N935" i="2"/>
  <c r="O935" i="2" s="1"/>
  <c r="J935" i="2" s="1"/>
  <c r="K935" i="2" s="1"/>
  <c r="N936" i="2"/>
  <c r="O936" i="2" s="1"/>
  <c r="J936" i="2" s="1"/>
  <c r="N937" i="2"/>
  <c r="O937" i="2" s="1"/>
  <c r="J937" i="2" s="1"/>
  <c r="N938" i="2"/>
  <c r="O938" i="2" s="1"/>
  <c r="J938" i="2" s="1"/>
  <c r="N939" i="2"/>
  <c r="O939" i="2" s="1"/>
  <c r="J939" i="2" s="1"/>
  <c r="N940" i="2"/>
  <c r="O940" i="2" s="1"/>
  <c r="J940" i="2" s="1"/>
  <c r="N941" i="2"/>
  <c r="O941" i="2" s="1"/>
  <c r="N942" i="2"/>
  <c r="O942" i="2" s="1"/>
  <c r="J942" i="2" s="1"/>
  <c r="N943" i="2"/>
  <c r="O943" i="2" s="1"/>
  <c r="J943" i="2" s="1"/>
  <c r="N944" i="2"/>
  <c r="O944" i="2" s="1"/>
  <c r="J944" i="2" s="1"/>
  <c r="N945" i="2"/>
  <c r="O945" i="2" s="1"/>
  <c r="J945" i="2" s="1"/>
  <c r="K945" i="2" s="1"/>
  <c r="N946" i="2"/>
  <c r="O946" i="2" s="1"/>
  <c r="J946" i="2" s="1"/>
  <c r="N949" i="2"/>
  <c r="O949" i="2" s="1"/>
  <c r="J949" i="2" s="1"/>
  <c r="N950" i="2"/>
  <c r="O950" i="2" s="1"/>
  <c r="J950" i="2" s="1"/>
  <c r="N951" i="2"/>
  <c r="O951" i="2" s="1"/>
  <c r="J951" i="2" s="1"/>
  <c r="N952" i="2"/>
  <c r="O952" i="2" s="1"/>
  <c r="J952" i="2" s="1"/>
  <c r="N953" i="2"/>
  <c r="O953" i="2" s="1"/>
  <c r="J953" i="2" s="1"/>
  <c r="N954" i="2"/>
  <c r="O954" i="2" s="1"/>
  <c r="J954" i="2" s="1"/>
  <c r="N955" i="2"/>
  <c r="O955" i="2" s="1"/>
  <c r="J955" i="2" s="1"/>
  <c r="N956" i="2"/>
  <c r="O956" i="2" s="1"/>
  <c r="J956" i="2" s="1"/>
  <c r="K956" i="2" s="1"/>
  <c r="N957" i="2"/>
  <c r="O957" i="2" s="1"/>
  <c r="J957" i="2" s="1"/>
  <c r="N958" i="2"/>
  <c r="O958" i="2" s="1"/>
  <c r="J958" i="2" s="1"/>
  <c r="N959" i="2"/>
  <c r="O959" i="2" s="1"/>
  <c r="J959" i="2" s="1"/>
  <c r="N960" i="2"/>
  <c r="O960" i="2" s="1"/>
  <c r="J960" i="2" s="1"/>
  <c r="N961" i="2"/>
  <c r="O961" i="2" s="1"/>
  <c r="J961" i="2" s="1"/>
  <c r="N962" i="2"/>
  <c r="O962" i="2" s="1"/>
  <c r="J962" i="2" s="1"/>
  <c r="N963" i="2"/>
  <c r="O963" i="2" s="1"/>
  <c r="N964" i="2"/>
  <c r="O964" i="2" s="1"/>
  <c r="N965" i="2"/>
  <c r="O965" i="2" s="1"/>
  <c r="N966" i="2"/>
  <c r="O966" i="2" s="1"/>
  <c r="N968" i="2"/>
  <c r="O968" i="2" s="1"/>
  <c r="J968" i="2" s="1"/>
  <c r="K968" i="2" s="1"/>
  <c r="N969" i="2"/>
  <c r="O969" i="2" s="1"/>
  <c r="J969" i="2" s="1"/>
  <c r="N970" i="2"/>
  <c r="O970" i="2" s="1"/>
  <c r="J970" i="2" s="1"/>
  <c r="N972" i="2"/>
  <c r="O972" i="2" s="1"/>
  <c r="J972" i="2" s="1"/>
  <c r="N973" i="2"/>
  <c r="O973" i="2" s="1"/>
  <c r="J973" i="2" s="1"/>
  <c r="N974" i="2"/>
  <c r="O974" i="2" s="1"/>
  <c r="J974" i="2" s="1"/>
  <c r="N975" i="2"/>
  <c r="O975" i="2" s="1"/>
  <c r="J975" i="2" s="1"/>
  <c r="K975" i="2" s="1"/>
  <c r="N977" i="2"/>
  <c r="O977" i="2" s="1"/>
  <c r="J977" i="2" s="1"/>
  <c r="N978" i="2"/>
  <c r="O978" i="2" s="1"/>
  <c r="J978" i="2" s="1"/>
  <c r="N979" i="2"/>
  <c r="O979" i="2" s="1"/>
  <c r="J979" i="2" s="1"/>
  <c r="N980" i="2"/>
  <c r="O980" i="2" s="1"/>
  <c r="J980" i="2" s="1"/>
  <c r="N981" i="2"/>
  <c r="O981" i="2" s="1"/>
  <c r="J981" i="2" s="1"/>
  <c r="N982" i="2"/>
  <c r="O982" i="2" s="1"/>
  <c r="J982" i="2" s="1"/>
  <c r="N984" i="2"/>
  <c r="O984" i="2" s="1"/>
  <c r="J984" i="2" s="1"/>
  <c r="N985" i="2"/>
  <c r="O985" i="2" s="1"/>
  <c r="J985" i="2" s="1"/>
  <c r="N986" i="2"/>
  <c r="O986" i="2" s="1"/>
  <c r="J986" i="2" s="1"/>
  <c r="N990" i="2"/>
  <c r="O990" i="2" s="1"/>
  <c r="J990" i="2" s="1"/>
  <c r="N991" i="2"/>
  <c r="O991" i="2" s="1"/>
  <c r="J991" i="2" s="1"/>
  <c r="N993" i="2"/>
  <c r="O993" i="2" s="1"/>
  <c r="J993" i="2" s="1"/>
  <c r="N994" i="2"/>
  <c r="O994" i="2" s="1"/>
  <c r="J994" i="2" s="1"/>
  <c r="N995" i="2"/>
  <c r="O995" i="2" s="1"/>
  <c r="J995" i="2" s="1"/>
  <c r="N996" i="2"/>
  <c r="O996" i="2" s="1"/>
  <c r="J996" i="2" s="1"/>
  <c r="N997" i="2"/>
  <c r="O997" i="2" s="1"/>
  <c r="J997" i="2" s="1"/>
  <c r="N1000" i="2"/>
  <c r="O1000" i="2" s="1"/>
  <c r="J1000" i="2" s="1"/>
  <c r="N1001" i="2"/>
  <c r="O1001" i="2" s="1"/>
  <c r="J1001" i="2" s="1"/>
  <c r="N1002" i="2"/>
  <c r="O1002" i="2" s="1"/>
  <c r="J1002" i="2" s="1"/>
  <c r="N1004" i="2"/>
  <c r="O1004" i="2" s="1"/>
  <c r="J1004" i="2" s="1"/>
  <c r="N1005" i="2"/>
  <c r="O1005" i="2" s="1"/>
  <c r="J1005" i="2" s="1"/>
  <c r="N1006" i="2"/>
  <c r="O1006" i="2" s="1"/>
  <c r="J1006" i="2" s="1"/>
  <c r="N1007" i="2"/>
  <c r="O1007" i="2" s="1"/>
  <c r="J1007" i="2" s="1"/>
  <c r="N1008" i="2"/>
  <c r="O1008" i="2" s="1"/>
  <c r="J1008" i="2" s="1"/>
  <c r="N1009" i="2"/>
  <c r="O1009" i="2" s="1"/>
  <c r="N1010" i="2"/>
  <c r="O1010" i="2" s="1"/>
  <c r="N1011" i="2"/>
  <c r="O1011" i="2" s="1"/>
  <c r="N1012" i="2"/>
  <c r="O1012" i="2" s="1"/>
  <c r="N1013" i="2"/>
  <c r="O1013" i="2" s="1"/>
  <c r="J1013" i="2" s="1"/>
  <c r="N1014" i="2"/>
  <c r="O1014" i="2" s="1"/>
  <c r="J1014" i="2" s="1"/>
  <c r="N1015" i="2"/>
  <c r="O1015" i="2" s="1"/>
  <c r="J1015" i="2" s="1"/>
  <c r="K1015" i="2" s="1"/>
  <c r="N1016" i="2"/>
  <c r="O1016" i="2" s="1"/>
  <c r="J1016" i="2" s="1"/>
  <c r="N1017" i="2"/>
  <c r="O1017" i="2" s="1"/>
  <c r="J1017" i="2" s="1"/>
  <c r="N1018" i="2"/>
  <c r="O1018" i="2" s="1"/>
  <c r="J1018" i="2" s="1"/>
  <c r="N1019" i="2"/>
  <c r="O1019" i="2" s="1"/>
  <c r="J1019" i="2" s="1"/>
  <c r="N1020" i="2"/>
  <c r="O1020" i="2" s="1"/>
  <c r="J1020" i="2" s="1"/>
  <c r="N1021" i="2"/>
  <c r="O1021" i="2" s="1"/>
  <c r="J1021" i="2" s="1"/>
  <c r="N1022" i="2"/>
  <c r="O1022" i="2" s="1"/>
  <c r="J1022" i="2" s="1"/>
  <c r="K1022" i="2" s="1"/>
  <c r="N1023" i="2"/>
  <c r="O1023" i="2" s="1"/>
  <c r="J1023" i="2" s="1"/>
  <c r="N1024" i="2"/>
  <c r="O1024" i="2" s="1"/>
  <c r="J1024" i="2" s="1"/>
  <c r="N1025" i="2"/>
  <c r="O1025" i="2" s="1"/>
  <c r="J1025" i="2" s="1"/>
  <c r="N1026" i="2"/>
  <c r="O1026" i="2" s="1"/>
  <c r="J1026" i="2" s="1"/>
  <c r="N1027" i="2"/>
  <c r="O1027" i="2" s="1"/>
  <c r="J1027" i="2" s="1"/>
  <c r="N1028" i="2"/>
  <c r="O1028" i="2" s="1"/>
  <c r="J1028" i="2" s="1"/>
  <c r="N1030" i="2"/>
  <c r="O1030" i="2" s="1"/>
  <c r="J1030" i="2" s="1"/>
  <c r="N1031" i="2"/>
  <c r="O1031" i="2" s="1"/>
  <c r="J1031" i="2" s="1"/>
  <c r="N1032" i="2"/>
  <c r="O1032" i="2" s="1"/>
  <c r="J1032" i="2" s="1"/>
  <c r="N1033" i="2"/>
  <c r="O1033" i="2" s="1"/>
  <c r="J1033" i="2" s="1"/>
  <c r="N1034" i="2"/>
  <c r="O1034" i="2" s="1"/>
  <c r="N1035" i="2"/>
  <c r="O1035" i="2" s="1"/>
  <c r="N1036" i="2"/>
  <c r="O1036" i="2" s="1"/>
  <c r="N1037" i="2"/>
  <c r="O1037" i="2" s="1"/>
  <c r="N1038" i="2"/>
  <c r="O1038" i="2" s="1"/>
  <c r="J1038" i="2" s="1"/>
  <c r="N1043" i="2"/>
  <c r="O1043" i="2" s="1"/>
  <c r="J1043" i="2" s="1"/>
  <c r="N1044" i="2"/>
  <c r="O1044" i="2" s="1"/>
  <c r="J1044" i="2" s="1"/>
  <c r="N1045" i="2"/>
  <c r="O1045" i="2" s="1"/>
  <c r="J1045" i="2" s="1"/>
  <c r="N1046" i="2"/>
  <c r="O1046" i="2" s="1"/>
  <c r="J1046" i="2" s="1"/>
  <c r="N1047" i="2"/>
  <c r="O1047" i="2" s="1"/>
  <c r="J1047" i="2" s="1"/>
  <c r="N1048" i="2"/>
  <c r="O1048" i="2" s="1"/>
  <c r="J1048" i="2" s="1"/>
  <c r="N1049" i="2"/>
  <c r="O1049" i="2" s="1"/>
  <c r="J1049" i="2" s="1"/>
  <c r="N1050" i="2"/>
  <c r="O1050" i="2" s="1"/>
  <c r="J1050" i="2" s="1"/>
  <c r="N1051" i="2"/>
  <c r="O1051" i="2" s="1"/>
  <c r="J1051" i="2" s="1"/>
  <c r="N1052" i="2"/>
  <c r="O1052" i="2" s="1"/>
  <c r="J1052" i="2" s="1"/>
  <c r="N1054" i="2"/>
  <c r="O1054" i="2" s="1"/>
  <c r="J1054" i="2" s="1"/>
  <c r="N1055" i="2"/>
  <c r="O1055" i="2" s="1"/>
  <c r="J1055" i="2" s="1"/>
  <c r="N1056" i="2"/>
  <c r="O1056" i="2" s="1"/>
  <c r="J1056" i="2" s="1"/>
  <c r="K1056" i="2" s="1"/>
  <c r="N1057" i="2"/>
  <c r="O1057" i="2" s="1"/>
  <c r="J1057" i="2" s="1"/>
  <c r="N1058" i="2"/>
  <c r="O1058" i="2" s="1"/>
  <c r="J1058" i="2" s="1"/>
  <c r="N1059" i="2"/>
  <c r="O1059" i="2" s="1"/>
  <c r="J1059" i="2" s="1"/>
  <c r="N1060" i="2"/>
  <c r="O1060" i="2" s="1"/>
  <c r="J1060" i="2" s="1"/>
  <c r="K1060" i="2" s="1"/>
  <c r="N1061" i="2"/>
  <c r="O1061" i="2" s="1"/>
  <c r="J1061" i="2" s="1"/>
  <c r="N1063" i="2"/>
  <c r="O1063" i="2" s="1"/>
  <c r="J1063" i="2" s="1"/>
  <c r="N1064" i="2"/>
  <c r="O1064" i="2" s="1"/>
  <c r="J1064" i="2" s="1"/>
  <c r="N1065" i="2"/>
  <c r="O1065" i="2" s="1"/>
  <c r="J1065" i="2" s="1"/>
  <c r="N1066" i="2"/>
  <c r="O1066" i="2" s="1"/>
  <c r="J1066" i="2" s="1"/>
  <c r="K1066" i="2" s="1"/>
  <c r="N1067" i="2"/>
  <c r="O1067" i="2" s="1"/>
  <c r="J1067" i="2" s="1"/>
  <c r="N1068" i="2"/>
  <c r="O1068" i="2" s="1"/>
  <c r="J1068" i="2" s="1"/>
  <c r="N1069" i="2"/>
  <c r="O1069" i="2" s="1"/>
  <c r="J1069" i="2" s="1"/>
  <c r="N1071" i="2"/>
  <c r="O1071" i="2" s="1"/>
  <c r="N1072" i="2"/>
  <c r="O1072" i="2" s="1"/>
  <c r="N1073" i="2"/>
  <c r="O1073" i="2" s="1"/>
  <c r="N1074" i="2"/>
  <c r="O1074" i="2" s="1"/>
  <c r="N1075" i="2"/>
  <c r="O1075" i="2" s="1"/>
  <c r="J1075" i="2" s="1"/>
  <c r="N1076" i="2"/>
  <c r="O1076" i="2" s="1"/>
  <c r="J1076" i="2" s="1"/>
  <c r="N1077" i="2"/>
  <c r="O1077" i="2" s="1"/>
  <c r="J1077" i="2" s="1"/>
  <c r="K1077" i="2" s="1"/>
  <c r="N1078" i="2"/>
  <c r="O1078" i="2" s="1"/>
  <c r="J1078" i="2" s="1"/>
  <c r="N1084" i="2"/>
  <c r="O1084" i="2" s="1"/>
  <c r="J1084" i="2" s="1"/>
  <c r="N1085" i="2"/>
  <c r="O1085" i="2" s="1"/>
  <c r="J1085" i="2" s="1"/>
  <c r="N1086" i="2"/>
  <c r="O1086" i="2" s="1"/>
  <c r="J1086" i="2" s="1"/>
  <c r="N1087" i="2"/>
  <c r="O1087" i="2" s="1"/>
  <c r="J1087" i="2" s="1"/>
  <c r="N1088" i="2"/>
  <c r="O1088" i="2" s="1"/>
  <c r="J1088" i="2" s="1"/>
  <c r="N1089" i="2"/>
  <c r="O1089" i="2" s="1"/>
  <c r="J1089" i="2" s="1"/>
  <c r="N1090" i="2"/>
  <c r="O1090" i="2" s="1"/>
  <c r="J1090" i="2" s="1"/>
  <c r="N1092" i="2"/>
  <c r="O1092" i="2" s="1"/>
  <c r="J1092" i="2" s="1"/>
  <c r="N1093" i="2"/>
  <c r="O1093" i="2" s="1"/>
  <c r="J1093" i="2" s="1"/>
  <c r="N1094" i="2"/>
  <c r="O1094" i="2" s="1"/>
  <c r="J1094" i="2" s="1"/>
  <c r="N1095" i="2"/>
  <c r="O1095" i="2" s="1"/>
  <c r="J1095" i="2" s="1"/>
  <c r="N1096" i="2"/>
  <c r="O1096" i="2" s="1"/>
  <c r="J1096" i="2" s="1"/>
  <c r="N1097" i="2"/>
  <c r="O1097" i="2" s="1"/>
  <c r="J1097" i="2" s="1"/>
  <c r="N1098" i="2"/>
  <c r="O1098" i="2" s="1"/>
  <c r="J1098" i="2" s="1"/>
  <c r="N1099" i="2"/>
  <c r="O1099" i="2" s="1"/>
  <c r="J1099" i="2" s="1"/>
  <c r="K1099" i="2" s="1"/>
  <c r="N1101" i="2"/>
  <c r="O1101" i="2" s="1"/>
  <c r="J1101" i="2" s="1"/>
  <c r="N1102" i="2"/>
  <c r="O1102" i="2" s="1"/>
  <c r="J1102" i="2" s="1"/>
  <c r="N1103" i="2"/>
  <c r="O1103" i="2" s="1"/>
  <c r="J1103" i="2" s="1"/>
  <c r="N1104" i="2"/>
  <c r="O1104" i="2"/>
  <c r="J1104" i="2" s="1"/>
  <c r="N1105" i="2"/>
  <c r="O1105" i="2" s="1"/>
  <c r="J1105" i="2" s="1"/>
  <c r="N1106" i="2"/>
  <c r="O1106" i="2" s="1"/>
  <c r="J1106" i="2" s="1"/>
  <c r="N1108" i="2"/>
  <c r="O1108" i="2" s="1"/>
  <c r="J1108" i="2" s="1"/>
  <c r="N1109" i="2"/>
  <c r="O1109" i="2" s="1"/>
  <c r="J1109" i="2" s="1"/>
  <c r="N1113" i="2"/>
  <c r="O1113" i="2" s="1"/>
  <c r="N1114" i="2"/>
  <c r="O1114" i="2" s="1"/>
  <c r="N1115" i="2"/>
  <c r="O1115" i="2" s="1"/>
  <c r="N1116" i="2"/>
  <c r="O1116" i="2" s="1"/>
  <c r="N1117" i="2"/>
  <c r="O1117" i="2" s="1"/>
  <c r="J1117" i="2" s="1"/>
  <c r="N1118" i="2"/>
  <c r="O1118" i="2" s="1"/>
  <c r="J1118" i="2" s="1"/>
  <c r="N1119" i="2"/>
  <c r="O1119" i="2" s="1"/>
  <c r="J1119" i="2" s="1"/>
  <c r="K1119" i="2" s="1"/>
  <c r="N1120" i="2"/>
  <c r="O1120" i="2" s="1"/>
  <c r="J1120" i="2" s="1"/>
  <c r="N1121" i="2"/>
  <c r="O1121" i="2" s="1"/>
  <c r="J1121" i="2" s="1"/>
  <c r="N1123" i="2"/>
  <c r="O1123" i="2" s="1"/>
  <c r="J1123" i="2" s="1"/>
  <c r="N1124" i="2"/>
  <c r="O1124" i="2" s="1"/>
  <c r="J1124" i="2" s="1"/>
  <c r="N1125" i="2"/>
  <c r="O1125" i="2" s="1"/>
  <c r="J1125" i="2" s="1"/>
  <c r="N1126" i="2"/>
  <c r="O1126" i="2" s="1"/>
  <c r="J1126" i="2" s="1"/>
  <c r="N1127" i="2"/>
  <c r="O1127" i="2" s="1"/>
  <c r="J1127" i="2" s="1"/>
  <c r="N1128" i="2"/>
  <c r="O1128" i="2" s="1"/>
  <c r="J1128" i="2" s="1"/>
  <c r="N1129" i="2"/>
  <c r="O1129" i="2" s="1"/>
  <c r="J1129" i="2" s="1"/>
  <c r="N1130" i="2"/>
  <c r="O1130" i="2" s="1"/>
  <c r="J1130" i="2" s="1"/>
  <c r="K1130" i="2" s="1"/>
  <c r="N1131" i="2"/>
  <c r="O1131" i="2" s="1"/>
  <c r="J1131" i="2" s="1"/>
  <c r="N1134" i="2"/>
  <c r="O1134" i="2" s="1"/>
  <c r="J1134" i="2" s="1"/>
  <c r="N1137" i="2"/>
  <c r="O1137" i="2" s="1"/>
  <c r="J1137" i="2" s="1"/>
  <c r="N1139" i="2"/>
  <c r="O1139" i="2"/>
  <c r="J1139" i="2" s="1"/>
  <c r="N1140" i="2"/>
  <c r="O1140" i="2" s="1"/>
  <c r="J1140" i="2" s="1"/>
  <c r="N1141" i="2"/>
  <c r="O1141" i="2" s="1"/>
  <c r="J1141" i="2" s="1"/>
  <c r="N1142" i="2"/>
  <c r="O1142" i="2" s="1"/>
  <c r="J1142" i="2" s="1"/>
  <c r="N1143" i="2"/>
  <c r="O1143" i="2" s="1"/>
  <c r="J1143" i="2" s="1"/>
  <c r="N1144" i="2"/>
  <c r="O1144" i="2" s="1"/>
  <c r="J1144" i="2" s="1"/>
  <c r="N1145" i="2"/>
  <c r="O1145" i="2" s="1"/>
  <c r="J1145" i="2" s="1"/>
  <c r="N1146" i="2"/>
  <c r="O1146" i="2" s="1"/>
  <c r="J1146" i="2" s="1"/>
  <c r="N1147" i="2"/>
  <c r="O1147" i="2" s="1"/>
  <c r="J1147" i="2" s="1"/>
  <c r="N1150" i="2"/>
  <c r="O1150" i="2" s="1"/>
  <c r="J1150" i="2" s="1"/>
  <c r="N1152" i="2"/>
  <c r="O1152" i="2" s="1"/>
  <c r="J1152" i="2" s="1"/>
  <c r="N1153" i="2"/>
  <c r="O1153" i="2" s="1"/>
  <c r="J1153" i="2" s="1"/>
  <c r="N1155" i="2"/>
  <c r="O1155" i="2" s="1"/>
  <c r="J1155" i="2" s="1"/>
  <c r="N1156" i="2"/>
  <c r="O1156" i="2" s="1"/>
  <c r="J1156" i="2" s="1"/>
  <c r="N1157" i="2"/>
  <c r="O1157" i="2" s="1"/>
  <c r="J1157" i="2" s="1"/>
  <c r="N1158" i="2"/>
  <c r="O1158" i="2" s="1"/>
  <c r="J1158" i="2" s="1"/>
  <c r="N1159" i="2"/>
  <c r="O1159" i="2" s="1"/>
  <c r="J1159" i="2" s="1"/>
  <c r="N1160" i="2"/>
  <c r="O1160" i="2" s="1"/>
  <c r="J1160" i="2" s="1"/>
  <c r="N1161" i="2"/>
  <c r="O1161" i="2" s="1"/>
  <c r="J1161" i="2" s="1"/>
  <c r="N1162" i="2"/>
  <c r="O1162" i="2" s="1"/>
  <c r="J1162" i="2" s="1"/>
  <c r="N1163" i="2"/>
  <c r="O1163" i="2" s="1"/>
  <c r="J1163" i="2" s="1"/>
  <c r="N1166" i="2"/>
  <c r="O1166" i="2" s="1"/>
  <c r="J1166" i="2" s="1"/>
  <c r="N1169" i="2"/>
  <c r="O1169" i="2" s="1"/>
  <c r="J1169" i="2" s="1"/>
  <c r="N1170" i="2"/>
  <c r="O1170" i="2" s="1"/>
  <c r="J1170" i="2" s="1"/>
  <c r="N1171" i="2"/>
  <c r="O1171" i="2" s="1"/>
  <c r="J1171" i="2" s="1"/>
  <c r="N1172" i="2"/>
  <c r="O1172" i="2" s="1"/>
  <c r="J1172" i="2" s="1"/>
  <c r="N1173" i="2"/>
  <c r="O1173" i="2" s="1"/>
  <c r="J1173" i="2" s="1"/>
  <c r="K1173" i="2" s="1"/>
  <c r="N1174" i="2"/>
  <c r="O1174" i="2" s="1"/>
  <c r="J1174" i="2" s="1"/>
  <c r="N1175" i="2"/>
  <c r="O1175" i="2" s="1"/>
  <c r="J1175" i="2" s="1"/>
  <c r="N1176" i="2"/>
  <c r="O1176" i="2" s="1"/>
  <c r="J1176" i="2" s="1"/>
  <c r="N1177" i="2"/>
  <c r="O1177" i="2" s="1"/>
  <c r="J1177" i="2" s="1"/>
  <c r="N1178" i="2"/>
  <c r="O1178" i="2" s="1"/>
  <c r="J1178" i="2" s="1"/>
  <c r="K1178" i="2" s="1"/>
  <c r="N1179" i="2"/>
  <c r="O1179" i="2" s="1"/>
  <c r="J1179" i="2" s="1"/>
  <c r="K1179" i="2" s="1"/>
  <c r="N1181" i="2"/>
  <c r="O1181" i="2" s="1"/>
  <c r="J1181" i="2" s="1"/>
  <c r="N1182" i="2"/>
  <c r="O1182" i="2" s="1"/>
  <c r="J1182" i="2" s="1"/>
  <c r="N1183" i="2"/>
  <c r="O1183" i="2" s="1"/>
  <c r="N1184" i="2"/>
  <c r="O1184" i="2" s="1"/>
  <c r="N1185" i="2"/>
  <c r="O1185" i="2" s="1"/>
  <c r="N1186" i="2"/>
  <c r="O1186" i="2" s="1"/>
  <c r="N1187" i="2"/>
  <c r="O1187" i="2" s="1"/>
  <c r="J1187" i="2" s="1"/>
  <c r="K1187" i="2" s="1"/>
  <c r="N1188" i="2"/>
  <c r="O1188" i="2" s="1"/>
  <c r="J1188" i="2" s="1"/>
  <c r="N1189" i="2"/>
  <c r="O1189" i="2" s="1"/>
  <c r="J1189" i="2" s="1"/>
  <c r="N1190" i="2"/>
  <c r="O1190" i="2" s="1"/>
  <c r="J1190" i="2" s="1"/>
  <c r="N1191" i="2"/>
  <c r="O1191" i="2" s="1"/>
  <c r="J1191" i="2" s="1"/>
  <c r="N1192" i="2"/>
  <c r="O1192" i="2" s="1"/>
  <c r="J1192" i="2" s="1"/>
  <c r="N1193" i="2"/>
  <c r="O1193" i="2" s="1"/>
  <c r="J1193" i="2" s="1"/>
  <c r="N1194" i="2"/>
  <c r="O1194" i="2" s="1"/>
  <c r="J1194" i="2" s="1"/>
  <c r="N1195" i="2"/>
  <c r="O1195" i="2" s="1"/>
  <c r="J1195" i="2" s="1"/>
  <c r="N1196" i="2"/>
  <c r="O1196" i="2" s="1"/>
  <c r="J1196" i="2" s="1"/>
  <c r="N1197" i="2"/>
  <c r="O1197" i="2" s="1"/>
  <c r="J1197" i="2" s="1"/>
  <c r="K1197" i="2" s="1"/>
  <c r="N1198" i="2"/>
  <c r="O1198" i="2" s="1"/>
  <c r="J1198" i="2" s="1"/>
  <c r="N1199" i="2"/>
  <c r="O1199" i="2" s="1"/>
  <c r="J1199" i="2" s="1"/>
  <c r="N1200" i="2"/>
  <c r="O1200" i="2" s="1"/>
  <c r="J1200" i="2" s="1"/>
  <c r="N1201" i="2"/>
  <c r="O1201" i="2" s="1"/>
  <c r="J1201" i="2" s="1"/>
  <c r="N1203" i="2"/>
  <c r="O1203" i="2" s="1"/>
  <c r="J1203" i="2" s="1"/>
  <c r="N1204" i="2"/>
  <c r="O1204" i="2"/>
  <c r="J1204" i="2" s="1"/>
  <c r="N1205" i="2"/>
  <c r="O1205" i="2" s="1"/>
  <c r="J1205" i="2" s="1"/>
  <c r="N1206" i="2"/>
  <c r="O1206" i="2" s="1"/>
  <c r="J1206" i="2" s="1"/>
  <c r="N1207" i="2"/>
  <c r="O1207" i="2" s="1"/>
  <c r="J1207" i="2" s="1"/>
  <c r="N1208" i="2"/>
  <c r="O1208" i="2" s="1"/>
  <c r="J1208" i="2" s="1"/>
  <c r="N1209" i="2"/>
  <c r="O1209" i="2" s="1"/>
  <c r="J1209" i="2" s="1"/>
  <c r="N1210" i="2"/>
  <c r="O1210" i="2" s="1"/>
  <c r="J1210" i="2" s="1"/>
  <c r="N1211" i="2"/>
  <c r="O1211" i="2" s="1"/>
  <c r="J1211" i="2" s="1"/>
  <c r="N1212" i="2"/>
  <c r="O1212" i="2" s="1"/>
  <c r="J1212" i="2" s="1"/>
  <c r="N1213" i="2"/>
  <c r="O1213" i="2" s="1"/>
  <c r="J1213" i="2" s="1"/>
  <c r="N1214" i="2"/>
  <c r="O1214" i="2" s="1"/>
  <c r="J1214" i="2" s="1"/>
  <c r="N1215" i="2"/>
  <c r="O1215" i="2" s="1"/>
  <c r="N1216" i="2"/>
  <c r="O1216" i="2" s="1"/>
  <c r="N1217" i="2"/>
  <c r="O1217" i="2" s="1"/>
  <c r="N1218" i="2"/>
  <c r="O1218" i="2" s="1"/>
  <c r="N1304" i="2"/>
  <c r="O1304" i="2" s="1"/>
  <c r="N1305" i="2"/>
  <c r="O1305" i="2" s="1"/>
  <c r="N1306" i="2"/>
  <c r="O1306" i="2" s="1"/>
  <c r="N1307" i="2"/>
  <c r="O1307" i="2" s="1"/>
  <c r="N1316" i="2"/>
  <c r="O1316" i="2" s="1"/>
  <c r="N1317" i="2"/>
  <c r="O1317" i="2" s="1"/>
  <c r="N1318" i="2"/>
  <c r="O1318" i="2" s="1"/>
  <c r="N1319" i="2"/>
  <c r="O1319" i="2" s="1"/>
  <c r="N1372" i="2"/>
  <c r="O1372" i="2" s="1"/>
  <c r="N1373" i="2"/>
  <c r="O1373" i="2" s="1"/>
  <c r="N1374" i="2"/>
  <c r="O1374" i="2" s="1"/>
  <c r="N1375" i="2"/>
  <c r="O1375" i="2" s="1"/>
  <c r="N1388" i="2"/>
  <c r="O1388" i="2" s="1"/>
  <c r="J1388" i="2" s="1"/>
  <c r="N1423" i="2"/>
  <c r="O1423" i="2" s="1"/>
  <c r="N1424" i="2"/>
  <c r="O1424" i="2" s="1"/>
  <c r="N1425" i="2"/>
  <c r="O1425" i="2" s="1"/>
  <c r="N1426" i="2"/>
  <c r="O1426" i="2" s="1"/>
  <c r="N1427" i="2"/>
  <c r="O1427" i="2" s="1"/>
  <c r="J1427" i="2" s="1"/>
  <c r="K1427" i="2" s="1"/>
  <c r="N1428" i="2"/>
  <c r="O1428" i="2" s="1"/>
  <c r="J1428" i="2" s="1"/>
  <c r="K1428" i="2" s="1"/>
  <c r="N1429" i="2"/>
  <c r="O1429" i="2" s="1"/>
  <c r="J1429" i="2" s="1"/>
  <c r="K1429" i="2" s="1"/>
  <c r="N1430" i="2"/>
  <c r="O1430" i="2" s="1"/>
  <c r="J1430" i="2" s="1"/>
  <c r="K1430" i="2" s="1"/>
  <c r="N1434" i="2"/>
  <c r="O1434" i="2" s="1"/>
  <c r="J1434" i="2" s="1"/>
  <c r="N1436" i="2"/>
  <c r="O1436" i="2" s="1"/>
  <c r="J1436" i="2" s="1"/>
  <c r="K1436" i="2" s="1"/>
  <c r="N1437" i="2"/>
  <c r="O1437" i="2" s="1"/>
  <c r="J1437" i="2" s="1"/>
  <c r="K1437" i="2" s="1"/>
  <c r="N1438" i="2"/>
  <c r="O1438" i="2" s="1"/>
  <c r="J1438" i="2" s="1"/>
  <c r="K1438" i="2" s="1"/>
  <c r="N1439" i="2"/>
  <c r="O1439" i="2" s="1"/>
  <c r="N1440" i="2"/>
  <c r="O1440" i="2" s="1"/>
  <c r="N1441" i="2"/>
  <c r="O1441" i="2" s="1"/>
  <c r="N1442" i="2"/>
  <c r="O1442" i="2" s="1"/>
  <c r="N1443" i="2"/>
  <c r="O1443" i="2" s="1"/>
  <c r="J1443" i="2" s="1"/>
  <c r="N1444" i="2"/>
  <c r="O1444" i="2" s="1"/>
  <c r="J1444" i="2" s="1"/>
  <c r="N1445" i="2"/>
  <c r="O1445" i="2" s="1"/>
  <c r="J1445" i="2" s="1"/>
  <c r="N1446" i="2"/>
  <c r="O1446" i="2" s="1"/>
  <c r="J1446" i="2" s="1"/>
  <c r="N1447" i="2"/>
  <c r="O1447" i="2" s="1"/>
  <c r="J1447" i="2" s="1"/>
  <c r="K1447" i="2" s="1"/>
  <c r="N1448" i="2"/>
  <c r="O1448" i="2" s="1"/>
  <c r="J1448" i="2" s="1"/>
  <c r="N1449" i="2"/>
  <c r="O1449" i="2" s="1"/>
  <c r="J1449" i="2" s="1"/>
  <c r="K1449" i="2" s="1"/>
  <c r="N1450" i="2"/>
  <c r="O1450" i="2" s="1"/>
  <c r="J1450" i="2" s="1"/>
  <c r="N1451" i="2"/>
  <c r="O1451" i="2" s="1"/>
  <c r="J1451" i="2" s="1"/>
  <c r="N1452" i="2"/>
  <c r="O1452" i="2" s="1"/>
  <c r="J1452" i="2" s="1"/>
  <c r="N1453" i="2"/>
  <c r="O1453" i="2" s="1"/>
  <c r="J1453" i="2" s="1"/>
  <c r="N1454" i="2"/>
  <c r="O1454" i="2" s="1"/>
  <c r="J1454" i="2" s="1"/>
  <c r="N1455" i="2"/>
  <c r="O1455" i="2" s="1"/>
  <c r="J1455" i="2" s="1"/>
  <c r="N1456" i="2"/>
  <c r="O1456" i="2" s="1"/>
  <c r="J1456" i="2" s="1"/>
  <c r="N1457" i="2"/>
  <c r="O1457" i="2" s="1"/>
  <c r="J1457" i="2" s="1"/>
  <c r="N1458" i="2"/>
  <c r="O1458" i="2" s="1"/>
  <c r="J1458" i="2" s="1"/>
  <c r="N1460" i="2"/>
  <c r="O1460" i="2" s="1"/>
  <c r="J1460" i="2" s="1"/>
  <c r="N1461" i="2"/>
  <c r="O1461" i="2" s="1"/>
  <c r="J1461" i="2" s="1"/>
  <c r="N1462" i="2"/>
  <c r="O1462" i="2" s="1"/>
  <c r="J1462" i="2" s="1"/>
  <c r="N1463" i="2"/>
  <c r="O1463" i="2" s="1"/>
  <c r="J1463" i="2" s="1"/>
  <c r="N1464" i="2"/>
  <c r="O1464" i="2" s="1"/>
  <c r="J1464" i="2" s="1"/>
  <c r="N1465" i="2"/>
  <c r="O1465" i="2" s="1"/>
  <c r="J1465" i="2" s="1"/>
  <c r="K1465" i="2" s="1"/>
  <c r="N1466" i="2"/>
  <c r="O1466" i="2" s="1"/>
  <c r="J1466" i="2" s="1"/>
  <c r="K1466" i="2" s="1"/>
  <c r="N1467" i="2"/>
  <c r="O1467" i="2" s="1"/>
  <c r="J1467" i="2" s="1"/>
  <c r="N1468" i="2"/>
  <c r="O1468" i="2" s="1"/>
  <c r="J1468" i="2" s="1"/>
  <c r="N1469" i="2"/>
  <c r="O1469" i="2" s="1"/>
  <c r="J1469" i="2" s="1"/>
  <c r="K1469" i="2" s="1"/>
  <c r="N1470" i="2"/>
  <c r="O1470" i="2" s="1"/>
  <c r="J1470" i="2" s="1"/>
  <c r="N1471" i="2"/>
  <c r="O1471" i="2" s="1"/>
  <c r="N1472" i="2"/>
  <c r="O1472" i="2" s="1"/>
  <c r="N1473" i="2"/>
  <c r="O1473" i="2" s="1"/>
  <c r="N1474" i="2"/>
  <c r="O1474" i="2" s="1"/>
  <c r="N1475" i="2"/>
  <c r="O1475" i="2" s="1"/>
  <c r="J1475" i="2" s="1"/>
  <c r="N1476" i="2"/>
  <c r="O1476" i="2" s="1"/>
  <c r="J1476" i="2" s="1"/>
  <c r="N1477" i="2"/>
  <c r="O1477" i="2" s="1"/>
  <c r="J1477" i="2" s="1"/>
  <c r="N1478" i="2"/>
  <c r="O1478" i="2" s="1"/>
  <c r="J1478" i="2" s="1"/>
  <c r="N1479" i="2"/>
  <c r="O1479" i="2" s="1"/>
  <c r="J1479" i="2" s="1"/>
  <c r="N1480" i="2"/>
  <c r="O1480" i="2" s="1"/>
  <c r="J1480" i="2" s="1"/>
  <c r="K1480" i="2" s="1"/>
  <c r="N1481" i="2"/>
  <c r="O1481" i="2" s="1"/>
  <c r="J1481" i="2" s="1"/>
  <c r="N1482" i="2"/>
  <c r="O1482" i="2" s="1"/>
  <c r="J1482" i="2" s="1"/>
  <c r="N1483" i="2"/>
  <c r="O1483" i="2" s="1"/>
  <c r="J1483" i="2" s="1"/>
  <c r="K1483" i="2" s="1"/>
  <c r="N1484" i="2"/>
  <c r="O1484" i="2" s="1"/>
  <c r="J1484" i="2" s="1"/>
  <c r="N1486" i="2"/>
  <c r="O1486" i="2" s="1"/>
  <c r="J1486" i="2" s="1"/>
  <c r="N1487" i="2"/>
  <c r="O1487" i="2" s="1"/>
  <c r="J1487" i="2" s="1"/>
  <c r="N1488" i="2"/>
  <c r="O1488" i="2" s="1"/>
  <c r="J1488" i="2" s="1"/>
  <c r="N1489" i="2"/>
  <c r="O1489" i="2" s="1"/>
  <c r="J1489" i="2" s="1"/>
  <c r="N1490" i="2"/>
  <c r="O1490" i="2" s="1"/>
  <c r="J1490" i="2" s="1"/>
  <c r="N1491" i="2"/>
  <c r="O1491" i="2" s="1"/>
  <c r="J1491" i="2" s="1"/>
  <c r="N1492" i="2"/>
  <c r="O1492" i="2" s="1"/>
  <c r="J1492" i="2" s="1"/>
  <c r="N1493" i="2"/>
  <c r="O1493" i="2" s="1"/>
  <c r="J1493" i="2" s="1"/>
  <c r="N1494" i="2"/>
  <c r="O1494" i="2" s="1"/>
  <c r="J1494" i="2" s="1"/>
  <c r="N1495" i="2"/>
  <c r="O1495" i="2" s="1"/>
  <c r="J1495" i="2" s="1"/>
  <c r="N1496" i="2"/>
  <c r="O1496" i="2" s="1"/>
  <c r="J1496" i="2" s="1"/>
  <c r="N1497" i="2"/>
  <c r="O1497" i="2" s="1"/>
  <c r="J1497" i="2" s="1"/>
  <c r="N1498" i="2"/>
  <c r="O1498" i="2" s="1"/>
  <c r="J1498" i="2" s="1"/>
  <c r="N1499" i="2"/>
  <c r="O1499" i="2" s="1"/>
  <c r="J1499" i="2" s="1"/>
  <c r="N1500" i="2"/>
  <c r="O1500" i="2" s="1"/>
  <c r="J1500" i="2" s="1"/>
  <c r="N1502" i="2"/>
  <c r="O1502" i="2" s="1"/>
  <c r="J1502" i="2" s="1"/>
  <c r="N1503" i="2"/>
  <c r="O1503" i="2" s="1"/>
  <c r="J1503" i="2" s="1"/>
  <c r="N1504" i="2"/>
  <c r="O1504" i="2" s="1"/>
  <c r="J1504" i="2" s="1"/>
  <c r="N1505" i="2"/>
  <c r="O1505" i="2" s="1"/>
  <c r="J1505" i="2" s="1"/>
  <c r="K1505" i="2" s="1"/>
  <c r="N1506" i="2"/>
  <c r="O1506" i="2" s="1"/>
  <c r="J1506" i="2" s="1"/>
  <c r="N1507" i="2"/>
  <c r="O1507" i="2" s="1"/>
  <c r="J1507" i="2" s="1"/>
  <c r="N1508" i="2"/>
  <c r="O1508" i="2" s="1"/>
  <c r="J1508" i="2" s="1"/>
  <c r="N1509" i="2"/>
  <c r="O1509" i="2" s="1"/>
  <c r="N1510" i="2"/>
  <c r="O1510" i="2" s="1"/>
  <c r="N1511" i="2"/>
  <c r="O1511" i="2" s="1"/>
  <c r="N1512" i="2"/>
  <c r="O1512" i="2" s="1"/>
  <c r="N1513" i="2"/>
  <c r="O1513" i="2" s="1"/>
  <c r="J1513" i="2" s="1"/>
  <c r="K1513" i="2" s="1"/>
  <c r="N1514" i="2"/>
  <c r="O1514" i="2" s="1"/>
  <c r="J1514" i="2" s="1"/>
  <c r="K1514" i="2" s="1"/>
  <c r="N1516" i="2"/>
  <c r="O1516" i="2" s="1"/>
  <c r="J1516" i="2" s="1"/>
  <c r="K1516" i="2" s="1"/>
  <c r="N1517" i="2"/>
  <c r="O1517" i="2" s="1"/>
  <c r="J1517" i="2" s="1"/>
  <c r="K1517" i="2" s="1"/>
  <c r="N1519" i="2"/>
  <c r="O1519" i="2" s="1"/>
  <c r="J1519" i="2" s="1"/>
  <c r="K1519" i="2" s="1"/>
  <c r="N1521" i="2"/>
  <c r="O1521" i="2" s="1"/>
  <c r="J1521" i="2" s="1"/>
  <c r="N1522" i="2"/>
  <c r="O1522" i="2" s="1"/>
  <c r="J1522" i="2" s="1"/>
  <c r="K1522" i="2" s="1"/>
  <c r="N1523" i="2"/>
  <c r="O1523" i="2" s="1"/>
  <c r="J1523" i="2" s="1"/>
  <c r="K1523" i="2" s="1"/>
  <c r="N1524" i="2"/>
  <c r="O1524" i="2" s="1"/>
  <c r="J1524" i="2" s="1"/>
  <c r="K1524" i="2" s="1"/>
  <c r="N1525" i="2"/>
  <c r="O1525" i="2" s="1"/>
  <c r="J1525" i="2" s="1"/>
  <c r="K1525" i="2" s="1"/>
  <c r="N1526" i="2"/>
  <c r="O1526" i="2" s="1"/>
  <c r="J1526" i="2" s="1"/>
  <c r="K1526" i="2" s="1"/>
  <c r="N1527" i="2"/>
  <c r="O1527" i="2" s="1"/>
  <c r="J1527" i="2" s="1"/>
  <c r="K1527" i="2" s="1"/>
  <c r="N1528" i="2"/>
  <c r="O1528" i="2" s="1"/>
  <c r="J1528" i="2" s="1"/>
  <c r="K1528" i="2" s="1"/>
  <c r="N1530" i="2"/>
  <c r="O1530" i="2"/>
  <c r="J1530" i="2" s="1"/>
  <c r="K1530" i="2" s="1"/>
  <c r="N1532" i="2"/>
  <c r="O1532" i="2" s="1"/>
  <c r="J1532" i="2" s="1"/>
  <c r="K1532" i="2" s="1"/>
  <c r="N1533" i="2"/>
  <c r="O1533" i="2" s="1"/>
  <c r="J1533" i="2" s="1"/>
  <c r="K1533" i="2" s="1"/>
  <c r="N1535" i="2"/>
  <c r="O1535" i="2" s="1"/>
  <c r="J1535" i="2" s="1"/>
  <c r="K1535" i="2" s="1"/>
  <c r="N1537" i="2"/>
  <c r="O1537" i="2" s="1"/>
  <c r="J1537" i="2" s="1"/>
  <c r="N1538" i="2"/>
  <c r="O1538" i="2" s="1"/>
  <c r="J1538" i="2" s="1"/>
  <c r="K1538" i="2" s="1"/>
  <c r="N1539" i="2"/>
  <c r="O1539" i="2" s="1"/>
  <c r="J1539" i="2" s="1"/>
  <c r="K1539" i="2" s="1"/>
  <c r="N1540" i="2"/>
  <c r="O1540" i="2" s="1"/>
  <c r="J1540" i="2" s="1"/>
  <c r="K1540" i="2" s="1"/>
  <c r="N1541" i="2"/>
  <c r="O1541" i="2" s="1"/>
  <c r="J1541" i="2" s="1"/>
  <c r="K1541" i="2" s="1"/>
  <c r="N1542" i="2"/>
  <c r="O1542" i="2" s="1"/>
  <c r="J1542" i="2" s="1"/>
  <c r="K1542" i="2" s="1"/>
  <c r="N1543" i="2"/>
  <c r="O1543" i="2" s="1"/>
  <c r="J1543" i="2" s="1"/>
  <c r="K1543" i="2" s="1"/>
  <c r="N1544" i="2"/>
  <c r="O1544" i="2" s="1"/>
  <c r="J1544" i="2" s="1"/>
  <c r="K1544" i="2" s="1"/>
  <c r="N1545" i="2"/>
  <c r="O1545" i="2" s="1"/>
  <c r="J1545" i="2" s="1"/>
  <c r="K1545" i="2" s="1"/>
  <c r="N1546" i="2"/>
  <c r="O1546" i="2" s="1"/>
  <c r="J1546" i="2" s="1"/>
  <c r="K1546" i="2" s="1"/>
  <c r="N1548" i="2"/>
  <c r="O1548" i="2" s="1"/>
  <c r="J1548" i="2" s="1"/>
  <c r="K1548" i="2" s="1"/>
  <c r="N1551" i="2"/>
  <c r="O1551" i="2" s="1"/>
  <c r="J1551" i="2" s="1"/>
  <c r="K1551" i="2" s="1"/>
  <c r="N1553" i="2"/>
  <c r="O1553" i="2" s="1"/>
  <c r="J1553" i="2" s="1"/>
  <c r="N1554" i="2"/>
  <c r="O1554" i="2" s="1"/>
  <c r="J1554" i="2" s="1"/>
  <c r="K1554" i="2" s="1"/>
  <c r="N1555" i="2"/>
  <c r="O1555" i="2" s="1"/>
  <c r="J1555" i="2" s="1"/>
  <c r="K1555" i="2" s="1"/>
  <c r="N1556" i="2"/>
  <c r="O1556" i="2" s="1"/>
  <c r="J1556" i="2" s="1"/>
  <c r="K1556" i="2" s="1"/>
  <c r="N1557" i="2"/>
  <c r="O1557" i="2" s="1"/>
  <c r="J1557" i="2" s="1"/>
  <c r="K1557" i="2" s="1"/>
  <c r="N1558" i="2"/>
  <c r="O1558" i="2" s="1"/>
  <c r="J1558" i="2" s="1"/>
  <c r="K1558" i="2" s="1"/>
  <c r="N1559" i="2"/>
  <c r="O1559" i="2" s="1"/>
  <c r="J1559" i="2" s="1"/>
  <c r="K1559" i="2" s="1"/>
  <c r="N1560" i="2"/>
  <c r="O1560" i="2" s="1"/>
  <c r="J1560" i="2" s="1"/>
  <c r="K1560" i="2" s="1"/>
  <c r="N1562" i="2"/>
  <c r="O1562" i="2" s="1"/>
  <c r="J1562" i="2" s="1"/>
  <c r="K1562" i="2" s="1"/>
  <c r="N1564" i="2"/>
  <c r="O1564" i="2" s="1"/>
  <c r="J1564" i="2" s="1"/>
  <c r="N1566" i="2"/>
  <c r="O1566" i="2" s="1"/>
  <c r="J1566" i="2" s="1"/>
  <c r="N1567" i="2"/>
  <c r="O1567" i="2" s="1"/>
  <c r="J1567" i="2" s="1"/>
  <c r="K1567" i="2" s="1"/>
  <c r="N1568" i="2"/>
  <c r="O1568" i="2" s="1"/>
  <c r="J1568" i="2" s="1"/>
  <c r="K1568" i="2" s="1"/>
  <c r="N1569" i="2"/>
  <c r="O1569" i="2" s="1"/>
  <c r="J1569" i="2" s="1"/>
  <c r="K1569" i="2" s="1"/>
  <c r="N1570" i="2"/>
  <c r="O1570" i="2" s="1"/>
  <c r="J1570" i="2" s="1"/>
  <c r="K1570" i="2" s="1"/>
  <c r="N1571" i="2"/>
  <c r="O1571" i="2" s="1"/>
  <c r="J1571" i="2" s="1"/>
  <c r="K1571" i="2" s="1"/>
  <c r="N1572" i="2"/>
  <c r="O1572" i="2" s="1"/>
  <c r="J1572" i="2" s="1"/>
  <c r="K1572" i="2" s="1"/>
  <c r="N1573" i="2"/>
  <c r="O1573" i="2" s="1"/>
  <c r="J1573" i="2" s="1"/>
  <c r="K1573" i="2" s="1"/>
  <c r="N1574" i="2"/>
  <c r="O1574" i="2" s="1"/>
  <c r="J1574" i="2" s="1"/>
  <c r="K1574" i="2" s="1"/>
  <c r="N1575" i="2"/>
  <c r="O1575" i="2" s="1"/>
  <c r="J1575" i="2" s="1"/>
  <c r="K1575" i="2" s="1"/>
  <c r="N1576" i="2"/>
  <c r="O1576" i="2" s="1"/>
  <c r="N1577" i="2"/>
  <c r="O1577" i="2" s="1"/>
  <c r="N1578" i="2"/>
  <c r="O1578" i="2" s="1"/>
  <c r="N1579" i="2"/>
  <c r="O1579" i="2" s="1"/>
  <c r="N1580" i="2"/>
  <c r="O1580" i="2" s="1"/>
  <c r="J1580" i="2" s="1"/>
  <c r="K1580" i="2" s="1"/>
  <c r="N1581" i="2"/>
  <c r="O1581" i="2" s="1"/>
  <c r="J1581" i="2" s="1"/>
  <c r="K1581" i="2" s="1"/>
  <c r="N1582" i="2"/>
  <c r="O1582" i="2" s="1"/>
  <c r="J1582" i="2" s="1"/>
  <c r="K1582" i="2" s="1"/>
  <c r="N1584" i="2"/>
  <c r="O1584" i="2" s="1"/>
  <c r="J1584" i="2" s="1"/>
  <c r="K1584" i="2" s="1"/>
  <c r="N1585" i="2"/>
  <c r="O1585" i="2" s="1"/>
  <c r="J1585" i="2" s="1"/>
  <c r="K1585" i="2" s="1"/>
  <c r="N1587" i="2"/>
  <c r="O1587" i="2" s="1"/>
  <c r="J1587" i="2" s="1"/>
  <c r="K1587" i="2" s="1"/>
  <c r="N1588" i="2"/>
  <c r="O1588" i="2" s="1"/>
  <c r="J1588" i="2" s="1"/>
  <c r="N1589" i="2"/>
  <c r="O1589" i="2" s="1"/>
  <c r="J1589" i="2" s="1"/>
  <c r="N1590" i="2"/>
  <c r="O1590" i="2" s="1"/>
  <c r="J1590" i="2" s="1"/>
  <c r="N1591" i="2"/>
  <c r="O1591" i="2" s="1"/>
  <c r="J1591" i="2" s="1"/>
  <c r="K1591" i="2" s="1"/>
  <c r="N1592" i="2"/>
  <c r="O1592" i="2" s="1"/>
  <c r="J1592" i="2" s="1"/>
  <c r="K1592" i="2" s="1"/>
  <c r="N1593" i="2"/>
  <c r="O1593" i="2" s="1"/>
  <c r="J1593" i="2" s="1"/>
  <c r="K1593" i="2" s="1"/>
  <c r="N1594" i="2"/>
  <c r="O1594" i="2" s="1"/>
  <c r="J1594" i="2" s="1"/>
  <c r="K1594" i="2" s="1"/>
  <c r="N1595" i="2"/>
  <c r="O1595" i="2" s="1"/>
  <c r="J1595" i="2" s="1"/>
  <c r="K1595" i="2" s="1"/>
  <c r="N1597" i="2"/>
  <c r="O1597" i="2" s="1"/>
  <c r="J1597" i="2" s="1"/>
  <c r="K1597" i="2" s="1"/>
  <c r="N1598" i="2"/>
  <c r="O1598" i="2" s="1"/>
  <c r="J1598" i="2" s="1"/>
  <c r="K1598" i="2" s="1"/>
  <c r="N1601" i="2"/>
  <c r="O1601" i="2" s="1"/>
  <c r="J1601" i="2" s="1"/>
  <c r="K1601" i="2" s="1"/>
  <c r="N1603" i="2"/>
  <c r="O1603" i="2" s="1"/>
  <c r="J1603" i="2" s="1"/>
  <c r="K1603" i="2" s="1"/>
  <c r="N1604" i="2"/>
  <c r="O1604" i="2" s="1"/>
  <c r="J1604" i="2" s="1"/>
  <c r="N1605" i="2"/>
  <c r="O1605" i="2" s="1"/>
  <c r="J1605" i="2" s="1"/>
  <c r="N1606" i="2"/>
  <c r="O1606" i="2" s="1"/>
  <c r="J1606" i="2" s="1"/>
  <c r="N1607" i="2"/>
  <c r="O1607" i="2" s="1"/>
  <c r="J1607" i="2" s="1"/>
  <c r="K1607" i="2" s="1"/>
  <c r="N1608" i="2"/>
  <c r="O1608" i="2" s="1"/>
  <c r="J1608" i="2" s="1"/>
  <c r="K1608" i="2" s="1"/>
  <c r="N1609" i="2"/>
  <c r="O1609" i="2" s="1"/>
  <c r="J1609" i="2" s="1"/>
  <c r="K1609" i="2" s="1"/>
  <c r="N1610" i="2"/>
  <c r="O1610" i="2" s="1"/>
  <c r="J1610" i="2" s="1"/>
  <c r="K1610" i="2" s="1"/>
  <c r="N1611" i="2"/>
  <c r="O1611" i="2" s="1"/>
  <c r="J1611" i="2" s="1"/>
  <c r="K1611" i="2" s="1"/>
  <c r="N1613" i="2"/>
  <c r="O1613" i="2" s="1"/>
  <c r="J1613" i="2" s="1"/>
  <c r="K1613" i="2" s="1"/>
  <c r="N1614" i="2"/>
  <c r="O1614" i="2" s="1"/>
  <c r="J1614" i="2" s="1"/>
  <c r="K1614" i="2" s="1"/>
  <c r="N1616" i="2"/>
  <c r="O1616" i="2" s="1"/>
  <c r="J1616" i="2" s="1"/>
  <c r="K1616" i="2" s="1"/>
  <c r="N1617" i="2"/>
  <c r="O1617" i="2" s="1"/>
  <c r="J1617" i="2" s="1"/>
  <c r="K1617" i="2" s="1"/>
  <c r="N1618" i="2"/>
  <c r="O1618" i="2" s="1"/>
  <c r="J1618" i="2" s="1"/>
  <c r="K1618" i="2" s="1"/>
  <c r="N1619" i="2"/>
  <c r="O1619" i="2" s="1"/>
  <c r="J1619" i="2" s="1"/>
  <c r="K1619" i="2" s="1"/>
  <c r="N1620" i="2"/>
  <c r="O1620" i="2" s="1"/>
  <c r="J1620" i="2" s="1"/>
  <c r="N1622" i="2"/>
  <c r="O1622" i="2" s="1"/>
  <c r="J1622" i="2" s="1"/>
  <c r="N1623" i="2"/>
  <c r="O1623" i="2" s="1"/>
  <c r="J1623" i="2" s="1"/>
  <c r="K1623" i="2" s="1"/>
  <c r="N1624" i="2"/>
  <c r="O1624" i="2" s="1"/>
  <c r="J1624" i="2" s="1"/>
  <c r="K1624" i="2" s="1"/>
  <c r="N1625" i="2"/>
  <c r="O1625" i="2" s="1"/>
  <c r="J1625" i="2" s="1"/>
  <c r="K1625" i="2" s="1"/>
  <c r="N1626" i="2"/>
  <c r="O1626" i="2" s="1"/>
  <c r="J1626" i="2" s="1"/>
  <c r="K1626" i="2" s="1"/>
  <c r="N1627" i="2"/>
  <c r="O1627" i="2" s="1"/>
  <c r="J1627" i="2" s="1"/>
  <c r="K1627" i="2" s="1"/>
  <c r="N1628" i="2"/>
  <c r="O1628" i="2" s="1"/>
  <c r="J1628" i="2" s="1"/>
  <c r="K1628" i="2" s="1"/>
  <c r="N1629" i="2"/>
  <c r="O1629" i="2" s="1"/>
  <c r="J1629" i="2" s="1"/>
  <c r="K1629" i="2" s="1"/>
  <c r="N1630" i="2"/>
  <c r="O1630" i="2" s="1"/>
  <c r="J1630" i="2" s="1"/>
  <c r="K1630" i="2" s="1"/>
  <c r="N1632" i="2"/>
  <c r="N1633" i="2"/>
  <c r="O1633" i="2" s="1"/>
  <c r="J1633" i="2" s="1"/>
  <c r="K1633" i="2" s="1"/>
  <c r="N1635" i="2"/>
  <c r="O1635" i="2" s="1"/>
  <c r="J1635" i="2" s="1"/>
  <c r="K1635" i="2" s="1"/>
  <c r="N1636" i="2"/>
  <c r="O1636" i="2" s="1"/>
  <c r="J1636" i="2" s="1"/>
  <c r="N1638" i="2"/>
  <c r="O1638" i="2" s="1"/>
  <c r="N1639" i="2"/>
  <c r="O1639" i="2" s="1"/>
  <c r="N1640" i="2"/>
  <c r="O1640" i="2" s="1"/>
  <c r="N1641" i="2"/>
  <c r="O1641" i="2" s="1"/>
  <c r="N1642" i="2"/>
  <c r="O1642" i="2" s="1"/>
  <c r="J1642" i="2" s="1"/>
  <c r="K1642" i="2" s="1"/>
  <c r="N1643" i="2"/>
  <c r="O1643" i="2" s="1"/>
  <c r="J1643" i="2" s="1"/>
  <c r="K1643" i="2" s="1"/>
  <c r="N1644" i="2"/>
  <c r="O1644" i="2" s="1"/>
  <c r="J1644" i="2" s="1"/>
  <c r="K1644" i="2" s="1"/>
  <c r="N1645" i="2"/>
  <c r="O1645" i="2" s="1"/>
  <c r="J1645" i="2" s="1"/>
  <c r="N1646" i="2"/>
  <c r="O1646" i="2" s="1"/>
  <c r="J1646" i="2" s="1"/>
  <c r="N1647" i="2"/>
  <c r="O1647" i="2" s="1"/>
  <c r="J1647" i="2" s="1"/>
  <c r="K1647" i="2" s="1"/>
  <c r="N1648" i="2"/>
  <c r="O1648" i="2" s="1"/>
  <c r="J1648" i="2" s="1"/>
  <c r="N1649" i="2"/>
  <c r="O1649" i="2" s="1"/>
  <c r="J1649" i="2" s="1"/>
  <c r="K1649" i="2" s="1"/>
  <c r="N1650" i="2"/>
  <c r="O1650" i="2" s="1"/>
  <c r="J1650" i="2" s="1"/>
  <c r="K1650" i="2" s="1"/>
  <c r="N1651" i="2"/>
  <c r="O1651" i="2" s="1"/>
  <c r="J1651" i="2" s="1"/>
  <c r="K1651" i="2" s="1"/>
  <c r="N1652" i="2"/>
  <c r="O1652" i="2" s="1"/>
  <c r="J1652" i="2" s="1"/>
  <c r="K1652" i="2" s="1"/>
  <c r="N1653" i="2"/>
  <c r="O1653" i="2" s="1"/>
  <c r="J1653" i="2" s="1"/>
  <c r="K1653" i="2" s="1"/>
  <c r="N1654" i="2"/>
  <c r="O1654" i="2" s="1"/>
  <c r="J1654" i="2" s="1"/>
  <c r="K1654" i="2" s="1"/>
  <c r="N1655" i="2"/>
  <c r="O1655" i="2" s="1"/>
  <c r="J1655" i="2" s="1"/>
  <c r="K1655" i="2" s="1"/>
  <c r="N1657" i="2"/>
  <c r="O1657" i="2" s="1"/>
  <c r="J1657" i="2" s="1"/>
  <c r="K1657" i="2" s="1"/>
  <c r="N1658" i="2"/>
  <c r="O1658" i="2" s="1"/>
  <c r="J1658" i="2" s="1"/>
  <c r="K1658" i="2" s="1"/>
  <c r="N1659" i="2"/>
  <c r="O1659" i="2" s="1"/>
  <c r="J1659" i="2" s="1"/>
  <c r="K1659" i="2" s="1"/>
  <c r="N1660" i="2"/>
  <c r="O1660" i="2" s="1"/>
  <c r="J1660" i="2" s="1"/>
  <c r="K1660" i="2" s="1"/>
  <c r="N1661" i="2"/>
  <c r="O1661" i="2" s="1"/>
  <c r="J1661" i="2" s="1"/>
  <c r="K1661" i="2" s="1"/>
  <c r="N1662" i="2"/>
  <c r="O1662" i="2" s="1"/>
  <c r="J1662" i="2" s="1"/>
  <c r="K1662" i="2" s="1"/>
  <c r="N1663" i="2"/>
  <c r="O1663" i="2" s="1"/>
  <c r="J1663" i="2" s="1"/>
  <c r="N1664" i="2"/>
  <c r="O1664" i="2" s="1"/>
  <c r="J1664" i="2" s="1"/>
  <c r="K1664" i="2" s="1"/>
  <c r="N1665" i="2"/>
  <c r="O1665" i="2" s="1"/>
  <c r="J1665" i="2" s="1"/>
  <c r="K1665" i="2" s="1"/>
  <c r="N1666" i="2"/>
  <c r="O1666" i="2" s="1"/>
  <c r="J1666" i="2" s="1"/>
  <c r="K1666" i="2" s="1"/>
  <c r="N1667" i="2"/>
  <c r="O1667" i="2" s="1"/>
  <c r="J1667" i="2" s="1"/>
  <c r="N1668" i="2"/>
  <c r="O1668" i="2" s="1"/>
  <c r="J1668" i="2" s="1"/>
  <c r="K1668" i="2" s="1"/>
  <c r="N1669" i="2"/>
  <c r="O1669" i="2" s="1"/>
  <c r="J1669" i="2" s="1"/>
  <c r="K1669" i="2" s="1"/>
  <c r="N1670" i="2"/>
  <c r="O1670" i="2" s="1"/>
  <c r="J1670" i="2" s="1"/>
  <c r="K1670" i="2" s="1"/>
  <c r="N1671" i="2"/>
  <c r="O1671" i="2" s="1"/>
  <c r="J1671" i="2" s="1"/>
  <c r="K1671" i="2" s="1"/>
  <c r="N1673" i="2"/>
  <c r="O1673" i="2" s="1"/>
  <c r="J1673" i="2" s="1"/>
  <c r="K1673" i="2" s="1"/>
  <c r="N1674" i="2"/>
  <c r="O1674" i="2" s="1"/>
  <c r="N1675" i="2"/>
  <c r="O1675" i="2" s="1"/>
  <c r="N1676" i="2"/>
  <c r="O1676" i="2" s="1"/>
  <c r="N1677" i="2"/>
  <c r="O1677" i="2" s="1"/>
  <c r="N1678" i="2"/>
  <c r="O1678" i="2" s="1"/>
  <c r="J1678" i="2" s="1"/>
  <c r="K1678" i="2" s="1"/>
  <c r="N1679" i="2"/>
  <c r="O1679" i="2" s="1"/>
  <c r="J1679" i="2" s="1"/>
  <c r="K1679" i="2" s="1"/>
  <c r="N1680" i="2"/>
  <c r="O1680" i="2" s="1"/>
  <c r="J1680" i="2" s="1"/>
  <c r="N1682" i="2"/>
  <c r="O1682" i="2" s="1"/>
  <c r="J1682" i="2" s="1"/>
  <c r="K1682" i="2" s="1"/>
  <c r="N1683" i="2"/>
  <c r="O1683" i="2" s="1"/>
  <c r="J1683" i="2" s="1"/>
  <c r="K1683" i="2" s="1"/>
  <c r="N1684" i="2"/>
  <c r="O1684" i="2" s="1"/>
  <c r="J1684" i="2" s="1"/>
  <c r="K1684" i="2" s="1"/>
  <c r="N1686" i="2"/>
  <c r="O1686" i="2" s="1"/>
  <c r="J1686" i="2" s="1"/>
  <c r="K1686" i="2" s="1"/>
  <c r="N1687" i="2"/>
  <c r="O1687" i="2" s="1"/>
  <c r="J1687" i="2" s="1"/>
  <c r="K1687" i="2" s="1"/>
  <c r="N1688" i="2"/>
  <c r="O1688" i="2" s="1"/>
  <c r="J1688" i="2" s="1"/>
  <c r="K1688" i="2" s="1"/>
  <c r="N1689" i="2"/>
  <c r="O1689" i="2" s="1"/>
  <c r="J1689" i="2" s="1"/>
  <c r="K1689" i="2" s="1"/>
  <c r="N1690" i="2"/>
  <c r="O1690" i="2" s="1"/>
  <c r="J1690" i="2" s="1"/>
  <c r="K1690" i="2" s="1"/>
  <c r="N1691" i="2"/>
  <c r="O1691" i="2" s="1"/>
  <c r="J1691" i="2" s="1"/>
  <c r="K1691" i="2" s="1"/>
  <c r="N1692" i="2"/>
  <c r="O1692" i="2" s="1"/>
  <c r="N1693" i="2"/>
  <c r="O1693" i="2" s="1"/>
  <c r="N1694" i="2"/>
  <c r="O1694" i="2" s="1"/>
  <c r="N1695" i="2"/>
  <c r="O1695" i="2" s="1"/>
  <c r="N1696" i="2"/>
  <c r="O1696" i="2" s="1"/>
  <c r="J1696" i="2" s="1"/>
  <c r="K1696" i="2" s="1"/>
  <c r="N1697" i="2"/>
  <c r="O1697" i="2" s="1"/>
  <c r="J1697" i="2" s="1"/>
  <c r="K1697" i="2" s="1"/>
  <c r="N1698" i="2"/>
  <c r="O1698" i="2" s="1"/>
  <c r="N1699" i="2"/>
  <c r="O1699" i="2" s="1"/>
  <c r="N1700" i="2"/>
  <c r="O1700" i="2" s="1"/>
  <c r="N1701" i="2"/>
  <c r="O1701" i="2" s="1"/>
  <c r="N1702" i="2"/>
  <c r="O1702" i="2" s="1"/>
  <c r="J1702" i="2" s="1"/>
  <c r="K1702" i="2" s="1"/>
  <c r="N1703" i="2"/>
  <c r="O1703" i="2" s="1"/>
  <c r="J1703" i="2" s="1"/>
  <c r="K1703" i="2" s="1"/>
  <c r="N1704" i="2"/>
  <c r="O1704" i="2" s="1"/>
  <c r="J1704" i="2" s="1"/>
  <c r="K1704" i="2" s="1"/>
  <c r="N1705" i="2"/>
  <c r="O1705" i="2" s="1"/>
  <c r="N1706" i="2"/>
  <c r="O1706" i="2" s="1"/>
  <c r="N1707" i="2"/>
  <c r="O1707" i="2"/>
  <c r="N1708" i="2"/>
  <c r="O1708" i="2" s="1"/>
  <c r="N1709" i="2"/>
  <c r="O1709" i="2" s="1"/>
  <c r="J1709" i="2" s="1"/>
  <c r="K1709" i="2" s="1"/>
  <c r="N1710" i="2"/>
  <c r="O1710" i="2" s="1"/>
  <c r="J1710" i="2" s="1"/>
  <c r="K1710" i="2" s="1"/>
  <c r="N1711" i="2"/>
  <c r="O1711" i="2" s="1"/>
  <c r="J1711" i="2" s="1"/>
  <c r="K1711" i="2" s="1"/>
  <c r="N1712" i="2"/>
  <c r="O1712" i="2" s="1"/>
  <c r="J1712" i="2" s="1"/>
  <c r="K1712" i="2" s="1"/>
  <c r="N1713" i="2"/>
  <c r="O1713" i="2" s="1"/>
  <c r="J1713" i="2" s="1"/>
  <c r="K1713" i="2" s="1"/>
  <c r="N1716" i="2"/>
  <c r="O1716" i="2" s="1"/>
  <c r="I1684" i="2"/>
  <c r="I1646" i="2"/>
  <c r="I1648" i="2"/>
  <c r="I1658" i="2"/>
  <c r="I1666" i="2"/>
  <c r="I1582" i="2"/>
  <c r="I1583" i="2"/>
  <c r="I1589" i="2"/>
  <c r="I1596" i="2"/>
  <c r="I1600" i="2"/>
  <c r="I1604" i="2"/>
  <c r="I1619" i="2"/>
  <c r="I1630" i="2"/>
  <c r="I1532" i="2"/>
  <c r="I1548" i="2"/>
  <c r="I1551" i="2"/>
  <c r="I1552" i="2"/>
  <c r="I1496" i="2"/>
  <c r="I1502" i="2"/>
  <c r="I1447" i="2"/>
  <c r="I1431" i="2"/>
  <c r="I1191" i="2"/>
  <c r="I1210" i="2"/>
  <c r="I1125" i="2"/>
  <c r="I1154" i="2"/>
  <c r="I1056" i="2"/>
  <c r="I1058" i="2"/>
  <c r="I1059" i="2"/>
  <c r="I1063" i="2"/>
  <c r="I858" i="2"/>
  <c r="I659" i="2"/>
  <c r="I669" i="2"/>
  <c r="I678" i="2"/>
  <c r="I608" i="2"/>
  <c r="I611" i="2"/>
  <c r="I625" i="2"/>
  <c r="I626" i="2"/>
  <c r="I627" i="2"/>
  <c r="I632" i="2"/>
  <c r="I643" i="2"/>
  <c r="I553" i="2"/>
  <c r="I587" i="2"/>
  <c r="I475" i="2"/>
  <c r="I490" i="2"/>
  <c r="I491" i="2"/>
  <c r="I503" i="2"/>
  <c r="I506" i="2"/>
  <c r="I507" i="2"/>
  <c r="I522" i="2"/>
  <c r="I539" i="2"/>
  <c r="I384" i="2"/>
  <c r="I386" i="2"/>
  <c r="I400" i="2"/>
  <c r="I402" i="2"/>
  <c r="I416" i="2"/>
  <c r="I420" i="2"/>
  <c r="I432" i="2"/>
  <c r="I434" i="2"/>
  <c r="I357" i="2"/>
  <c r="I319" i="2"/>
  <c r="I320" i="2"/>
  <c r="I135" i="2"/>
  <c r="I65" i="2"/>
  <c r="I96" i="2"/>
  <c r="I97" i="2"/>
  <c r="I1680" i="2"/>
  <c r="I1649" i="2"/>
  <c r="I1654" i="2"/>
  <c r="I1663" i="2"/>
  <c r="I1667" i="2"/>
  <c r="I1588" i="2"/>
  <c r="I1590" i="2"/>
  <c r="I1606" i="2"/>
  <c r="I1620" i="2"/>
  <c r="I1622" i="2"/>
  <c r="I1636" i="2"/>
  <c r="I1518" i="2"/>
  <c r="I1521" i="2"/>
  <c r="I1553" i="2"/>
  <c r="I1564" i="2"/>
  <c r="I1566" i="2"/>
  <c r="I1569" i="2"/>
  <c r="I1491" i="2"/>
  <c r="I1494" i="2"/>
  <c r="I1457" i="2"/>
  <c r="I1432" i="2"/>
  <c r="I1434" i="2"/>
  <c r="I1202" i="2"/>
  <c r="I1159" i="2"/>
  <c r="I1170" i="2"/>
  <c r="I1171" i="2"/>
  <c r="I1081" i="2"/>
  <c r="I1095" i="2"/>
  <c r="I1022" i="2"/>
  <c r="I988" i="2"/>
  <c r="I662" i="2"/>
  <c r="I665" i="2"/>
  <c r="I671" i="2"/>
  <c r="I675" i="2"/>
  <c r="I622" i="2"/>
  <c r="I629" i="2"/>
  <c r="I633" i="2"/>
  <c r="I640" i="2"/>
  <c r="I641" i="2"/>
  <c r="I642" i="2"/>
  <c r="I645" i="2"/>
  <c r="I649" i="2"/>
  <c r="I550" i="2"/>
  <c r="I551" i="2"/>
  <c r="I565" i="2"/>
  <c r="I580" i="2"/>
  <c r="I582" i="2"/>
  <c r="I461" i="2"/>
  <c r="I462" i="2"/>
  <c r="I471" i="2"/>
  <c r="I476" i="2"/>
  <c r="I477" i="2"/>
  <c r="I493" i="2"/>
  <c r="I505" i="2"/>
  <c r="I513" i="2"/>
  <c r="I520" i="2"/>
  <c r="I521" i="2"/>
  <c r="I526" i="2"/>
  <c r="I529" i="2"/>
  <c r="I540" i="2"/>
  <c r="I412" i="2"/>
  <c r="I428" i="2"/>
  <c r="I444" i="2"/>
  <c r="I358" i="2"/>
  <c r="I359" i="2"/>
  <c r="I367" i="2"/>
  <c r="I368" i="2"/>
  <c r="I372" i="2"/>
  <c r="I343" i="2"/>
  <c r="I276" i="2"/>
  <c r="I201" i="2"/>
  <c r="I211" i="2"/>
  <c r="I219" i="2"/>
  <c r="I157" i="2"/>
  <c r="I173" i="2"/>
  <c r="I189" i="2"/>
  <c r="I126" i="2"/>
  <c r="I130" i="2"/>
  <c r="I132" i="2"/>
  <c r="I120" i="2"/>
  <c r="I73" i="2"/>
  <c r="I93" i="2"/>
  <c r="I94" i="2"/>
  <c r="H52" i="3"/>
  <c r="E59" i="3"/>
  <c r="G64" i="3"/>
  <c r="H64" i="3" s="1"/>
  <c r="G87" i="3"/>
  <c r="H87" i="3" s="1"/>
  <c r="E88" i="3"/>
  <c r="F88" i="3" s="1"/>
  <c r="D109" i="3"/>
  <c r="E56" i="2"/>
  <c r="I61" i="2"/>
  <c r="I71" i="2"/>
  <c r="I72" i="2"/>
  <c r="I77" i="2"/>
  <c r="I87" i="2"/>
  <c r="I88" i="2"/>
  <c r="I89" i="2"/>
  <c r="I90" i="2"/>
  <c r="I98" i="2"/>
  <c r="I103" i="2"/>
  <c r="I104" i="2"/>
  <c r="I105" i="2"/>
  <c r="I109" i="2"/>
  <c r="I110" i="2"/>
  <c r="E116" i="2"/>
  <c r="I127" i="2"/>
  <c r="I128" i="2"/>
  <c r="I131" i="2"/>
  <c r="I133" i="2"/>
  <c r="I134" i="2"/>
  <c r="I137" i="2"/>
  <c r="E138" i="2"/>
  <c r="I142" i="2"/>
  <c r="E195" i="2"/>
  <c r="I212" i="2"/>
  <c r="E249" i="2"/>
  <c r="I261" i="2"/>
  <c r="I264" i="2"/>
  <c r="I266" i="2"/>
  <c r="I270" i="2"/>
  <c r="I277" i="2"/>
  <c r="I279" i="2"/>
  <c r="E290" i="2"/>
  <c r="I294" i="2"/>
  <c r="I297" i="2"/>
  <c r="I298" i="2"/>
  <c r="I314" i="2"/>
  <c r="I322" i="2"/>
  <c r="E324" i="2"/>
  <c r="I328" i="2"/>
  <c r="I329" i="2"/>
  <c r="I330" i="2"/>
  <c r="I334" i="2"/>
  <c r="I335" i="2"/>
  <c r="I336" i="2"/>
  <c r="I337" i="2"/>
  <c r="I338" i="2"/>
  <c r="I339" i="2"/>
  <c r="I340" i="2"/>
  <c r="I341" i="2"/>
  <c r="I342" i="2"/>
  <c r="I345" i="2"/>
  <c r="I346" i="2"/>
  <c r="I347" i="2"/>
  <c r="E349" i="2"/>
  <c r="I353" i="2"/>
  <c r="I354" i="2"/>
  <c r="I355" i="2"/>
  <c r="I356" i="2"/>
  <c r="I360" i="2"/>
  <c r="I361" i="2"/>
  <c r="I362" i="2"/>
  <c r="I363" i="2"/>
  <c r="I364" i="2"/>
  <c r="I365" i="2"/>
  <c r="I366" i="2"/>
  <c r="I370" i="2"/>
  <c r="I371" i="2"/>
  <c r="I373" i="2"/>
  <c r="I374" i="2"/>
  <c r="I375" i="2"/>
  <c r="E377" i="2"/>
  <c r="I381" i="2"/>
  <c r="I382" i="2"/>
  <c r="I383" i="2"/>
  <c r="I385" i="2"/>
  <c r="I387" i="2"/>
  <c r="I390" i="2"/>
  <c r="I391" i="2"/>
  <c r="I392" i="2"/>
  <c r="I393" i="2"/>
  <c r="I394" i="2"/>
  <c r="I395" i="2"/>
  <c r="I396" i="2"/>
  <c r="I398" i="2"/>
  <c r="I399" i="2"/>
  <c r="I401" i="2"/>
  <c r="I403" i="2"/>
  <c r="I406" i="2"/>
  <c r="I407" i="2"/>
  <c r="I408" i="2"/>
  <c r="I409" i="2"/>
  <c r="I410" i="2"/>
  <c r="I411" i="2"/>
  <c r="I414" i="2"/>
  <c r="I415" i="2"/>
  <c r="I417" i="2"/>
  <c r="I418" i="2"/>
  <c r="I419" i="2"/>
  <c r="I422" i="2"/>
  <c r="I423" i="2"/>
  <c r="I424" i="2"/>
  <c r="I425" i="2"/>
  <c r="I426" i="2"/>
  <c r="I427" i="2"/>
  <c r="I430" i="2"/>
  <c r="I431" i="2"/>
  <c r="I433" i="2"/>
  <c r="I435" i="2"/>
  <c r="I438" i="2"/>
  <c r="I439" i="2"/>
  <c r="I440" i="2"/>
  <c r="I441" i="2"/>
  <c r="I442" i="2"/>
  <c r="I443" i="2"/>
  <c r="I446" i="2"/>
  <c r="I447" i="2"/>
  <c r="E448" i="2"/>
  <c r="I453" i="2"/>
  <c r="I454" i="2"/>
  <c r="I457" i="2"/>
  <c r="I463" i="2"/>
  <c r="I464" i="2"/>
  <c r="I465" i="2"/>
  <c r="I466" i="2"/>
  <c r="I467" i="2"/>
  <c r="I469" i="2"/>
  <c r="I470" i="2"/>
  <c r="I472" i="2"/>
  <c r="I473" i="2"/>
  <c r="I474" i="2"/>
  <c r="I478" i="2"/>
  <c r="I479" i="2"/>
  <c r="I480" i="2"/>
  <c r="I481" i="2"/>
  <c r="I482" i="2"/>
  <c r="I483" i="2"/>
  <c r="I485" i="2"/>
  <c r="I486" i="2"/>
  <c r="I489" i="2"/>
  <c r="I494" i="2"/>
  <c r="I495" i="2"/>
  <c r="I496" i="2"/>
  <c r="I497" i="2"/>
  <c r="I498" i="2"/>
  <c r="I499" i="2"/>
  <c r="I500" i="2"/>
  <c r="I501" i="2"/>
  <c r="I502" i="2"/>
  <c r="I504" i="2"/>
  <c r="I508" i="2"/>
  <c r="I509" i="2"/>
  <c r="I510" i="2"/>
  <c r="I511" i="2"/>
  <c r="I512" i="2"/>
  <c r="I514" i="2"/>
  <c r="I515" i="2"/>
  <c r="I517" i="2"/>
  <c r="I518" i="2"/>
  <c r="I524" i="2"/>
  <c r="I525" i="2"/>
  <c r="I527" i="2"/>
  <c r="I528" i="2"/>
  <c r="I530" i="2"/>
  <c r="I531" i="2"/>
  <c r="I533" i="2"/>
  <c r="I534" i="2"/>
  <c r="I537" i="2"/>
  <c r="I538" i="2"/>
  <c r="I541" i="2"/>
  <c r="E542" i="2"/>
  <c r="I546" i="2"/>
  <c r="I547" i="2"/>
  <c r="I548" i="2"/>
  <c r="I549" i="2"/>
  <c r="I557" i="2"/>
  <c r="I558" i="2"/>
  <c r="I559" i="2"/>
  <c r="I560" i="2"/>
  <c r="I561" i="2"/>
  <c r="I563" i="2"/>
  <c r="I564" i="2"/>
  <c r="I566" i="2"/>
  <c r="I567" i="2"/>
  <c r="I568" i="2"/>
  <c r="I569" i="2"/>
  <c r="I573" i="2"/>
  <c r="I574" i="2"/>
  <c r="I575" i="2"/>
  <c r="I576" i="2"/>
  <c r="I577" i="2"/>
  <c r="I579" i="2"/>
  <c r="I581" i="2"/>
  <c r="I583" i="2"/>
  <c r="I584" i="2"/>
  <c r="I589" i="2"/>
  <c r="I590" i="2"/>
  <c r="I591" i="2"/>
  <c r="I592" i="2"/>
  <c r="I593" i="2"/>
  <c r="I595" i="2"/>
  <c r="I596" i="2"/>
  <c r="I597" i="2"/>
  <c r="I598" i="2"/>
  <c r="E599" i="2"/>
  <c r="I603" i="2"/>
  <c r="I604" i="2"/>
  <c r="I613" i="2"/>
  <c r="I614" i="2"/>
  <c r="I615" i="2"/>
  <c r="I616" i="2"/>
  <c r="I617" i="2"/>
  <c r="I620" i="2"/>
  <c r="I621" i="2"/>
  <c r="I623" i="2"/>
  <c r="I624" i="2"/>
  <c r="I630" i="2"/>
  <c r="I631" i="2"/>
  <c r="I636" i="2"/>
  <c r="I637" i="2"/>
  <c r="I638" i="2"/>
  <c r="I646" i="2"/>
  <c r="I647" i="2"/>
  <c r="I648" i="2"/>
  <c r="E652" i="2"/>
  <c r="I656" i="2"/>
  <c r="I657" i="2"/>
  <c r="I658" i="2"/>
  <c r="I660" i="2"/>
  <c r="I664" i="2"/>
  <c r="I666" i="2"/>
  <c r="I667" i="2"/>
  <c r="I668" i="2"/>
  <c r="I670" i="2"/>
  <c r="I673" i="2"/>
  <c r="I681" i="2"/>
  <c r="I682" i="2"/>
  <c r="I683" i="2"/>
  <c r="I684" i="2"/>
  <c r="E685" i="2"/>
  <c r="E731" i="2"/>
  <c r="E779" i="2"/>
  <c r="E815" i="2"/>
  <c r="E851" i="2"/>
  <c r="E880" i="2"/>
  <c r="I890" i="2"/>
  <c r="I892" i="2"/>
  <c r="I895" i="2"/>
  <c r="I897" i="2"/>
  <c r="I914" i="2"/>
  <c r="I917" i="2"/>
  <c r="I926" i="2"/>
  <c r="I927" i="2"/>
  <c r="I929" i="2"/>
  <c r="I931" i="2"/>
  <c r="I935" i="2"/>
  <c r="I940" i="2"/>
  <c r="I941" i="2"/>
  <c r="I944" i="2"/>
  <c r="I945" i="2"/>
  <c r="I957" i="2"/>
  <c r="E963" i="2"/>
  <c r="I968" i="2"/>
  <c r="I973" i="2"/>
  <c r="I975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I991" i="2"/>
  <c r="G992" i="2"/>
  <c r="I1006" i="2"/>
  <c r="E1009" i="2"/>
  <c r="I1027" i="2"/>
  <c r="E1034" i="2"/>
  <c r="I1039" i="2"/>
  <c r="I1042" i="2"/>
  <c r="I1045" i="2"/>
  <c r="I1055" i="2"/>
  <c r="I1066" i="2"/>
  <c r="E1071" i="2"/>
  <c r="I1076" i="2"/>
  <c r="I1077" i="2"/>
  <c r="I1090" i="2"/>
  <c r="I1099" i="2"/>
  <c r="I1106" i="2"/>
  <c r="E1113" i="2"/>
  <c r="I1119" i="2"/>
  <c r="I1130" i="2"/>
  <c r="I1135" i="2"/>
  <c r="I1146" i="2"/>
  <c r="I1162" i="2"/>
  <c r="I1163" i="2"/>
  <c r="I1178" i="2"/>
  <c r="I1179" i="2"/>
  <c r="E1183" i="2"/>
  <c r="I1187" i="2"/>
  <c r="I1197" i="2"/>
  <c r="I1205" i="2"/>
  <c r="I1206" i="2"/>
  <c r="E1215" i="2"/>
  <c r="E1304" i="2"/>
  <c r="E1316" i="2"/>
  <c r="E1372" i="2"/>
  <c r="E1423" i="2"/>
  <c r="I1427" i="2"/>
  <c r="I1428" i="2"/>
  <c r="I1430" i="2"/>
  <c r="I1435" i="2"/>
  <c r="I1436" i="2"/>
  <c r="I1437" i="2"/>
  <c r="I1438" i="2"/>
  <c r="E1439" i="2"/>
  <c r="I1448" i="2"/>
  <c r="I1449" i="2"/>
  <c r="I1453" i="2"/>
  <c r="I1463" i="2"/>
  <c r="I1465" i="2"/>
  <c r="I1466" i="2"/>
  <c r="I1469" i="2"/>
  <c r="E1471" i="2"/>
  <c r="I1476" i="2"/>
  <c r="I1477" i="2"/>
  <c r="I1481" i="2"/>
  <c r="I1483" i="2"/>
  <c r="I1485" i="2"/>
  <c r="I1486" i="2"/>
  <c r="I1499" i="2"/>
  <c r="I1505" i="2"/>
  <c r="E1509" i="2"/>
  <c r="I1513" i="2"/>
  <c r="I1514" i="2"/>
  <c r="I1515" i="2"/>
  <c r="I1516" i="2"/>
  <c r="I1517" i="2"/>
  <c r="I1519" i="2"/>
  <c r="I1522" i="2"/>
  <c r="I1523" i="2"/>
  <c r="I1524" i="2"/>
  <c r="I1525" i="2"/>
  <c r="I1526" i="2"/>
  <c r="I1527" i="2"/>
  <c r="I1528" i="2"/>
  <c r="I1530" i="2"/>
  <c r="I1531" i="2"/>
  <c r="I1533" i="2"/>
  <c r="I1535" i="2"/>
  <c r="I1538" i="2"/>
  <c r="I1539" i="2"/>
  <c r="I1540" i="2"/>
  <c r="I1541" i="2"/>
  <c r="I1542" i="2"/>
  <c r="I1543" i="2"/>
  <c r="I1544" i="2"/>
  <c r="I1545" i="2"/>
  <c r="I1546" i="2"/>
  <c r="I1547" i="2"/>
  <c r="I1549" i="2"/>
  <c r="I1554" i="2"/>
  <c r="I1555" i="2"/>
  <c r="I1556" i="2"/>
  <c r="I1557" i="2"/>
  <c r="I1558" i="2"/>
  <c r="I1559" i="2"/>
  <c r="I1560" i="2"/>
  <c r="I1562" i="2"/>
  <c r="I1563" i="2"/>
  <c r="I1565" i="2"/>
  <c r="I1567" i="2"/>
  <c r="I1570" i="2"/>
  <c r="I1571" i="2"/>
  <c r="I1572" i="2"/>
  <c r="I1573" i="2"/>
  <c r="I1574" i="2"/>
  <c r="I1575" i="2"/>
  <c r="E1576" i="2"/>
  <c r="I1580" i="2"/>
  <c r="I1581" i="2"/>
  <c r="I1584" i="2"/>
  <c r="I1585" i="2"/>
  <c r="I1586" i="2"/>
  <c r="I1587" i="2"/>
  <c r="I1591" i="2"/>
  <c r="I1592" i="2"/>
  <c r="I1593" i="2"/>
  <c r="I1594" i="2"/>
  <c r="I1595" i="2"/>
  <c r="I1597" i="2"/>
  <c r="I1598" i="2"/>
  <c r="I1603" i="2"/>
  <c r="I1607" i="2"/>
  <c r="I1608" i="2"/>
  <c r="I1609" i="2"/>
  <c r="I1610" i="2"/>
  <c r="I1613" i="2"/>
  <c r="I1614" i="2"/>
  <c r="I1616" i="2"/>
  <c r="I1617" i="2"/>
  <c r="I1623" i="2"/>
  <c r="I1624" i="2"/>
  <c r="I1625" i="2"/>
  <c r="I1626" i="2"/>
  <c r="I1627" i="2"/>
  <c r="I1629" i="2"/>
  <c r="I1633" i="2"/>
  <c r="I1634" i="2"/>
  <c r="I1635" i="2"/>
  <c r="E1638" i="2"/>
  <c r="I1642" i="2"/>
  <c r="I1643" i="2"/>
  <c r="I1644" i="2"/>
  <c r="I1651" i="2"/>
  <c r="I1652" i="2"/>
  <c r="I1653" i="2"/>
  <c r="I1655" i="2"/>
  <c r="I1657" i="2"/>
  <c r="I1659" i="2"/>
  <c r="I1660" i="2"/>
  <c r="I1662" i="2"/>
  <c r="I1665" i="2"/>
  <c r="I1668" i="2"/>
  <c r="I1669" i="2"/>
  <c r="I1670" i="2"/>
  <c r="I1671" i="2"/>
  <c r="I1673" i="2"/>
  <c r="E1674" i="2"/>
  <c r="I1678" i="2"/>
  <c r="I1679" i="2"/>
  <c r="I1685" i="2"/>
  <c r="I1686" i="2"/>
  <c r="I1687" i="2"/>
  <c r="I1688" i="2"/>
  <c r="I1689" i="2"/>
  <c r="I1690" i="2"/>
  <c r="I1691" i="2"/>
  <c r="E1692" i="2"/>
  <c r="I1696" i="2"/>
  <c r="I1697" i="2"/>
  <c r="E1698" i="2"/>
  <c r="I1702" i="2"/>
  <c r="I1703" i="2"/>
  <c r="I1704" i="2"/>
  <c r="E1705" i="2"/>
  <c r="I1709" i="2"/>
  <c r="I1710" i="2"/>
  <c r="I1711" i="2"/>
  <c r="I1713" i="2"/>
  <c r="I1714" i="2"/>
  <c r="I1715" i="2"/>
  <c r="E1716" i="2"/>
  <c r="N1390" i="2" l="1"/>
  <c r="O1390" i="2" s="1"/>
  <c r="J1390" i="2" s="1"/>
  <c r="K1390" i="2" s="1"/>
  <c r="I1390" i="2"/>
  <c r="N1376" i="2"/>
  <c r="O1376" i="2" s="1"/>
  <c r="J1376" i="2" s="1"/>
  <c r="K1376" i="2" s="1"/>
  <c r="N1360" i="2"/>
  <c r="O1360" i="2" s="1"/>
  <c r="J1360" i="2" s="1"/>
  <c r="K1360" i="2" s="1"/>
  <c r="N1344" i="2"/>
  <c r="O1344" i="2" s="1"/>
  <c r="J1344" i="2" s="1"/>
  <c r="K1344" i="2" s="1"/>
  <c r="I1328" i="2"/>
  <c r="N1328" i="2"/>
  <c r="O1328" i="2" s="1"/>
  <c r="J1328" i="2" s="1"/>
  <c r="K1328" i="2" s="1"/>
  <c r="N1312" i="2"/>
  <c r="O1312" i="2" s="1"/>
  <c r="J1312" i="2" s="1"/>
  <c r="K1312" i="2" s="1"/>
  <c r="I1312" i="2"/>
  <c r="N1296" i="2"/>
  <c r="O1296" i="2" s="1"/>
  <c r="J1296" i="2" s="1"/>
  <c r="K1296" i="2" s="1"/>
  <c r="N1280" i="2"/>
  <c r="O1280" i="2" s="1"/>
  <c r="J1280" i="2" s="1"/>
  <c r="K1280" i="2" s="1"/>
  <c r="N1264" i="2"/>
  <c r="O1264" i="2" s="1"/>
  <c r="J1264" i="2" s="1"/>
  <c r="K1264" i="2" s="1"/>
  <c r="N1248" i="2"/>
  <c r="O1248" i="2" s="1"/>
  <c r="J1248" i="2" s="1"/>
  <c r="K1248" i="2" s="1"/>
  <c r="N1232" i="2"/>
  <c r="O1232" i="2" s="1"/>
  <c r="J1232" i="2" s="1"/>
  <c r="K1232" i="2" s="1"/>
  <c r="N1416" i="2"/>
  <c r="O1416" i="2" s="1"/>
  <c r="J1416" i="2" s="1"/>
  <c r="K1416" i="2" s="1"/>
  <c r="N1400" i="2"/>
  <c r="O1400" i="2" s="1"/>
  <c r="J1400" i="2" s="1"/>
  <c r="K1400" i="2" s="1"/>
  <c r="N1384" i="2"/>
  <c r="O1384" i="2" s="1"/>
  <c r="J1384" i="2" s="1"/>
  <c r="I1320" i="2"/>
  <c r="N1320" i="2"/>
  <c r="O1320" i="2" s="1"/>
  <c r="J1320" i="2" s="1"/>
  <c r="K1320" i="2" s="1"/>
  <c r="N1272" i="2"/>
  <c r="I1272" i="2"/>
  <c r="I1422" i="2"/>
  <c r="N1422" i="2"/>
  <c r="O1422" i="2" s="1"/>
  <c r="J1422" i="2" s="1"/>
  <c r="K1422" i="2" s="1"/>
  <c r="N1420" i="2"/>
  <c r="O1420" i="2" s="1"/>
  <c r="J1420" i="2" s="1"/>
  <c r="N1409" i="2"/>
  <c r="O1409" i="2" s="1"/>
  <c r="J1409" i="2" s="1"/>
  <c r="I1345" i="2"/>
  <c r="N1345" i="2"/>
  <c r="O1345" i="2" s="1"/>
  <c r="J1345" i="2" s="1"/>
  <c r="K1345" i="2" s="1"/>
  <c r="N1281" i="2"/>
  <c r="O1281" i="2" s="1"/>
  <c r="J1281" i="2" s="1"/>
  <c r="K1281" i="2" s="1"/>
  <c r="I1282" i="2"/>
  <c r="N1282" i="2"/>
  <c r="O1282" i="2" s="1"/>
  <c r="J1282" i="2" s="1"/>
  <c r="K1282" i="2" s="1"/>
  <c r="N1418" i="2"/>
  <c r="O1418" i="2" s="1"/>
  <c r="J1418" i="2" s="1"/>
  <c r="K1418" i="2" s="1"/>
  <c r="N1399" i="2"/>
  <c r="O1399" i="2" s="1"/>
  <c r="J1399" i="2" s="1"/>
  <c r="K1399" i="2" s="1"/>
  <c r="I1381" i="2"/>
  <c r="N1381" i="2"/>
  <c r="O1381" i="2" s="1"/>
  <c r="J1381" i="2" s="1"/>
  <c r="K1381" i="2" s="1"/>
  <c r="N1354" i="2"/>
  <c r="O1354" i="2" s="1"/>
  <c r="J1354" i="2" s="1"/>
  <c r="N1326" i="2"/>
  <c r="O1326" i="2" s="1"/>
  <c r="J1326" i="2" s="1"/>
  <c r="K1326" i="2" s="1"/>
  <c r="N1308" i="2"/>
  <c r="O1308" i="2" s="1"/>
  <c r="J1308" i="2" s="1"/>
  <c r="K1308" i="2" s="1"/>
  <c r="I1308" i="2"/>
  <c r="N1290" i="2"/>
  <c r="O1290" i="2" s="1"/>
  <c r="J1290" i="2" s="1"/>
  <c r="K1290" i="2" s="1"/>
  <c r="I1290" i="2"/>
  <c r="N1262" i="2"/>
  <c r="O1262" i="2" s="1"/>
  <c r="J1262" i="2" s="1"/>
  <c r="K1262" i="2" s="1"/>
  <c r="N1244" i="2"/>
  <c r="O1244" i="2" s="1"/>
  <c r="J1244" i="2" s="1"/>
  <c r="K1244" i="2" s="1"/>
  <c r="N1226" i="2"/>
  <c r="O1226" i="2" s="1"/>
  <c r="J1226" i="2" s="1"/>
  <c r="K1226" i="2" s="1"/>
  <c r="N1402" i="2"/>
  <c r="O1402" i="2" s="1"/>
  <c r="J1402" i="2" s="1"/>
  <c r="K1402" i="2" s="1"/>
  <c r="I1356" i="2"/>
  <c r="N1356" i="2"/>
  <c r="O1356" i="2" s="1"/>
  <c r="J1356" i="2" s="1"/>
  <c r="K1356" i="2" s="1"/>
  <c r="N1310" i="2"/>
  <c r="O1310" i="2" s="1"/>
  <c r="J1310" i="2" s="1"/>
  <c r="K1310" i="2" s="1"/>
  <c r="N1292" i="2"/>
  <c r="O1292" i="2" s="1"/>
  <c r="J1292" i="2" s="1"/>
  <c r="K1292" i="2" s="1"/>
  <c r="I1337" i="2"/>
  <c r="N1337" i="2"/>
  <c r="O1337" i="2" s="1"/>
  <c r="J1337" i="2" s="1"/>
  <c r="K1337" i="2" s="1"/>
  <c r="N1410" i="2"/>
  <c r="O1410" i="2" s="1"/>
  <c r="J1410" i="2" s="1"/>
  <c r="K1410" i="2" s="1"/>
  <c r="N1382" i="2"/>
  <c r="O1382" i="2" s="1"/>
  <c r="J1382" i="2" s="1"/>
  <c r="K1382" i="2" s="1"/>
  <c r="N1355" i="2"/>
  <c r="O1355" i="2" s="1"/>
  <c r="J1355" i="2" s="1"/>
  <c r="K1355" i="2" s="1"/>
  <c r="N1417" i="2"/>
  <c r="O1417" i="2" s="1"/>
  <c r="J1417" i="2" s="1"/>
  <c r="K1417" i="2" s="1"/>
  <c r="N1353" i="2"/>
  <c r="O1353" i="2" s="1"/>
  <c r="J1353" i="2" s="1"/>
  <c r="K1353" i="2" s="1"/>
  <c r="N1289" i="2"/>
  <c r="O1289" i="2" s="1"/>
  <c r="J1289" i="2" s="1"/>
  <c r="K1289" i="2" s="1"/>
  <c r="N1225" i="2"/>
  <c r="O1225" i="2" s="1"/>
  <c r="J1225" i="2" s="1"/>
  <c r="K1225" i="2" s="1"/>
  <c r="N1263" i="2"/>
  <c r="O1263" i="2" s="1"/>
  <c r="J1263" i="2" s="1"/>
  <c r="K1263" i="2" s="1"/>
  <c r="N1407" i="2"/>
  <c r="O1407" i="2" s="1"/>
  <c r="J1407" i="2" s="1"/>
  <c r="K1407" i="2" s="1"/>
  <c r="N1398" i="2"/>
  <c r="O1398" i="2" s="1"/>
  <c r="J1398" i="2" s="1"/>
  <c r="K1398" i="2" s="1"/>
  <c r="N1389" i="2"/>
  <c r="O1389" i="2" s="1"/>
  <c r="J1389" i="2" s="1"/>
  <c r="K1389" i="2" s="1"/>
  <c r="N1380" i="2"/>
  <c r="O1380" i="2" s="1"/>
  <c r="J1380" i="2" s="1"/>
  <c r="K1380" i="2" s="1"/>
  <c r="N1371" i="2"/>
  <c r="O1371" i="2" s="1"/>
  <c r="J1371" i="2" s="1"/>
  <c r="K1371" i="2" s="1"/>
  <c r="I1362" i="2"/>
  <c r="N1362" i="2"/>
  <c r="O1362" i="2" s="1"/>
  <c r="J1362" i="2" s="1"/>
  <c r="K1362" i="2" s="1"/>
  <c r="N1343" i="2"/>
  <c r="O1343" i="2" s="1"/>
  <c r="J1343" i="2" s="1"/>
  <c r="K1343" i="2" s="1"/>
  <c r="I1343" i="2"/>
  <c r="N1334" i="2"/>
  <c r="O1334" i="2" s="1"/>
  <c r="J1334" i="2" s="1"/>
  <c r="K1334" i="2" s="1"/>
  <c r="N1325" i="2"/>
  <c r="O1325" i="2" s="1"/>
  <c r="J1325" i="2" s="1"/>
  <c r="K1325" i="2" s="1"/>
  <c r="N1298" i="2"/>
  <c r="O1298" i="2" s="1"/>
  <c r="J1298" i="2" s="1"/>
  <c r="K1298" i="2" s="1"/>
  <c r="N1279" i="2"/>
  <c r="O1279" i="2" s="1"/>
  <c r="J1279" i="2" s="1"/>
  <c r="K1279" i="2" s="1"/>
  <c r="N1261" i="2"/>
  <c r="O1261" i="2" s="1"/>
  <c r="J1261" i="2" s="1"/>
  <c r="K1261" i="2" s="1"/>
  <c r="I1261" i="2"/>
  <c r="N1252" i="2"/>
  <c r="O1252" i="2" s="1"/>
  <c r="J1252" i="2" s="1"/>
  <c r="K1252" i="2" s="1"/>
  <c r="N1234" i="2"/>
  <c r="O1234" i="2" s="1"/>
  <c r="J1234" i="2" s="1"/>
  <c r="K1234" i="2" s="1"/>
  <c r="N1411" i="2"/>
  <c r="O1411" i="2" s="1"/>
  <c r="J1411" i="2" s="1"/>
  <c r="K1411" i="2" s="1"/>
  <c r="N1383" i="2"/>
  <c r="O1383" i="2" s="1"/>
  <c r="J1383" i="2" s="1"/>
  <c r="N1338" i="2"/>
  <c r="O1338" i="2" s="1"/>
  <c r="J1338" i="2" s="1"/>
  <c r="N1228" i="2"/>
  <c r="O1228" i="2" s="1"/>
  <c r="J1228" i="2" s="1"/>
  <c r="K1228" i="2" s="1"/>
  <c r="I1401" i="2"/>
  <c r="N1401" i="2"/>
  <c r="O1401" i="2" s="1"/>
  <c r="J1401" i="2" s="1"/>
  <c r="K1401" i="2" s="1"/>
  <c r="N1419" i="2"/>
  <c r="O1419" i="2" s="1"/>
  <c r="J1419" i="2" s="1"/>
  <c r="K1419" i="2" s="1"/>
  <c r="I1419" i="2"/>
  <c r="N1391" i="2"/>
  <c r="O1391" i="2" s="1"/>
  <c r="J1391" i="2" s="1"/>
  <c r="K1391" i="2" s="1"/>
  <c r="N1364" i="2"/>
  <c r="O1364" i="2" s="1"/>
  <c r="J1364" i="2" s="1"/>
  <c r="K1364" i="2" s="1"/>
  <c r="N1346" i="2"/>
  <c r="O1346" i="2" s="1"/>
  <c r="J1346" i="2" s="1"/>
  <c r="N1327" i="2"/>
  <c r="O1327" i="2" s="1"/>
  <c r="J1327" i="2" s="1"/>
  <c r="N1309" i="2"/>
  <c r="O1309" i="2" s="1"/>
  <c r="J1309" i="2" s="1"/>
  <c r="K1309" i="2" s="1"/>
  <c r="I1300" i="2"/>
  <c r="N1300" i="2"/>
  <c r="O1300" i="2" s="1"/>
  <c r="J1300" i="2" s="1"/>
  <c r="K1300" i="2" s="1"/>
  <c r="N1236" i="2"/>
  <c r="O1236" i="2" s="1"/>
  <c r="J1236" i="2" s="1"/>
  <c r="K1236" i="2" s="1"/>
  <c r="I1361" i="2"/>
  <c r="N1361" i="2"/>
  <c r="O1361" i="2" s="1"/>
  <c r="J1361" i="2" s="1"/>
  <c r="K1361" i="2" s="1"/>
  <c r="N1297" i="2"/>
  <c r="O1297" i="2" s="1"/>
  <c r="J1297" i="2" s="1"/>
  <c r="K1297" i="2" s="1"/>
  <c r="N1233" i="2"/>
  <c r="O1233" i="2" s="1"/>
  <c r="J1233" i="2" s="1"/>
  <c r="K1233" i="2" s="1"/>
  <c r="I1274" i="2"/>
  <c r="N1415" i="2"/>
  <c r="O1415" i="2" s="1"/>
  <c r="J1415" i="2" s="1"/>
  <c r="K1415" i="2" s="1"/>
  <c r="N1397" i="2"/>
  <c r="O1397" i="2" s="1"/>
  <c r="J1397" i="2" s="1"/>
  <c r="K1397" i="2" s="1"/>
  <c r="N1379" i="2"/>
  <c r="O1379" i="2" s="1"/>
  <c r="J1379" i="2" s="1"/>
  <c r="K1379" i="2" s="1"/>
  <c r="N1370" i="2"/>
  <c r="O1370" i="2" s="1"/>
  <c r="J1370" i="2" s="1"/>
  <c r="K1370" i="2" s="1"/>
  <c r="N1342" i="2"/>
  <c r="O1342" i="2" s="1"/>
  <c r="J1342" i="2" s="1"/>
  <c r="I1342" i="2"/>
  <c r="N1324" i="2"/>
  <c r="O1324" i="2" s="1"/>
  <c r="J1324" i="2" s="1"/>
  <c r="N1278" i="2"/>
  <c r="O1278" i="2" s="1"/>
  <c r="J1278" i="2" s="1"/>
  <c r="N1260" i="2"/>
  <c r="O1260" i="2" s="1"/>
  <c r="J1260" i="2" s="1"/>
  <c r="K1260" i="2" s="1"/>
  <c r="N1246" i="2"/>
  <c r="O1246" i="2" s="1"/>
  <c r="J1246" i="2" s="1"/>
  <c r="N1245" i="2"/>
  <c r="O1245" i="2" s="1"/>
  <c r="J1245" i="2" s="1"/>
  <c r="K1245" i="2" s="1"/>
  <c r="N1369" i="2"/>
  <c r="O1369" i="2" s="1"/>
  <c r="J1369" i="2" s="1"/>
  <c r="N1241" i="2"/>
  <c r="O1241" i="2" s="1"/>
  <c r="J1241" i="2" s="1"/>
  <c r="K1241" i="2" s="1"/>
  <c r="I1241" i="2"/>
  <c r="N1414" i="2"/>
  <c r="O1414" i="2" s="1"/>
  <c r="J1414" i="2" s="1"/>
  <c r="K1414" i="2" s="1"/>
  <c r="N1405" i="2"/>
  <c r="O1405" i="2" s="1"/>
  <c r="J1405" i="2" s="1"/>
  <c r="K1405" i="2" s="1"/>
  <c r="I1405" i="2"/>
  <c r="I1396" i="2"/>
  <c r="N1396" i="2"/>
  <c r="O1396" i="2" s="1"/>
  <c r="J1396" i="2" s="1"/>
  <c r="K1396" i="2" s="1"/>
  <c r="I1387" i="2"/>
  <c r="N1387" i="2"/>
  <c r="O1387" i="2" s="1"/>
  <c r="J1387" i="2" s="1"/>
  <c r="K1387" i="2" s="1"/>
  <c r="N1378" i="2"/>
  <c r="O1378" i="2" s="1"/>
  <c r="J1378" i="2" s="1"/>
  <c r="K1378" i="2" s="1"/>
  <c r="N1359" i="2"/>
  <c r="O1359" i="2" s="1"/>
  <c r="J1359" i="2" s="1"/>
  <c r="K1359" i="2" s="1"/>
  <c r="I1359" i="2"/>
  <c r="N1341" i="2"/>
  <c r="O1341" i="2" s="1"/>
  <c r="J1341" i="2" s="1"/>
  <c r="K1341" i="2" s="1"/>
  <c r="N1332" i="2"/>
  <c r="O1332" i="2" s="1"/>
  <c r="J1332" i="2" s="1"/>
  <c r="K1332" i="2" s="1"/>
  <c r="I1332" i="2"/>
  <c r="N1323" i="2"/>
  <c r="O1323" i="2" s="1"/>
  <c r="J1323" i="2" s="1"/>
  <c r="K1323" i="2" s="1"/>
  <c r="I1323" i="2"/>
  <c r="N1314" i="2"/>
  <c r="O1314" i="2" s="1"/>
  <c r="J1314" i="2" s="1"/>
  <c r="K1314" i="2" s="1"/>
  <c r="N1295" i="2"/>
  <c r="O1295" i="2" s="1"/>
  <c r="J1295" i="2" s="1"/>
  <c r="K1295" i="2" s="1"/>
  <c r="I1295" i="2"/>
  <c r="I1277" i="2"/>
  <c r="N1277" i="2"/>
  <c r="O1277" i="2" s="1"/>
  <c r="J1277" i="2" s="1"/>
  <c r="K1277" i="2" s="1"/>
  <c r="N1268" i="2"/>
  <c r="O1268" i="2" s="1"/>
  <c r="J1268" i="2" s="1"/>
  <c r="K1268" i="2" s="1"/>
  <c r="N1250" i="2"/>
  <c r="O1250" i="2" s="1"/>
  <c r="J1250" i="2" s="1"/>
  <c r="K1250" i="2" s="1"/>
  <c r="N1231" i="2"/>
  <c r="O1231" i="2" s="1"/>
  <c r="J1231" i="2" s="1"/>
  <c r="N1377" i="2"/>
  <c r="O1377" i="2" s="1"/>
  <c r="J1377" i="2" s="1"/>
  <c r="K1377" i="2" s="1"/>
  <c r="N1313" i="2"/>
  <c r="O1313" i="2" s="1"/>
  <c r="J1313" i="2" s="1"/>
  <c r="K1313" i="2" s="1"/>
  <c r="I1313" i="2"/>
  <c r="N1249" i="2"/>
  <c r="O1249" i="2" s="1"/>
  <c r="J1249" i="2" s="1"/>
  <c r="K1249" i="2" s="1"/>
  <c r="N1413" i="2"/>
  <c r="O1413" i="2" s="1"/>
  <c r="J1413" i="2" s="1"/>
  <c r="K1413" i="2" s="1"/>
  <c r="I1395" i="2"/>
  <c r="N1395" i="2"/>
  <c r="O1395" i="2" s="1"/>
  <c r="J1395" i="2" s="1"/>
  <c r="K1395" i="2" s="1"/>
  <c r="N1386" i="2"/>
  <c r="O1386" i="2" s="1"/>
  <c r="J1386" i="2" s="1"/>
  <c r="N1358" i="2"/>
  <c r="O1358" i="2" s="1"/>
  <c r="J1358" i="2" s="1"/>
  <c r="K1358" i="2" s="1"/>
  <c r="N1340" i="2"/>
  <c r="O1340" i="2" s="1"/>
  <c r="J1340" i="2" s="1"/>
  <c r="K1340" i="2" s="1"/>
  <c r="N1322" i="2"/>
  <c r="O1322" i="2" s="1"/>
  <c r="J1322" i="2" s="1"/>
  <c r="K1322" i="2" s="1"/>
  <c r="N1294" i="2"/>
  <c r="O1294" i="2" s="1"/>
  <c r="J1294" i="2" s="1"/>
  <c r="K1294" i="2" s="1"/>
  <c r="N1276" i="2"/>
  <c r="O1276" i="2" s="1"/>
  <c r="J1276" i="2" s="1"/>
  <c r="K1276" i="2" s="1"/>
  <c r="N1258" i="2"/>
  <c r="O1258" i="2" s="1"/>
  <c r="J1258" i="2" s="1"/>
  <c r="K1258" i="2" s="1"/>
  <c r="N1230" i="2"/>
  <c r="O1230" i="2" s="1"/>
  <c r="J1230" i="2" s="1"/>
  <c r="K1230" i="2" s="1"/>
  <c r="N1385" i="2"/>
  <c r="O1385" i="2" s="1"/>
  <c r="J1385" i="2" s="1"/>
  <c r="N1321" i="2"/>
  <c r="O1321" i="2" s="1"/>
  <c r="J1321" i="2" s="1"/>
  <c r="K1321" i="2" s="1"/>
  <c r="N1257" i="2"/>
  <c r="O1257" i="2" s="1"/>
  <c r="J1257" i="2" s="1"/>
  <c r="K1257" i="2" s="1"/>
  <c r="I1257" i="2"/>
  <c r="N1273" i="2"/>
  <c r="O1273" i="2" s="1"/>
  <c r="J1273" i="2" s="1"/>
  <c r="K1273" i="2" s="1"/>
  <c r="N1421" i="2"/>
  <c r="O1421" i="2" s="1"/>
  <c r="J1421" i="2" s="1"/>
  <c r="K1421" i="2" s="1"/>
  <c r="N1412" i="2"/>
  <c r="O1412" i="2" s="1"/>
  <c r="J1412" i="2" s="1"/>
  <c r="K1412" i="2" s="1"/>
  <c r="N1394" i="2"/>
  <c r="O1394" i="2" s="1"/>
  <c r="J1394" i="2" s="1"/>
  <c r="K1394" i="2" s="1"/>
  <c r="N1357" i="2"/>
  <c r="O1357" i="2" s="1"/>
  <c r="J1357" i="2" s="1"/>
  <c r="K1357" i="2" s="1"/>
  <c r="I1348" i="2"/>
  <c r="N1348" i="2"/>
  <c r="O1348" i="2" s="1"/>
  <c r="J1348" i="2" s="1"/>
  <c r="K1348" i="2" s="1"/>
  <c r="N1339" i="2"/>
  <c r="O1339" i="2" s="1"/>
  <c r="J1339" i="2" s="1"/>
  <c r="K1339" i="2" s="1"/>
  <c r="N1330" i="2"/>
  <c r="O1330" i="2" s="1"/>
  <c r="J1330" i="2" s="1"/>
  <c r="K1330" i="2" s="1"/>
  <c r="N1293" i="2"/>
  <c r="O1293" i="2" s="1"/>
  <c r="J1293" i="2" s="1"/>
  <c r="K1293" i="2" s="1"/>
  <c r="N1284" i="2"/>
  <c r="O1284" i="2" s="1"/>
  <c r="J1284" i="2" s="1"/>
  <c r="K1284" i="2" s="1"/>
  <c r="I1266" i="2"/>
  <c r="N1266" i="2"/>
  <c r="O1266" i="2" s="1"/>
  <c r="J1266" i="2" s="1"/>
  <c r="K1266" i="2" s="1"/>
  <c r="N1247" i="2"/>
  <c r="O1247" i="2" s="1"/>
  <c r="J1247" i="2" s="1"/>
  <c r="K1247" i="2" s="1"/>
  <c r="N1229" i="2"/>
  <c r="O1229" i="2" s="1"/>
  <c r="J1229" i="2" s="1"/>
  <c r="N1403" i="2"/>
  <c r="O1403" i="2" s="1"/>
  <c r="J1403" i="2" s="1"/>
  <c r="K1403" i="2" s="1"/>
  <c r="N1393" i="2"/>
  <c r="O1393" i="2" s="1"/>
  <c r="J1393" i="2" s="1"/>
  <c r="I1393" i="2"/>
  <c r="N1329" i="2"/>
  <c r="O1329" i="2" s="1"/>
  <c r="J1329" i="2" s="1"/>
  <c r="K1329" i="2" s="1"/>
  <c r="I1329" i="2"/>
  <c r="N1265" i="2"/>
  <c r="O1265" i="2" s="1"/>
  <c r="J1265" i="2" s="1"/>
  <c r="K1265" i="2" s="1"/>
  <c r="N1333" i="2"/>
  <c r="O1333" i="2" s="1"/>
  <c r="J1333" i="2" s="1"/>
  <c r="K1333" i="2" s="1"/>
  <c r="N1331" i="2"/>
  <c r="O1331" i="2" s="1"/>
  <c r="J1331" i="2" s="1"/>
  <c r="K1331" i="2" s="1"/>
  <c r="N1363" i="2"/>
  <c r="O1363" i="2" s="1"/>
  <c r="J1363" i="2" s="1"/>
  <c r="K1363" i="2" s="1"/>
  <c r="O1392" i="2"/>
  <c r="J1392" i="2" s="1"/>
  <c r="K1392" i="2" s="1"/>
  <c r="O1256" i="2"/>
  <c r="J1256" i="2" s="1"/>
  <c r="K1256" i="2" s="1"/>
  <c r="O1224" i="2"/>
  <c r="J1224" i="2" s="1"/>
  <c r="K1224" i="2" s="1"/>
  <c r="N1220" i="2"/>
  <c r="O1220" i="2" s="1"/>
  <c r="J1220" i="2" s="1"/>
  <c r="K1220" i="2" s="1"/>
  <c r="I1219" i="2"/>
  <c r="N1219" i="2"/>
  <c r="O1219" i="2" s="1"/>
  <c r="J1219" i="2" s="1"/>
  <c r="K1219" i="2" s="1"/>
  <c r="N800" i="2"/>
  <c r="O800" i="2" s="1"/>
  <c r="J800" i="2" s="1"/>
  <c r="K800" i="2" s="1"/>
  <c r="I793" i="2"/>
  <c r="N793" i="2"/>
  <c r="O793" i="2" s="1"/>
  <c r="J793" i="2" s="1"/>
  <c r="K793" i="2" s="1"/>
  <c r="N830" i="2"/>
  <c r="O830" i="2" s="1"/>
  <c r="J830" i="2" s="1"/>
  <c r="K830" i="2" s="1"/>
  <c r="I830" i="2"/>
  <c r="N873" i="2"/>
  <c r="O873" i="2" s="1"/>
  <c r="J873" i="2" s="1"/>
  <c r="K873" i="2" s="1"/>
  <c r="I873" i="2"/>
  <c r="N845" i="2"/>
  <c r="O845" i="2" s="1"/>
  <c r="J845" i="2" s="1"/>
  <c r="K845" i="2" s="1"/>
  <c r="I845" i="2"/>
  <c r="N803" i="2"/>
  <c r="O803" i="2" s="1"/>
  <c r="J803" i="2" s="1"/>
  <c r="K803" i="2" s="1"/>
  <c r="I803" i="2"/>
  <c r="N829" i="2"/>
  <c r="O829" i="2" s="1"/>
  <c r="J829" i="2" s="1"/>
  <c r="K829" i="2" s="1"/>
  <c r="I829" i="2"/>
  <c r="N869" i="2"/>
  <c r="O869" i="2" s="1"/>
  <c r="J869" i="2" s="1"/>
  <c r="K869" i="2" s="1"/>
  <c r="I869" i="2"/>
  <c r="I859" i="2"/>
  <c r="N859" i="2"/>
  <c r="O859" i="2" s="1"/>
  <c r="J859" i="2" s="1"/>
  <c r="K859" i="2" s="1"/>
  <c r="N858" i="2"/>
  <c r="O858" i="2" s="1"/>
  <c r="J858" i="2" s="1"/>
  <c r="K858" i="2" s="1"/>
  <c r="N786" i="2"/>
  <c r="O786" i="2" s="1"/>
  <c r="J786" i="2" s="1"/>
  <c r="K786" i="2" s="1"/>
  <c r="I864" i="2"/>
  <c r="N864" i="2"/>
  <c r="O864" i="2" s="1"/>
  <c r="J864" i="2" s="1"/>
  <c r="K864" i="2" s="1"/>
  <c r="N827" i="2"/>
  <c r="O827" i="2" s="1"/>
  <c r="J827" i="2" s="1"/>
  <c r="K827" i="2" s="1"/>
  <c r="I861" i="2"/>
  <c r="N861" i="2"/>
  <c r="O861" i="2" s="1"/>
  <c r="J861" i="2" s="1"/>
  <c r="K861" i="2" s="1"/>
  <c r="N794" i="2"/>
  <c r="O794" i="2" s="1"/>
  <c r="J794" i="2" s="1"/>
  <c r="K794" i="2" s="1"/>
  <c r="I794" i="2"/>
  <c r="I811" i="2"/>
  <c r="N811" i="2"/>
  <c r="O811" i="2"/>
  <c r="J811" i="2" s="1"/>
  <c r="K811" i="2" s="1"/>
  <c r="N809" i="2"/>
  <c r="O809" i="2" s="1"/>
  <c r="J809" i="2" s="1"/>
  <c r="K809" i="2" s="1"/>
  <c r="I809" i="2"/>
  <c r="N874" i="2"/>
  <c r="O874" i="2" s="1"/>
  <c r="J874" i="2" s="1"/>
  <c r="K874" i="2" s="1"/>
  <c r="N788" i="2"/>
  <c r="O788" i="2" s="1"/>
  <c r="J788" i="2" s="1"/>
  <c r="K788" i="2" s="1"/>
  <c r="N806" i="2"/>
  <c r="O806" i="2" s="1"/>
  <c r="J806" i="2" s="1"/>
  <c r="K806" i="2" s="1"/>
  <c r="I806" i="2"/>
  <c r="I849" i="2"/>
  <c r="N849" i="2"/>
  <c r="O849" i="2" s="1"/>
  <c r="J849" i="2" s="1"/>
  <c r="K849" i="2" s="1"/>
  <c r="I847" i="2"/>
  <c r="N847" i="2"/>
  <c r="O847" i="2" s="1"/>
  <c r="J847" i="2" s="1"/>
  <c r="K847" i="2" s="1"/>
  <c r="N828" i="2"/>
  <c r="O828" i="2" s="1"/>
  <c r="J828" i="2" s="1"/>
  <c r="K828" i="2" s="1"/>
  <c r="N787" i="2"/>
  <c r="O787" i="2" s="1"/>
  <c r="J787" i="2" s="1"/>
  <c r="K787" i="2" s="1"/>
  <c r="I787" i="2"/>
  <c r="I821" i="2"/>
  <c r="N821" i="2"/>
  <c r="O821" i="2" s="1"/>
  <c r="J821" i="2" s="1"/>
  <c r="K821" i="2" s="1"/>
  <c r="I812" i="2"/>
  <c r="N812" i="2"/>
  <c r="O812" i="2" s="1"/>
  <c r="J812" i="2" s="1"/>
  <c r="K812" i="2" s="1"/>
  <c r="N876" i="2"/>
  <c r="O876" i="2" s="1"/>
  <c r="J876" i="2" s="1"/>
  <c r="K876" i="2" s="1"/>
  <c r="I798" i="2"/>
  <c r="N798" i="2"/>
  <c r="O798" i="2" s="1"/>
  <c r="J798" i="2" s="1"/>
  <c r="K798" i="2" s="1"/>
  <c r="I848" i="2"/>
  <c r="N848" i="2"/>
  <c r="O848" i="2" s="1"/>
  <c r="J848" i="2" s="1"/>
  <c r="K848" i="2" s="1"/>
  <c r="N863" i="2"/>
  <c r="O863" i="2" s="1"/>
  <c r="J863" i="2" s="1"/>
  <c r="K863" i="2" s="1"/>
  <c r="I863" i="2"/>
  <c r="I785" i="2"/>
  <c r="N785" i="2"/>
  <c r="O785" i="2" s="1"/>
  <c r="J785" i="2" s="1"/>
  <c r="K785" i="2" s="1"/>
  <c r="N808" i="2"/>
  <c r="O808" i="2" s="1"/>
  <c r="J808" i="2" s="1"/>
  <c r="K808" i="2" s="1"/>
  <c r="N810" i="2"/>
  <c r="O810" i="2" s="1"/>
  <c r="J810" i="2" s="1"/>
  <c r="K810" i="2" s="1"/>
  <c r="N872" i="2"/>
  <c r="O872" i="2" s="1"/>
  <c r="J872" i="2" s="1"/>
  <c r="K872" i="2" s="1"/>
  <c r="I872" i="2"/>
  <c r="N796" i="2"/>
  <c r="O796" i="2" s="1"/>
  <c r="J796" i="2" s="1"/>
  <c r="K796" i="2" s="1"/>
  <c r="I796" i="2"/>
  <c r="I846" i="2"/>
  <c r="N846" i="2"/>
  <c r="O846" i="2" s="1"/>
  <c r="J846" i="2" s="1"/>
  <c r="K846" i="2" s="1"/>
  <c r="I831" i="2"/>
  <c r="N831" i="2"/>
  <c r="O831" i="2" s="1"/>
  <c r="J831" i="2" s="1"/>
  <c r="K831" i="2" s="1"/>
  <c r="N792" i="2"/>
  <c r="O792" i="2" s="1"/>
  <c r="J792" i="2" s="1"/>
  <c r="K792" i="2" s="1"/>
  <c r="I792" i="2"/>
  <c r="N871" i="2"/>
  <c r="O871" i="2" s="1"/>
  <c r="J871" i="2" s="1"/>
  <c r="K871" i="2" s="1"/>
  <c r="I871" i="2"/>
  <c r="N804" i="2"/>
  <c r="O804" i="2" s="1"/>
  <c r="J804" i="2" s="1"/>
  <c r="K804" i="2" s="1"/>
  <c r="I855" i="2"/>
  <c r="N855" i="2"/>
  <c r="O855" i="2" s="1"/>
  <c r="J855" i="2" s="1"/>
  <c r="K855" i="2" s="1"/>
  <c r="N867" i="2"/>
  <c r="O867" i="2" s="1"/>
  <c r="J867" i="2" s="1"/>
  <c r="K867" i="2" s="1"/>
  <c r="I867" i="2"/>
  <c r="N795" i="2"/>
  <c r="O795" i="2" s="1"/>
  <c r="J795" i="2" s="1"/>
  <c r="K795" i="2" s="1"/>
  <c r="I795" i="2"/>
  <c r="I862" i="2"/>
  <c r="N862" i="2"/>
  <c r="O862" i="2" s="1"/>
  <c r="J862" i="2" s="1"/>
  <c r="K862" i="2" s="1"/>
  <c r="N834" i="2"/>
  <c r="O834" i="2" s="1"/>
  <c r="J834" i="2" s="1"/>
  <c r="K834" i="2" s="1"/>
  <c r="I834" i="2"/>
  <c r="N824" i="2"/>
  <c r="O824" i="2" s="1"/>
  <c r="J824" i="2" s="1"/>
  <c r="K824" i="2" s="1"/>
  <c r="N860" i="2"/>
  <c r="O860" i="2" s="1"/>
  <c r="J860" i="2" s="1"/>
  <c r="K860" i="2" s="1"/>
  <c r="I860" i="2"/>
  <c r="N833" i="2"/>
  <c r="O833" i="2" s="1"/>
  <c r="J833" i="2" s="1"/>
  <c r="K833" i="2" s="1"/>
  <c r="I833" i="2"/>
  <c r="N879" i="2"/>
  <c r="O879" i="2" s="1"/>
  <c r="J879" i="2" s="1"/>
  <c r="K879" i="2" s="1"/>
  <c r="I879" i="2"/>
  <c r="N842" i="2"/>
  <c r="O842" i="2" s="1"/>
  <c r="J842" i="2" s="1"/>
  <c r="K842" i="2" s="1"/>
  <c r="I842" i="2"/>
  <c r="I832" i="2"/>
  <c r="N832" i="2"/>
  <c r="O832" i="2" s="1"/>
  <c r="J832" i="2" s="1"/>
  <c r="K832" i="2" s="1"/>
  <c r="N870" i="2"/>
  <c r="O870" i="2" s="1"/>
  <c r="J870" i="2" s="1"/>
  <c r="K870" i="2" s="1"/>
  <c r="I870" i="2"/>
  <c r="I835" i="2"/>
  <c r="N856" i="2"/>
  <c r="O856" i="2" s="1"/>
  <c r="J856" i="2" s="1"/>
  <c r="K856" i="2" s="1"/>
  <c r="I856" i="2"/>
  <c r="I814" i="2"/>
  <c r="N814" i="2"/>
  <c r="O814" i="2" s="1"/>
  <c r="J814" i="2" s="1"/>
  <c r="K814" i="2" s="1"/>
  <c r="N819" i="2"/>
  <c r="O819" i="2" s="1"/>
  <c r="J819" i="2" s="1"/>
  <c r="K819" i="2" s="1"/>
  <c r="I819" i="2"/>
  <c r="N822" i="2"/>
  <c r="O822" i="2" s="1"/>
  <c r="J822" i="2" s="1"/>
  <c r="K822" i="2" s="1"/>
  <c r="N826" i="2"/>
  <c r="O826" i="2" s="1"/>
  <c r="J826" i="2" s="1"/>
  <c r="K826" i="2" s="1"/>
  <c r="I826" i="2"/>
  <c r="I844" i="2"/>
  <c r="N844" i="2"/>
  <c r="O844" i="2" s="1"/>
  <c r="J844" i="2" s="1"/>
  <c r="K844" i="2" s="1"/>
  <c r="N790" i="2"/>
  <c r="O790" i="2" s="1"/>
  <c r="J790" i="2" s="1"/>
  <c r="K790" i="2" s="1"/>
  <c r="I790" i="2"/>
  <c r="N843" i="2"/>
  <c r="O843" i="2" s="1"/>
  <c r="J843" i="2" s="1"/>
  <c r="K843" i="2" s="1"/>
  <c r="I843" i="2"/>
  <c r="N878" i="2"/>
  <c r="O878" i="2" s="1"/>
  <c r="J878" i="2" s="1"/>
  <c r="K878" i="2" s="1"/>
  <c r="I878" i="2"/>
  <c r="N813" i="2"/>
  <c r="O813" i="2" s="1"/>
  <c r="J813" i="2" s="1"/>
  <c r="K813" i="2" s="1"/>
  <c r="N807" i="2"/>
  <c r="O807" i="2" s="1"/>
  <c r="J807" i="2" s="1"/>
  <c r="K807" i="2" s="1"/>
  <c r="I840" i="2"/>
  <c r="N840" i="2"/>
  <c r="O840" i="2" s="1"/>
  <c r="J840" i="2" s="1"/>
  <c r="K840" i="2" s="1"/>
  <c r="N877" i="2"/>
  <c r="O877" i="2" s="1"/>
  <c r="J877" i="2" s="1"/>
  <c r="K877" i="2" s="1"/>
  <c r="I866" i="2"/>
  <c r="N866" i="2"/>
  <c r="O866" i="2" s="1"/>
  <c r="J866" i="2" s="1"/>
  <c r="K866" i="2" s="1"/>
  <c r="N802" i="2"/>
  <c r="O802" i="2" s="1"/>
  <c r="J802" i="2" s="1"/>
  <c r="K802" i="2" s="1"/>
  <c r="I857" i="2"/>
  <c r="N857" i="2"/>
  <c r="O857" i="2" s="1"/>
  <c r="J857" i="2" s="1"/>
  <c r="K857" i="2" s="1"/>
  <c r="N805" i="2"/>
  <c r="O805" i="2" s="1"/>
  <c r="J805" i="2" s="1"/>
  <c r="K805" i="2" s="1"/>
  <c r="I805" i="2"/>
  <c r="N838" i="2"/>
  <c r="O838" i="2" s="1"/>
  <c r="J838" i="2" s="1"/>
  <c r="K838" i="2" s="1"/>
  <c r="N868" i="2"/>
  <c r="O868" i="2" s="1"/>
  <c r="J868" i="2" s="1"/>
  <c r="K868" i="2" s="1"/>
  <c r="I868" i="2"/>
  <c r="I797" i="2"/>
  <c r="N797" i="2"/>
  <c r="O797" i="2" s="1"/>
  <c r="J797" i="2" s="1"/>
  <c r="K797" i="2" s="1"/>
  <c r="N801" i="2"/>
  <c r="O801" i="2" s="1"/>
  <c r="J801" i="2" s="1"/>
  <c r="K801" i="2" s="1"/>
  <c r="I801" i="2"/>
  <c r="I850" i="2"/>
  <c r="N850" i="2"/>
  <c r="O850" i="2" s="1"/>
  <c r="J850" i="2" s="1"/>
  <c r="K850" i="2" s="1"/>
  <c r="I841" i="2"/>
  <c r="N791" i="2"/>
  <c r="O791" i="2" s="1"/>
  <c r="J791" i="2" s="1"/>
  <c r="K791" i="2" s="1"/>
  <c r="I791" i="2"/>
  <c r="N875" i="2"/>
  <c r="O875" i="2" s="1"/>
  <c r="J875" i="2" s="1"/>
  <c r="K875" i="2" s="1"/>
  <c r="N837" i="2"/>
  <c r="O837" i="2" s="1"/>
  <c r="J837" i="2" s="1"/>
  <c r="K837" i="2" s="1"/>
  <c r="I837" i="2"/>
  <c r="N789" i="2"/>
  <c r="O789" i="2" s="1"/>
  <c r="J789" i="2" s="1"/>
  <c r="K789" i="2" s="1"/>
  <c r="N865" i="2"/>
  <c r="O865" i="2" s="1"/>
  <c r="J865" i="2" s="1"/>
  <c r="K865" i="2" s="1"/>
  <c r="N784" i="2"/>
  <c r="O784" i="2" s="1"/>
  <c r="J784" i="2" s="1"/>
  <c r="K784" i="2" s="1"/>
  <c r="I820" i="2"/>
  <c r="I784" i="2"/>
  <c r="N820" i="2"/>
  <c r="O820" i="2" s="1"/>
  <c r="J820" i="2" s="1"/>
  <c r="K820" i="2" s="1"/>
  <c r="I836" i="2"/>
  <c r="O839" i="2"/>
  <c r="J839" i="2" s="1"/>
  <c r="K839" i="2" s="1"/>
  <c r="I800" i="2"/>
  <c r="N783" i="2"/>
  <c r="O783" i="2" s="1"/>
  <c r="J783" i="2" s="1"/>
  <c r="K783" i="2" s="1"/>
  <c r="I783" i="2"/>
  <c r="N752" i="2"/>
  <c r="O752" i="2" s="1"/>
  <c r="J752" i="2" s="1"/>
  <c r="K752" i="2" s="1"/>
  <c r="N756" i="2"/>
  <c r="O756" i="2" s="1"/>
  <c r="J756" i="2" s="1"/>
  <c r="K756" i="2" s="1"/>
  <c r="N711" i="2"/>
  <c r="O711" i="2" s="1"/>
  <c r="J711" i="2" s="1"/>
  <c r="K711" i="2" s="1"/>
  <c r="N754" i="2"/>
  <c r="O754" i="2" s="1"/>
  <c r="J754" i="2" s="1"/>
  <c r="K754" i="2" s="1"/>
  <c r="I738" i="2"/>
  <c r="N738" i="2"/>
  <c r="O738" i="2" s="1"/>
  <c r="J738" i="2" s="1"/>
  <c r="K738" i="2" s="1"/>
  <c r="N706" i="2"/>
  <c r="O706" i="2" s="1"/>
  <c r="J706" i="2" s="1"/>
  <c r="K706" i="2" s="1"/>
  <c r="I706" i="2"/>
  <c r="N736" i="2"/>
  <c r="O736" i="2" s="1"/>
  <c r="J736" i="2" s="1"/>
  <c r="K736" i="2" s="1"/>
  <c r="I714" i="2"/>
  <c r="N714" i="2"/>
  <c r="O714" i="2" s="1"/>
  <c r="J714" i="2" s="1"/>
  <c r="K714" i="2" s="1"/>
  <c r="N698" i="2"/>
  <c r="O698" i="2" s="1"/>
  <c r="J698" i="2" s="1"/>
  <c r="K698" i="2" s="1"/>
  <c r="I698" i="2"/>
  <c r="N771" i="2"/>
  <c r="O771" i="2" s="1"/>
  <c r="J771" i="2" s="1"/>
  <c r="K771" i="2" s="1"/>
  <c r="N695" i="2"/>
  <c r="O695" i="2" s="1"/>
  <c r="J695" i="2" s="1"/>
  <c r="K695" i="2" s="1"/>
  <c r="I695" i="2"/>
  <c r="N727" i="2"/>
  <c r="O727" i="2" s="1"/>
  <c r="J727" i="2" s="1"/>
  <c r="K727" i="2" s="1"/>
  <c r="N693" i="2"/>
  <c r="O693" i="2" s="1"/>
  <c r="J693" i="2" s="1"/>
  <c r="K693" i="2" s="1"/>
  <c r="I693" i="2"/>
  <c r="N772" i="2"/>
  <c r="O772" i="2" s="1"/>
  <c r="J772" i="2" s="1"/>
  <c r="K772" i="2" s="1"/>
  <c r="N692" i="2"/>
  <c r="O692" i="2" s="1"/>
  <c r="J692" i="2" s="1"/>
  <c r="K692" i="2" s="1"/>
  <c r="N705" i="2"/>
  <c r="O705" i="2" s="1"/>
  <c r="J705" i="2" s="1"/>
  <c r="K705" i="2" s="1"/>
  <c r="I705" i="2"/>
  <c r="N691" i="2"/>
  <c r="O691" i="2" s="1"/>
  <c r="J691" i="2" s="1"/>
  <c r="K691" i="2" s="1"/>
  <c r="I691" i="2"/>
  <c r="N728" i="2"/>
  <c r="O728" i="2" s="1"/>
  <c r="J728" i="2" s="1"/>
  <c r="K728" i="2" s="1"/>
  <c r="I728" i="2"/>
  <c r="N774" i="2"/>
  <c r="O774" i="2" s="1"/>
  <c r="J774" i="2" s="1"/>
  <c r="K774" i="2" s="1"/>
  <c r="I774" i="2"/>
  <c r="N720" i="2"/>
  <c r="O720" i="2" s="1"/>
  <c r="J720" i="2" s="1"/>
  <c r="K720" i="2" s="1"/>
  <c r="I720" i="2"/>
  <c r="N768" i="2"/>
  <c r="O768" i="2" s="1"/>
  <c r="J768" i="2" s="1"/>
  <c r="K768" i="2" s="1"/>
  <c r="N724" i="2"/>
  <c r="O724" i="2" s="1"/>
  <c r="J724" i="2" s="1"/>
  <c r="K724" i="2" s="1"/>
  <c r="I716" i="2"/>
  <c r="N716" i="2"/>
  <c r="O716" i="2" s="1"/>
  <c r="J716" i="2" s="1"/>
  <c r="K716" i="2" s="1"/>
  <c r="N773" i="2"/>
  <c r="O773" i="2" s="1"/>
  <c r="J773" i="2" s="1"/>
  <c r="K773" i="2" s="1"/>
  <c r="I773" i="2"/>
  <c r="N719" i="2"/>
  <c r="O719" i="2" s="1"/>
  <c r="J719" i="2" s="1"/>
  <c r="K719" i="2" s="1"/>
  <c r="I719" i="2"/>
  <c r="N761" i="2"/>
  <c r="O761" i="2" s="1"/>
  <c r="J761" i="2" s="1"/>
  <c r="K761" i="2" s="1"/>
  <c r="I761" i="2"/>
  <c r="N699" i="2"/>
  <c r="O699" i="2" s="1"/>
  <c r="J699" i="2" s="1"/>
  <c r="K699" i="2" s="1"/>
  <c r="I699" i="2"/>
  <c r="N759" i="2"/>
  <c r="O759" i="2" s="1"/>
  <c r="J759" i="2" s="1"/>
  <c r="K759" i="2" s="1"/>
  <c r="N723" i="2"/>
  <c r="O723" i="2" s="1"/>
  <c r="J723" i="2" s="1"/>
  <c r="K723" i="2" s="1"/>
  <c r="I715" i="2"/>
  <c r="N715" i="2"/>
  <c r="O715" i="2" s="1"/>
  <c r="J715" i="2" s="1"/>
  <c r="K715" i="2" s="1"/>
  <c r="I717" i="2"/>
  <c r="N717" i="2"/>
  <c r="O717" i="2" s="1"/>
  <c r="J717" i="2" s="1"/>
  <c r="K717" i="2" s="1"/>
  <c r="I766" i="2"/>
  <c r="N766" i="2"/>
  <c r="O766" i="2" s="1"/>
  <c r="J766" i="2" s="1"/>
  <c r="K766" i="2" s="1"/>
  <c r="N702" i="2"/>
  <c r="O702" i="2" s="1"/>
  <c r="J702" i="2" s="1"/>
  <c r="K702" i="2" s="1"/>
  <c r="I702" i="2"/>
  <c r="N703" i="2"/>
  <c r="O703" i="2" s="1"/>
  <c r="J703" i="2" s="1"/>
  <c r="K703" i="2" s="1"/>
  <c r="I703" i="2"/>
  <c r="I746" i="2"/>
  <c r="N746" i="2"/>
  <c r="O746" i="2" s="1"/>
  <c r="J746" i="2" s="1"/>
  <c r="K746" i="2" s="1"/>
  <c r="N697" i="2"/>
  <c r="O697" i="2" s="1"/>
  <c r="J697" i="2" s="1"/>
  <c r="K697" i="2" s="1"/>
  <c r="I697" i="2"/>
  <c r="N758" i="2"/>
  <c r="O758" i="2" s="1"/>
  <c r="J758" i="2" s="1"/>
  <c r="K758" i="2" s="1"/>
  <c r="I758" i="2"/>
  <c r="N743" i="2"/>
  <c r="O743" i="2" s="1"/>
  <c r="J743" i="2" s="1"/>
  <c r="K743" i="2" s="1"/>
  <c r="N709" i="2"/>
  <c r="O709" i="2" s="1"/>
  <c r="J709" i="2" s="1"/>
  <c r="K709" i="2" s="1"/>
  <c r="I694" i="2"/>
  <c r="N694" i="2"/>
  <c r="O694" i="2" s="1"/>
  <c r="J694" i="2" s="1"/>
  <c r="K694" i="2" s="1"/>
  <c r="I750" i="2"/>
  <c r="N750" i="2"/>
  <c r="O750" i="2" s="1"/>
  <c r="J750" i="2" s="1"/>
  <c r="K750" i="2" s="1"/>
  <c r="N707" i="2"/>
  <c r="O707" i="2" s="1"/>
  <c r="J707" i="2" s="1"/>
  <c r="K707" i="2" s="1"/>
  <c r="I707" i="2"/>
  <c r="N778" i="2"/>
  <c r="O778" i="2" s="1"/>
  <c r="J778" i="2" s="1"/>
  <c r="K778" i="2" s="1"/>
  <c r="I778" i="2"/>
  <c r="I765" i="2"/>
  <c r="N765" i="2"/>
  <c r="O765" i="2" s="1"/>
  <c r="J765" i="2" s="1"/>
  <c r="K765" i="2" s="1"/>
  <c r="N701" i="2"/>
  <c r="O701" i="2" s="1"/>
  <c r="J701" i="2" s="1"/>
  <c r="K701" i="2" s="1"/>
  <c r="I701" i="2"/>
  <c r="I718" i="2"/>
  <c r="N718" i="2"/>
  <c r="O718" i="2" s="1"/>
  <c r="J718" i="2" s="1"/>
  <c r="K718" i="2" s="1"/>
  <c r="I704" i="2"/>
  <c r="N704" i="2"/>
  <c r="O704" i="2" s="1"/>
  <c r="J704" i="2" s="1"/>
  <c r="K704" i="2" s="1"/>
  <c r="N770" i="2"/>
  <c r="O770" i="2" s="1"/>
  <c r="J770" i="2" s="1"/>
  <c r="K770" i="2" s="1"/>
  <c r="I708" i="2"/>
  <c r="N708" i="2"/>
  <c r="O708" i="2" s="1"/>
  <c r="J708" i="2" s="1"/>
  <c r="K708" i="2" s="1"/>
  <c r="I710" i="2"/>
  <c r="N710" i="2"/>
  <c r="O710" i="2" s="1"/>
  <c r="J710" i="2" s="1"/>
  <c r="K710" i="2" s="1"/>
  <c r="N751" i="2"/>
  <c r="O751" i="2" s="1"/>
  <c r="J751" i="2" s="1"/>
  <c r="K751" i="2" s="1"/>
  <c r="N767" i="2"/>
  <c r="O767" i="2" s="1"/>
  <c r="J767" i="2" s="1"/>
  <c r="K767" i="2" s="1"/>
  <c r="N749" i="2"/>
  <c r="O749" i="2" s="1"/>
  <c r="J749" i="2" s="1"/>
  <c r="K749" i="2" s="1"/>
  <c r="N729" i="2"/>
  <c r="O729" i="2" s="1"/>
  <c r="J729" i="2" s="1"/>
  <c r="K729" i="2" s="1"/>
  <c r="I729" i="2"/>
  <c r="N713" i="2"/>
  <c r="O713" i="2" s="1"/>
  <c r="J713" i="2" s="1"/>
  <c r="K713" i="2" s="1"/>
  <c r="I713" i="2"/>
  <c r="N777" i="2"/>
  <c r="O777" i="2" s="1"/>
  <c r="J777" i="2" s="1"/>
  <c r="K777" i="2" s="1"/>
  <c r="I777" i="2"/>
  <c r="I741" i="2"/>
  <c r="N741" i="2"/>
  <c r="O741" i="2" s="1"/>
  <c r="J741" i="2" s="1"/>
  <c r="K741" i="2" s="1"/>
  <c r="N776" i="2"/>
  <c r="O776" i="2" s="1"/>
  <c r="J776" i="2" s="1"/>
  <c r="K776" i="2" s="1"/>
  <c r="N760" i="2"/>
  <c r="O760" i="2" s="1"/>
  <c r="J760" i="2" s="1"/>
  <c r="K760" i="2" s="1"/>
  <c r="I712" i="2"/>
  <c r="N712" i="2"/>
  <c r="O712" i="2" s="1"/>
  <c r="J712" i="2" s="1"/>
  <c r="K712" i="2" s="1"/>
  <c r="N775" i="2"/>
  <c r="O775" i="2" s="1"/>
  <c r="J775" i="2" s="1"/>
  <c r="K775" i="2" s="1"/>
  <c r="I775" i="2"/>
  <c r="N753" i="2"/>
  <c r="O753" i="2" s="1"/>
  <c r="J753" i="2" s="1"/>
  <c r="K753" i="2" s="1"/>
  <c r="I762" i="2"/>
  <c r="N762" i="2"/>
  <c r="O762" i="2" s="1"/>
  <c r="J762" i="2" s="1"/>
  <c r="K762" i="2" s="1"/>
  <c r="N747" i="2"/>
  <c r="O747" i="2" s="1"/>
  <c r="J747" i="2" s="1"/>
  <c r="K747" i="2" s="1"/>
  <c r="N742" i="2"/>
  <c r="O742" i="2" s="1"/>
  <c r="J742" i="2" s="1"/>
  <c r="K742" i="2" s="1"/>
  <c r="I726" i="2"/>
  <c r="N726" i="2"/>
  <c r="O726" i="2" s="1"/>
  <c r="J726" i="2" s="1"/>
  <c r="K726" i="2" s="1"/>
  <c r="N735" i="2"/>
  <c r="O735" i="2" s="1"/>
  <c r="J735" i="2" s="1"/>
  <c r="K735" i="2" s="1"/>
  <c r="I735" i="2"/>
  <c r="N744" i="2"/>
  <c r="O744" i="2" s="1"/>
  <c r="J744" i="2" s="1"/>
  <c r="K744" i="2" s="1"/>
  <c r="I744" i="2"/>
  <c r="N740" i="2"/>
  <c r="O740" i="2" s="1"/>
  <c r="J740" i="2" s="1"/>
  <c r="K740" i="2" s="1"/>
  <c r="N763" i="2"/>
  <c r="O763" i="2" s="1"/>
  <c r="J763" i="2" s="1"/>
  <c r="K763" i="2" s="1"/>
  <c r="N737" i="2"/>
  <c r="O737" i="2" s="1"/>
  <c r="J737" i="2" s="1"/>
  <c r="K737" i="2" s="1"/>
  <c r="I737" i="2"/>
  <c r="I696" i="2"/>
  <c r="N696" i="2"/>
  <c r="O696" i="2" s="1"/>
  <c r="J696" i="2" s="1"/>
  <c r="K696" i="2" s="1"/>
  <c r="N730" i="2"/>
  <c r="O730" i="2" s="1"/>
  <c r="J730" i="2" s="1"/>
  <c r="K730" i="2" s="1"/>
  <c r="I730" i="2"/>
  <c r="I745" i="2"/>
  <c r="N745" i="2"/>
  <c r="O745" i="2" s="1"/>
  <c r="J745" i="2" s="1"/>
  <c r="K745" i="2" s="1"/>
  <c r="N700" i="2"/>
  <c r="O700" i="2" s="1"/>
  <c r="J700" i="2" s="1"/>
  <c r="K700" i="2" s="1"/>
  <c r="I700" i="2"/>
  <c r="N725" i="2"/>
  <c r="O725" i="2" s="1"/>
  <c r="J725" i="2" s="1"/>
  <c r="K725" i="2" s="1"/>
  <c r="I725" i="2"/>
  <c r="N748" i="2"/>
  <c r="O748" i="2" s="1"/>
  <c r="J748" i="2" s="1"/>
  <c r="K748" i="2" s="1"/>
  <c r="O690" i="2"/>
  <c r="J690" i="2" s="1"/>
  <c r="K690" i="2" s="1"/>
  <c r="I722" i="2"/>
  <c r="N764" i="2"/>
  <c r="O764" i="2" s="1"/>
  <c r="J764" i="2" s="1"/>
  <c r="K764" i="2" s="1"/>
  <c r="O722" i="2"/>
  <c r="J722" i="2" s="1"/>
  <c r="K722" i="2" s="1"/>
  <c r="N689" i="2"/>
  <c r="O689" i="2" s="1"/>
  <c r="J689" i="2" s="1"/>
  <c r="K689" i="2" s="1"/>
  <c r="I689" i="2"/>
  <c r="N1715" i="2"/>
  <c r="O1715" i="2" s="1"/>
  <c r="J1715" i="2" s="1"/>
  <c r="K1715" i="2" s="1"/>
  <c r="K1716" i="2" s="1"/>
  <c r="G107" i="3" s="1"/>
  <c r="H107" i="3" s="1"/>
  <c r="N1685" i="2"/>
  <c r="O1685" i="2" s="1"/>
  <c r="J1685" i="2" s="1"/>
  <c r="K1685" i="2" s="1"/>
  <c r="O1681" i="2"/>
  <c r="J1681" i="2" s="1"/>
  <c r="K1681" i="2" s="1"/>
  <c r="N1672" i="2"/>
  <c r="O1672" i="2" s="1"/>
  <c r="J1672" i="2" s="1"/>
  <c r="K1672" i="2" s="1"/>
  <c r="I1672" i="2"/>
  <c r="I1656" i="2"/>
  <c r="O1656" i="2"/>
  <c r="J1656" i="2" s="1"/>
  <c r="K1656" i="2" s="1"/>
  <c r="I1628" i="2"/>
  <c r="I1615" i="2"/>
  <c r="N1637" i="2"/>
  <c r="O1637" i="2" s="1"/>
  <c r="J1637" i="2" s="1"/>
  <c r="K1637" i="2" s="1"/>
  <c r="N1600" i="2"/>
  <c r="O1600" i="2" s="1"/>
  <c r="J1600" i="2" s="1"/>
  <c r="K1600" i="2" s="1"/>
  <c r="I1605" i="2"/>
  <c r="N1599" i="2"/>
  <c r="O1599" i="2" s="1"/>
  <c r="J1599" i="2" s="1"/>
  <c r="K1599" i="2" s="1"/>
  <c r="N1634" i="2"/>
  <c r="O1634" i="2" s="1"/>
  <c r="J1634" i="2" s="1"/>
  <c r="K1634" i="2" s="1"/>
  <c r="N1586" i="2"/>
  <c r="O1586" i="2" s="1"/>
  <c r="J1586" i="2" s="1"/>
  <c r="K1586" i="2" s="1"/>
  <c r="I1599" i="2"/>
  <c r="O1632" i="2"/>
  <c r="J1632" i="2" s="1"/>
  <c r="K1632" i="2" s="1"/>
  <c r="N1621" i="2"/>
  <c r="O1621" i="2" s="1"/>
  <c r="J1621" i="2" s="1"/>
  <c r="K1621" i="2" s="1"/>
  <c r="N1631" i="2"/>
  <c r="O1631" i="2" s="1"/>
  <c r="J1631" i="2" s="1"/>
  <c r="K1631" i="2" s="1"/>
  <c r="O1602" i="2"/>
  <c r="J1602" i="2" s="1"/>
  <c r="K1602" i="2" s="1"/>
  <c r="I1618" i="2"/>
  <c r="N1565" i="2"/>
  <c r="O1565" i="2" s="1"/>
  <c r="J1565" i="2" s="1"/>
  <c r="K1565" i="2" s="1"/>
  <c r="N1529" i="2"/>
  <c r="O1529" i="2" s="1"/>
  <c r="J1529" i="2" s="1"/>
  <c r="K1529" i="2" s="1"/>
  <c r="N1515" i="2"/>
  <c r="O1515" i="2" s="1"/>
  <c r="J1515" i="2" s="1"/>
  <c r="K1515" i="2" s="1"/>
  <c r="I1534" i="2"/>
  <c r="N1563" i="2"/>
  <c r="O1563" i="2" s="1"/>
  <c r="J1563" i="2" s="1"/>
  <c r="K1563" i="2" s="1"/>
  <c r="N1552" i="2"/>
  <c r="O1552" i="2" s="1"/>
  <c r="J1552" i="2" s="1"/>
  <c r="K1552" i="2" s="1"/>
  <c r="N1561" i="2"/>
  <c r="O1561" i="2" s="1"/>
  <c r="J1561" i="2" s="1"/>
  <c r="K1561" i="2" s="1"/>
  <c r="O1536" i="2"/>
  <c r="J1536" i="2" s="1"/>
  <c r="K1536" i="2" s="1"/>
  <c r="I1501" i="2"/>
  <c r="N1459" i="2"/>
  <c r="O1459" i="2" s="1"/>
  <c r="J1459" i="2" s="1"/>
  <c r="K1459" i="2" s="1"/>
  <c r="O1433" i="2"/>
  <c r="J1433" i="2" s="1"/>
  <c r="K1433" i="2" s="1"/>
  <c r="O1432" i="2"/>
  <c r="J1432" i="2" s="1"/>
  <c r="K1432" i="2" s="1"/>
  <c r="I1408" i="2"/>
  <c r="O1408" i="2"/>
  <c r="J1408" i="2" s="1"/>
  <c r="K1408" i="2" s="1"/>
  <c r="N1368" i="2"/>
  <c r="O1368" i="2" s="1"/>
  <c r="J1368" i="2" s="1"/>
  <c r="K1368" i="2" s="1"/>
  <c r="I1365" i="2"/>
  <c r="N1366" i="2"/>
  <c r="O1366" i="2" s="1"/>
  <c r="J1366" i="2" s="1"/>
  <c r="K1366" i="2" s="1"/>
  <c r="N1365" i="2"/>
  <c r="O1365" i="2" s="1"/>
  <c r="J1365" i="2" s="1"/>
  <c r="K1365" i="2" s="1"/>
  <c r="N1352" i="2"/>
  <c r="O1352" i="2" s="1"/>
  <c r="J1352" i="2" s="1"/>
  <c r="K1352" i="2" s="1"/>
  <c r="I1367" i="2"/>
  <c r="N1367" i="2"/>
  <c r="O1367" i="2" s="1"/>
  <c r="J1367" i="2" s="1"/>
  <c r="K1367" i="2" s="1"/>
  <c r="N1351" i="2"/>
  <c r="O1351" i="2" s="1"/>
  <c r="J1351" i="2" s="1"/>
  <c r="K1351" i="2" s="1"/>
  <c r="N1350" i="2"/>
  <c r="O1350" i="2" s="1"/>
  <c r="J1350" i="2" s="1"/>
  <c r="K1350" i="2" s="1"/>
  <c r="I1351" i="2"/>
  <c r="N1336" i="2"/>
  <c r="O1336" i="2" s="1"/>
  <c r="J1336" i="2" s="1"/>
  <c r="K1336" i="2" s="1"/>
  <c r="N1311" i="2"/>
  <c r="O1311" i="2" s="1"/>
  <c r="J1311" i="2" s="1"/>
  <c r="K1311" i="2" s="1"/>
  <c r="N1299" i="2"/>
  <c r="O1299" i="2" s="1"/>
  <c r="J1299" i="2" s="1"/>
  <c r="K1299" i="2" s="1"/>
  <c r="N1274" i="2"/>
  <c r="O1274" i="2" s="1"/>
  <c r="J1274" i="2" s="1"/>
  <c r="K1274" i="2" s="1"/>
  <c r="O1240" i="2"/>
  <c r="J1240" i="2" s="1"/>
  <c r="K1240" i="2" s="1"/>
  <c r="O1272" i="2"/>
  <c r="J1272" i="2" s="1"/>
  <c r="K1272" i="2" s="1"/>
  <c r="O1242" i="2"/>
  <c r="J1242" i="2" s="1"/>
  <c r="K1242" i="2" s="1"/>
  <c r="N1202" i="2"/>
  <c r="O1202" i="2" s="1"/>
  <c r="J1202" i="2" s="1"/>
  <c r="K1202" i="2" s="1"/>
  <c r="N1149" i="2"/>
  <c r="O1149" i="2" s="1"/>
  <c r="J1149" i="2" s="1"/>
  <c r="N1148" i="2"/>
  <c r="O1148" i="2" s="1"/>
  <c r="J1148" i="2" s="1"/>
  <c r="O1138" i="2"/>
  <c r="J1138" i="2" s="1"/>
  <c r="O1168" i="2"/>
  <c r="J1168" i="2" s="1"/>
  <c r="K1168" i="2" s="1"/>
  <c r="O1136" i="2"/>
  <c r="J1136" i="2" s="1"/>
  <c r="O1135" i="2"/>
  <c r="J1135" i="2" s="1"/>
  <c r="K1135" i="2" s="1"/>
  <c r="I1164" i="2"/>
  <c r="N1165" i="2"/>
  <c r="O1165" i="2" s="1"/>
  <c r="J1165" i="2" s="1"/>
  <c r="K1165" i="2" s="1"/>
  <c r="N1133" i="2"/>
  <c r="O1133" i="2" s="1"/>
  <c r="J1133" i="2" s="1"/>
  <c r="K1133" i="2" s="1"/>
  <c r="N1082" i="2"/>
  <c r="O1082" i="2" s="1"/>
  <c r="J1082" i="2" s="1"/>
  <c r="K1082" i="2" s="1"/>
  <c r="N1081" i="2"/>
  <c r="O1081" i="2" s="1"/>
  <c r="J1081" i="2" s="1"/>
  <c r="K1081" i="2" s="1"/>
  <c r="N1080" i="2"/>
  <c r="O1080" i="2" s="1"/>
  <c r="J1080" i="2" s="1"/>
  <c r="K1080" i="2" s="1"/>
  <c r="O1100" i="2"/>
  <c r="J1100" i="2" s="1"/>
  <c r="K1100" i="2" s="1"/>
  <c r="O1079" i="2"/>
  <c r="J1079" i="2" s="1"/>
  <c r="O1042" i="2"/>
  <c r="J1042" i="2" s="1"/>
  <c r="K1042" i="2" s="1"/>
  <c r="O1040" i="2"/>
  <c r="J1040" i="2" s="1"/>
  <c r="K1040" i="2" s="1"/>
  <c r="I1070" i="2"/>
  <c r="O1062" i="2"/>
  <c r="J1062" i="2" s="1"/>
  <c r="K1062" i="2" s="1"/>
  <c r="O1070" i="2"/>
  <c r="J1070" i="2" s="1"/>
  <c r="K1070" i="2" s="1"/>
  <c r="O1029" i="2"/>
  <c r="J1029" i="2" s="1"/>
  <c r="K1029" i="2" s="1"/>
  <c r="N999" i="2"/>
  <c r="O999" i="2" s="1"/>
  <c r="J999" i="2" s="1"/>
  <c r="K999" i="2" s="1"/>
  <c r="O989" i="2"/>
  <c r="J989" i="2" s="1"/>
  <c r="K989" i="2" s="1"/>
  <c r="O998" i="2"/>
  <c r="J998" i="2" s="1"/>
  <c r="O976" i="2"/>
  <c r="J976" i="2" s="1"/>
  <c r="I999" i="2"/>
  <c r="I967" i="2"/>
  <c r="N932" i="2"/>
  <c r="O932" i="2" s="1"/>
  <c r="J932" i="2" s="1"/>
  <c r="N900" i="2"/>
  <c r="O900" i="2" s="1"/>
  <c r="J900" i="2" s="1"/>
  <c r="K900" i="2" s="1"/>
  <c r="N899" i="2"/>
  <c r="O899" i="2" s="1"/>
  <c r="J899" i="2" s="1"/>
  <c r="K899" i="2" s="1"/>
  <c r="O916" i="2"/>
  <c r="J916" i="2" s="1"/>
  <c r="K916" i="2" s="1"/>
  <c r="O947" i="2"/>
  <c r="J947" i="2" s="1"/>
  <c r="K947" i="2" s="1"/>
  <c r="I827" i="2"/>
  <c r="N841" i="2"/>
  <c r="O841" i="2" s="1"/>
  <c r="J841" i="2" s="1"/>
  <c r="K841" i="2" s="1"/>
  <c r="I825" i="2"/>
  <c r="N835" i="2"/>
  <c r="O835" i="2" s="1"/>
  <c r="J835" i="2" s="1"/>
  <c r="K835" i="2" s="1"/>
  <c r="I799" i="2"/>
  <c r="N799" i="2"/>
  <c r="O799" i="2" s="1"/>
  <c r="J799" i="2" s="1"/>
  <c r="K799" i="2" s="1"/>
  <c r="O757" i="2"/>
  <c r="J757" i="2" s="1"/>
  <c r="I753" i="2"/>
  <c r="N721" i="2"/>
  <c r="O721" i="2" s="1"/>
  <c r="J721" i="2" s="1"/>
  <c r="K721" i="2" s="1"/>
  <c r="I679" i="2"/>
  <c r="N658" i="2"/>
  <c r="O658" i="2" s="1"/>
  <c r="J658" i="2" s="1"/>
  <c r="K658" i="2" s="1"/>
  <c r="I674" i="2"/>
  <c r="I672" i="2"/>
  <c r="N677" i="2"/>
  <c r="O677" i="2" s="1"/>
  <c r="J677" i="2" s="1"/>
  <c r="K677" i="2" s="1"/>
  <c r="I663" i="2"/>
  <c r="N676" i="2"/>
  <c r="O676" i="2" s="1"/>
  <c r="J676" i="2" s="1"/>
  <c r="K676" i="2" s="1"/>
  <c r="I661" i="2"/>
  <c r="I634" i="2"/>
  <c r="N651" i="2"/>
  <c r="O651" i="2" s="1"/>
  <c r="J651" i="2" s="1"/>
  <c r="K651" i="2" s="1"/>
  <c r="N650" i="2"/>
  <c r="O650" i="2" s="1"/>
  <c r="J650" i="2" s="1"/>
  <c r="K650" i="2" s="1"/>
  <c r="O649" i="2"/>
  <c r="J649" i="2" s="1"/>
  <c r="K649" i="2" s="1"/>
  <c r="O640" i="2"/>
  <c r="J640" i="2" s="1"/>
  <c r="K640" i="2" s="1"/>
  <c r="I650" i="2"/>
  <c r="I635" i="2"/>
  <c r="N619" i="2"/>
  <c r="O619" i="2" s="1"/>
  <c r="J619" i="2" s="1"/>
  <c r="K619" i="2" s="1"/>
  <c r="N618" i="2"/>
  <c r="O618" i="2" s="1"/>
  <c r="J618" i="2" s="1"/>
  <c r="K618" i="2" s="1"/>
  <c r="I594" i="2"/>
  <c r="N594" i="2"/>
  <c r="O594" i="2" s="1"/>
  <c r="J594" i="2" s="1"/>
  <c r="K594" i="2" s="1"/>
  <c r="O584" i="2"/>
  <c r="J584" i="2" s="1"/>
  <c r="K584" i="2" s="1"/>
  <c r="O565" i="2"/>
  <c r="J565" i="2" s="1"/>
  <c r="O582" i="2"/>
  <c r="J582" i="2" s="1"/>
  <c r="K582" i="2" s="1"/>
  <c r="O553" i="2"/>
  <c r="J553" i="2" s="1"/>
  <c r="K553" i="2" s="1"/>
  <c r="O581" i="2"/>
  <c r="J581" i="2" s="1"/>
  <c r="K581" i="2" s="1"/>
  <c r="O552" i="2"/>
  <c r="J552" i="2" s="1"/>
  <c r="K552" i="2" s="1"/>
  <c r="I578" i="2"/>
  <c r="N562" i="2"/>
  <c r="O562" i="2" s="1"/>
  <c r="J562" i="2" s="1"/>
  <c r="K562" i="2" s="1"/>
  <c r="I562" i="2"/>
  <c r="I468" i="2"/>
  <c r="N516" i="2"/>
  <c r="O516" i="2" s="1"/>
  <c r="J516" i="2" s="1"/>
  <c r="K516" i="2" s="1"/>
  <c r="O475" i="2"/>
  <c r="J475" i="2" s="1"/>
  <c r="K475" i="2" s="1"/>
  <c r="O484" i="2"/>
  <c r="J484" i="2" s="1"/>
  <c r="K484" i="2" s="1"/>
  <c r="O523" i="2"/>
  <c r="J523" i="2" s="1"/>
  <c r="K523" i="2" s="1"/>
  <c r="O473" i="2"/>
  <c r="J473" i="2" s="1"/>
  <c r="K473" i="2" s="1"/>
  <c r="N532" i="2"/>
  <c r="O532" i="2" s="1"/>
  <c r="J532" i="2" s="1"/>
  <c r="K532" i="2" s="1"/>
  <c r="O502" i="2"/>
  <c r="J502" i="2" s="1"/>
  <c r="K502" i="2" s="1"/>
  <c r="O500" i="2"/>
  <c r="J500" i="2" s="1"/>
  <c r="K500" i="2" s="1"/>
  <c r="O468" i="2"/>
  <c r="J468" i="2" s="1"/>
  <c r="K468" i="2" s="1"/>
  <c r="I452" i="2"/>
  <c r="O452" i="2"/>
  <c r="J452" i="2" s="1"/>
  <c r="K452" i="2" s="1"/>
  <c r="I429" i="2"/>
  <c r="I413" i="2"/>
  <c r="O397" i="2"/>
  <c r="J397" i="2" s="1"/>
  <c r="K397" i="2" s="1"/>
  <c r="O445" i="2"/>
  <c r="J445" i="2" s="1"/>
  <c r="K445" i="2" s="1"/>
  <c r="N369" i="2"/>
  <c r="O369" i="2" s="1"/>
  <c r="J369" i="2" s="1"/>
  <c r="K369" i="2" s="1"/>
  <c r="O334" i="2"/>
  <c r="J334" i="2" s="1"/>
  <c r="K334" i="2" s="1"/>
  <c r="I333" i="2"/>
  <c r="N262" i="2"/>
  <c r="O262" i="2" s="1"/>
  <c r="J262" i="2" s="1"/>
  <c r="K262" i="2" s="1"/>
  <c r="N315" i="2"/>
  <c r="O315" i="2" s="1"/>
  <c r="J315" i="2" s="1"/>
  <c r="K315" i="2" s="1"/>
  <c r="I315" i="2"/>
  <c r="N299" i="2"/>
  <c r="O299" i="2"/>
  <c r="J299" i="2" s="1"/>
  <c r="K299" i="2" s="1"/>
  <c r="I299" i="2"/>
  <c r="I267" i="2"/>
  <c r="N267" i="2"/>
  <c r="O267" i="2" s="1"/>
  <c r="J267" i="2" s="1"/>
  <c r="K267" i="2" s="1"/>
  <c r="N312" i="2"/>
  <c r="O312" i="2" s="1"/>
  <c r="J312" i="2" s="1"/>
  <c r="K312" i="2" s="1"/>
  <c r="I312" i="2"/>
  <c r="N317" i="2"/>
  <c r="O317" i="2" s="1"/>
  <c r="J317" i="2" s="1"/>
  <c r="K317" i="2" s="1"/>
  <c r="I317" i="2"/>
  <c r="N256" i="2"/>
  <c r="O256" i="2" s="1"/>
  <c r="J256" i="2" s="1"/>
  <c r="K256" i="2" s="1"/>
  <c r="I256" i="2"/>
  <c r="I289" i="2"/>
  <c r="N289" i="2"/>
  <c r="O289" i="2" s="1"/>
  <c r="J289" i="2" s="1"/>
  <c r="K289" i="2" s="1"/>
  <c r="I311" i="2"/>
  <c r="N311" i="2"/>
  <c r="O311" i="2" s="1"/>
  <c r="J311" i="2" s="1"/>
  <c r="K311" i="2" s="1"/>
  <c r="N257" i="2"/>
  <c r="O257" i="2" s="1"/>
  <c r="J257" i="2" s="1"/>
  <c r="K257" i="2" s="1"/>
  <c r="I257" i="2"/>
  <c r="N273" i="2"/>
  <c r="O273" i="2" s="1"/>
  <c r="J273" i="2" s="1"/>
  <c r="K273" i="2" s="1"/>
  <c r="I273" i="2"/>
  <c r="N287" i="2"/>
  <c r="O287" i="2" s="1"/>
  <c r="J287" i="2" s="1"/>
  <c r="K287" i="2" s="1"/>
  <c r="I287" i="2"/>
  <c r="N301" i="2"/>
  <c r="O301" i="2" s="1"/>
  <c r="J301" i="2" s="1"/>
  <c r="K301" i="2" s="1"/>
  <c r="I301" i="2"/>
  <c r="I295" i="2"/>
  <c r="O295" i="2"/>
  <c r="J295" i="2" s="1"/>
  <c r="K295" i="2" s="1"/>
  <c r="N283" i="2"/>
  <c r="O283" i="2" s="1"/>
  <c r="J283" i="2" s="1"/>
  <c r="K283" i="2" s="1"/>
  <c r="I283" i="2"/>
  <c r="I321" i="2"/>
  <c r="O263" i="2"/>
  <c r="J263" i="2" s="1"/>
  <c r="K263" i="2" s="1"/>
  <c r="N266" i="2"/>
  <c r="O266" i="2" s="1"/>
  <c r="J266" i="2" s="1"/>
  <c r="K266" i="2" s="1"/>
  <c r="N284" i="2"/>
  <c r="O284" i="2" s="1"/>
  <c r="J284" i="2" s="1"/>
  <c r="K284" i="2" s="1"/>
  <c r="I284" i="2"/>
  <c r="I271" i="2"/>
  <c r="N320" i="2"/>
  <c r="O320" i="2" s="1"/>
  <c r="J320" i="2" s="1"/>
  <c r="K320" i="2" s="1"/>
  <c r="N260" i="2"/>
  <c r="O260" i="2" s="1"/>
  <c r="J260" i="2" s="1"/>
  <c r="K260" i="2" s="1"/>
  <c r="I300" i="2"/>
  <c r="I281" i="2"/>
  <c r="I316" i="2"/>
  <c r="I305" i="2"/>
  <c r="N316" i="2"/>
  <c r="O316" i="2" s="1"/>
  <c r="J316" i="2" s="1"/>
  <c r="K316" i="2" s="1"/>
  <c r="I282" i="2"/>
  <c r="N268" i="2"/>
  <c r="O268" i="2" s="1"/>
  <c r="J268" i="2" s="1"/>
  <c r="K268" i="2" s="1"/>
  <c r="N297" i="2"/>
  <c r="O297" i="2" s="1"/>
  <c r="J297" i="2" s="1"/>
  <c r="K297" i="2" s="1"/>
  <c r="I265" i="2"/>
  <c r="N255" i="2"/>
  <c r="O255" i="2" s="1"/>
  <c r="J255" i="2" s="1"/>
  <c r="K255" i="2" s="1"/>
  <c r="I255" i="2"/>
  <c r="N282" i="2"/>
  <c r="O282" i="2" s="1"/>
  <c r="J282" i="2" s="1"/>
  <c r="K282" i="2" s="1"/>
  <c r="N280" i="2"/>
  <c r="O280" i="2" s="1"/>
  <c r="J280" i="2" s="1"/>
  <c r="K280" i="2" s="1"/>
  <c r="I280" i="2"/>
  <c r="N308" i="2"/>
  <c r="O308" i="2" s="1"/>
  <c r="J308" i="2" s="1"/>
  <c r="K308" i="2" s="1"/>
  <c r="I308" i="2"/>
  <c r="N281" i="2"/>
  <c r="O281" i="2" s="1"/>
  <c r="J281" i="2" s="1"/>
  <c r="K281" i="2" s="1"/>
  <c r="N307" i="2"/>
  <c r="O307" i="2" s="1"/>
  <c r="J307" i="2" s="1"/>
  <c r="K307" i="2" s="1"/>
  <c r="I307" i="2"/>
  <c r="N259" i="2"/>
  <c r="O259" i="2" s="1"/>
  <c r="J259" i="2" s="1"/>
  <c r="K259" i="2" s="1"/>
  <c r="I259" i="2"/>
  <c r="N304" i="2"/>
  <c r="O304" i="2" s="1"/>
  <c r="J304" i="2" s="1"/>
  <c r="K304" i="2" s="1"/>
  <c r="N278" i="2"/>
  <c r="O278" i="2" s="1"/>
  <c r="J278" i="2" s="1"/>
  <c r="K278" i="2" s="1"/>
  <c r="N258" i="2"/>
  <c r="O258" i="2" s="1"/>
  <c r="J258" i="2" s="1"/>
  <c r="K258" i="2" s="1"/>
  <c r="I258" i="2"/>
  <c r="N294" i="2"/>
  <c r="O294" i="2" s="1"/>
  <c r="J294" i="2" s="1"/>
  <c r="K294" i="2" s="1"/>
  <c r="N323" i="2"/>
  <c r="O323" i="2" s="1"/>
  <c r="J323" i="2" s="1"/>
  <c r="K323" i="2" s="1"/>
  <c r="I310" i="2"/>
  <c r="I296" i="2"/>
  <c r="N300" i="2"/>
  <c r="O300" i="2" s="1"/>
  <c r="J300" i="2" s="1"/>
  <c r="K300" i="2" s="1"/>
  <c r="I309" i="2"/>
  <c r="N286" i="2"/>
  <c r="O286" i="2" s="1"/>
  <c r="J286" i="2" s="1"/>
  <c r="K286" i="2" s="1"/>
  <c r="N303" i="2"/>
  <c r="O303" i="2" s="1"/>
  <c r="J303" i="2" s="1"/>
  <c r="K303" i="2" s="1"/>
  <c r="O275" i="2"/>
  <c r="J275" i="2" s="1"/>
  <c r="K275" i="2" s="1"/>
  <c r="N253" i="2"/>
  <c r="O253" i="2" s="1"/>
  <c r="J253" i="2" s="1"/>
  <c r="K253" i="2" s="1"/>
  <c r="I253" i="2"/>
  <c r="N310" i="2"/>
  <c r="O310" i="2" s="1"/>
  <c r="J310" i="2" s="1"/>
  <c r="K310" i="2" s="1"/>
  <c r="I269" i="2"/>
  <c r="O272" i="2"/>
  <c r="J272" i="2" s="1"/>
  <c r="O269" i="2"/>
  <c r="J269" i="2" s="1"/>
  <c r="K269" i="2" s="1"/>
  <c r="I226" i="2"/>
  <c r="I244" i="2"/>
  <c r="N214" i="2"/>
  <c r="O214" i="2" s="1"/>
  <c r="J214" i="2" s="1"/>
  <c r="K214" i="2" s="1"/>
  <c r="I214" i="2"/>
  <c r="N233" i="2"/>
  <c r="O233" i="2" s="1"/>
  <c r="J233" i="2" s="1"/>
  <c r="K233" i="2" s="1"/>
  <c r="I233" i="2"/>
  <c r="N226" i="2"/>
  <c r="O226" i="2" s="1"/>
  <c r="J226" i="2" s="1"/>
  <c r="K226" i="2" s="1"/>
  <c r="I246" i="2"/>
  <c r="I210" i="2"/>
  <c r="I199" i="2"/>
  <c r="N199" i="2"/>
  <c r="O199" i="2" s="1"/>
  <c r="J199" i="2" s="1"/>
  <c r="K199" i="2" s="1"/>
  <c r="N216" i="2"/>
  <c r="O216" i="2" s="1"/>
  <c r="J216" i="2" s="1"/>
  <c r="K216" i="2" s="1"/>
  <c r="I216" i="2"/>
  <c r="N228" i="2"/>
  <c r="O228" i="2" s="1"/>
  <c r="J228" i="2" s="1"/>
  <c r="K228" i="2" s="1"/>
  <c r="I228" i="2"/>
  <c r="I248" i="2"/>
  <c r="N248" i="2"/>
  <c r="O248" i="2" s="1"/>
  <c r="J248" i="2" s="1"/>
  <c r="K248" i="2" s="1"/>
  <c r="N232" i="2"/>
  <c r="O232" i="2" s="1"/>
  <c r="J232" i="2" s="1"/>
  <c r="K232" i="2" s="1"/>
  <c r="I232" i="2"/>
  <c r="I230" i="2"/>
  <c r="N230" i="2"/>
  <c r="O230" i="2" s="1"/>
  <c r="J230" i="2" s="1"/>
  <c r="K230" i="2" s="1"/>
  <c r="N221" i="2"/>
  <c r="O221" i="2" s="1"/>
  <c r="J221" i="2" s="1"/>
  <c r="K221" i="2" s="1"/>
  <c r="I221" i="2"/>
  <c r="N218" i="2"/>
  <c r="O218" i="2" s="1"/>
  <c r="J218" i="2" s="1"/>
  <c r="K218" i="2" s="1"/>
  <c r="I218" i="2"/>
  <c r="N205" i="2"/>
  <c r="O205" i="2" s="1"/>
  <c r="J205" i="2" s="1"/>
  <c r="K205" i="2" s="1"/>
  <c r="N225" i="2"/>
  <c r="O225" i="2" s="1"/>
  <c r="J225" i="2" s="1"/>
  <c r="K225" i="2" s="1"/>
  <c r="N236" i="2"/>
  <c r="O236" i="2" s="1"/>
  <c r="J236" i="2" s="1"/>
  <c r="K236" i="2" s="1"/>
  <c r="I236" i="2"/>
  <c r="N220" i="2"/>
  <c r="O220" i="2" s="1"/>
  <c r="J220" i="2" s="1"/>
  <c r="K220" i="2" s="1"/>
  <c r="I220" i="2"/>
  <c r="I204" i="2"/>
  <c r="N204" i="2"/>
  <c r="O204" i="2" s="1"/>
  <c r="J204" i="2" s="1"/>
  <c r="K204" i="2" s="1"/>
  <c r="N235" i="2"/>
  <c r="O235" i="2" s="1"/>
  <c r="J235" i="2" s="1"/>
  <c r="K235" i="2" s="1"/>
  <c r="I235" i="2"/>
  <c r="I203" i="2"/>
  <c r="N203" i="2"/>
  <c r="O203" i="2" s="1"/>
  <c r="J203" i="2" s="1"/>
  <c r="K203" i="2" s="1"/>
  <c r="O213" i="2"/>
  <c r="J213" i="2" s="1"/>
  <c r="K213" i="2" s="1"/>
  <c r="I217" i="2"/>
  <c r="N200" i="2"/>
  <c r="O200" i="2" s="1"/>
  <c r="J200" i="2" s="1"/>
  <c r="K200" i="2" s="1"/>
  <c r="I187" i="2"/>
  <c r="N187" i="2"/>
  <c r="O187" i="2" s="1"/>
  <c r="J187" i="2" s="1"/>
  <c r="K187" i="2" s="1"/>
  <c r="N143" i="2"/>
  <c r="O143" i="2" s="1"/>
  <c r="J143" i="2" s="1"/>
  <c r="K143" i="2" s="1"/>
  <c r="I143" i="2"/>
  <c r="N186" i="2"/>
  <c r="O186" i="2" s="1"/>
  <c r="J186" i="2" s="1"/>
  <c r="K186" i="2" s="1"/>
  <c r="I186" i="2"/>
  <c r="N223" i="2"/>
  <c r="O223" i="2" s="1"/>
  <c r="J223" i="2" s="1"/>
  <c r="K223" i="2" s="1"/>
  <c r="N185" i="2"/>
  <c r="O185" i="2" s="1"/>
  <c r="J185" i="2" s="1"/>
  <c r="K185" i="2" s="1"/>
  <c r="I185" i="2"/>
  <c r="N162" i="2"/>
  <c r="O162" i="2" s="1"/>
  <c r="J162" i="2" s="1"/>
  <c r="K162" i="2" s="1"/>
  <c r="I184" i="2"/>
  <c r="N184" i="2"/>
  <c r="O184" i="2" s="1"/>
  <c r="J184" i="2" s="1"/>
  <c r="K184" i="2" s="1"/>
  <c r="N183" i="2"/>
  <c r="O183" i="2" s="1"/>
  <c r="J183" i="2" s="1"/>
  <c r="K183" i="2" s="1"/>
  <c r="I183" i="2"/>
  <c r="N159" i="2"/>
  <c r="O159" i="2" s="1"/>
  <c r="J159" i="2" s="1"/>
  <c r="K159" i="2" s="1"/>
  <c r="I159" i="2"/>
  <c r="N180" i="2"/>
  <c r="O180" i="2" s="1"/>
  <c r="J180" i="2" s="1"/>
  <c r="K180" i="2" s="1"/>
  <c r="I156" i="2"/>
  <c r="N156" i="2"/>
  <c r="O156" i="2" s="1"/>
  <c r="J156" i="2" s="1"/>
  <c r="K156" i="2" s="1"/>
  <c r="I247" i="2"/>
  <c r="N247" i="2"/>
  <c r="O247" i="2" s="1"/>
  <c r="J247" i="2" s="1"/>
  <c r="K247" i="2" s="1"/>
  <c r="N155" i="2"/>
  <c r="O155" i="2" s="1"/>
  <c r="J155" i="2" s="1"/>
  <c r="K155" i="2" s="1"/>
  <c r="I155" i="2"/>
  <c r="I215" i="2"/>
  <c r="N215" i="2"/>
  <c r="O215" i="2" s="1"/>
  <c r="J215" i="2" s="1"/>
  <c r="K215" i="2" s="1"/>
  <c r="N158" i="2"/>
  <c r="O158" i="2" s="1"/>
  <c r="J158" i="2" s="1"/>
  <c r="K158" i="2" s="1"/>
  <c r="N175" i="2"/>
  <c r="O175" i="2" s="1"/>
  <c r="J175" i="2" s="1"/>
  <c r="K175" i="2" s="1"/>
  <c r="I175" i="2"/>
  <c r="I154" i="2"/>
  <c r="N154" i="2"/>
  <c r="O154" i="2" s="1"/>
  <c r="J154" i="2" s="1"/>
  <c r="K154" i="2" s="1"/>
  <c r="N245" i="2"/>
  <c r="O245" i="2" s="1"/>
  <c r="J245" i="2" s="1"/>
  <c r="K245" i="2" s="1"/>
  <c r="I245" i="2"/>
  <c r="N181" i="2"/>
  <c r="O181" i="2" s="1"/>
  <c r="J181" i="2" s="1"/>
  <c r="K181" i="2" s="1"/>
  <c r="N165" i="2"/>
  <c r="O165" i="2" s="1"/>
  <c r="J165" i="2" s="1"/>
  <c r="K165" i="2" s="1"/>
  <c r="I165" i="2"/>
  <c r="N149" i="2"/>
  <c r="O149" i="2" s="1"/>
  <c r="J149" i="2" s="1"/>
  <c r="K149" i="2" s="1"/>
  <c r="I149" i="2"/>
  <c r="N174" i="2"/>
  <c r="O174" i="2" s="1"/>
  <c r="J174" i="2" s="1"/>
  <c r="K174" i="2" s="1"/>
  <c r="I153" i="2"/>
  <c r="N153" i="2"/>
  <c r="O153" i="2" s="1"/>
  <c r="J153" i="2" s="1"/>
  <c r="K153" i="2" s="1"/>
  <c r="N172" i="2"/>
  <c r="O172" i="2" s="1"/>
  <c r="J172" i="2" s="1"/>
  <c r="K172" i="2" s="1"/>
  <c r="I172" i="2"/>
  <c r="I152" i="2"/>
  <c r="N152" i="2"/>
  <c r="O152" i="2" s="1"/>
  <c r="J152" i="2" s="1"/>
  <c r="K152" i="2" s="1"/>
  <c r="N243" i="2"/>
  <c r="O243" i="2" s="1"/>
  <c r="J243" i="2" s="1"/>
  <c r="K243" i="2" s="1"/>
  <c r="I243" i="2"/>
  <c r="N227" i="2"/>
  <c r="O227" i="2" s="1"/>
  <c r="J227" i="2" s="1"/>
  <c r="K227" i="2" s="1"/>
  <c r="I227" i="2"/>
  <c r="N179" i="2"/>
  <c r="O179" i="2" s="1"/>
  <c r="J179" i="2" s="1"/>
  <c r="K179" i="2" s="1"/>
  <c r="I179" i="2"/>
  <c r="I163" i="2"/>
  <c r="N163" i="2"/>
  <c r="O163" i="2" s="1"/>
  <c r="J163" i="2" s="1"/>
  <c r="K163" i="2" s="1"/>
  <c r="N147" i="2"/>
  <c r="O147" i="2" s="1"/>
  <c r="J147" i="2" s="1"/>
  <c r="K147" i="2" s="1"/>
  <c r="I147" i="2"/>
  <c r="N171" i="2"/>
  <c r="O171" i="2" s="1"/>
  <c r="J171" i="2" s="1"/>
  <c r="K171" i="2" s="1"/>
  <c r="I171" i="2"/>
  <c r="N151" i="2"/>
  <c r="O151" i="2" s="1"/>
  <c r="J151" i="2" s="1"/>
  <c r="K151" i="2" s="1"/>
  <c r="I151" i="2"/>
  <c r="N207" i="2"/>
  <c r="O207" i="2" s="1"/>
  <c r="J207" i="2" s="1"/>
  <c r="K207" i="2" s="1"/>
  <c r="N194" i="2"/>
  <c r="O194" i="2" s="1"/>
  <c r="J194" i="2" s="1"/>
  <c r="K194" i="2" s="1"/>
  <c r="I194" i="2"/>
  <c r="N178" i="2"/>
  <c r="O178" i="2" s="1"/>
  <c r="J178" i="2" s="1"/>
  <c r="K178" i="2" s="1"/>
  <c r="N222" i="2"/>
  <c r="O222" i="2" s="1"/>
  <c r="J222" i="2" s="1"/>
  <c r="K222" i="2" s="1"/>
  <c r="N170" i="2"/>
  <c r="O170" i="2" s="1"/>
  <c r="J170" i="2" s="1"/>
  <c r="K170" i="2" s="1"/>
  <c r="I170" i="2"/>
  <c r="N167" i="2"/>
  <c r="O167" i="2" s="1"/>
  <c r="J167" i="2" s="1"/>
  <c r="K167" i="2" s="1"/>
  <c r="I167" i="2"/>
  <c r="N238" i="2"/>
  <c r="O238" i="2" s="1"/>
  <c r="J238" i="2" s="1"/>
  <c r="K238" i="2" s="1"/>
  <c r="N191" i="2"/>
  <c r="O191" i="2" s="1"/>
  <c r="J191" i="2" s="1"/>
  <c r="K191" i="2" s="1"/>
  <c r="I191" i="2"/>
  <c r="N169" i="2"/>
  <c r="O169" i="2" s="1"/>
  <c r="J169" i="2" s="1"/>
  <c r="K169" i="2" s="1"/>
  <c r="I169" i="2"/>
  <c r="I148" i="2"/>
  <c r="N240" i="2"/>
  <c r="O240" i="2" s="1"/>
  <c r="J240" i="2" s="1"/>
  <c r="K240" i="2" s="1"/>
  <c r="I240" i="2"/>
  <c r="I224" i="2"/>
  <c r="N176" i="2"/>
  <c r="O176" i="2" s="1"/>
  <c r="J176" i="2" s="1"/>
  <c r="K176" i="2" s="1"/>
  <c r="I160" i="2"/>
  <c r="I188" i="2"/>
  <c r="N188" i="2"/>
  <c r="O188" i="2" s="1"/>
  <c r="J188" i="2" s="1"/>
  <c r="K188" i="2" s="1"/>
  <c r="N206" i="2"/>
  <c r="O206" i="2" s="1"/>
  <c r="J206" i="2" s="1"/>
  <c r="K206" i="2" s="1"/>
  <c r="N168" i="2"/>
  <c r="O168" i="2" s="1"/>
  <c r="J168" i="2" s="1"/>
  <c r="K168" i="2" s="1"/>
  <c r="I168" i="2"/>
  <c r="N146" i="2"/>
  <c r="O146" i="2" s="1"/>
  <c r="J146" i="2" s="1"/>
  <c r="K146" i="2" s="1"/>
  <c r="I231" i="2"/>
  <c r="N231" i="2"/>
  <c r="O231" i="2" s="1"/>
  <c r="J231" i="2" s="1"/>
  <c r="K231" i="2" s="1"/>
  <c r="I202" i="2"/>
  <c r="N202" i="2"/>
  <c r="O202" i="2" s="1"/>
  <c r="J202" i="2" s="1"/>
  <c r="K202" i="2" s="1"/>
  <c r="I213" i="2"/>
  <c r="O212" i="2"/>
  <c r="J212" i="2" s="1"/>
  <c r="K212" i="2" s="1"/>
  <c r="N246" i="2"/>
  <c r="O246" i="2" s="1"/>
  <c r="J246" i="2" s="1"/>
  <c r="K246" i="2" s="1"/>
  <c r="N234" i="2"/>
  <c r="O234" i="2" s="1"/>
  <c r="J234" i="2" s="1"/>
  <c r="K234" i="2" s="1"/>
  <c r="I242" i="2"/>
  <c r="N210" i="2"/>
  <c r="O210" i="2" s="1"/>
  <c r="J210" i="2" s="1"/>
  <c r="K210" i="2" s="1"/>
  <c r="I205" i="2"/>
  <c r="O244" i="2"/>
  <c r="J244" i="2" s="1"/>
  <c r="K244" i="2" s="1"/>
  <c r="O219" i="2"/>
  <c r="J219" i="2" s="1"/>
  <c r="K219" i="2" s="1"/>
  <c r="I237" i="2"/>
  <c r="I234" i="2"/>
  <c r="I239" i="2"/>
  <c r="N229" i="2"/>
  <c r="O229" i="2" s="1"/>
  <c r="J229" i="2" s="1"/>
  <c r="K229" i="2" s="1"/>
  <c r="N145" i="2"/>
  <c r="O145" i="2" s="1"/>
  <c r="J145" i="2" s="1"/>
  <c r="K145" i="2" s="1"/>
  <c r="N209" i="2"/>
  <c r="O209" i="2" s="1"/>
  <c r="J209" i="2" s="1"/>
  <c r="K209" i="2" s="1"/>
  <c r="I209" i="2"/>
  <c r="N208" i="2"/>
  <c r="O208" i="2" s="1"/>
  <c r="J208" i="2" s="1"/>
  <c r="K208" i="2" s="1"/>
  <c r="I241" i="2"/>
  <c r="I225" i="2"/>
  <c r="I208" i="2"/>
  <c r="N224" i="2"/>
  <c r="O224" i="2" s="1"/>
  <c r="J224" i="2" s="1"/>
  <c r="K224" i="2" s="1"/>
  <c r="N241" i="2"/>
  <c r="O241" i="2" s="1"/>
  <c r="J241" i="2" s="1"/>
  <c r="K241" i="2" s="1"/>
  <c r="I193" i="2"/>
  <c r="N193" i="2"/>
  <c r="O193" i="2" s="1"/>
  <c r="J193" i="2" s="1"/>
  <c r="K193" i="2" s="1"/>
  <c r="N182" i="2"/>
  <c r="O182" i="2" s="1"/>
  <c r="J182" i="2" s="1"/>
  <c r="K182" i="2" s="1"/>
  <c r="I182" i="2"/>
  <c r="I164" i="2"/>
  <c r="N192" i="2"/>
  <c r="O192" i="2" s="1"/>
  <c r="J192" i="2" s="1"/>
  <c r="K192" i="2" s="1"/>
  <c r="I192" i="2"/>
  <c r="N161" i="2"/>
  <c r="O161" i="2" s="1"/>
  <c r="J161" i="2" s="1"/>
  <c r="K161" i="2" s="1"/>
  <c r="I190" i="2"/>
  <c r="N160" i="2"/>
  <c r="O160" i="2" s="1"/>
  <c r="J160" i="2" s="1"/>
  <c r="K160" i="2" s="1"/>
  <c r="N150" i="2"/>
  <c r="O150" i="2" s="1"/>
  <c r="J150" i="2" s="1"/>
  <c r="K150" i="2" s="1"/>
  <c r="I176" i="2"/>
  <c r="N148" i="2"/>
  <c r="O148" i="2" s="1"/>
  <c r="J148" i="2" s="1"/>
  <c r="K148" i="2" s="1"/>
  <c r="N177" i="2"/>
  <c r="O177" i="2" s="1"/>
  <c r="J177" i="2" s="1"/>
  <c r="K177" i="2" s="1"/>
  <c r="N166" i="2"/>
  <c r="O166" i="2" s="1"/>
  <c r="J166" i="2" s="1"/>
  <c r="K166" i="2" s="1"/>
  <c r="I144" i="2"/>
  <c r="O164" i="2"/>
  <c r="J164" i="2" s="1"/>
  <c r="K164" i="2" s="1"/>
  <c r="N129" i="2"/>
  <c r="O129" i="2" s="1"/>
  <c r="J129" i="2" s="1"/>
  <c r="K129" i="2" s="1"/>
  <c r="N9" i="2"/>
  <c r="O9" i="2" s="1"/>
  <c r="J9" i="2" s="1"/>
  <c r="K9" i="2" s="1"/>
  <c r="N24" i="2"/>
  <c r="I41" i="2"/>
  <c r="N25" i="2"/>
  <c r="O25" i="2" s="1"/>
  <c r="J25" i="2" s="1"/>
  <c r="K25" i="2" s="1"/>
  <c r="I86" i="2"/>
  <c r="I122" i="2"/>
  <c r="N121" i="2"/>
  <c r="O121" i="2" s="1"/>
  <c r="J121" i="2" s="1"/>
  <c r="K121" i="2" s="1"/>
  <c r="N130" i="2"/>
  <c r="O130" i="2" s="1"/>
  <c r="J130" i="2" s="1"/>
  <c r="K130" i="2" s="1"/>
  <c r="I129" i="2"/>
  <c r="N40" i="2"/>
  <c r="O40" i="2" s="1"/>
  <c r="J40" i="2" s="1"/>
  <c r="K40" i="2" s="1"/>
  <c r="N42" i="2"/>
  <c r="O42" i="2" s="1"/>
  <c r="J42" i="2" s="1"/>
  <c r="K42" i="2" s="1"/>
  <c r="N55" i="2"/>
  <c r="O55" i="2" s="1"/>
  <c r="J55" i="2" s="1"/>
  <c r="K55" i="2" s="1"/>
  <c r="N39" i="2"/>
  <c r="O39" i="2" s="1"/>
  <c r="J39" i="2" s="1"/>
  <c r="K39" i="2" s="1"/>
  <c r="I12" i="2"/>
  <c r="I52" i="2"/>
  <c r="N36" i="2"/>
  <c r="O36" i="2" s="1"/>
  <c r="J36" i="2" s="1"/>
  <c r="K36" i="2" s="1"/>
  <c r="N20" i="2"/>
  <c r="O20" i="2" s="1"/>
  <c r="J20" i="2" s="1"/>
  <c r="K20" i="2" s="1"/>
  <c r="I101" i="2"/>
  <c r="N66" i="2"/>
  <c r="O66" i="2" s="1"/>
  <c r="J66" i="2" s="1"/>
  <c r="K66" i="2" s="1"/>
  <c r="I85" i="2"/>
  <c r="I64" i="2"/>
  <c r="O120" i="2"/>
  <c r="J120" i="2" s="1"/>
  <c r="K120" i="2" s="1"/>
  <c r="N124" i="2"/>
  <c r="O124" i="2" s="1"/>
  <c r="J124" i="2" s="1"/>
  <c r="K124" i="2" s="1"/>
  <c r="N123" i="2"/>
  <c r="O123" i="2" s="1"/>
  <c r="J123" i="2" s="1"/>
  <c r="K123" i="2" s="1"/>
  <c r="N136" i="2"/>
  <c r="O136" i="2" s="1"/>
  <c r="J136" i="2" s="1"/>
  <c r="K136" i="2" s="1"/>
  <c r="N82" i="2"/>
  <c r="O82" i="2" s="1"/>
  <c r="J82" i="2" s="1"/>
  <c r="K82" i="2" s="1"/>
  <c r="I83" i="2"/>
  <c r="I95" i="2"/>
  <c r="N47" i="2"/>
  <c r="O47" i="2" s="1"/>
  <c r="J47" i="2" s="1"/>
  <c r="K47" i="2" s="1"/>
  <c r="I47" i="2"/>
  <c r="I45" i="2"/>
  <c r="N45" i="2"/>
  <c r="O45" i="2" s="1"/>
  <c r="J45" i="2" s="1"/>
  <c r="K45" i="2" s="1"/>
  <c r="N13" i="2"/>
  <c r="O13" i="2" s="1"/>
  <c r="J13" i="2" s="1"/>
  <c r="K13" i="2" s="1"/>
  <c r="I13" i="2"/>
  <c r="N15" i="2"/>
  <c r="O15" i="2" s="1"/>
  <c r="J15" i="2" s="1"/>
  <c r="K15" i="2" s="1"/>
  <c r="I15" i="2"/>
  <c r="N10" i="2"/>
  <c r="O10" i="2" s="1"/>
  <c r="J10" i="2" s="1"/>
  <c r="K10" i="2" s="1"/>
  <c r="I10" i="2"/>
  <c r="N34" i="2"/>
  <c r="O34" i="2" s="1"/>
  <c r="J34" i="2" s="1"/>
  <c r="K34" i="2" s="1"/>
  <c r="I34" i="2"/>
  <c r="I32" i="2"/>
  <c r="N32" i="2"/>
  <c r="O32" i="2" s="1"/>
  <c r="J32" i="2" s="1"/>
  <c r="K32" i="2" s="1"/>
  <c r="N31" i="2"/>
  <c r="O31" i="2" s="1"/>
  <c r="J31" i="2" s="1"/>
  <c r="K31" i="2" s="1"/>
  <c r="I31" i="2"/>
  <c r="I60" i="2"/>
  <c r="N60" i="2"/>
  <c r="O60" i="2" s="1"/>
  <c r="J60" i="2" s="1"/>
  <c r="K60" i="2" s="1"/>
  <c r="N28" i="2"/>
  <c r="O28" i="2" s="1"/>
  <c r="J28" i="2" s="1"/>
  <c r="K28" i="2" s="1"/>
  <c r="I28" i="2"/>
  <c r="N43" i="2"/>
  <c r="N27" i="2"/>
  <c r="O27" i="2" s="1"/>
  <c r="J27" i="2" s="1"/>
  <c r="K27" i="2" s="1"/>
  <c r="I27" i="2"/>
  <c r="N11" i="2"/>
  <c r="O11" i="2" s="1"/>
  <c r="J11" i="2" s="1"/>
  <c r="K11" i="2" s="1"/>
  <c r="I11" i="2"/>
  <c r="N29" i="2"/>
  <c r="O29" i="2" s="1"/>
  <c r="J29" i="2" s="1"/>
  <c r="K29" i="2" s="1"/>
  <c r="I29" i="2"/>
  <c r="I8" i="2"/>
  <c r="I50" i="2"/>
  <c r="N50" i="2"/>
  <c r="O50" i="2" s="1"/>
  <c r="J50" i="2" s="1"/>
  <c r="K50" i="2" s="1"/>
  <c r="N18" i="2"/>
  <c r="O18" i="2" s="1"/>
  <c r="J18" i="2" s="1"/>
  <c r="K18" i="2" s="1"/>
  <c r="I18" i="2"/>
  <c r="I49" i="2"/>
  <c r="N49" i="2"/>
  <c r="O49" i="2" s="1"/>
  <c r="J49" i="2" s="1"/>
  <c r="K49" i="2" s="1"/>
  <c r="I17" i="2"/>
  <c r="I54" i="2"/>
  <c r="N54" i="2"/>
  <c r="O54" i="2" s="1"/>
  <c r="J54" i="2" s="1"/>
  <c r="K54" i="2" s="1"/>
  <c r="N38" i="2"/>
  <c r="O38" i="2" s="1"/>
  <c r="J38" i="2" s="1"/>
  <c r="K38" i="2" s="1"/>
  <c r="I22" i="2"/>
  <c r="I6" i="2"/>
  <c r="N6" i="2"/>
  <c r="O6" i="2" s="1"/>
  <c r="J6" i="2" s="1"/>
  <c r="K6" i="2" s="1"/>
  <c r="N48" i="2"/>
  <c r="O48" i="2" s="1"/>
  <c r="J48" i="2" s="1"/>
  <c r="K48" i="2" s="1"/>
  <c r="I48" i="2"/>
  <c r="I16" i="2"/>
  <c r="N16" i="2"/>
  <c r="O16" i="2" s="1"/>
  <c r="J16" i="2" s="1"/>
  <c r="K16" i="2" s="1"/>
  <c r="I53" i="2"/>
  <c r="N53" i="2"/>
  <c r="O53" i="2" s="1"/>
  <c r="J53" i="2" s="1"/>
  <c r="K53" i="2" s="1"/>
  <c r="N37" i="2"/>
  <c r="O37" i="2" s="1"/>
  <c r="J37" i="2" s="1"/>
  <c r="K37" i="2" s="1"/>
  <c r="I37" i="2"/>
  <c r="N21" i="2"/>
  <c r="O21" i="2" s="1"/>
  <c r="J21" i="2" s="1"/>
  <c r="K21" i="2" s="1"/>
  <c r="I21" i="2"/>
  <c r="I5" i="2"/>
  <c r="N5" i="2"/>
  <c r="O5" i="2" s="1"/>
  <c r="J5" i="2" s="1"/>
  <c r="K5" i="2" s="1"/>
  <c r="I46" i="2"/>
  <c r="I14" i="2"/>
  <c r="I30" i="2"/>
  <c r="I7" i="2"/>
  <c r="N35" i="2"/>
  <c r="O35" i="2" s="1"/>
  <c r="J35" i="2" s="1"/>
  <c r="K35" i="2" s="1"/>
  <c r="I44" i="2"/>
  <c r="N7" i="2"/>
  <c r="O7" i="2" s="1"/>
  <c r="J7" i="2" s="1"/>
  <c r="K7" i="2" s="1"/>
  <c r="I43" i="2"/>
  <c r="I38" i="2"/>
  <c r="O128" i="2"/>
  <c r="J128" i="2" s="1"/>
  <c r="K128" i="2" s="1"/>
  <c r="O127" i="2"/>
  <c r="J127" i="2" s="1"/>
  <c r="K127" i="2" s="1"/>
  <c r="N125" i="2"/>
  <c r="O125" i="2" s="1"/>
  <c r="J125" i="2" s="1"/>
  <c r="K125" i="2" s="1"/>
  <c r="I75" i="2"/>
  <c r="N75" i="2"/>
  <c r="O75" i="2" s="1"/>
  <c r="J75" i="2" s="1"/>
  <c r="K75" i="2" s="1"/>
  <c r="I74" i="2"/>
  <c r="I107" i="2"/>
  <c r="I106" i="2"/>
  <c r="N91" i="2"/>
  <c r="O91" i="2" s="1"/>
  <c r="J91" i="2" s="1"/>
  <c r="K91" i="2" s="1"/>
  <c r="I92" i="2"/>
  <c r="N51" i="2"/>
  <c r="O51" i="2" s="1"/>
  <c r="J51" i="2" s="1"/>
  <c r="K51" i="2" s="1"/>
  <c r="N26" i="2"/>
  <c r="O26" i="2" s="1"/>
  <c r="J26" i="2" s="1"/>
  <c r="K26" i="2" s="1"/>
  <c r="I42" i="2"/>
  <c r="I33" i="2"/>
  <c r="N19" i="2"/>
  <c r="O19" i="2" s="1"/>
  <c r="J19" i="2" s="1"/>
  <c r="K19" i="2" s="1"/>
  <c r="I55" i="2"/>
  <c r="N17" i="2"/>
  <c r="O17" i="2" s="1"/>
  <c r="J17" i="2" s="1"/>
  <c r="K17" i="2" s="1"/>
  <c r="N8" i="2"/>
  <c r="O8" i="2" s="1"/>
  <c r="J8" i="2" s="1"/>
  <c r="K8" i="2" s="1"/>
  <c r="I82" i="2"/>
  <c r="N113" i="2"/>
  <c r="O113" i="2" s="1"/>
  <c r="J113" i="2" s="1"/>
  <c r="K113" i="2" s="1"/>
  <c r="N112" i="2"/>
  <c r="O112" i="2" s="1"/>
  <c r="J112" i="2" s="1"/>
  <c r="K112" i="2" s="1"/>
  <c r="N111" i="2"/>
  <c r="O111" i="2" s="1"/>
  <c r="J111" i="2" s="1"/>
  <c r="K111" i="2" s="1"/>
  <c r="O70" i="2"/>
  <c r="J70" i="2" s="1"/>
  <c r="K70" i="2" s="1"/>
  <c r="N68" i="2"/>
  <c r="O68" i="2" s="1"/>
  <c r="J68" i="2" s="1"/>
  <c r="K68" i="2" s="1"/>
  <c r="O96" i="2"/>
  <c r="J96" i="2" s="1"/>
  <c r="K96" i="2" s="1"/>
  <c r="I79" i="2"/>
  <c r="N78" i="2"/>
  <c r="O78" i="2" s="1"/>
  <c r="J78" i="2" s="1"/>
  <c r="K78" i="2" s="1"/>
  <c r="N69" i="2"/>
  <c r="O69" i="2" s="1"/>
  <c r="J69" i="2" s="1"/>
  <c r="K69" i="2" s="1"/>
  <c r="N95" i="2"/>
  <c r="O95" i="2" s="1"/>
  <c r="J95" i="2" s="1"/>
  <c r="K95" i="2" s="1"/>
  <c r="I113" i="2"/>
  <c r="N115" i="2"/>
  <c r="O115" i="2" s="1"/>
  <c r="J115" i="2" s="1"/>
  <c r="K115" i="2" s="1"/>
  <c r="O94" i="2"/>
  <c r="J94" i="2" s="1"/>
  <c r="K94" i="2" s="1"/>
  <c r="O76" i="2"/>
  <c r="J76" i="2" s="1"/>
  <c r="K76" i="2" s="1"/>
  <c r="O67" i="2"/>
  <c r="J67" i="2" s="1"/>
  <c r="K67" i="2" s="1"/>
  <c r="I100" i="2"/>
  <c r="N114" i="2"/>
  <c r="O114" i="2" s="1"/>
  <c r="J114" i="2" s="1"/>
  <c r="K114" i="2" s="1"/>
  <c r="N85" i="2"/>
  <c r="O85" i="2" s="1"/>
  <c r="J85" i="2" s="1"/>
  <c r="K85" i="2" s="1"/>
  <c r="I99" i="2"/>
  <c r="N84" i="2"/>
  <c r="O84" i="2" s="1"/>
  <c r="J84" i="2" s="1"/>
  <c r="K84" i="2" s="1"/>
  <c r="O79" i="2"/>
  <c r="J79" i="2" s="1"/>
  <c r="K79" i="2" s="1"/>
  <c r="O61" i="2"/>
  <c r="J61" i="2" s="1"/>
  <c r="K61" i="2" s="1"/>
  <c r="N52" i="2"/>
  <c r="O52" i="2" s="1"/>
  <c r="J52" i="2" s="1"/>
  <c r="K52" i="2" s="1"/>
  <c r="N23" i="2"/>
  <c r="O23" i="2" s="1"/>
  <c r="J23" i="2" s="1"/>
  <c r="K23" i="2" s="1"/>
  <c r="I9" i="2"/>
  <c r="I23" i="2"/>
  <c r="N41" i="2"/>
  <c r="O41" i="2" s="1"/>
  <c r="J41" i="2" s="1"/>
  <c r="K41" i="2" s="1"/>
  <c r="N22" i="2"/>
  <c r="O22" i="2" s="1"/>
  <c r="J22" i="2" s="1"/>
  <c r="K22" i="2" s="1"/>
  <c r="I39" i="2"/>
  <c r="N12" i="2"/>
  <c r="O12" i="2" s="1"/>
  <c r="J12" i="2" s="1"/>
  <c r="K12" i="2" s="1"/>
  <c r="I36" i="2"/>
  <c r="N30" i="2"/>
  <c r="O30" i="2" s="1"/>
  <c r="J30" i="2" s="1"/>
  <c r="K30" i="2" s="1"/>
  <c r="N46" i="2"/>
  <c r="O46" i="2" s="1"/>
  <c r="J46" i="2" s="1"/>
  <c r="K46" i="2" s="1"/>
  <c r="N44" i="2"/>
  <c r="O44" i="2" s="1"/>
  <c r="J44" i="2" s="1"/>
  <c r="K44" i="2" s="1"/>
  <c r="O24" i="2"/>
  <c r="J24" i="2" s="1"/>
  <c r="K24" i="2" s="1"/>
  <c r="O43" i="2"/>
  <c r="J43" i="2" s="1"/>
  <c r="K43" i="2" s="1"/>
  <c r="I1682" i="2"/>
  <c r="I1681" i="2"/>
  <c r="I1645" i="2"/>
  <c r="I1650" i="2"/>
  <c r="I1602" i="2"/>
  <c r="I1612" i="2"/>
  <c r="I1601" i="2"/>
  <c r="I1611" i="2"/>
  <c r="I1537" i="2"/>
  <c r="I1561" i="2"/>
  <c r="I1529" i="2"/>
  <c r="I1497" i="2"/>
  <c r="I1450" i="2"/>
  <c r="I1412" i="2"/>
  <c r="I1275" i="2"/>
  <c r="I1289" i="2"/>
  <c r="I1283" i="2"/>
  <c r="I1267" i="2"/>
  <c r="I1137" i="2"/>
  <c r="I1048" i="2"/>
  <c r="I1015" i="2"/>
  <c r="I1007" i="2"/>
  <c r="I1001" i="2"/>
  <c r="I956" i="2"/>
  <c r="I938" i="2"/>
  <c r="I875" i="2"/>
  <c r="I877" i="2"/>
  <c r="I839" i="2"/>
  <c r="I828" i="2"/>
  <c r="I824" i="2"/>
  <c r="I823" i="2"/>
  <c r="I808" i="2"/>
  <c r="I754" i="2"/>
  <c r="I770" i="2"/>
  <c r="I769" i="2"/>
  <c r="I724" i="2"/>
  <c r="I690" i="2"/>
  <c r="I723" i="2"/>
  <c r="I711" i="2"/>
  <c r="I692" i="2"/>
  <c r="I727" i="2"/>
  <c r="I709" i="2"/>
  <c r="I680" i="2"/>
  <c r="I619" i="2"/>
  <c r="I610" i="2"/>
  <c r="I609" i="2"/>
  <c r="I612" i="2"/>
  <c r="I606" i="2"/>
  <c r="I639" i="2"/>
  <c r="I607" i="2"/>
  <c r="I605" i="2"/>
  <c r="I644" i="2"/>
  <c r="I628" i="2"/>
  <c r="I588" i="2"/>
  <c r="I586" i="2"/>
  <c r="I572" i="2"/>
  <c r="I585" i="2"/>
  <c r="I571" i="2"/>
  <c r="I570" i="2"/>
  <c r="I556" i="2"/>
  <c r="I555" i="2"/>
  <c r="I554" i="2"/>
  <c r="I459" i="2"/>
  <c r="I456" i="2"/>
  <c r="I455" i="2"/>
  <c r="I458" i="2"/>
  <c r="I523" i="2"/>
  <c r="I536" i="2"/>
  <c r="I492" i="2"/>
  <c r="I488" i="2"/>
  <c r="I535" i="2"/>
  <c r="I532" i="2"/>
  <c r="I487" i="2"/>
  <c r="I484" i="2"/>
  <c r="I519" i="2"/>
  <c r="I460" i="2"/>
  <c r="I437" i="2"/>
  <c r="I404" i="2"/>
  <c r="I445" i="2"/>
  <c r="I397" i="2"/>
  <c r="I389" i="2"/>
  <c r="I388" i="2"/>
  <c r="I405" i="2"/>
  <c r="I421" i="2"/>
  <c r="I436" i="2"/>
  <c r="I376" i="2"/>
  <c r="I377" i="2" s="1"/>
  <c r="E37" i="3" s="1"/>
  <c r="F37" i="3" s="1"/>
  <c r="I332" i="2"/>
  <c r="I331" i="2"/>
  <c r="I348" i="2"/>
  <c r="I344" i="2"/>
  <c r="I302" i="2"/>
  <c r="I318" i="2"/>
  <c r="I278" i="2"/>
  <c r="I260" i="2"/>
  <c r="I275" i="2"/>
  <c r="I263" i="2"/>
  <c r="I274" i="2"/>
  <c r="I262" i="2"/>
  <c r="I288" i="2"/>
  <c r="I272" i="2"/>
  <c r="I238" i="2"/>
  <c r="I206" i="2"/>
  <c r="I223" i="2"/>
  <c r="I222" i="2"/>
  <c r="I207" i="2"/>
  <c r="I181" i="2"/>
  <c r="I180" i="2"/>
  <c r="I178" i="2"/>
  <c r="I146" i="2"/>
  <c r="I177" i="2"/>
  <c r="I174" i="2"/>
  <c r="I162" i="2"/>
  <c r="I161" i="2"/>
  <c r="I80" i="2"/>
  <c r="I102" i="2"/>
  <c r="I70" i="2"/>
  <c r="I76" i="2"/>
  <c r="I108" i="2"/>
  <c r="I25" i="2"/>
  <c r="I24" i="2"/>
  <c r="K1680" i="2"/>
  <c r="I1664" i="2"/>
  <c r="I1661" i="2"/>
  <c r="K1646" i="2"/>
  <c r="I1647" i="2"/>
  <c r="K1663" i="2"/>
  <c r="K1645" i="2"/>
  <c r="K1667" i="2"/>
  <c r="K1648" i="2"/>
  <c r="K1622" i="2"/>
  <c r="K1606" i="2"/>
  <c r="K1590" i="2"/>
  <c r="K1636" i="2"/>
  <c r="K1605" i="2"/>
  <c r="K1589" i="2"/>
  <c r="K1620" i="2"/>
  <c r="K1604" i="2"/>
  <c r="K1588" i="2"/>
  <c r="I1536" i="2"/>
  <c r="I1520" i="2"/>
  <c r="K1566" i="2"/>
  <c r="I1550" i="2"/>
  <c r="K1534" i="2"/>
  <c r="K1518" i="2"/>
  <c r="K1564" i="2"/>
  <c r="K1553" i="2"/>
  <c r="K1537" i="2"/>
  <c r="K1521" i="2"/>
  <c r="I1568" i="2"/>
  <c r="I1480" i="2"/>
  <c r="K1494" i="2"/>
  <c r="I1459" i="2"/>
  <c r="K1450" i="2"/>
  <c r="I1433" i="2"/>
  <c r="I1439" i="2" s="1"/>
  <c r="E92" i="3" s="1"/>
  <c r="F92" i="3" s="1"/>
  <c r="K1431" i="2"/>
  <c r="K1434" i="2"/>
  <c r="I1413" i="2"/>
  <c r="K1393" i="2"/>
  <c r="I1398" i="2"/>
  <c r="I1380" i="2"/>
  <c r="K1342" i="2"/>
  <c r="I1293" i="2"/>
  <c r="K1283" i="2"/>
  <c r="I1173" i="2"/>
  <c r="K1171" i="2"/>
  <c r="K1170" i="2"/>
  <c r="I1100" i="2"/>
  <c r="I1111" i="2"/>
  <c r="I1060" i="2"/>
  <c r="K988" i="2"/>
  <c r="I987" i="2"/>
  <c r="I876" i="2"/>
  <c r="I874" i="2"/>
  <c r="I838" i="2"/>
  <c r="I822" i="2"/>
  <c r="I788" i="2"/>
  <c r="I742" i="2"/>
  <c r="I776" i="2"/>
  <c r="K1698" i="2"/>
  <c r="I1698" i="2"/>
  <c r="E105" i="3" s="1"/>
  <c r="F105" i="3" s="1"/>
  <c r="I721" i="2"/>
  <c r="K662" i="2"/>
  <c r="K672" i="2"/>
  <c r="K633" i="2"/>
  <c r="K626" i="2"/>
  <c r="K607" i="2"/>
  <c r="K639" i="2"/>
  <c r="K644" i="2"/>
  <c r="K629" i="2"/>
  <c r="K635" i="2"/>
  <c r="K628" i="2"/>
  <c r="K587" i="2"/>
  <c r="K580" i="2"/>
  <c r="K572" i="2"/>
  <c r="K565" i="2"/>
  <c r="I552" i="2"/>
  <c r="K551" i="2"/>
  <c r="K586" i="2"/>
  <c r="K571" i="2"/>
  <c r="K550" i="2"/>
  <c r="K578" i="2"/>
  <c r="K566" i="2"/>
  <c r="K513" i="2"/>
  <c r="K477" i="2"/>
  <c r="K462" i="2"/>
  <c r="K456" i="2"/>
  <c r="K505" i="2"/>
  <c r="K491" i="2"/>
  <c r="K476" i="2"/>
  <c r="K540" i="2"/>
  <c r="K526" i="2"/>
  <c r="K490" i="2"/>
  <c r="K521" i="2"/>
  <c r="K507" i="2"/>
  <c r="K388" i="2"/>
  <c r="K429" i="2"/>
  <c r="K436" i="2"/>
  <c r="K428" i="2"/>
  <c r="K420" i="2"/>
  <c r="K413" i="2"/>
  <c r="K412" i="2"/>
  <c r="K404" i="2"/>
  <c r="K367" i="2"/>
  <c r="K359" i="2"/>
  <c r="K372" i="2"/>
  <c r="K358" i="2"/>
  <c r="K344" i="2"/>
  <c r="K343" i="2"/>
  <c r="I303" i="2"/>
  <c r="K302" i="2"/>
  <c r="K309" i="2"/>
  <c r="I285" i="2"/>
  <c r="K276" i="2"/>
  <c r="K254" i="2"/>
  <c r="K272" i="2"/>
  <c r="I158" i="2"/>
  <c r="K157" i="2"/>
  <c r="K190" i="2"/>
  <c r="K189" i="2"/>
  <c r="K173" i="2"/>
  <c r="K126" i="2"/>
  <c r="K135" i="2"/>
  <c r="K101" i="2"/>
  <c r="K108" i="2"/>
  <c r="I81" i="2"/>
  <c r="I67" i="2"/>
  <c r="K99" i="2"/>
  <c r="K86" i="2"/>
  <c r="K65" i="2"/>
  <c r="K92" i="2"/>
  <c r="K97" i="2"/>
  <c r="K102" i="2"/>
  <c r="I40" i="2"/>
  <c r="I26" i="2"/>
  <c r="I20" i="2"/>
  <c r="K14" i="2"/>
  <c r="I1705" i="2"/>
  <c r="E106" i="3" s="1"/>
  <c r="F106" i="3" s="1"/>
  <c r="I1382" i="2"/>
  <c r="I1336" i="2"/>
  <c r="I1145" i="2"/>
  <c r="K1145" i="2"/>
  <c r="I1451" i="2"/>
  <c r="K1451" i="2"/>
  <c r="I1297" i="2"/>
  <c r="K1288" i="2"/>
  <c r="I1288" i="2"/>
  <c r="I1504" i="2"/>
  <c r="K1504" i="2"/>
  <c r="I1243" i="2"/>
  <c r="K1243" i="2"/>
  <c r="I1478" i="2"/>
  <c r="K1478" i="2"/>
  <c r="I1225" i="2"/>
  <c r="I1311" i="2"/>
  <c r="I1340" i="2"/>
  <c r="I1339" i="2"/>
  <c r="I1051" i="2"/>
  <c r="K1051" i="2"/>
  <c r="I1482" i="2"/>
  <c r="K1482" i="2"/>
  <c r="K1302" i="2"/>
  <c r="I1302" i="2"/>
  <c r="I1462" i="2"/>
  <c r="K1462" i="2"/>
  <c r="I1507" i="2"/>
  <c r="K1507" i="2"/>
  <c r="I1467" i="2"/>
  <c r="K1467" i="2"/>
  <c r="I1444" i="2"/>
  <c r="K1444" i="2"/>
  <c r="I1370" i="2"/>
  <c r="I1364" i="2"/>
  <c r="I1500" i="2"/>
  <c r="K1500" i="2"/>
  <c r="I1488" i="2"/>
  <c r="K1488" i="2"/>
  <c r="I1487" i="2"/>
  <c r="K1487" i="2"/>
  <c r="K1239" i="2"/>
  <c r="I1239" i="2"/>
  <c r="I1716" i="2"/>
  <c r="E107" i="3" s="1"/>
  <c r="F107" i="3" s="1"/>
  <c r="I1407" i="2"/>
  <c r="I1260" i="2"/>
  <c r="I1157" i="2"/>
  <c r="K1157" i="2"/>
  <c r="K1177" i="2"/>
  <c r="I1177" i="2"/>
  <c r="K1502" i="2"/>
  <c r="I1493" i="2"/>
  <c r="K1493" i="2"/>
  <c r="K1484" i="2"/>
  <c r="I1484" i="2"/>
  <c r="K1476" i="2"/>
  <c r="K1453" i="2"/>
  <c r="I1411" i="2"/>
  <c r="I1377" i="2"/>
  <c r="I1371" i="2"/>
  <c r="I1322" i="2"/>
  <c r="I1310" i="2"/>
  <c r="I1240" i="2"/>
  <c r="I1232" i="2"/>
  <c r="I1224" i="2"/>
  <c r="K1124" i="2"/>
  <c r="I1124" i="2"/>
  <c r="K1068" i="2"/>
  <c r="I1068" i="2"/>
  <c r="I1421" i="2"/>
  <c r="I1378" i="2"/>
  <c r="I1089" i="2"/>
  <c r="K1089" i="2"/>
  <c r="I1489" i="2"/>
  <c r="K1489" i="2"/>
  <c r="K1470" i="2"/>
  <c r="I1470" i="2"/>
  <c r="I1415" i="2"/>
  <c r="K1406" i="2"/>
  <c r="I1406" i="2"/>
  <c r="I1397" i="2"/>
  <c r="I1376" i="2"/>
  <c r="I1366" i="2"/>
  <c r="I1321" i="2"/>
  <c r="K1287" i="2"/>
  <c r="I1287" i="2"/>
  <c r="K1231" i="2"/>
  <c r="I1231" i="2"/>
  <c r="I1176" i="2"/>
  <c r="K1176" i="2"/>
  <c r="K1118" i="2"/>
  <c r="I1118" i="2"/>
  <c r="I759" i="2"/>
  <c r="I1182" i="2"/>
  <c r="K1182" i="2"/>
  <c r="I1117" i="2"/>
  <c r="K1117" i="2"/>
  <c r="I1017" i="2"/>
  <c r="K1017" i="2"/>
  <c r="I899" i="2"/>
  <c r="K1346" i="2"/>
  <c r="I1346" i="2"/>
  <c r="K1196" i="2"/>
  <c r="I1196" i="2"/>
  <c r="I1181" i="2"/>
  <c r="K1181" i="2"/>
  <c r="I1131" i="2"/>
  <c r="K1131" i="2"/>
  <c r="I1016" i="2"/>
  <c r="K1016" i="2"/>
  <c r="I1458" i="2"/>
  <c r="K1458" i="2"/>
  <c r="I1392" i="2"/>
  <c r="I1475" i="2"/>
  <c r="K1475" i="2"/>
  <c r="I1334" i="2"/>
  <c r="K1501" i="2"/>
  <c r="I1492" i="2"/>
  <c r="K1492" i="2"/>
  <c r="I1452" i="2"/>
  <c r="K1452" i="2"/>
  <c r="I1443" i="2"/>
  <c r="K1443" i="2"/>
  <c r="I1400" i="2"/>
  <c r="I1386" i="2"/>
  <c r="K1386" i="2"/>
  <c r="I1355" i="2"/>
  <c r="K1271" i="2"/>
  <c r="I1271" i="2"/>
  <c r="I1265" i="2"/>
  <c r="I1252" i="2"/>
  <c r="I1230" i="2"/>
  <c r="I1209" i="2"/>
  <c r="K1209" i="2"/>
  <c r="K1110" i="2"/>
  <c r="I1110" i="2"/>
  <c r="K1705" i="2"/>
  <c r="I1503" i="2"/>
  <c r="K1503" i="2"/>
  <c r="I1420" i="2"/>
  <c r="K1420" i="2"/>
  <c r="I1335" i="2"/>
  <c r="K1335" i="2"/>
  <c r="I1244" i="2"/>
  <c r="K1496" i="2"/>
  <c r="K1448" i="2"/>
  <c r="I1385" i="2"/>
  <c r="K1385" i="2"/>
  <c r="K1303" i="2"/>
  <c r="I1303" i="2"/>
  <c r="I1296" i="2"/>
  <c r="K1291" i="2"/>
  <c r="I1291" i="2"/>
  <c r="I1264" i="2"/>
  <c r="K1251" i="2"/>
  <c r="K1146" i="2"/>
  <c r="I1122" i="2"/>
  <c r="K1122" i="2"/>
  <c r="I1094" i="2"/>
  <c r="K1094" i="2"/>
  <c r="K1506" i="2"/>
  <c r="I1506" i="2"/>
  <c r="I1410" i="2"/>
  <c r="I1315" i="2"/>
  <c r="K1315" i="2"/>
  <c r="I1479" i="2"/>
  <c r="K1479" i="2"/>
  <c r="I1391" i="2"/>
  <c r="K1456" i="2"/>
  <c r="I1414" i="2"/>
  <c r="I1270" i="2"/>
  <c r="K1270" i="2"/>
  <c r="I1251" i="2"/>
  <c r="I1194" i="2"/>
  <c r="K1194" i="2"/>
  <c r="I1347" i="2"/>
  <c r="K1497" i="2"/>
  <c r="K1457" i="2"/>
  <c r="I1344" i="2"/>
  <c r="K1508" i="2"/>
  <c r="I1508" i="2"/>
  <c r="K1491" i="2"/>
  <c r="I1468" i="2"/>
  <c r="K1468" i="2"/>
  <c r="K1464" i="2"/>
  <c r="I1464" i="2"/>
  <c r="K1460" i="2"/>
  <c r="I1456" i="2"/>
  <c r="I1369" i="2"/>
  <c r="K1369" i="2"/>
  <c r="I1363" i="2"/>
  <c r="I1325" i="2"/>
  <c r="I1250" i="2"/>
  <c r="K1237" i="2"/>
  <c r="I1237" i="2"/>
  <c r="I1207" i="2"/>
  <c r="K1207" i="2"/>
  <c r="I1193" i="2"/>
  <c r="K1193" i="2"/>
  <c r="I1168" i="2"/>
  <c r="K1154" i="2"/>
  <c r="I1460" i="2"/>
  <c r="I1394" i="2"/>
  <c r="I1368" i="2"/>
  <c r="I1284" i="2"/>
  <c r="I1280" i="2"/>
  <c r="I1249" i="2"/>
  <c r="I1220" i="2"/>
  <c r="K1153" i="2"/>
  <c r="I1153" i="2"/>
  <c r="I1057" i="2"/>
  <c r="K1057" i="2"/>
  <c r="I921" i="2"/>
  <c r="K921" i="2"/>
  <c r="I1495" i="2"/>
  <c r="K1495" i="2"/>
  <c r="I1455" i="2"/>
  <c r="K1455" i="2"/>
  <c r="I1404" i="2"/>
  <c r="I1383" i="2"/>
  <c r="K1383" i="2"/>
  <c r="I1358" i="2"/>
  <c r="I1324" i="2"/>
  <c r="I1242" i="2"/>
  <c r="K1213" i="2"/>
  <c r="I1213" i="2"/>
  <c r="I1201" i="2"/>
  <c r="K1201" i="2"/>
  <c r="K1152" i="2"/>
  <c r="I1152" i="2"/>
  <c r="K1499" i="2"/>
  <c r="K1463" i="2"/>
  <c r="I1418" i="2"/>
  <c r="K1404" i="2"/>
  <c r="I1389" i="2"/>
  <c r="I1352" i="2"/>
  <c r="K1324" i="2"/>
  <c r="I1446" i="2"/>
  <c r="K1446" i="2"/>
  <c r="I1417" i="2"/>
  <c r="I1403" i="2"/>
  <c r="I1388" i="2"/>
  <c r="K1388" i="2"/>
  <c r="I1268" i="2"/>
  <c r="I1256" i="2"/>
  <c r="I1248" i="2"/>
  <c r="I1172" i="2"/>
  <c r="I1166" i="2"/>
  <c r="K1166" i="2"/>
  <c r="I1151" i="2"/>
  <c r="K1151" i="2"/>
  <c r="I1078" i="2"/>
  <c r="K1078" i="2"/>
  <c r="K1490" i="2"/>
  <c r="I1490" i="2"/>
  <c r="K1172" i="2"/>
  <c r="I1158" i="2"/>
  <c r="K1158" i="2"/>
  <c r="K1090" i="2"/>
  <c r="K1084" i="2"/>
  <c r="I1379" i="2"/>
  <c r="I1498" i="2"/>
  <c r="K1498" i="2"/>
  <c r="K1454" i="2"/>
  <c r="I1454" i="2"/>
  <c r="I1445" i="2"/>
  <c r="K1445" i="2"/>
  <c r="I1402" i="2"/>
  <c r="K1347" i="2"/>
  <c r="I1279" i="2"/>
  <c r="I1233" i="2"/>
  <c r="I1226" i="2"/>
  <c r="I1165" i="2"/>
  <c r="I1084" i="2"/>
  <c r="K1083" i="2"/>
  <c r="I1083" i="2"/>
  <c r="K915" i="2"/>
  <c r="I915" i="2"/>
  <c r="I1254" i="2"/>
  <c r="K1254" i="2"/>
  <c r="I1247" i="2"/>
  <c r="K1229" i="2"/>
  <c r="I1229" i="2"/>
  <c r="I1192" i="2"/>
  <c r="I1150" i="2"/>
  <c r="K1150" i="2"/>
  <c r="I1129" i="2"/>
  <c r="K1129" i="2"/>
  <c r="K906" i="2"/>
  <c r="I906" i="2"/>
  <c r="I1101" i="2"/>
  <c r="K898" i="2"/>
  <c r="I898" i="2"/>
  <c r="I1350" i="2"/>
  <c r="I1327" i="2"/>
  <c r="K1327" i="2"/>
  <c r="I1278" i="2"/>
  <c r="K1278" i="2"/>
  <c r="K1222" i="2"/>
  <c r="K1212" i="2"/>
  <c r="I1212" i="2"/>
  <c r="K1206" i="2"/>
  <c r="I1200" i="2"/>
  <c r="K1200" i="2"/>
  <c r="K1192" i="2"/>
  <c r="K1137" i="2"/>
  <c r="I1107" i="2"/>
  <c r="K1107" i="2"/>
  <c r="K1101" i="2"/>
  <c r="K1095" i="2"/>
  <c r="I1399" i="2"/>
  <c r="I1354" i="2"/>
  <c r="K1354" i="2"/>
  <c r="I1338" i="2"/>
  <c r="K1338" i="2"/>
  <c r="I1331" i="2"/>
  <c r="I1253" i="2"/>
  <c r="I1236" i="2"/>
  <c r="I1222" i="2"/>
  <c r="I1211" i="2"/>
  <c r="K1211" i="2"/>
  <c r="I1180" i="2"/>
  <c r="K1180" i="2"/>
  <c r="I1136" i="2"/>
  <c r="K1136" i="2"/>
  <c r="K1128" i="2"/>
  <c r="I1128" i="2"/>
  <c r="K1005" i="2"/>
  <c r="I1005" i="2"/>
  <c r="K998" i="2"/>
  <c r="I998" i="2"/>
  <c r="I936" i="2"/>
  <c r="K936" i="2"/>
  <c r="I1156" i="2"/>
  <c r="K1156" i="2"/>
  <c r="K1142" i="2"/>
  <c r="I1142" i="2"/>
  <c r="K1004" i="2"/>
  <c r="I997" i="2"/>
  <c r="K997" i="2"/>
  <c r="I1409" i="2"/>
  <c r="K1409" i="2"/>
  <c r="I1416" i="2"/>
  <c r="K1349" i="2"/>
  <c r="I1349" i="2"/>
  <c r="I1309" i="2"/>
  <c r="I1285" i="2"/>
  <c r="I1273" i="2"/>
  <c r="K1253" i="2"/>
  <c r="I1246" i="2"/>
  <c r="K1246" i="2"/>
  <c r="K1235" i="2"/>
  <c r="K1221" i="2"/>
  <c r="I1198" i="2"/>
  <c r="K1198" i="2"/>
  <c r="K1190" i="2"/>
  <c r="I1190" i="2"/>
  <c r="K1169" i="2"/>
  <c r="I1169" i="2"/>
  <c r="I1141" i="2"/>
  <c r="K1041" i="2"/>
  <c r="I1041" i="2"/>
  <c r="I1004" i="2"/>
  <c r="I990" i="2"/>
  <c r="K990" i="2"/>
  <c r="I979" i="2"/>
  <c r="K979" i="2"/>
  <c r="I1357" i="2"/>
  <c r="I1330" i="2"/>
  <c r="I1314" i="2"/>
  <c r="I1286" i="2"/>
  <c r="K1286" i="2"/>
  <c r="I1360" i="2"/>
  <c r="I1294" i="2"/>
  <c r="I1263" i="2"/>
  <c r="I1235" i="2"/>
  <c r="K1162" i="2"/>
  <c r="K1141" i="2"/>
  <c r="I1040" i="2"/>
  <c r="K1003" i="2"/>
  <c r="I1003" i="2"/>
  <c r="I1461" i="2"/>
  <c r="K1461" i="2"/>
  <c r="K1486" i="2"/>
  <c r="I1341" i="2"/>
  <c r="K1285" i="2"/>
  <c r="I1281" i="2"/>
  <c r="K1267" i="2"/>
  <c r="I1258" i="2"/>
  <c r="I1234" i="2"/>
  <c r="K1189" i="2"/>
  <c r="I1189" i="2"/>
  <c r="I1140" i="2"/>
  <c r="I1112" i="2"/>
  <c r="K1112" i="2"/>
  <c r="I1052" i="2"/>
  <c r="I996" i="2"/>
  <c r="K996" i="2"/>
  <c r="K1481" i="2"/>
  <c r="K1477" i="2"/>
  <c r="I1353" i="2"/>
  <c r="I1326" i="2"/>
  <c r="I1221" i="2"/>
  <c r="K1140" i="2"/>
  <c r="K1105" i="2"/>
  <c r="I1105" i="2"/>
  <c r="K1052" i="2"/>
  <c r="I1047" i="2"/>
  <c r="K1047" i="2"/>
  <c r="I1018" i="2"/>
  <c r="K1018" i="2"/>
  <c r="I1167" i="2"/>
  <c r="K1167" i="2"/>
  <c r="I1139" i="2"/>
  <c r="K1139" i="2"/>
  <c r="I1134" i="2"/>
  <c r="K1134" i="2"/>
  <c r="K1125" i="2"/>
  <c r="I1046" i="2"/>
  <c r="K1046" i="2"/>
  <c r="I950" i="2"/>
  <c r="K950" i="2"/>
  <c r="K1063" i="2"/>
  <c r="I1062" i="2"/>
  <c r="I900" i="2"/>
  <c r="I884" i="2"/>
  <c r="K884" i="2"/>
  <c r="I1298" i="2"/>
  <c r="I1259" i="2"/>
  <c r="K1259" i="2"/>
  <c r="I1238" i="2"/>
  <c r="K1238" i="2"/>
  <c r="K1210" i="2"/>
  <c r="K1161" i="2"/>
  <c r="I1161" i="2"/>
  <c r="I1121" i="2"/>
  <c r="K1121" i="2"/>
  <c r="I1082" i="2"/>
  <c r="I1029" i="2"/>
  <c r="I905" i="2"/>
  <c r="K905" i="2"/>
  <c r="I1255" i="2"/>
  <c r="K1255" i="2"/>
  <c r="K1214" i="2"/>
  <c r="I1214" i="2"/>
  <c r="K1205" i="2"/>
  <c r="K1144" i="2"/>
  <c r="I1144" i="2"/>
  <c r="K1076" i="2"/>
  <c r="I1067" i="2"/>
  <c r="K1067" i="2"/>
  <c r="K1028" i="2"/>
  <c r="I1028" i="2"/>
  <c r="I951" i="2"/>
  <c r="K951" i="2"/>
  <c r="I1228" i="2"/>
  <c r="I1199" i="2"/>
  <c r="I1175" i="2"/>
  <c r="K1175" i="2"/>
  <c r="I1127" i="2"/>
  <c r="K1127" i="2"/>
  <c r="I982" i="2"/>
  <c r="K982" i="2"/>
  <c r="I976" i="2"/>
  <c r="K976" i="2"/>
  <c r="K1199" i="2"/>
  <c r="I1160" i="2"/>
  <c r="K1160" i="2"/>
  <c r="K1155" i="2"/>
  <c r="I1155" i="2"/>
  <c r="I1075" i="2"/>
  <c r="K1021" i="2"/>
  <c r="I1021" i="2"/>
  <c r="I1301" i="2"/>
  <c r="K1301" i="2"/>
  <c r="K1204" i="2"/>
  <c r="I1204" i="2"/>
  <c r="I1149" i="2"/>
  <c r="K1149" i="2"/>
  <c r="I1120" i="2"/>
  <c r="K1120" i="2"/>
  <c r="I992" i="2"/>
  <c r="I1208" i="2"/>
  <c r="K1208" i="2"/>
  <c r="I1174" i="2"/>
  <c r="K1174" i="2"/>
  <c r="I1148" i="2"/>
  <c r="K1148" i="2"/>
  <c r="K1098" i="2"/>
  <c r="I1080" i="2"/>
  <c r="K1075" i="2"/>
  <c r="K992" i="2"/>
  <c r="I1276" i="2"/>
  <c r="I1269" i="2"/>
  <c r="K1269" i="2"/>
  <c r="I1262" i="2"/>
  <c r="I1227" i="2"/>
  <c r="K1188" i="2"/>
  <c r="I1188" i="2"/>
  <c r="I1133" i="2"/>
  <c r="I1102" i="2"/>
  <c r="I1098" i="2"/>
  <c r="I1079" i="2"/>
  <c r="K1079" i="2"/>
  <c r="I1065" i="2"/>
  <c r="K1065" i="2"/>
  <c r="K1013" i="2"/>
  <c r="I1013" i="2"/>
  <c r="I1245" i="2"/>
  <c r="K1227" i="2"/>
  <c r="K1102" i="2"/>
  <c r="I1097" i="2"/>
  <c r="K1097" i="2"/>
  <c r="I1085" i="2"/>
  <c r="K1085" i="2"/>
  <c r="K1048" i="2"/>
  <c r="I986" i="2"/>
  <c r="K986" i="2"/>
  <c r="K974" i="2"/>
  <c r="I974" i="2"/>
  <c r="K962" i="2"/>
  <c r="I962" i="2"/>
  <c r="I1132" i="2"/>
  <c r="K1093" i="2"/>
  <c r="I1093" i="2"/>
  <c r="K1088" i="2"/>
  <c r="I1026" i="2"/>
  <c r="K1026" i="2"/>
  <c r="K980" i="2"/>
  <c r="I980" i="2"/>
  <c r="K961" i="2"/>
  <c r="I961" i="2"/>
  <c r="I954" i="2"/>
  <c r="K954" i="2"/>
  <c r="K933" i="2"/>
  <c r="I933" i="2"/>
  <c r="I810" i="2"/>
  <c r="K1164" i="2"/>
  <c r="K1132" i="2"/>
  <c r="K1092" i="2"/>
  <c r="I1092" i="2"/>
  <c r="I1088" i="2"/>
  <c r="K1045" i="2"/>
  <c r="K1032" i="2"/>
  <c r="I1032" i="2"/>
  <c r="I1025" i="2"/>
  <c r="K1001" i="2"/>
  <c r="I932" i="2"/>
  <c r="K932" i="2"/>
  <c r="I1123" i="2"/>
  <c r="K1123" i="2"/>
  <c r="I1109" i="2"/>
  <c r="K1109" i="2"/>
  <c r="I1000" i="2"/>
  <c r="K984" i="2"/>
  <c r="I918" i="2"/>
  <c r="K918" i="2"/>
  <c r="I893" i="2"/>
  <c r="I888" i="2"/>
  <c r="K888" i="2"/>
  <c r="K1096" i="2"/>
  <c r="I1096" i="2"/>
  <c r="I1091" i="2"/>
  <c r="K1091" i="2"/>
  <c r="I1087" i="2"/>
  <c r="K1087" i="2"/>
  <c r="I1069" i="2"/>
  <c r="K1069" i="2"/>
  <c r="I1064" i="2"/>
  <c r="K1064" i="2"/>
  <c r="K1025" i="2"/>
  <c r="K1000" i="2"/>
  <c r="I972" i="2"/>
  <c r="K972" i="2"/>
  <c r="I751" i="2"/>
  <c r="I1292" i="2"/>
  <c r="K1223" i="2"/>
  <c r="I1223" i="2"/>
  <c r="K1147" i="2"/>
  <c r="I1147" i="2"/>
  <c r="K1143" i="2"/>
  <c r="I1138" i="2"/>
  <c r="K1138" i="2"/>
  <c r="K1055" i="2"/>
  <c r="K1031" i="2"/>
  <c r="I1031" i="2"/>
  <c r="I984" i="2"/>
  <c r="K893" i="2"/>
  <c r="K1191" i="2"/>
  <c r="I1143" i="2"/>
  <c r="K1108" i="2"/>
  <c r="K1059" i="2"/>
  <c r="K1049" i="2"/>
  <c r="I1049" i="2"/>
  <c r="K1044" i="2"/>
  <c r="I1044" i="2"/>
  <c r="I1030" i="2"/>
  <c r="K1030" i="2"/>
  <c r="I1024" i="2"/>
  <c r="K1024" i="2"/>
  <c r="K952" i="2"/>
  <c r="I952" i="2"/>
  <c r="I1203" i="2"/>
  <c r="K1163" i="2"/>
  <c r="I1126" i="2"/>
  <c r="K1104" i="2"/>
  <c r="I1104" i="2"/>
  <c r="I1086" i="2"/>
  <c r="K1086" i="2"/>
  <c r="K1054" i="2"/>
  <c r="I1054" i="2"/>
  <c r="I1043" i="2"/>
  <c r="I1019" i="2"/>
  <c r="K1019" i="2"/>
  <c r="K1006" i="2"/>
  <c r="K983" i="2"/>
  <c r="I983" i="2"/>
  <c r="I901" i="2"/>
  <c r="K901" i="2"/>
  <c r="K1203" i="2"/>
  <c r="K1195" i="2"/>
  <c r="I1195" i="2"/>
  <c r="K1159" i="2"/>
  <c r="K1126" i="2"/>
  <c r="I1108" i="2"/>
  <c r="K1103" i="2"/>
  <c r="I1103" i="2"/>
  <c r="K1043" i="2"/>
  <c r="I1023" i="2"/>
  <c r="K1023" i="2"/>
  <c r="I978" i="2"/>
  <c r="K978" i="2"/>
  <c r="I937" i="2"/>
  <c r="K937" i="2"/>
  <c r="I908" i="2"/>
  <c r="K908" i="2"/>
  <c r="K1058" i="2"/>
  <c r="I1050" i="2"/>
  <c r="K1050" i="2"/>
  <c r="I1033" i="2"/>
  <c r="K1033" i="2"/>
  <c r="I1020" i="2"/>
  <c r="K1020" i="2"/>
  <c r="I977" i="2"/>
  <c r="K977" i="2"/>
  <c r="I912" i="2"/>
  <c r="K912" i="2"/>
  <c r="K890" i="2"/>
  <c r="I1061" i="2"/>
  <c r="K1061" i="2"/>
  <c r="I995" i="2"/>
  <c r="K995" i="2"/>
  <c r="K971" i="2"/>
  <c r="I971" i="2"/>
  <c r="K949" i="2"/>
  <c r="I949" i="2"/>
  <c r="I924" i="2"/>
  <c r="K924" i="2"/>
  <c r="I813" i="2"/>
  <c r="I994" i="2"/>
  <c r="I910" i="2"/>
  <c r="K910" i="2"/>
  <c r="K1106" i="2"/>
  <c r="I1053" i="2"/>
  <c r="K1027" i="2"/>
  <c r="I1008" i="2"/>
  <c r="K1008" i="2"/>
  <c r="K994" i="2"/>
  <c r="I989" i="2"/>
  <c r="I970" i="2"/>
  <c r="K970" i="2"/>
  <c r="I916" i="2"/>
  <c r="I889" i="2"/>
  <c r="K1038" i="2"/>
  <c r="I1038" i="2"/>
  <c r="I1014" i="2"/>
  <c r="K1007" i="2"/>
  <c r="I993" i="2"/>
  <c r="K993" i="2"/>
  <c r="I959" i="2"/>
  <c r="K959" i="2"/>
  <c r="I947" i="2"/>
  <c r="I903" i="2"/>
  <c r="K903" i="2"/>
  <c r="K1053" i="2"/>
  <c r="K1014" i="2"/>
  <c r="I1002" i="2"/>
  <c r="K1002" i="2"/>
  <c r="K981" i="2"/>
  <c r="I981" i="2"/>
  <c r="I969" i="2"/>
  <c r="I958" i="2"/>
  <c r="K958" i="2"/>
  <c r="K940" i="2"/>
  <c r="I909" i="2"/>
  <c r="K909" i="2"/>
  <c r="K894" i="2"/>
  <c r="K889" i="2"/>
  <c r="K985" i="2"/>
  <c r="I985" i="2"/>
  <c r="K969" i="2"/>
  <c r="K957" i="2"/>
  <c r="I953" i="2"/>
  <c r="K953" i="2"/>
  <c r="I894" i="2"/>
  <c r="K944" i="2"/>
  <c r="K931" i="2"/>
  <c r="I948" i="2"/>
  <c r="K948" i="2"/>
  <c r="I934" i="2"/>
  <c r="K934" i="2"/>
  <c r="I920" i="2"/>
  <c r="K920" i="2"/>
  <c r="I887" i="2"/>
  <c r="K887" i="2"/>
  <c r="I764" i="2"/>
  <c r="I939" i="2"/>
  <c r="K939" i="2"/>
  <c r="I919" i="2"/>
  <c r="K919" i="2"/>
  <c r="I748" i="2"/>
  <c r="I743" i="2"/>
  <c r="K943" i="2"/>
  <c r="I943" i="2"/>
  <c r="K960" i="2"/>
  <c r="K955" i="2"/>
  <c r="I955" i="2"/>
  <c r="K942" i="2"/>
  <c r="K938" i="2"/>
  <c r="I768" i="2"/>
  <c r="I747" i="2"/>
  <c r="I960" i="2"/>
  <c r="I928" i="2"/>
  <c r="K928" i="2"/>
  <c r="I907" i="2"/>
  <c r="K897" i="2"/>
  <c r="K891" i="2"/>
  <c r="I886" i="2"/>
  <c r="K886" i="2"/>
  <c r="K757" i="2"/>
  <c r="I757" i="2"/>
  <c r="K973" i="2"/>
  <c r="K946" i="2"/>
  <c r="I942" i="2"/>
  <c r="K923" i="2"/>
  <c r="K896" i="2"/>
  <c r="I896" i="2"/>
  <c r="I885" i="2"/>
  <c r="K885" i="2"/>
  <c r="I807" i="2"/>
  <c r="I786" i="2"/>
  <c r="I772" i="2"/>
  <c r="K991" i="2"/>
  <c r="I946" i="2"/>
  <c r="I923" i="2"/>
  <c r="K907" i="2"/>
  <c r="I891" i="2"/>
  <c r="I802" i="2"/>
  <c r="K930" i="2"/>
  <c r="I930" i="2"/>
  <c r="I925" i="2"/>
  <c r="K925" i="2"/>
  <c r="I789" i="2"/>
  <c r="I760" i="2"/>
  <c r="I755" i="2"/>
  <c r="K755" i="2"/>
  <c r="K926" i="2"/>
  <c r="I922" i="2"/>
  <c r="K922" i="2"/>
  <c r="K913" i="2"/>
  <c r="I913" i="2"/>
  <c r="K895" i="2"/>
  <c r="I736" i="2"/>
  <c r="I771" i="2"/>
  <c r="I767" i="2"/>
  <c r="I749" i="2"/>
  <c r="I740" i="2"/>
  <c r="K911" i="2"/>
  <c r="I911" i="2"/>
  <c r="I804" i="2"/>
  <c r="I902" i="2"/>
  <c r="K902" i="2"/>
  <c r="K929" i="2"/>
  <c r="I752" i="2"/>
  <c r="I904" i="2"/>
  <c r="K904" i="2"/>
  <c r="I763" i="2"/>
  <c r="I756" i="2"/>
  <c r="I739" i="2"/>
  <c r="K739" i="2"/>
  <c r="I1692" i="2" l="1"/>
  <c r="E104" i="3" s="1"/>
  <c r="F104" i="3" s="1"/>
  <c r="K1692" i="2"/>
  <c r="G104" i="3" s="1"/>
  <c r="H104" i="3" s="1"/>
  <c r="I1638" i="2"/>
  <c r="E99" i="3" s="1"/>
  <c r="F99" i="3" s="1"/>
  <c r="I138" i="2"/>
  <c r="E22" i="3" s="1"/>
  <c r="F22" i="3" s="1"/>
  <c r="I685" i="2"/>
  <c r="E48" i="3" s="1"/>
  <c r="F48" i="3" s="1"/>
  <c r="I652" i="2"/>
  <c r="E47" i="3" s="1"/>
  <c r="F47" i="3" s="1"/>
  <c r="I542" i="2"/>
  <c r="E42" i="3" s="1"/>
  <c r="F42" i="3" s="1"/>
  <c r="I448" i="2"/>
  <c r="E41" i="3" s="1"/>
  <c r="F41" i="3" s="1"/>
  <c r="I349" i="2"/>
  <c r="E36" i="3" s="1"/>
  <c r="F36" i="3" s="1"/>
  <c r="I290" i="2"/>
  <c r="E31" i="3" s="1"/>
  <c r="F31" i="3" s="1"/>
  <c r="I249" i="2"/>
  <c r="E27" i="3" s="1"/>
  <c r="F27" i="3" s="1"/>
  <c r="G106" i="3"/>
  <c r="H106" i="3" s="1"/>
  <c r="G105" i="3"/>
  <c r="H105" i="3" s="1"/>
  <c r="I731" i="2"/>
  <c r="E52" i="3" s="1"/>
  <c r="F52" i="3" s="1"/>
  <c r="I599" i="2"/>
  <c r="E43" i="3" s="1"/>
  <c r="F43" i="3" s="1"/>
  <c r="I324" i="2"/>
  <c r="E32" i="3" s="1"/>
  <c r="F32" i="3" s="1"/>
  <c r="I195" i="2"/>
  <c r="E26" i="3" s="1"/>
  <c r="F26" i="3" s="1"/>
  <c r="I851" i="2"/>
  <c r="E58" i="3" s="1"/>
  <c r="F58" i="3" s="1"/>
  <c r="K685" i="2"/>
  <c r="G48" i="3" s="1"/>
  <c r="H48" i="3" s="1"/>
  <c r="I1576" i="2"/>
  <c r="E98" i="3" s="1"/>
  <c r="F98" i="3" s="1"/>
  <c r="I880" i="2"/>
  <c r="F59" i="3" s="1"/>
  <c r="K349" i="2"/>
  <c r="G36" i="3" s="1"/>
  <c r="H36" i="3" s="1"/>
  <c r="I1674" i="2"/>
  <c r="K1576" i="2"/>
  <c r="G98" i="3" s="1"/>
  <c r="H98" i="3" s="1"/>
  <c r="K851" i="2"/>
  <c r="G58" i="3" s="1"/>
  <c r="H58" i="3" s="1"/>
  <c r="K195" i="2"/>
  <c r="G26" i="3" s="1"/>
  <c r="H26" i="3" s="1"/>
  <c r="K1439" i="2"/>
  <c r="G92" i="3" s="1"/>
  <c r="H92" i="3" s="1"/>
  <c r="K1674" i="2"/>
  <c r="G100" i="3" s="1"/>
  <c r="H100" i="3" s="1"/>
  <c r="K138" i="2"/>
  <c r="G22" i="3" s="1"/>
  <c r="H22" i="3" s="1"/>
  <c r="K880" i="2"/>
  <c r="G59" i="3" s="1"/>
  <c r="H59" i="3" s="1"/>
  <c r="K1638" i="2"/>
  <c r="G99" i="3" s="1"/>
  <c r="H99" i="3" s="1"/>
  <c r="K324" i="2"/>
  <c r="G32" i="3" s="1"/>
  <c r="H32" i="3" s="1"/>
  <c r="I116" i="2"/>
  <c r="E21" i="3" s="1"/>
  <c r="F21" i="3" s="1"/>
  <c r="K542" i="2"/>
  <c r="G42" i="3" s="1"/>
  <c r="H42" i="3" s="1"/>
  <c r="I1316" i="2"/>
  <c r="E86" i="3" s="1"/>
  <c r="F86" i="3" s="1"/>
  <c r="K652" i="2"/>
  <c r="G47" i="3" s="1"/>
  <c r="H47" i="3" s="1"/>
  <c r="K116" i="2"/>
  <c r="G21" i="3" s="1"/>
  <c r="H21" i="3" s="1"/>
  <c r="K377" i="2"/>
  <c r="G37" i="3" s="1"/>
  <c r="H37" i="3" s="1"/>
  <c r="K249" i="2"/>
  <c r="G27" i="3" s="1"/>
  <c r="H27" i="3" s="1"/>
  <c r="K448" i="2"/>
  <c r="G41" i="3" s="1"/>
  <c r="H41" i="3" s="1"/>
  <c r="K731" i="2"/>
  <c r="G52" i="3" s="1"/>
  <c r="K599" i="2"/>
  <c r="G43" i="3" s="1"/>
  <c r="H43" i="3" s="1"/>
  <c r="K290" i="2"/>
  <c r="G31" i="3" s="1"/>
  <c r="H31" i="3" s="1"/>
  <c r="K1316" i="2"/>
  <c r="G86" i="3" s="1"/>
  <c r="H86" i="3" s="1"/>
  <c r="I779" i="2"/>
  <c r="E53" i="3" s="1"/>
  <c r="F53" i="3" s="1"/>
  <c r="I1304" i="2"/>
  <c r="E85" i="3" s="1"/>
  <c r="F85" i="3" s="1"/>
  <c r="I1372" i="2"/>
  <c r="E87" i="3" s="1"/>
  <c r="F87" i="3" s="1"/>
  <c r="K815" i="2"/>
  <c r="G57" i="3" s="1"/>
  <c r="H57" i="3" s="1"/>
  <c r="I815" i="2"/>
  <c r="E57" i="3" s="1"/>
  <c r="F57" i="3" s="1"/>
  <c r="I1009" i="2"/>
  <c r="E64" i="3" s="1"/>
  <c r="K1471" i="2"/>
  <c r="G93" i="3" s="1"/>
  <c r="H93" i="3" s="1"/>
  <c r="K1113" i="2"/>
  <c r="G76" i="3" s="1"/>
  <c r="H76" i="3" s="1"/>
  <c r="H74" i="3" s="1"/>
  <c r="K1009" i="2"/>
  <c r="F64" i="3" s="1"/>
  <c r="K1183" i="2"/>
  <c r="G80" i="3" s="1"/>
  <c r="H80" i="3" s="1"/>
  <c r="K779" i="2"/>
  <c r="K1215" i="2"/>
  <c r="G81" i="3" s="1"/>
  <c r="H81" i="3" s="1"/>
  <c r="K963" i="2"/>
  <c r="G63" i="3" s="1"/>
  <c r="H63" i="3" s="1"/>
  <c r="H61" i="3" s="1"/>
  <c r="K1372" i="2"/>
  <c r="G88" i="3" s="1"/>
  <c r="H88" i="3" s="1"/>
  <c r="K1509" i="2"/>
  <c r="G94" i="3" s="1"/>
  <c r="H94" i="3" s="1"/>
  <c r="K1034" i="2"/>
  <c r="G68" i="3" s="1"/>
  <c r="H68" i="3" s="1"/>
  <c r="H66" i="3" s="1"/>
  <c r="K1071" i="2"/>
  <c r="G72" i="3" s="1"/>
  <c r="H72" i="3" s="1"/>
  <c r="H70" i="3" s="1"/>
  <c r="I963" i="2"/>
  <c r="E63" i="3" s="1"/>
  <c r="F63" i="3" s="1"/>
  <c r="K1304" i="2"/>
  <c r="G85" i="3" s="1"/>
  <c r="H85" i="3" s="1"/>
  <c r="I1113" i="2"/>
  <c r="E76" i="3" s="1"/>
  <c r="F76" i="3" s="1"/>
  <c r="I1183" i="2"/>
  <c r="E80" i="3" s="1"/>
  <c r="F80" i="3" s="1"/>
  <c r="I1071" i="2"/>
  <c r="E72" i="3" s="1"/>
  <c r="F72" i="3" s="1"/>
  <c r="I1215" i="2"/>
  <c r="E81" i="3" s="1"/>
  <c r="F81" i="3" s="1"/>
  <c r="I1509" i="2"/>
  <c r="E94" i="3" s="1"/>
  <c r="F94" i="3" s="1"/>
  <c r="I1034" i="2"/>
  <c r="E68" i="3" s="1"/>
  <c r="F68" i="3" s="1"/>
  <c r="I1471" i="2"/>
  <c r="E93" i="3" s="1"/>
  <c r="F93" i="3" s="1"/>
  <c r="I1423" i="2"/>
  <c r="K1423" i="2"/>
  <c r="G53" i="3" l="1"/>
  <c r="H53" i="3" s="1"/>
  <c r="H50" i="3" s="1"/>
  <c r="H102" i="3"/>
  <c r="K102" i="3" s="1"/>
  <c r="H96" i="3"/>
  <c r="K96" i="3" s="1"/>
  <c r="H90" i="3"/>
  <c r="H83" i="3"/>
  <c r="H78" i="3"/>
  <c r="H55" i="3"/>
  <c r="H45" i="3"/>
  <c r="H39" i="3"/>
  <c r="H34" i="3"/>
  <c r="H29" i="3"/>
  <c r="H24" i="3"/>
  <c r="E100" i="3"/>
  <c r="F100" i="3"/>
  <c r="K109" i="3" l="1"/>
  <c r="I4" i="2"/>
  <c r="I56" i="2" s="1"/>
  <c r="E20" i="3" s="1"/>
  <c r="F20" i="3" s="1"/>
  <c r="N4" i="2"/>
  <c r="O4" i="2" s="1"/>
  <c r="J4" i="2" s="1"/>
  <c r="K4" i="2" s="1"/>
  <c r="K56" i="2" s="1"/>
  <c r="G20" i="3" s="1"/>
  <c r="H20" i="3" s="1"/>
  <c r="H18" i="3" s="1"/>
  <c r="H109" i="3" l="1"/>
</calcChain>
</file>

<file path=xl/sharedStrings.xml><?xml version="1.0" encoding="utf-8"?>
<sst xmlns="http://schemas.openxmlformats.org/spreadsheetml/2006/main" count="6862" uniqueCount="3073">
  <si>
    <t/>
  </si>
  <si>
    <t>Total</t>
  </si>
  <si>
    <t xml:space="preserve">Ponta de aspirador para CEC, reprocessável, autoclavável. do tipo angulada com ponta multiperfurada para ADULTOS. Produto confeccionado em aço inoxidável, comprimento de 255 a 265 mm, diâmetro de 1/4" (0,6 mm), ponta multiperfurada que possibilite a desmontagem. </t>
  </si>
  <si>
    <t>AI00992</t>
  </si>
  <si>
    <t>Ponta de aspirador de CEC:</t>
  </si>
  <si>
    <t xml:space="preserve">Punch Aórtico 4.5 mm, reutilizável. Produto confeccionado em aço inoxidável, apresentando perfurador e vazador, com formato de corte redondo e tamanho com 4.5 mm de diâmetro. </t>
  </si>
  <si>
    <t>Punch Aórtico n° 4.5 mm:</t>
  </si>
  <si>
    <t xml:space="preserve">Punch Aórtico 4.0 mm, reutilizável. Produto confeccionado em aço inoxidável, apresentando perfurador e vazador, com formato de corte redondo e tamanho com 4.0 mm de diâmetro. </t>
  </si>
  <si>
    <t>Punch Aórtico n° 4.0 mm</t>
  </si>
  <si>
    <t>FX.18.519</t>
  </si>
  <si>
    <t xml:space="preserve">DeBakey Pinça Tecido, Atraumatica, 2.7mm, 24cm </t>
  </si>
  <si>
    <t>Pinça Debakey 24cm-2,7mm</t>
  </si>
  <si>
    <t>FX.13.911</t>
  </si>
  <si>
    <t xml:space="preserve">Pinça Anatômica De Bakey, pontas retas, finas com 2mm e serrilha atraumática, 20cm </t>
  </si>
  <si>
    <t>Pinça Debakey 20cm-2mm:</t>
  </si>
  <si>
    <t>FX.14.503</t>
  </si>
  <si>
    <t>Afastador Ankeney médio com quatro válvulas, lâminas de 3,5 mm à 4,0mm, com abertura entre 134 à 150 mm</t>
  </si>
  <si>
    <t>Afastador Ankeney médio com quatro válvulas. Deverá ter lâminas
de 3,5 mm à 4,0 mm, com abertura entre 134 à 150 mm.</t>
  </si>
  <si>
    <t>FX.13.914</t>
  </si>
  <si>
    <t xml:space="preserve">Pinça Anatômica De Bakey, pontas retas, largas com 2.8mm e serrilha atraumática, 16cm </t>
  </si>
  <si>
    <t>Pinça Debakey 16cm-2,7mm</t>
  </si>
  <si>
    <t>Valor Unit Bruto</t>
  </si>
  <si>
    <t xml:space="preserve"> Aliquota % ICMS</t>
  </si>
  <si>
    <t>Valor Total Bruto</t>
  </si>
  <si>
    <t>ANVISA</t>
  </si>
  <si>
    <t>CODIGO</t>
  </si>
  <si>
    <t>QTD</t>
  </si>
  <si>
    <t>DESCRITIVO</t>
  </si>
  <si>
    <t>ITEM</t>
  </si>
  <si>
    <t>Subitem 17.4 - Instrumentais Avulsos Cirurgia Cardíaca</t>
  </si>
  <si>
    <t>FX.11.472</t>
  </si>
  <si>
    <t>Afastador Balfour, completo, reto, tamanho G: 70 mm x 100 mm</t>
  </si>
  <si>
    <t>FX.11.467</t>
  </si>
  <si>
    <t>Afastador Balfour, completo, curvo, tamanho M: 45 mm x 80 mm</t>
  </si>
  <si>
    <t>FX.11.469</t>
  </si>
  <si>
    <t>Afastador Balfour, completo, curvo, tamanho M: 45 mm x 80 mm.</t>
  </si>
  <si>
    <t>Afastador Balfour, completo, curvo, Tamanho P: 20 mm x 25 mm</t>
  </si>
  <si>
    <t>FX.11.465</t>
  </si>
  <si>
    <t>Subitem 17.3 - Instrumentais Avulsos Cirurgia Ginecológica e Obstetrícia</t>
  </si>
  <si>
    <t>Alicate Steirnmann 60 cm para fios de até 6 mm de diâmetros</t>
  </si>
  <si>
    <t>Alicate Steirnmann 30 cm para fios de até 4 mm de diâmetros</t>
  </si>
  <si>
    <t>Subitem 17.2 - Instrumentais Avulsos Cirurgia Ortopédicas</t>
  </si>
  <si>
    <t>FX.62.229</t>
  </si>
  <si>
    <t>Placa de Identificação propria para a base de container, em aluminio na cor  de identificação, cor azul</t>
  </si>
  <si>
    <t>FX.61.216</t>
  </si>
  <si>
    <t>Cesto aramado compatível com box tamanho 3/4, com pés, dimensões 405x252x80 mm</t>
  </si>
  <si>
    <t>FX.60.796</t>
  </si>
  <si>
    <t>Tampa para container tamanho 3/4, com sistema de barreira permanente, silicone em toda extensão para perfeita vedação, cor azul</t>
  </si>
  <si>
    <t>FX.60.840</t>
  </si>
  <si>
    <t>Box de container tamanho 3/4, em alumínio anodizado, dimensões internas 430x260x135 mm</t>
  </si>
  <si>
    <t>1- Container sólido, com tampa de barreira, para armazenamento de todo</t>
  </si>
  <si>
    <t>FX.11.305</t>
  </si>
  <si>
    <t xml:space="preserve">Laminas laterais para Caspar Afastador, 85mm, revestido em preto </t>
  </si>
  <si>
    <t xml:space="preserve"> 2- Lâminas laterais para o Afastador Caspar de 80 mm de comprimento;</t>
  </si>
  <si>
    <t>FX.11.304</t>
  </si>
  <si>
    <t>Laminas laterais para Caspar Afastador, 75mm, revestido em preto</t>
  </si>
  <si>
    <t>2- Lâminas laterais para o Afastador Caspar de 70 mm de comprimento;</t>
  </si>
  <si>
    <t>FX.11.302</t>
  </si>
  <si>
    <t>Laminas laterais para Caspar Afastador, 60mm revestido em preto</t>
  </si>
  <si>
    <t>2- Lâminas laterais para o Afastador Caspar de 60 mm de comprimento;</t>
  </si>
  <si>
    <t>FX.11.300</t>
  </si>
  <si>
    <t xml:space="preserve">Laminas laterais para Caspar Afastador, 50mm, revestido em preto </t>
  </si>
  <si>
    <t>2- Lâminas laterais para o Afastador Caspar de 50 mm de comprimento;</t>
  </si>
  <si>
    <t>FX.11.298</t>
  </si>
  <si>
    <t xml:space="preserve">Laminas laterais para Caspar Afastador, 40mm, revestido em preto </t>
  </si>
  <si>
    <t>2- Lâminas laterais para o Afastador Caspar de 40 mm de comprimento;</t>
  </si>
  <si>
    <t>FX.11.295</t>
  </si>
  <si>
    <t>Chave para retirada de lâmina, medindo 8mm</t>
  </si>
  <si>
    <t>1- Chave para retirada de lâmina, medindo 8mm, compatível com as lâminas do</t>
  </si>
  <si>
    <t>FX.11.291</t>
  </si>
  <si>
    <t xml:space="preserve">Caspar Afastador para Coluna Vertebral, 60mm, revestido em preto </t>
  </si>
  <si>
    <t>1-Afastador Caspar para lombar, tipo espéculo, cônico, com 60 mm de comprimento;</t>
  </si>
  <si>
    <t>FX.11.289</t>
  </si>
  <si>
    <t xml:space="preserve">Caspar Afastador para Coluna Vertebral, 50mm, revestido em preto </t>
  </si>
  <si>
    <t>1-Afastador Caspar para lombar, tipo espéculo, cônico, com 50 mm de comprimento;</t>
  </si>
  <si>
    <t>FX.11.287</t>
  </si>
  <si>
    <t xml:space="preserve">Caspar Afastador para Coluna Vertebral, 40mm, revestido em preto </t>
  </si>
  <si>
    <t>1-Afastador Caspar para lombar, tipo espéculo, cônico, com 40 mm de comprimento;</t>
  </si>
  <si>
    <t>FX.11.296</t>
  </si>
  <si>
    <t>Retrator Caspar Afastador, medindo 60mm x 105mmx 100 mm, com 6 lâminas de 35mm, 40mm, 45mm, 50mm, 55mm e 60 mm</t>
  </si>
  <si>
    <t>1- Retrator Caspar Afastador, medindo 60mm x 105mmx 100 mm. Deverá conter 6 lâminas com tamanhos de 35mm, 40mm, 45mm, 50mm, 55mm e 60 mm;</t>
  </si>
  <si>
    <t>Subitem 17.1 - Instrumentais Avulsos Cirurgia Neurológica</t>
  </si>
  <si>
    <t>FX.62.225</t>
  </si>
  <si>
    <t>Placa de Identificação propria para a base de container, em aluminio na cor  dourada</t>
  </si>
  <si>
    <t>FX.60.788</t>
  </si>
  <si>
    <t>Tampa para container tamanho 3/4, com sistema de barreira permanente, silicone em toda extensão para perfeita vedação, cor dourada</t>
  </si>
  <si>
    <t>FX.60.831</t>
  </si>
  <si>
    <t>Box de container tamanho 3/4, em alumínio anodizado, dimensões internas 430x260x115 mm</t>
  </si>
  <si>
    <t xml:space="preserve"> 1-Container sólido, com tampa de barreira, para armazenamento de todo conjunto dos instrumentais</t>
  </si>
  <si>
    <t>FX.09.480</t>
  </si>
  <si>
    <t xml:space="preserve">Tesoura Metzenbaum-Nelson, lâminas curvas, finas com pontas rombas, 18cm </t>
  </si>
  <si>
    <t xml:space="preserve"> 1-Cesto de Container;</t>
  </si>
  <si>
    <t>FX.09.381</t>
  </si>
  <si>
    <t xml:space="preserve">Tesoura Mayo, lâminas curvas, largas com pontas rombas, 17cm </t>
  </si>
  <si>
    <t xml:space="preserve"> 1-Tesoura de Dissecção Metzenbaum, Romba-romba, curva, com 18 cm de comprimento;</t>
  </si>
  <si>
    <t>FX.09.379</t>
  </si>
  <si>
    <t xml:space="preserve">Tesoura Mayo, lâminas curvas, largas com pontas rombas, 14.5cm </t>
  </si>
  <si>
    <t xml:space="preserve"> 1-Tesoura de Dissecção Mayo, Romba-romba, curva, com 17 cm de comprimento;</t>
  </si>
  <si>
    <t>FX.09.375</t>
  </si>
  <si>
    <t xml:space="preserve">Tesoura Mayo, lâminas retas, largas com pontas rombas, 14.5cm </t>
  </si>
  <si>
    <t xml:space="preserve"> 1-Tesoura de Dissecção Mayo, Romba-romba, curva, com 14,5 cm de comprimento;</t>
  </si>
  <si>
    <t>FX.11.805</t>
  </si>
  <si>
    <t xml:space="preserve">Tentacanula ranhurado, 14cm </t>
  </si>
  <si>
    <t xml:space="preserve"> 1-Tesoura de Dissecção Mayo, Romba-romba, reta, com 14,5 cm de comprimento;</t>
  </si>
  <si>
    <t>FX.17.238</t>
  </si>
  <si>
    <t xml:space="preserve">Collin Som Uterino, 28cm </t>
  </si>
  <si>
    <t xml:space="preserve"> 1-Tentacânula, com 14,5 cm de comprimento;</t>
  </si>
  <si>
    <t>FX.12.158</t>
  </si>
  <si>
    <t xml:space="preserve">Porta  agulha Mayo-Hegar, pontas retas, largas com serrilha cruzada e encaixe p/ agulha de sutura, 18cm </t>
  </si>
  <si>
    <t xml:space="preserve"> 1-Sonda Uterina Collin, com 28 cm de comprimento;</t>
  </si>
  <si>
    <t>FX.10.688</t>
  </si>
  <si>
    <t>Pinça Cheron, pontas retas e serrilhadas, formato baioneta, 25cm</t>
  </si>
  <si>
    <t xml:space="preserve"> 2-Porta Agulha Mayo Hegar, serrilhada, reta, com 18 cm de comprimento;</t>
  </si>
  <si>
    <t>FX.16.289</t>
  </si>
  <si>
    <t xml:space="preserve">Pinça Allis, pontas retas com 5 x 6 dentes, 15cm </t>
  </si>
  <si>
    <t xml:space="preserve"> 1-Pinça Cheron, com 25 cm de comprimento;</t>
  </si>
  <si>
    <t>FX.10.288</t>
  </si>
  <si>
    <t xml:space="preserve">Pinça Kelly-Rankin, pontas curvas, finas e serrilhadas, 16cm </t>
  </si>
  <si>
    <t xml:space="preserve"> 6-Pinça Allis, 5x6 dentes, com 15 cm de comprimento;</t>
  </si>
  <si>
    <t>FX.10.282</t>
  </si>
  <si>
    <t xml:space="preserve">Pinça Kelly, pontas curvas, finas e serrilhadas, 14cm </t>
  </si>
  <si>
    <t xml:space="preserve"> 4-Pinça Arterial Kelly Rankin, serrilhada, curva, com 16 cm de comprimento;</t>
  </si>
  <si>
    <t>FX.10.281</t>
  </si>
  <si>
    <t xml:space="preserve">Pinça Kelly, pontas retas, finas e serrilhadas, 14cm </t>
  </si>
  <si>
    <t xml:space="preserve"> 4-Pinça Arterial Kelly, curva, com 14 cm de comprimento;</t>
  </si>
  <si>
    <t>FX.10.377</t>
  </si>
  <si>
    <t>Pinça Kocher-Ochsnner, pontas retas, serrilhadas com 1x2 dentes, 16cm</t>
  </si>
  <si>
    <t xml:space="preserve"> 4-Pinça Arterial Kelly, reta, com 14 cm de comprimento;</t>
  </si>
  <si>
    <t>FX.10.385</t>
  </si>
  <si>
    <t>Pinça Kocher-Ochsnner, pontas curvas, serrilhadas com 1x2 dentes, 16cm</t>
  </si>
  <si>
    <t xml:space="preserve"> 4-Pinça Ochsner Kocher, 1x2 dentes, reta, com 16 cm de comprimento;</t>
  </si>
  <si>
    <t>FX.18.425</t>
  </si>
  <si>
    <t xml:space="preserve">Backhaus Clamp Toalha, 13cm </t>
  </si>
  <si>
    <t xml:space="preserve"> 4-Pinça Ochsner Kocher, 1x2 dentes, curva, com 16 cm de comprimento;</t>
  </si>
  <si>
    <t>FX.17.290</t>
  </si>
  <si>
    <t xml:space="preserve">Museux Pinça Vulselum, reta, junta parafusada, 8mm, 24cm </t>
  </si>
  <si>
    <t xml:space="preserve"> 5-Pinça de Toalha Backhaus, com 13 cm de comprimento;</t>
  </si>
  <si>
    <t>FX.17.263</t>
  </si>
  <si>
    <t>Pozzi Pinça tenáculo, 25.5cm</t>
  </si>
  <si>
    <t>1-Pinça Uterina Museux, reta, de 8mm, com 24 cm de comprimento;</t>
  </si>
  <si>
    <t>FX.10.711</t>
  </si>
  <si>
    <t xml:space="preserve">Pinça Foerster, pontas retas com anéis fenestrados sem serrilha, 25cm </t>
  </si>
  <si>
    <t xml:space="preserve"> 1-Pinça Uterina Pozzi, com 25,5 cm de comprimento;</t>
  </si>
  <si>
    <t>FX.10.170</t>
  </si>
  <si>
    <t xml:space="preserve">Pinça Anatômica Collin-Duval, pontas retas com triangulos fenestrados com 14mm, 20cm </t>
  </si>
  <si>
    <t xml:space="preserve"> 1-Pinça Foerster, lisa, reta, com 25 cm de comprimento;</t>
  </si>
  <si>
    <t>FX.10.028</t>
  </si>
  <si>
    <t xml:space="preserve">Pinça Anatômica Standard, pontas retas, largas com 1x2 dentes, 18cm </t>
  </si>
  <si>
    <t xml:space="preserve"> 1-Pinça de Dissecção, Duval, com 14,5 cm de comprimento;</t>
  </si>
  <si>
    <t>FX.10.027</t>
  </si>
  <si>
    <t xml:space="preserve">Pinça Anatômica Standard, pontas retas, largas com 1x2 dentes, 16cm </t>
  </si>
  <si>
    <t xml:space="preserve"> 1-Pinça de Dissecção, Dente de Rato, 1x2 dentes, com 18 cm de comprimento;</t>
  </si>
  <si>
    <t>FX.09.951</t>
  </si>
  <si>
    <t xml:space="preserve">Pinça Anatômica Standard, pontas retas, largas e serrilhadas, 18cm </t>
  </si>
  <si>
    <t xml:space="preserve"> 1-Pinça de Dissecção, Dente de Rato, 1x2 dentes, com 16 cm de comprimento;</t>
  </si>
  <si>
    <t>FX.09.958</t>
  </si>
  <si>
    <t xml:space="preserve">Pinça Anatômica Estreita, pontas retas, finas e serrilhadas, 16cm </t>
  </si>
  <si>
    <t xml:space="preserve"> 1-Pinça de Dissecção Anatômica, serrilhada, com 18 cm de comprimento;</t>
  </si>
  <si>
    <t>FX.41.318</t>
  </si>
  <si>
    <t>Cúpula Tipo J 3 ounces, capacidade de 90ml, diamentro de 69*41mm</t>
  </si>
  <si>
    <t xml:space="preserve"> 1-Pinça de Dissecção Anatômica, serrilhada, delicada, fina, com 16 cm de comprimento;</t>
  </si>
  <si>
    <t>FX.17.066</t>
  </si>
  <si>
    <t xml:space="preserve">Breisky Especulo, 130x30mm </t>
  </si>
  <si>
    <t xml:space="preserve"> 1-Cuba redonda, com 5 cm de altura;</t>
  </si>
  <si>
    <t>FX.17.766</t>
  </si>
  <si>
    <t xml:space="preserve">Mayo Clip de segurança, 14cm </t>
  </si>
  <si>
    <t xml:space="preserve"> 2-Afastador Breisky, 130x30mm;</t>
  </si>
  <si>
    <t>FX.17.010</t>
  </si>
  <si>
    <t>Doyen Especulo Vaginal, 60x55mm</t>
  </si>
  <si>
    <t xml:space="preserve"> 2-Afastador Doyen, levemente concâvo, lâmina de 55x60 mm;</t>
  </si>
  <si>
    <t>FX.17.007</t>
  </si>
  <si>
    <t>Doyen Especulo Vaginal, 45x55mm</t>
  </si>
  <si>
    <t>2-Afastador Doyen, levemente concâvo, lâmina de 55x45 mm;</t>
  </si>
  <si>
    <t>Subitem 16.3 - Caixa para Perineoplastia</t>
  </si>
  <si>
    <t>FX.09.013</t>
  </si>
  <si>
    <t xml:space="preserve">Canula de aspiração Poole, tubular, reta, tubo externo multi perfurado, calibre de 30 French (10mm), 22cm </t>
  </si>
  <si>
    <t xml:space="preserve"> 1-Tubo de Sucção para Anestesia Poole, com mandril, de 10mm, reto, com 22 cm de comprimento;</t>
  </si>
  <si>
    <t>FX.09.025</t>
  </si>
  <si>
    <t xml:space="preserve">Canula de aspiração Yankauer, tubular, canula curva com ponta rosqueável modelo chuveiro, manopla com apoio digital e oliva, 27cm </t>
  </si>
  <si>
    <t xml:space="preserve"> 1-Tubo de Sucção Yankauer, com ponta removível, com 27 cm de comprimento</t>
  </si>
  <si>
    <t>FX.09.462</t>
  </si>
  <si>
    <t xml:space="preserve">Tesoura Metzenbaum- Fine, lâminas curvas, finas com pontas rombas, 18cm </t>
  </si>
  <si>
    <t xml:space="preserve"> 1-Tesoura de Dissecção Metzenbaum, Romba-romba, delicada, curva, com 18 cm de comprimento;</t>
  </si>
  <si>
    <t>FX.09.456</t>
  </si>
  <si>
    <t xml:space="preserve">Tesoura Metzenbaum- Fine, lâminas curvas, finas com pontas rombas, 14.5cm </t>
  </si>
  <si>
    <t xml:space="preserve"> 1-Tesoura de Dissecção Metzenbaum, Romba-romba, delicada, curva, com 14,5 cm de comprimento;</t>
  </si>
  <si>
    <t>FX.09.390</t>
  </si>
  <si>
    <t xml:space="preserve">Tesoura Mayo-Stille, lâminas curvas, largas com pontas rombas, 17cm </t>
  </si>
  <si>
    <t xml:space="preserve"> 1-Tesoura de Dissecção Mayo Stille, Romba-romba, curva, com 17 cm de comprimento;</t>
  </si>
  <si>
    <t>FX.09.387</t>
  </si>
  <si>
    <t xml:space="preserve">Tesoura Mayo-Stille, lâminas retas, largas com pontas rombas, 17cm </t>
  </si>
  <si>
    <t xml:space="preserve"> 1-Tesoura de Dissecção Mayo Stille, Romba-romba, reta, com 17 cm de comprimento;</t>
  </si>
  <si>
    <t>FX.18.200</t>
  </si>
  <si>
    <t xml:space="preserve">Mayo Tesoura, reta, 18cm </t>
  </si>
  <si>
    <t xml:space="preserve"> 1-Tesoura, Romba-romba, reta, com 18 cm de comprimento;</t>
  </si>
  <si>
    <t>FX.09.510</t>
  </si>
  <si>
    <t xml:space="preserve">Tesoura Dietrich, lâminas anguladas  45º, muito finas com pontas agudas, 18cm </t>
  </si>
  <si>
    <t xml:space="preserve"> 1-Tesoura Vascular Hegemann Dietrich, Fina-fina, de 45°, com 19 cm de comprimento;</t>
  </si>
  <si>
    <t>FX.09.464</t>
  </si>
  <si>
    <t xml:space="preserve">Tesoura Metzenbaum- Fine, lâminas curvas, finas com pontas rombas, 23cm </t>
  </si>
  <si>
    <t xml:space="preserve"> 1-Tesoura de Dissecção Metzenbaum, delicada, Romba-romba, curva, com 23 cm de comprimento;</t>
  </si>
  <si>
    <t>FX.09.461</t>
  </si>
  <si>
    <t xml:space="preserve">Tesoura Metzenbaum- Fine, lâminas retas, finas com pontas rombas, 23cm </t>
  </si>
  <si>
    <t xml:space="preserve"> 1-Tesoura de Dissecção Metzenbaum, delicada, Romba-romba, reta, com 23 cm de comprimento;</t>
  </si>
  <si>
    <t>FX.11.806</t>
  </si>
  <si>
    <t xml:space="preserve">Tentacanula ranhurado, 16cm </t>
  </si>
  <si>
    <t xml:space="preserve"> 1-Tentacânula, com 16 cm de comprimento;</t>
  </si>
  <si>
    <t xml:space="preserve"> 1-Porta Agulha Mayo Hegar, serrilhada, reta, com 18 cm de comprimento;</t>
  </si>
  <si>
    <t>FX.12.156</t>
  </si>
  <si>
    <t xml:space="preserve">Porta Agulha Mayo-Hegar, pontas retas, largas com serrilha cruzada e encaixe p/ agulha de sutura, 14cm </t>
  </si>
  <si>
    <t xml:space="preserve"> 1-Porta Agulha Mayo Hegar, serrilhada, reta, com 14 cm de comprimento;</t>
  </si>
  <si>
    <t>FX.11.904</t>
  </si>
  <si>
    <t>Porta Agulha Mayo-Hegar, pontas com wídea TC, retas, 26cm</t>
  </si>
  <si>
    <t xml:space="preserve"> 1-Porta Agulha Mayo Hegar, serrilhada, reta, com vídea, com 26 cm de comprimento;</t>
  </si>
  <si>
    <t>FX.13.916</t>
  </si>
  <si>
    <t xml:space="preserve">Pinça Anatômica De Bakey, pontas retas, largas com 2.8mm e serrilha atraumática, 30cm </t>
  </si>
  <si>
    <t xml:space="preserve"> 2-Pinça Cardiovascular Debakey, atraumática, 2.8mm, com 30cm de comprimento;</t>
  </si>
  <si>
    <t>FX.09.863</t>
  </si>
  <si>
    <t xml:space="preserve">Pinça Anatômica Standard, pontas retas comwídea TC, 25cm </t>
  </si>
  <si>
    <t xml:space="preserve"> 1-Pinça de Dissecção Anatômica, serrilhada, com vídea, com 25 cm de comprimento;</t>
  </si>
  <si>
    <t>FX.10.030</t>
  </si>
  <si>
    <t xml:space="preserve">Pinça Anatômica Standard, pontas retas, largas com 1x2 dentes, 25cm </t>
  </si>
  <si>
    <t xml:space="preserve"> 1-Pinça de Dissecção, Dente de Rato, 1x2 dentes, com 25 cm de comprimento;</t>
  </si>
  <si>
    <t>FX.09.953</t>
  </si>
  <si>
    <t xml:space="preserve">Pinça Anatômica Standard, pontas retas, largas e serrilhadas, 25cm </t>
  </si>
  <si>
    <t xml:space="preserve"> 2-Pinça de Dissecção Anatômica, serrilhada, com 25 cm de comprimento;</t>
  </si>
  <si>
    <t xml:space="preserve"> 1-Pinça de Dissecção Anatômica, com 18 cm de comprimento;</t>
  </si>
  <si>
    <t>FX.09.949</t>
  </si>
  <si>
    <t xml:space="preserve">Pinça Anatômica Standard, pontas retas, largas e serrilhadas, 14.5cm </t>
  </si>
  <si>
    <t xml:space="preserve"> 1-Pinça de Dissecção Anatômica, com 14,5 cm de comprimento;</t>
  </si>
  <si>
    <t>FX.10.115</t>
  </si>
  <si>
    <t>Pinça Anatômica Adson, pontas retas, finas com 1x2 dentes, 12cm</t>
  </si>
  <si>
    <t xml:space="preserve"> 4-Pinça de Dissecção Adson, 1x2 dentes, com 12 de comprimento;</t>
  </si>
  <si>
    <t>FX.09.990</t>
  </si>
  <si>
    <t xml:space="preserve">Pinça Anatômica Adson, pontas retas, finas e serrilhadas, 12cm </t>
  </si>
  <si>
    <t xml:space="preserve"> 6-Pinça de Dissecção Adson, serrilhada, com 12 cm de comprimento;</t>
  </si>
  <si>
    <t>FX.10.557</t>
  </si>
  <si>
    <t xml:space="preserve">Pinça Moynihan, pontas curvas e serrilhadas, 23cm </t>
  </si>
  <si>
    <t xml:space="preserve"> 2-Pinça Moynihan, curva, com 23 cm de comprimento;</t>
  </si>
  <si>
    <t>FX.16.153</t>
  </si>
  <si>
    <t xml:space="preserve">Pinça Schnidt-Sawtell, pontas curvas, finas e serrilhadas, 19cm </t>
  </si>
  <si>
    <t xml:space="preserve"> 2-Pinça Scmidt, levemente curvada, com 19 cm de comprimento;</t>
  </si>
  <si>
    <t>FX.10.362</t>
  </si>
  <si>
    <t xml:space="preserve">Pinça Rochester-Pean, pontas retas e serrilhadas, 18cm </t>
  </si>
  <si>
    <t xml:space="preserve"> 2-Pinça Rochester Pean, reta, com 18 cm de comprimento;</t>
  </si>
  <si>
    <t>FX.10.452</t>
  </si>
  <si>
    <t xml:space="preserve">Pinça Gemini, pontas curvas, finas e serrilhadas, 23cm </t>
  </si>
  <si>
    <t xml:space="preserve"> 4-Pinça Gemini, com 23 cm de comprimento;</t>
  </si>
  <si>
    <t>FX.10.384</t>
  </si>
  <si>
    <t>Pinça Kocher-Ochsnner, pontas curvas, serrilhadas com 1x2 dentes, 14cm</t>
  </si>
  <si>
    <t xml:space="preserve"> 4-Pinça Kocher Ochsner, 1x2 dentes, curva, com 14 cm de comprimento;</t>
  </si>
  <si>
    <t>FX.10.376</t>
  </si>
  <si>
    <t>Pinça Kocher-Ochsnner, pontas retas, serrilhadas com 1x2 dentes, 14cm</t>
  </si>
  <si>
    <t xml:space="preserve"> 4-Pinça Kocher Ochsner, 1x2 dentes, reta, com 14 cm de comprimento;</t>
  </si>
  <si>
    <t xml:space="preserve"> 6-Pinça Arterial Kelly, curva, com 14 cm de comprimento;</t>
  </si>
  <si>
    <t xml:space="preserve"> 6-Pinça Arterial Kelly, reta, com 14 cm de comprimento;</t>
  </si>
  <si>
    <t>FX.10.259</t>
  </si>
  <si>
    <t>Pinça Halsted-Mosquito, pontas curva, finas e serrilhadas, 12.5cm</t>
  </si>
  <si>
    <t xml:space="preserve"> 10-Pinça Arterial Halstead Mosquito, curva, com 12,5 cm de comprimento;</t>
  </si>
  <si>
    <t>FX.10.257</t>
  </si>
  <si>
    <t>Pinça Halsted-Mosquito, pontas retas, finas e serrilhadas, 12.5cm</t>
  </si>
  <si>
    <t xml:space="preserve"> 8-Pinça Arterial Halstead Mosquito, reta, com 12,5 cm de comprimento;</t>
  </si>
  <si>
    <t>FX.10.716</t>
  </si>
  <si>
    <t xml:space="preserve">Pinça Foerster, pontas retas com anéis fenestrados e serrilhados, 25cm </t>
  </si>
  <si>
    <t xml:space="preserve"> 2-Pinça Foerster, serrilhada, reta, com 25 cm de comprimento;</t>
  </si>
  <si>
    <t>FX.18.435</t>
  </si>
  <si>
    <t xml:space="preserve">Foerster Pinça de retenção de esponja, levemente curvo, 18cm </t>
  </si>
  <si>
    <t xml:space="preserve"> 1-Pinça Foerster, lisa, curva, com 18 cm de comprimento;</t>
  </si>
  <si>
    <t>FX.10.709</t>
  </si>
  <si>
    <t xml:space="preserve">Pinça Foerster, pontas retas com anéis fenestrados sem serrilha, 18cm </t>
  </si>
  <si>
    <t xml:space="preserve"> 1-Pinça Foerster, lisa, reta, com 18 cm de comprimento;</t>
  </si>
  <si>
    <t>FX.18.541</t>
  </si>
  <si>
    <t xml:space="preserve">Collin Pinça segura lingua, 16cm </t>
  </si>
  <si>
    <t>1-Pinça Collin, com 16 cm de comprimento;</t>
  </si>
  <si>
    <t xml:space="preserve"> 1-Pinça Cheron, com 25 cm de comprimento</t>
  </si>
  <si>
    <t xml:space="preserve"> 10-Pinça de Toalha Backhaus, com 13 cm de comprimento;</t>
  </si>
  <si>
    <t>FX.16.321</t>
  </si>
  <si>
    <t xml:space="preserve">Babcock Pinça para Tecido, serrilhada, 20cm </t>
  </si>
  <si>
    <t xml:space="preserve"> 2-Pinça de Apreensão Babcok, com 20 cm de comprimento;</t>
  </si>
  <si>
    <t>FX.16.319</t>
  </si>
  <si>
    <t xml:space="preserve">Babcock Pinça para Tecido, serrilhada, 16cm </t>
  </si>
  <si>
    <t xml:space="preserve"> 2-Pinça de Apreensão Babcok, com 16 cm de comprimento;</t>
  </si>
  <si>
    <t>FX.16.291</t>
  </si>
  <si>
    <t xml:space="preserve">Pinça Allis, pontas retas com 5 x 6 dentes, 22cm </t>
  </si>
  <si>
    <t xml:space="preserve"> 4-Pinça de Apreensão Allis, 5x6 dentes, com 23 cm de comprimento;</t>
  </si>
  <si>
    <t xml:space="preserve"> 4-Pinça Allis, 5x6 dentes, com 15 cm de comprimento;</t>
  </si>
  <si>
    <t>FX.09.154</t>
  </si>
  <si>
    <t xml:space="preserve">Cabo de bisturi nº 3, graduado em centímetros,  12cm </t>
  </si>
  <si>
    <t xml:space="preserve"> 1-Cabo de Bisturi n°3, graduado, com 12 cm de comprimento;</t>
  </si>
  <si>
    <t xml:space="preserve"> 8-Alfinete de Segurança Mayo, reto, com 14 cm de comprimento;</t>
  </si>
  <si>
    <t>FX.11.481</t>
  </si>
  <si>
    <t>Afastador Gosset, garras laterais aramadas com 63mm  x 35mm, hastes curvas, abertura de 140mm</t>
  </si>
  <si>
    <t xml:space="preserve"> 1-Afastador Gosset, com 14 cm de comprimento;</t>
  </si>
  <si>
    <t>FX.11.482</t>
  </si>
  <si>
    <t>Afastador Gosset, garras laterais aramadas com 40mm  x 30mm,  hastes retas, abertura de 100mm</t>
  </si>
  <si>
    <t xml:space="preserve"> 1-Afastador Gosset, com 10 cm de comprimento;</t>
  </si>
  <si>
    <t>FX.10.964</t>
  </si>
  <si>
    <t xml:space="preserve">Afastador Langenbeck, válvula com lâmina de dimensões de 50mm x 11mm, 22cm </t>
  </si>
  <si>
    <t xml:space="preserve"> 1-Afastador Langenbeck, lâmina de 50x11mm, com 22 cm de comprimento;</t>
  </si>
  <si>
    <t>FX.17.012</t>
  </si>
  <si>
    <t xml:space="preserve">Doyen Especulo Vaginal, 60x115mm </t>
  </si>
  <si>
    <t xml:space="preserve"> 1-Afastador Doyen, levemente concâvo, lâmina de 115x60mm;</t>
  </si>
  <si>
    <t>FX.17.009</t>
  </si>
  <si>
    <t xml:space="preserve">Doyen Especulo Vaginal, 45x115mm </t>
  </si>
  <si>
    <t xml:space="preserve"> 1-Afastador Doyen, levemente concâvo, lâmina de 115x45mm;</t>
  </si>
  <si>
    <t xml:space="preserve"> 1-Afastador Doyen, levemente concâvo, lâmina de 55x45mm;</t>
  </si>
  <si>
    <t>FX.10.958</t>
  </si>
  <si>
    <t xml:space="preserve">Afastador Langenbeck, válvula com lâmina de dimensões de 40mm x 11mm, 22cm </t>
  </si>
  <si>
    <t xml:space="preserve"> 12-Afastador Langenbeck, lâmina de 40x11mm, com 21 cm de comprimento;</t>
  </si>
  <si>
    <t>FX.10.729</t>
  </si>
  <si>
    <t xml:space="preserve">Afastador Farabeuf, par com 2 válvulas duplas de lâmina plana, 15cm </t>
  </si>
  <si>
    <t>1-Afastador Farabeuf, com 15 cm de comprimento;</t>
  </si>
  <si>
    <t>Subitem 16.2 - Caixa Cirúrgica Básica para Urologia</t>
  </si>
  <si>
    <t>FX.60.005</t>
  </si>
  <si>
    <t>Tampa para container tamanho 1/1, com sistema de barreira permanente, silicone em toda extensão para perfeita vedação, cor dourada</t>
  </si>
  <si>
    <t>FX.60.075</t>
  </si>
  <si>
    <t>Box de container tamanho 1/1, em alumínio anodizado, dimensões internas 550x260x135 mm</t>
  </si>
  <si>
    <t>FX.60.662</t>
  </si>
  <si>
    <t>Cesto aramado compatível com box tamanho 1/1, com pés, dimensões  539x252x80 mm</t>
  </si>
  <si>
    <t xml:space="preserve"> 1- Container sólido, com tampa de barreira, para armazenamento de todo conjunto dos instrumentais</t>
  </si>
  <si>
    <t>FX.60.654</t>
  </si>
  <si>
    <t>Cesto aramado compatível com box tamanho 1/1, com pés, dimensões  539x252x40 mm</t>
  </si>
  <si>
    <t xml:space="preserve"> 1-Tubo de Sucção para anestesia Poole, reto, com mandril, 10mm, com 22 cm de comprimento;</t>
  </si>
  <si>
    <t xml:space="preserve"> 1-Tubo de Sucção Yankauer, com ponta removível, com 27 cm de comprimento;</t>
  </si>
  <si>
    <t>FX.11.758</t>
  </si>
  <si>
    <t xml:space="preserve">Sonda abotoada, ponta dupla, 2mm, 16cm </t>
  </si>
  <si>
    <t xml:space="preserve"> 1-Sonda Biolivar, com 2,00 de diâmetro, com 16 cm de comprimento;</t>
  </si>
  <si>
    <t>FX.09.511</t>
  </si>
  <si>
    <t xml:space="preserve">Tesoura Dietrich, lâminas anguladas  60º, muito finas com pontas agudas, 18cm </t>
  </si>
  <si>
    <t xml:space="preserve"> 1-Tesoura Vascular Hegemann Diettrich, Fina-fina, ângulo de 60°, com 19 cm de comprimento;</t>
  </si>
  <si>
    <t>FX.09.549</t>
  </si>
  <si>
    <t xml:space="preserve">Tesoura Universal, lâminas anguladas, largas, curtas com pontas rombas e corte serrilhado, 12cm </t>
  </si>
  <si>
    <t xml:space="preserve"> 1-Tesoura Universal, para fio de aço, serrilhada, com 12 cm de comprimento;</t>
  </si>
  <si>
    <t xml:space="preserve"> 1-Tesoura Dissecção, Metzenbaum, delicada, Romba-romba, curva, com 18 cm de comprimento;</t>
  </si>
  <si>
    <t xml:space="preserve"> 1-Tesoura Dissecção, Metzenbaum, delicada, Romba-romba, curva, com 14,5 cm de comprimento;</t>
  </si>
  <si>
    <t>FX.09.389</t>
  </si>
  <si>
    <t xml:space="preserve">Tesoura Mayo-Stille, lâminas curvas, largas com pontas rombas, 15cm </t>
  </si>
  <si>
    <t xml:space="preserve"> 1-Tesoura Dissecção Mayo Stille, Romba-romba, curva, com 15 cm de comprimento;</t>
  </si>
  <si>
    <t xml:space="preserve"> 1-Tesoura Dissecção Mayo Stille, Romba-romba, reta, com 17 cm de comprimento;</t>
  </si>
  <si>
    <t>FX.09.324</t>
  </si>
  <si>
    <t xml:space="preserve">Tesoura Standard, lâminas retas, largas com pontas rombas, 18.5cm </t>
  </si>
  <si>
    <t xml:space="preserve"> 1-Tesoura Standard, Romba-romba, reta, com 18,5 cm de comprimento;</t>
  </si>
  <si>
    <t>FX.11.893</t>
  </si>
  <si>
    <t xml:space="preserve">Porta Agulha Derf, pontas com, wídea TC, retas, finas e lisas, 12cm </t>
  </si>
  <si>
    <t xml:space="preserve"> 1-Porta Agulha Derf, micro serrilhada, com vídea, com 12 cm de comprimento;</t>
  </si>
  <si>
    <t>FX.13.976</t>
  </si>
  <si>
    <t xml:space="preserve">Clamp De Bakey, parte funcional angulada em 90º com serrilha atraumática de 40mm, 10cm </t>
  </si>
  <si>
    <t xml:space="preserve"> 1-Pinça Debakey, angulada, com 10 cm de comprimento;</t>
  </si>
  <si>
    <t xml:space="preserve"> 1-Pinça Dissecção Dente de Rato, 1x2 dentes, com 18 cm de comprimento;</t>
  </si>
  <si>
    <t xml:space="preserve"> 1-Pinça Dissecção Dente de Rato, 1x2 dentes, com 16 cm de comprimento;</t>
  </si>
  <si>
    <t xml:space="preserve"> 1-Pinça Dissecção Anatômica, serrilhada, com 18 cm de comprimento;</t>
  </si>
  <si>
    <t xml:space="preserve"> 1-Pinça Dissecção Anatômica, serrilhada, com 14,5 cm de comprimento;</t>
  </si>
  <si>
    <t xml:space="preserve"> 1-Pinça Dissecção Adson, 1x2 dentes, com 12 cm de comprimento;</t>
  </si>
  <si>
    <t xml:space="preserve"> 1-Pinça Dissecção Adson, serrllhada, com 12 cm de comprimento;</t>
  </si>
  <si>
    <t xml:space="preserve"> 10-Pinça Arterial Hastead Mosquito, curva, com 12,5 cm de comprimento;</t>
  </si>
  <si>
    <t xml:space="preserve"> 4-Pinça Arterial Hastead Mosquito, reta, com 12,5 cm de comprimento;</t>
  </si>
  <si>
    <t xml:space="preserve"> 2-Pinça Rochester Pean, reta, ccom 18 cm de comprimento;</t>
  </si>
  <si>
    <t>FX.10.448</t>
  </si>
  <si>
    <t xml:space="preserve">Pinça Gemini, pontas curvas, finas e serrilhadas, 13cm </t>
  </si>
  <si>
    <t xml:space="preserve"> 2-Pinça Gemini, com 13 cm de comprimento;</t>
  </si>
  <si>
    <t>FX.16.518</t>
  </si>
  <si>
    <t xml:space="preserve">Randal Pinça para pedra no Rim, 22cm, 5mm </t>
  </si>
  <si>
    <t xml:space="preserve"> 1-Pinça Randall, curva, com 22 cm de comprimento;</t>
  </si>
  <si>
    <t xml:space="preserve"> 6-Pinça Arterial Kelly, curva, com 14 cm de ccomprimento;</t>
  </si>
  <si>
    <t xml:space="preserve"> 4-Pinça Arterial Kelly, reta, com 14 cm de ccomprimento;</t>
  </si>
  <si>
    <t>FX.10.513</t>
  </si>
  <si>
    <t>Clamp Guyon, com curvatura em formato de colher e serrilhada, 24cm</t>
  </si>
  <si>
    <t xml:space="preserve"> 1-Pinça Guyon, com 24 cm de comprimento;</t>
  </si>
  <si>
    <t>FX.10.717</t>
  </si>
  <si>
    <t xml:space="preserve">Pinça Foerster, pontas curvas com anéis fenestrados e serrilhados, 18cm </t>
  </si>
  <si>
    <t xml:space="preserve"> 1-Pinça Foerster, serrilhada, curva, com 18 cm de comprimento;</t>
  </si>
  <si>
    <t>FX.10.714</t>
  </si>
  <si>
    <t xml:space="preserve">Pinça Foerster, pontas retas com anéis fenestrados e serrilhados, 18cm </t>
  </si>
  <si>
    <t xml:space="preserve"> 1-Pinça Foerster, serrilhada, reta, com 18 cm de comprimento;</t>
  </si>
  <si>
    <t xml:space="preserve"> 1-Pinça Collin, com 16,5 cm de comprimento;</t>
  </si>
  <si>
    <t>FX.10.687</t>
  </si>
  <si>
    <t>Pinça Collin, pontas retas e serrilhadas, 25cm</t>
  </si>
  <si>
    <t xml:space="preserve"> 2-Pinça Collin, reta, com 25 cm de comprimento;</t>
  </si>
  <si>
    <t>FX.10.630</t>
  </si>
  <si>
    <t xml:space="preserve">Pinça Backhaus, pontas curvas e agudas, 11cm </t>
  </si>
  <si>
    <t xml:space="preserve"> 10-Pinça de Toalha Backhaus, com 11 cm de comprimento;</t>
  </si>
  <si>
    <t xml:space="preserve"> 2-Pinça de Apreensão Babcock, com 16 cm de comprimento;</t>
  </si>
  <si>
    <t>FX.11.140</t>
  </si>
  <si>
    <t xml:space="preserve">Haberer Afastador, maleavel, 25/30x280mm </t>
  </si>
  <si>
    <t xml:space="preserve"> 1-Espátula Maleável Haberer, lâmina com 280mm,25x30mm, com 21 cm de comprimento;</t>
  </si>
  <si>
    <t>FX.13.988</t>
  </si>
  <si>
    <t xml:space="preserve">Clamp De Bakey-Beck, tangencial, parte funcional com abertura de 30mm e serrilha atraumática, 17cm </t>
  </si>
  <si>
    <t xml:space="preserve"> 2-Clamp Cardiovascular Beck, com 17 cm de comprimento;</t>
  </si>
  <si>
    <t>FX.13.934</t>
  </si>
  <si>
    <t xml:space="preserve">Glover  Bulldog Clamp, Atraumatica, 5cm </t>
  </si>
  <si>
    <t xml:space="preserve"> 2-Clamp Cardiovascular Bulldog Glover, angulado, com 5 cm de comprimento;</t>
  </si>
  <si>
    <t>FX.10.247</t>
  </si>
  <si>
    <t xml:space="preserve">Diethrich Bulldog Clamp, serrilhado, angulada, mandibula de 12mm, 50mm </t>
  </si>
  <si>
    <t xml:space="preserve"> 1-Clamp Dietrich, atraumático, curvo, com 14 mm de comprimento;</t>
  </si>
  <si>
    <t>FX.10.248</t>
  </si>
  <si>
    <t xml:space="preserve">Diethrich Bulldog Clamp, serrilhado, angulada, mandibula de  20mm, 6cm </t>
  </si>
  <si>
    <t xml:space="preserve"> 1-Clamp Dietrich, atraumático, curvo, com 20 mm de comprimento;</t>
  </si>
  <si>
    <t>FX.10.244</t>
  </si>
  <si>
    <t xml:space="preserve">Diethrich Bulldog Clamp, reta, serrilhada, 12mm 5cm </t>
  </si>
  <si>
    <t xml:space="preserve"> 1-Clamp Dietrich, atraumático, reto, com 14 mm de comprimento;</t>
  </si>
  <si>
    <t>FX.10.245</t>
  </si>
  <si>
    <t xml:space="preserve">Diethrich Bulldog Clamp, reta, serrilhada, 20mm 6cm </t>
  </si>
  <si>
    <t xml:space="preserve"> 1-Clamp Dietrich, atraumático, reto, com 20 mm de comprimento;</t>
  </si>
  <si>
    <t>FX.13.949</t>
  </si>
  <si>
    <t xml:space="preserve">DeBakey Bulldog Clamp, Atraumatica, reta, 7.5cm </t>
  </si>
  <si>
    <t xml:space="preserve"> 1-Clamp Cardiovascular Bulldog, reto, com 7,5 cm de comprimento;</t>
  </si>
  <si>
    <t>FX.14.058</t>
  </si>
  <si>
    <t xml:space="preserve">Satinsky Clamp para Oclusão Tangencial, 20.5cm </t>
  </si>
  <si>
    <t xml:space="preserve"> 1-Clamp Cardiovascular Stainsky Debakey, com 20,5 cm de comprimento;</t>
  </si>
  <si>
    <t>13-01360-04</t>
  </si>
  <si>
    <t xml:space="preserve">Cabo de bisturi nº 4, standard, 12cm </t>
  </si>
  <si>
    <t xml:space="preserve"> 1-Cabo de Bisturi, nº4, graduado com 13,7 cm de comprimento;</t>
  </si>
  <si>
    <t xml:space="preserve"> 1-Cabo de Bisturi, nº3, graduado, com 12 cm de comprimento;</t>
  </si>
  <si>
    <t>FX.11.050</t>
  </si>
  <si>
    <t xml:space="preserve">Afastador Tuffier, válvula comlâmina de dimensões de 64mm x 60mm , 23cm </t>
  </si>
  <si>
    <t xml:space="preserve"> 1-Afastador Tuffier, lâmina de 64x60mm, com 23 cm de comprimento;</t>
  </si>
  <si>
    <t>FX.10.957</t>
  </si>
  <si>
    <t xml:space="preserve">Afastador Langenbeck, válvula com lâmina de dimensões de 30mm x 16mm, 22cm </t>
  </si>
  <si>
    <t xml:space="preserve"> 1-Afastador Langenbeck, lâmina de 30x16xmm, 21 cm de comprimento;</t>
  </si>
  <si>
    <t>FX.14.464</t>
  </si>
  <si>
    <t xml:space="preserve">FINOCHIETTO Afastador de Costelas, 35x40x165mm </t>
  </si>
  <si>
    <t xml:space="preserve"> 1-Afastador Finochietto, 36x45x165mm;</t>
  </si>
  <si>
    <t>FX.10.726</t>
  </si>
  <si>
    <t xml:space="preserve">Afastador Farabeuf, par com 2 válvulas duplas de lâmina plana, 12cm </t>
  </si>
  <si>
    <t xml:space="preserve"> 1-Afastador Farabeuf, com 12 cm de comprimento;</t>
  </si>
  <si>
    <t>1-Alfinete de Segurança Mayo, reto, com 14 cm de comprimento;</t>
  </si>
  <si>
    <t>Subitem 16.1 - Caixa para Cirurgia de Urologia Infantil</t>
  </si>
  <si>
    <t>Isento</t>
  </si>
  <si>
    <t>FX.62.223</t>
  </si>
  <si>
    <t xml:space="preserve"> Placa de Identificação propria para a base de container, em aluminio na cor  verde</t>
  </si>
  <si>
    <t>FX.60.800</t>
  </si>
  <si>
    <t>Tampa para container tamanho 3/4, com sistema de barreira permanente, silicone em toda extensão para perfeita vedação, cor verde</t>
  </si>
  <si>
    <t>FX.61.267</t>
  </si>
  <si>
    <t>FX.61.327</t>
  </si>
  <si>
    <t>33. 1-Container sólido, com tampa de barreira, para armazenamento de todo conjunto</t>
  </si>
  <si>
    <t>FX.61.853</t>
  </si>
  <si>
    <t>32. 1-Cesto de Container;</t>
  </si>
  <si>
    <t>31. 1-Tesoura de Dissecção Metzembaum, Romba-romba, curva, com 18 cm de</t>
  </si>
  <si>
    <t>FX.09.377</t>
  </si>
  <si>
    <t xml:space="preserve">Tesoura Mayo, lâminas retas, largas com pontas rombas, 17cm </t>
  </si>
  <si>
    <t>30. 1-Tesoura de Dissecção Mayo, Romba-romba, reta, com 17 cm de comprimento;</t>
  </si>
  <si>
    <t>29. 1-Tesoura de Dissecção Mayo, Romba-romba, curva, com 17 cm de comprimento;</t>
  </si>
  <si>
    <t>FX.09.413</t>
  </si>
  <si>
    <t xml:space="preserve">Tesoura Íris, lâminas retas , finas, chanfradas com pontas agudas, 11.5cm </t>
  </si>
  <si>
    <t>28. 1-Tesoura Íris, Romba-romba, reta, com 11,5 cm de comprimento;</t>
  </si>
  <si>
    <t>FX.09.412</t>
  </si>
  <si>
    <t xml:space="preserve">Tesoura Íris, lâminas curvas, finas, chanfradas com pontas agudas, 10.5cm </t>
  </si>
  <si>
    <t>27. 1-Tesoura Íris, Fina-fina, curva, com 10,5 cm de comprimento;</t>
  </si>
  <si>
    <t>HB0068</t>
  </si>
  <si>
    <t xml:space="preserve">Regua em aço cirurgico, com medidas em cm, 30cm </t>
  </si>
  <si>
    <t>26. 1-Régua de Aço Cirúrgico, com 30 cm de comprimento;</t>
  </si>
  <si>
    <t>FX.11.902</t>
  </si>
  <si>
    <t>Porta Agulha Mayo-Hegar, pontas com wídea TC, retas, 20cm</t>
  </si>
  <si>
    <t>25. 1-Porta Agulha Mayo Hegar, serrilhada, reta, com vídea, com 20 cm de comprimento;</t>
  </si>
  <si>
    <t>FX.11.901</t>
  </si>
  <si>
    <t>Porta Agulha Mayo-Hegar, pontas com wídea TC, retas, 18cm</t>
  </si>
  <si>
    <t>24. 1-Porta Agulha Mayo Hegar, serrilhado, reta, com vídea, com 18 cm de comprimento;</t>
  </si>
  <si>
    <t>FX.11.900</t>
  </si>
  <si>
    <t>Porta Agulha Mayo-Hegar, pontas com wídea TC, retas, 16cm</t>
  </si>
  <si>
    <t>23. 1-Porta Agulha Mayo Hegar, serrilhado, reta, com vídea, com 16 cm de comprimento;</t>
  </si>
  <si>
    <t>FX.10.344</t>
  </si>
  <si>
    <t xml:space="preserve">Pinça Pean, reta, 16cm </t>
  </si>
  <si>
    <t>22. 1-Pinça Pean, com 16 cm de comprimento;</t>
  </si>
  <si>
    <t>21. 2-Pinça Arterial Kelly, reta, com 14 cm de comprimento;</t>
  </si>
  <si>
    <t>20. 4-Pinça Arterial Kelly, curva, com 14 cm de comprimento;</t>
  </si>
  <si>
    <t>19. 6-Pinça Arterial Halstead Mosquito, reta, 12,5 cm de comprimento;</t>
  </si>
  <si>
    <t>18. 6-Pinça Arterial Halstead Mosquito, curva, 12,5 cm de comprimento;</t>
  </si>
  <si>
    <t>17. 4-Pinça de Toalha Backhaus, com 13 cm de comprimento;</t>
  </si>
  <si>
    <t>16. 2-Pinça de Dissecção Anatômica, serrilhada, com 14,5 cm de comprimento;</t>
  </si>
  <si>
    <t>FX.10.026</t>
  </si>
  <si>
    <t xml:space="preserve">Pinça Anatômica Standard, pontas retas, largas com 1x2 dentes, 14.5cm </t>
  </si>
  <si>
    <t>15. 2-Pinça de Dissecção Dente de Rato, 1x2 dentes, com 14,5 cm de comprimento;</t>
  </si>
  <si>
    <t>14. 2-Pinça Allis, 5x6 dentes, com 15 cm de comprimento;</t>
  </si>
  <si>
    <t>13. 1-Pinça de Dissecção Adson, serrilhada, com 12 cm de comprimento;</t>
  </si>
  <si>
    <t>12. 1-Pinça de Dissecção Adson, 1x2 dentes, com 12 cm de comprimento;</t>
  </si>
  <si>
    <t>11. 1-Pinça Atraumática Cardiovascular Debakey, cabo redondo, 2 mm, com 20 cm de</t>
  </si>
  <si>
    <t>FX.10.119</t>
  </si>
  <si>
    <t xml:space="preserve">Pinça Anatômica Adson-Brown, pontas retas, finas com 7 x 7 dentes, 12cm </t>
  </si>
  <si>
    <t>10. 2-Pinça de Dissecção Adson Brown, com 12 cm de comprimento;</t>
  </si>
  <si>
    <t>FX.10.803</t>
  </si>
  <si>
    <t xml:space="preserve">Afastador Guthrie, gancho, com abertura pequena, ponta com 3mm e 2 dentes extra pequenos e agudos, 16cm </t>
  </si>
  <si>
    <t>9. 2-Gancho Guthrie, nº1, 2 dentes agudos, com 16 cm de comprimento;</t>
  </si>
  <si>
    <t>FX.14.663</t>
  </si>
  <si>
    <t xml:space="preserve">Gillies Gancho para Pele, delicado, 2.5mm, 18cm </t>
  </si>
  <si>
    <t>8. 2-Gancho Gillies,nº1, agudo, com 18 cm de comprimento;</t>
  </si>
  <si>
    <t>Cabo de Bisturi nº4,  para Cirurgia Geral, graduado, 13,7 cm</t>
  </si>
  <si>
    <t>7. 1-Cabo de Bisturi, nº4, graduado com 13,7 cm de comprimento;</t>
  </si>
  <si>
    <t>6. 1-Cabo de Bisturi, nº3, graduado com 12 cm de comprimento;</t>
  </si>
  <si>
    <t>FX.09.155</t>
  </si>
  <si>
    <t xml:space="preserve">Cabo de bisturi nº 3L, angulado, longo, 21cm </t>
  </si>
  <si>
    <t>5. 1-Cabo de Bisturi, nº3, angulado, com 21 cm de comprimento;</t>
  </si>
  <si>
    <t>4. 4-Afastador Farabeuf, com 12 cm de comprimento;</t>
  </si>
  <si>
    <t>FX.10.903</t>
  </si>
  <si>
    <t xml:space="preserve">Afastador Volkmann, multi-uso, gancho com 4 dentes rombos,  22cm </t>
  </si>
  <si>
    <t>3. 1-Afastador Volkmann, 4 garras rombas, 9x19mm, com 22 com de comprimento;</t>
  </si>
  <si>
    <t>FX.10.902</t>
  </si>
  <si>
    <t xml:space="preserve">Afastador Volkmann, multi-uso, gancho com 3 dentes rombos,  22cm </t>
  </si>
  <si>
    <t>2. 1-Afastador Volkmann, 3 garras rombas, 9x13mm, com 22 com de comprimento;</t>
  </si>
  <si>
    <t>Subitem 15.3 - Caixa para Cirurgia Plástica</t>
  </si>
  <si>
    <t>Tampa para container tamanho 1/2, com sistema de barreira permanente, silicone em toda extensão para perfeita vedação, cor verde</t>
  </si>
  <si>
    <t>Box de container tamanho 1/2, em alumínio anodizado, dimensões internas 260x260x115 mm</t>
  </si>
  <si>
    <t>27. 1- Container sólido, com tampa de barreira, para armazenamento de todo conjunto</t>
  </si>
  <si>
    <t>Cesto aramado compatível com box tamanho 1/2, com pés, dimensões  242x252x80 mm</t>
  </si>
  <si>
    <t>26. 1-Cesto de Container;</t>
  </si>
  <si>
    <t>25. 1-Válvula Doyen, 60x 120 mm;</t>
  </si>
  <si>
    <t>Tesoura Snolden, serrilhada, curva, com 17</t>
  </si>
  <si>
    <t>AI1765</t>
  </si>
  <si>
    <t>24. 1-Tesoura Snolden, serrilhada, curva, com 17 cm de comprimento;</t>
  </si>
  <si>
    <t>Tesoura Snolden, serrilhada, curva, com 15</t>
  </si>
  <si>
    <t>AI2792</t>
  </si>
  <si>
    <t>23. 1-Tesoura Snolden, serrilhada, curva, com 15 cm de comprimento;</t>
  </si>
  <si>
    <t>FX.09.481</t>
  </si>
  <si>
    <t xml:space="preserve">Tesoura Metzenbaum-Nelson, lâminas curvas, finas com pontas rombas, 20cm </t>
  </si>
  <si>
    <t>22. 1-Tesoura Metzenbaum, curva, com 20 cm de comprimento;</t>
  </si>
  <si>
    <t>21. 1-Tesoura Metzenbaum, curva, com 18 cm de comprimento;</t>
  </si>
  <si>
    <t>20. 1-Tesoura Íris, ponta fina com faceta, curva, com 11 cm de comprimento;</t>
  </si>
  <si>
    <t>FX.09.380</t>
  </si>
  <si>
    <t xml:space="preserve">Tesoura Mayo, lâminas curvas, largas com pontas rombas, 15cm </t>
  </si>
  <si>
    <t>19. 1-Tesoura Mayo, reta, com 15 cm de comprimento;</t>
  </si>
  <si>
    <t>18. 1-Régua de Inox, com 30 cm de comprimento;</t>
  </si>
  <si>
    <t>17. 1-Porta Agulha Mayo Hegar, com vídea, com 20 cm de comprimento;</t>
  </si>
  <si>
    <t>16. 1-Porta Agulha Mayo Hegar, com vídea, com 16 cm de comprimento;</t>
  </si>
  <si>
    <t>11-574-12</t>
  </si>
  <si>
    <t>Porta Agulha Mayo-Hegar, pontas com wídea TC, retas, 12cm</t>
  </si>
  <si>
    <t>15. 1-Porta Agulha Mayo Hegar, com vídea, com 12 cm de comprimento;</t>
  </si>
  <si>
    <t>FX.10.378</t>
  </si>
  <si>
    <t xml:space="preserve">Pinça Kocher, pontas retas com 1x2 dentes, finas e serrilhadas, 18cm </t>
  </si>
  <si>
    <t>14. 2-Pinça Kocher, reta, com 18 cm de comprimento;</t>
  </si>
  <si>
    <t>13. 3-Pinça Kocher, reta, com 14 cm de comprimento;</t>
  </si>
  <si>
    <t>12. 4-Pinça Allis, com 15 cm de comprimento;</t>
  </si>
  <si>
    <t>11. 2-Pinça Adson, Dente de Rato, com 12 cm de comprimento;</t>
  </si>
  <si>
    <t>10. 1-Pinça Adson Brown, com 12 cm de comprimento;</t>
  </si>
  <si>
    <t>FX.10.015</t>
  </si>
  <si>
    <t xml:space="preserve">Pinça Anatômica Adson, pontas retas, finas e serrilhadas, 18cm </t>
  </si>
  <si>
    <t>9. 1-Pinça Adson, serrilhada, com 18 cm de comprimento;</t>
  </si>
  <si>
    <t>FX.10.774</t>
  </si>
  <si>
    <t xml:space="preserve">Afastador, gancho com abertura pequena e 02 dentes rombos, 16cm </t>
  </si>
  <si>
    <t>8. 2-Gancho Duplo, de 08mm, rombo; com 15 cm de comprimento;</t>
  </si>
  <si>
    <t>Gancho de Mama, 15m</t>
  </si>
  <si>
    <t>AI2025</t>
  </si>
  <si>
    <t>7. 1-Gancho de Mama, com 15 cm de comprimento;</t>
  </si>
  <si>
    <t>6. 2-Ganchos Gilles, simples delicado;</t>
  </si>
  <si>
    <t>27-300-06</t>
  </si>
  <si>
    <t>Compasso de mama, 10 cm</t>
  </si>
  <si>
    <t>5. 1-Compasso de mama, com 10 cm de comprimento;</t>
  </si>
  <si>
    <t>4. 1-Cabo de Bisturi n°4; com 12 cm de comprimento;</t>
  </si>
  <si>
    <t>3. 1-Cabo de Bisturi n°3; com 12 cm de comprimento,</t>
  </si>
  <si>
    <t>51-274-34</t>
  </si>
  <si>
    <t>Areolotomo, conjunto com 3 peças</t>
  </si>
  <si>
    <t>2. 1-Areolotomo, conjunto com 3 peças;</t>
  </si>
  <si>
    <t>Subitem 15.2 - Caixa para Mamoplastia/Abdominoplastia</t>
  </si>
  <si>
    <t>FX.60.822</t>
  </si>
  <si>
    <t>Box de container tamanho 3/4, em alumínio anodizado, dimensões internas 430x260x85 mm</t>
  </si>
  <si>
    <t>11. 1- Container sólido, com tampa de barreira, para armazenamento de todo conjunto</t>
  </si>
  <si>
    <t>FX.61.212</t>
  </si>
  <si>
    <t>Cesto aramado compatível com box tamanho 3/4, com pés, dimensões 405x252x60 mm</t>
  </si>
  <si>
    <t>10. 1-Cesto de Container;</t>
  </si>
  <si>
    <t>Cânula de seringa de 60 ml, 4mmx30cm</t>
  </si>
  <si>
    <t>9. 1-Cânula de seringa de 60 ml, 4mmx30cm,</t>
  </si>
  <si>
    <t>Cânula de seringa de 60 ml, 3,5 mmx30cm</t>
  </si>
  <si>
    <t>8. 1-Cânula de seringa de 60 ml, 3,5 mmx30cm;</t>
  </si>
  <si>
    <t>Cânula de seringa de 60ml, 4 MMX30 cm</t>
  </si>
  <si>
    <t>7. 1-Cânula de seringa de 60ml, 4 MMX30 cm;</t>
  </si>
  <si>
    <t>Cânula para seringa de 60ml, 5mmx30 cm</t>
  </si>
  <si>
    <t>6. 1-Cânula para seringa de 60 ml, 5mmx30 cm;</t>
  </si>
  <si>
    <t>Cânula de lipoaspiração, alternado 5 furos, de 3,5 mmx 30cm</t>
  </si>
  <si>
    <t>5. 1-Cânula de lipoaspiração, alternado 5 furos, de 3,5 mmx 30cm;</t>
  </si>
  <si>
    <t>Cânula de lipoaspiração, alternado 5 furos, de 4 mmx 30cm</t>
  </si>
  <si>
    <t>4. 1-Cânula de lipoaspiração, alternado 5 furos, de 4 mmx 30cm;</t>
  </si>
  <si>
    <t xml:space="preserve">Cânula de lipoaspiração, alternado 5 furos, de 5 mmx 30cm </t>
  </si>
  <si>
    <t>3. 1-Cânula de lipoaspiração, alternado 5 furos, de 5 mmx 30cm;</t>
  </si>
  <si>
    <t>Agulha de Klein, com 4mm, para uso com seringa de 60cml bico longo</t>
  </si>
  <si>
    <t>2. 1-Agulha de Klein, com 4mm, para uso com seringa de 60cml bico longo;</t>
  </si>
  <si>
    <t>Subitem 15.1 - Caixa para Lipoaspiração</t>
  </si>
  <si>
    <t>FX.62.233</t>
  </si>
  <si>
    <t>Placa de Identificação propria para a base de container, em aluminio na cor  preta</t>
  </si>
  <si>
    <t>FX.60.804</t>
  </si>
  <si>
    <t>Tampa para container tamanho 3/4, com sistema de barreira permanente, silicone em toda extensão para perfeita vedação, cor preta</t>
  </si>
  <si>
    <t>46. 1-Container sólido, com tampa de barreira, para armazenamento de todo conjunto</t>
  </si>
  <si>
    <t>45. 1-Cesto de Container;</t>
  </si>
  <si>
    <t>44. 1-Tesoura de Dissecção Metzenbaum, Romba-romba, curva, com 18 cm</t>
  </si>
  <si>
    <t>43. 1-Tesoura de Dissecção Mayo, Romba-romba, reta, com 17cm de comp.;</t>
  </si>
  <si>
    <t>42. 1-Tesoura de Dissecção Mayo, Romba-romba, curva, com 17cm de comp.;</t>
  </si>
  <si>
    <t>FX.13.123</t>
  </si>
  <si>
    <t xml:space="preserve">Lambotte Alavanca Periosteal, 15mm, 21cm </t>
  </si>
  <si>
    <t>41. 1-Raspador Lambotte, de 15 mm, com 21 cm comprimento;</t>
  </si>
  <si>
    <t>FX.13.139</t>
  </si>
  <si>
    <t xml:space="preserve">Farabeuf Alavanca Periosteal, reto, 15cm </t>
  </si>
  <si>
    <t>40. 1-Raspador Farabeuf, reto, com 15 cm de comprimento;</t>
  </si>
  <si>
    <t>FX.15.119</t>
  </si>
  <si>
    <t xml:space="preserve">Raspa Lima óssea Lewis, espátula pequena, com serrilha fina, com wídea TC, cabo redondo, 18cm </t>
  </si>
  <si>
    <t>39. 2-Raspas para artroscopia de ombro;</t>
  </si>
  <si>
    <t>38. 2-Porta Agulha Mayo Hegar, serrilhada, reta, com vídea, com 18 cm de comprimento;</t>
  </si>
  <si>
    <t>37. 2-Pinça de Dissecção Anatômica, serrlhada, com 18 cm de comprimento;</t>
  </si>
  <si>
    <t>36. 2-Pinça de Dissecção, Dente de Rato, 1x2 dentes, com 18 cm de comprimento;</t>
  </si>
  <si>
    <t>35. 4-Pinça Arterial Halstead Mosquito, reta com 12,5 cm de comprimento;</t>
  </si>
  <si>
    <t>34. 4-Pinça Arterial Halstead Mosquito, curva com 12,5 cm de comprimento;</t>
  </si>
  <si>
    <t>33. 2-Pinça Ochsner Kocher, 1x2 dentes, reta, com 16 cm de comprimento;</t>
  </si>
  <si>
    <t>32. 2-Pinça Ochsner Kocher, 1x2 dentes, curva, com 16 cm de comprimento;</t>
  </si>
  <si>
    <t>FX.10.287</t>
  </si>
  <si>
    <t xml:space="preserve">Pinça Kelly-Rankin, pontas retas, finas e serrilhadas, 16cm </t>
  </si>
  <si>
    <t>31. 6-Pinça Arterial Kelly Rankin, reta, com 16 cm de comprimento;</t>
  </si>
  <si>
    <t>30. 6-Pinça Arterial Kelly Rankin, serrilhada, curva, com 16 cm de comprimento;</t>
  </si>
  <si>
    <t>29. 1-Pinça Guyon, com 24 cm de comprimento;</t>
  </si>
  <si>
    <t>28. 1-Pinça Foerster, lisa, reta, com 25 cm de comprimento;</t>
  </si>
  <si>
    <t>FX.10.710</t>
  </si>
  <si>
    <t xml:space="preserve">Pinça Foerster, pontas retas com anéis fenestrados sem serrilha, 20cm </t>
  </si>
  <si>
    <t>27. 1-Pinça Foerster, lisa, reta, com 20 cm de comprimento;</t>
  </si>
  <si>
    <t>26. 1-Pinça Atraumática Cardiovascular Debakey, cabo redondo, de 2 mm, com 20 cm</t>
  </si>
  <si>
    <t>25. 1-Pinça Cheron, com 25 cm de comprimento;</t>
  </si>
  <si>
    <t>24. 6-Pinça de Toalha Backhaus, com 13 cm;</t>
  </si>
  <si>
    <t>FX.16.292</t>
  </si>
  <si>
    <t xml:space="preserve">Pinça Allis, pontas retas com 5 x 6 dentes, 25cm </t>
  </si>
  <si>
    <t>23. 2-Pinça de Apreensão Allis, 5x6 dentes, com 25 cm comprimento;</t>
  </si>
  <si>
    <t>FX.12.943</t>
  </si>
  <si>
    <t>Martelo Collin, 220gr de 30mm, 20cm</t>
  </si>
  <si>
    <t>22. 1-Martelo Collin, 220gr de 30mm, com 20 cm de comprimento;</t>
  </si>
  <si>
    <t>HB1426-18</t>
  </si>
  <si>
    <t xml:space="preserve">Gancho, cabo redondo, de 8 mm, 19 cm </t>
  </si>
  <si>
    <t>21. 1-Gancho, cabo redondo, de 8 mm, com 19 cm de comprimento;</t>
  </si>
  <si>
    <t>FX.11.135</t>
  </si>
  <si>
    <t xml:space="preserve">Espatula Maleavel, Ribbon Afastador, 25x330mm </t>
  </si>
  <si>
    <t>20. 2-Espátula Maleável, lâmina de 25 mm, com 33 cm comprimento;</t>
  </si>
  <si>
    <t>FX.15.352</t>
  </si>
  <si>
    <t xml:space="preserve">Elevador Joseph Alavanca Periosteal, 16cm </t>
  </si>
  <si>
    <t>19. 1-Elevador de Periósteo Joseph, com 16 cm de comprimento;</t>
  </si>
  <si>
    <t>FX.15.333</t>
  </si>
  <si>
    <t xml:space="preserve">Elevador Freer Alavanca de Septo, afiada/romba 4.5mm, 18cm </t>
  </si>
  <si>
    <t>18. 1-Elevador Freer, duplo, Agudo-rombo, com 18 cm comprimento;</t>
  </si>
  <si>
    <t>FX.13.227</t>
  </si>
  <si>
    <t xml:space="preserve">Elevador Blount Alavanca Óssea, 26cm </t>
  </si>
  <si>
    <t>17. 1-Elevador Blount, com 26 cm comprimento;</t>
  </si>
  <si>
    <t>FX.13.228</t>
  </si>
  <si>
    <t xml:space="preserve">Elevador Blount Alavanca Óssea, 2 Gancho 26cm </t>
  </si>
  <si>
    <t>16. 2-Elevador Blount, duplo, com 26 cm de comprimento;</t>
  </si>
  <si>
    <t>FX.13.031</t>
  </si>
  <si>
    <t>Volkmann Cureta Óssea, 17cm, 4x2mm</t>
  </si>
  <si>
    <t>15. 1-Cureta Volkmann, com 2mm, com 17 cm de comprimento</t>
  </si>
  <si>
    <t>FX.13.029</t>
  </si>
  <si>
    <t>Volkmann Cureta Óssea, 17cm, 5x4mm</t>
  </si>
  <si>
    <t>14. 1-Cureta Volkmann, com 4mm, com 17 cm de comprimento;</t>
  </si>
  <si>
    <t>Cuba redonda, com 5 cm de altura</t>
  </si>
  <si>
    <t>UPL-082</t>
  </si>
  <si>
    <t>13. 1-Cuba redonda, com 5 cm de altura;</t>
  </si>
  <si>
    <t>FX.12.811</t>
  </si>
  <si>
    <t xml:space="preserve">Stille Cinzel Ósseo, 15mm, 20cm </t>
  </si>
  <si>
    <t>12. 1-Cinzel Stille, reta, de 15 mm, com 20 cm de comprimento;</t>
  </si>
  <si>
    <t>FX.12.902</t>
  </si>
  <si>
    <t xml:space="preserve">Cinzel Lambotte Osteotomo Ósseo, curvo, 20mm 23cm </t>
  </si>
  <si>
    <t>11. 1-Cinzel Lambotte, curva, de 20 mm, com 24 cm de comprimento;</t>
  </si>
  <si>
    <t>Broca Trefina, tipo copo, coletora de osso, 7mm</t>
  </si>
  <si>
    <t>AI5119</t>
  </si>
  <si>
    <t>10. 2-Broca Trefina, tipo copo, coletora de osso, 7.0mm;</t>
  </si>
  <si>
    <t>FX.13.419</t>
  </si>
  <si>
    <t xml:space="preserve">Alicate Ruskin Rugina Óssea, curva, 23cm </t>
  </si>
  <si>
    <t>9. 1-Alicate Ósseo, reto, com 22 cm de comprimento;</t>
  </si>
  <si>
    <t>FX.13.409</t>
  </si>
  <si>
    <t xml:space="preserve">Alicate Marquardt Rugina Óssea, curva, 20cm </t>
  </si>
  <si>
    <t>8. 1-Alicate Marquardt, com 20 cm de comprimento;</t>
  </si>
  <si>
    <t>Afastador Richardson, lâmina de 38x40mm, 25cm</t>
  </si>
  <si>
    <t>AI2360</t>
  </si>
  <si>
    <t>7. 1-Afastador Richardson, lâmina de 38x37mm, com 26 cm de comprimento;</t>
  </si>
  <si>
    <t>Afastador Richardson, lâmina de 24x20mm, 25cm</t>
  </si>
  <si>
    <t>AI0084</t>
  </si>
  <si>
    <t>6. 1-Afastador Richardson, lâmina de 28x20mm, com 26 cm de comprimento;</t>
  </si>
  <si>
    <t>Afastador Richardson, lâmina de 50x22mm, 25cm</t>
  </si>
  <si>
    <t>AI2726</t>
  </si>
  <si>
    <t>5. 2-Afastador Richardson, lâmina de 52x22mm, com 26 cm de comprimento;</t>
  </si>
  <si>
    <t>Afastador Richardson, lâmina de 33x29mm, 25cm</t>
  </si>
  <si>
    <t>AI00137</t>
  </si>
  <si>
    <t>4. 2-Afastador Richardson, lâmina de 30x28mm, com 26 cm de comprimento;</t>
  </si>
  <si>
    <t>3. 2-Afastador Farabeuf, com 15 cm de comprimento;</t>
  </si>
  <si>
    <t>FX.11.233</t>
  </si>
  <si>
    <t xml:space="preserve">Gelpi Perineal Afastador, 18cm </t>
  </si>
  <si>
    <t>2. 2-Afastador Gelpi, 18cm;</t>
  </si>
  <si>
    <t>Subitem 14.4 - Caixa para Cirurgia de Ombro</t>
  </si>
  <si>
    <t>51. 1-Container sólido, com tampa de barreira, para armazenamento de todo conjunto</t>
  </si>
  <si>
    <t>50. 1-Cesto de Container;</t>
  </si>
  <si>
    <t>FX.09.474</t>
  </si>
  <si>
    <t xml:space="preserve">Tesoura Metzenbaum-Nelson, lâminas retas, finas com pontas rombas, 18cm </t>
  </si>
  <si>
    <t>49. 1-Tesoura de Dissecção Metzenbaum, Romba-romba, reta, com 18 cm</t>
  </si>
  <si>
    <t>48. 1-Tesoura de Dissecção Metzenbaum, Romba-romba, curva, com 18 cm</t>
  </si>
  <si>
    <t>47. 1-Tesoura de Dissecção Metzenbaum, Romba-romba, delicada, curva, com 14,5 cm</t>
  </si>
  <si>
    <t>46. 1-Tesoura Íris, Fina-fina, reta, com 12 cm de comprimento;</t>
  </si>
  <si>
    <t>FX.09.414</t>
  </si>
  <si>
    <t xml:space="preserve">Tesoura Íris, lâminas curvas , finas, chanfradas com pontas agudas, 11.5cm </t>
  </si>
  <si>
    <t>45. 1-Tesoura Íris, Fina-fina, curva, com 12 cm de comprimento;</t>
  </si>
  <si>
    <t>44. 1-Tentacânula com 14,5 cm de comprimento;</t>
  </si>
  <si>
    <t>FX.15.273</t>
  </si>
  <si>
    <t xml:space="preserve">Sacabocado Hajek  para cima, 4x4mm, haste 14cm </t>
  </si>
  <si>
    <t>43. 1-Sacabocado Hajek, para cima, de 4x4mm, com 14 cm comprimento;</t>
  </si>
  <si>
    <t>FX.13.140</t>
  </si>
  <si>
    <t xml:space="preserve">Farabeuf Alavanca Periosteal, curvo, 15cm </t>
  </si>
  <si>
    <t>42. 1-Raspador Farabeuf, curvo, com 15 cm de comprimento;</t>
  </si>
  <si>
    <t>41. 1-Raspador Farabeuf, reto, com 15 cm de comprimento;</t>
  </si>
  <si>
    <t>81897719003</t>
  </si>
  <si>
    <t>40. 1-Porta Agulha Mayo Hegar, serrilhada, reta, com vídea, com 16 cm de comprimento;</t>
  </si>
  <si>
    <t>FX.11.911</t>
  </si>
  <si>
    <t xml:space="preserve">Porta Agulha Crile-Wood, pontas com wídea TC, retas e finas, 15cm </t>
  </si>
  <si>
    <t>39. 1-Porta Agulha Crille Wood, serrilhada, reta, com vídea, com 15 cm de</t>
  </si>
  <si>
    <t>38. 1-Porta Agulha Mayo Hegar, serrilhada, reta, com 18 cm de comprimento;</t>
  </si>
  <si>
    <t>37. 5-Pinça Arterial Halstead Mosquito, reta, com 12,5 cm de comprimento;</t>
  </si>
  <si>
    <t>36. 5-Pinça Arterial Halstead Mosquito, curva, com 12,5 cm de comprimento;</t>
  </si>
  <si>
    <t>35. 5-Pinça Arterial Kelly Rankin, serrilhada, curva, com 16 cm de comprimento;</t>
  </si>
  <si>
    <t>34. 5-Pinça Arterial Kelly, curva, com 14 cm de comprimento;</t>
  </si>
  <si>
    <t>33. 2-Pinça Kocher Ochsner, 1x2 dentes, curva, com 16 cm de comprimento;</t>
  </si>
  <si>
    <t>32. 2-Pinça Kocher Ochsner, 1x2 dentes, reta, com 14 cm de comprimento;</t>
  </si>
  <si>
    <t>31. 2-Pinça de Toalha Backhaus, com 11 cm de comprimento;</t>
  </si>
  <si>
    <t>FX.13.406</t>
  </si>
  <si>
    <t xml:space="preserve">Beyer Rugina Óssea, curva, 18cm </t>
  </si>
  <si>
    <t>30. 1-Pinça de Ossos Beyer, com 18 cm de comprimento;</t>
  </si>
  <si>
    <t>FX.13.270</t>
  </si>
  <si>
    <t>Pinça Óssea, 15cm</t>
  </si>
  <si>
    <t>29. 1-Pinça Óssea, com 15 cm de comprimento;</t>
  </si>
  <si>
    <t>28. 2-Pinça de Dissecção Anatômica, serrilhada, com 18 cm de comprimento;</t>
  </si>
  <si>
    <t>27. 2-Pinça de Dissecção Anatômica, serrilhada, com 14,5 cm de comprimento;</t>
  </si>
  <si>
    <t>26. 1-Pinça Cheron, com 25 cm de comprimento;</t>
  </si>
  <si>
    <t>25. 1-Pinça de Dissecção Adson, serrilhada, com 12 cm de comprimento;</t>
  </si>
  <si>
    <t>24. 1-Pinça de Dissecção Adson, 1x2 dentes, com 12 cm de comprimento;</t>
  </si>
  <si>
    <t>23. 2-Pinça de Dissecção, Dente de Rato, 1x2 dentes, com 16 cm de comprimento;</t>
  </si>
  <si>
    <t>22. 2-Pinça de Dissecção, Dente de Rato, 1x2 dentes, com 14,5 cm de comprimento;</t>
  </si>
  <si>
    <t>13-440-22</t>
  </si>
  <si>
    <t xml:space="preserve">Hajek Martelo Ósseo, 22mm, 100g, 22cm </t>
  </si>
  <si>
    <t>21. 1-Martelo para Ortopedia, de 100 gr, com 22 cm de comprimento;</t>
  </si>
  <si>
    <t>FX.12.822</t>
  </si>
  <si>
    <t xml:space="preserve">Smith Peterson Osteotomo Ósseo, reto, 6mm, 20cm </t>
  </si>
  <si>
    <t>20. 1-Goiva Smith-Petersen, 6mm, reta, com 20 cm de comprimento;</t>
  </si>
  <si>
    <t>FX.13.193</t>
  </si>
  <si>
    <t>Adson Alavanca Periosteal, 17cm, Fig.2</t>
  </si>
  <si>
    <t>19. 1-Elevador Love-Adson, para neurologia, com 16 cm de comprimento</t>
  </si>
  <si>
    <t>FX.13.030</t>
  </si>
  <si>
    <t>Volkmann Cureta Óssea, 17cm, 4.8x3.5mm</t>
  </si>
  <si>
    <t>18. 1-Cureta Volkmann, de 3mm, com 17 cm de comprimento;</t>
  </si>
  <si>
    <t>FX.12.988</t>
  </si>
  <si>
    <t>Simon Cureta Óssea, 24cm, 5x3.3mm</t>
  </si>
  <si>
    <t>17. 1-Cureta Simon, de 3mm, com 24 cm de comprimento;</t>
  </si>
  <si>
    <t>FX.12.892</t>
  </si>
  <si>
    <t xml:space="preserve">Lambotte Osteotomo Ósseo, reto, 15mm 24cm </t>
  </si>
  <si>
    <t>16. 1-Cinzel Lambotte, de 16mm, com 24 cm de comprimento;</t>
  </si>
  <si>
    <t>HB3471-13</t>
  </si>
  <si>
    <t xml:space="preserve">Lambotte Osteotomo Ósseo, reto, 13mm 24cm </t>
  </si>
  <si>
    <t>15. 1-Cinzel Lambotte, de 13mm, com 24 cm de comprimento;</t>
  </si>
  <si>
    <t>FX.12.894</t>
  </si>
  <si>
    <t xml:space="preserve">Lambotte Osteotomo Ósseo, reto, 20mm 24cm </t>
  </si>
  <si>
    <t>14. 1-Cinzel Lambotte, de 20mm, com 24 cm de comprimento;</t>
  </si>
  <si>
    <t>HB3471-10</t>
  </si>
  <si>
    <t xml:space="preserve">Lambotte Osteotomo Ósseo, reto, 10mm 24cm </t>
  </si>
  <si>
    <t>13. 1-Cinzel Lambotte, de 10mm, com 24 cm de comprimento;</t>
  </si>
  <si>
    <t>FX.13.321</t>
  </si>
  <si>
    <t xml:space="preserve">Lambert Lowmann Clamp Braçadeira Óssea, 2x2dentes, 18.5cm </t>
  </si>
  <si>
    <t>12. 1-Braçadeira Óssea Lowman, com 18 cm de comprimento;</t>
  </si>
  <si>
    <t>FX.13.463</t>
  </si>
  <si>
    <t xml:space="preserve">Ruskin-Liston Pinça Corta Osso, curva, 18.5cm </t>
  </si>
  <si>
    <t>11. 1-Alicate Ruskin Liston, curva, com 18,5 cm de comprimento;</t>
  </si>
  <si>
    <t xml:space="preserve">Alicate Beyer Rugina Óssea, curva, 18cm </t>
  </si>
  <si>
    <t>10. 1-Alicte de Ossos Beyer, com 18 cm de comprimento;</t>
  </si>
  <si>
    <t>9. 1-Alicate de Ossos Beyer, com 18 cm comprimento;</t>
  </si>
  <si>
    <t>FX.10.858</t>
  </si>
  <si>
    <t xml:space="preserve">Afastador Senn-Miller, duplo, de um lado, lâmina de 20mm x 7mm, e do outro, gancho com 3 dentes rombos, 16cm </t>
  </si>
  <si>
    <t>8. 2-Afastador Senn Miller, com 3 garras rombas, com 16 cm de comprimento;</t>
  </si>
  <si>
    <t>FX.10.921</t>
  </si>
  <si>
    <t xml:space="preserve">Afastador Kocher, multi-uso,  gancho com 1 dente rombo, 22cm </t>
  </si>
  <si>
    <t>7. 1-Afastador de Ossos Kocher, com 1 gancho rombo, com 22 cm de comprimento;</t>
  </si>
  <si>
    <t>FX.10.909</t>
  </si>
  <si>
    <t xml:space="preserve">Afastador Kocher, multi-uso,  gancho com 1 dente agudo, 22cm </t>
  </si>
  <si>
    <t>6. 1-Afastador de Ossos Kocher, com 1 gancho agudo, com 22 cm de comprimento;</t>
  </si>
  <si>
    <t>FX.11.190</t>
  </si>
  <si>
    <t xml:space="preserve">Afastador Weitlaner, garras  com3 x 4 dentes agudos, movimento por cremalheira,16cm </t>
  </si>
  <si>
    <t>5. 1-Afastador Weitlaner, 3x4 dentes, delicado, agudo, com 16,5 cm de comprimento;</t>
  </si>
  <si>
    <t>Afastador Kocher-Langenbeck, 25x7mm, 21.5cm</t>
  </si>
  <si>
    <t>HB3090</t>
  </si>
  <si>
    <t>4. 2-Afastador Kocher Langenbeck, lâmina de 25x8mm, com 21,5 cm de comprimento;</t>
  </si>
  <si>
    <t>3. 2-Afastador Farabeuf, com 12 cm de comprimento;</t>
  </si>
  <si>
    <t>2. 2-Afastador Farabeuf, com 15 cm de comprimento;</t>
  </si>
  <si>
    <t>Subitem 14.3 - Caixa para cirurgia de Pé</t>
  </si>
  <si>
    <t>FX.61.946</t>
  </si>
  <si>
    <t>Conjunto Mini Container, composto por box sólido com dimensões internas de 280x130x70mm, com tampa perfurada de barreira na cor preta</t>
  </si>
  <si>
    <t>9. 1-Container sólido, com tampa de barreira, para armazenamento de todo conjunto</t>
  </si>
  <si>
    <t>FX.61.952</t>
  </si>
  <si>
    <t>Cesto para mini container, dimensões 270x123x65 mm</t>
  </si>
  <si>
    <t>8. 1-Cesto de Container;</t>
  </si>
  <si>
    <t>FX.09.421</t>
  </si>
  <si>
    <t xml:space="preserve">Tesoura Stevens, lâminas curvas, afiladas com pontas agudas, 11cm </t>
  </si>
  <si>
    <t>7. 1-Tesoura Stevens curvo, ponta fina, 11cm.</t>
  </si>
  <si>
    <t>FX.12.237</t>
  </si>
  <si>
    <t>Micro Porta Agulha Castroviejo, pontas curvas muito finas, cabos planos, com trava, 14cm</t>
  </si>
  <si>
    <t>6. 1-Porta agulha Micro Castroviejo, curvo, 13cm.</t>
  </si>
  <si>
    <t>HB490-32</t>
  </si>
  <si>
    <t>Pinça para Microcirurgia reta com plato, ponta de 0,5mm, kit SE cabo redondo, 12cm</t>
  </si>
  <si>
    <t>HB0490-32</t>
  </si>
  <si>
    <t>5. 1-Pinça de Microcirurgia Reta KIT SE, 13cm.</t>
  </si>
  <si>
    <t>HB3929-33</t>
  </si>
  <si>
    <t>Aplicador de Pinça para vaso Biemer, sem trava, 14.5cm</t>
  </si>
  <si>
    <t>4. 1-Pinça de MicroCirurgia com dente, 13 cm.</t>
  </si>
  <si>
    <t>HB3929-41</t>
  </si>
  <si>
    <t>Micro Clamp Vascular Duplo Diamantado 1,2mmx7mm</t>
  </si>
  <si>
    <t>3. 1-Micro Clamp Vascular Duplo Diamantado 1,5mm x 7mm.</t>
  </si>
  <si>
    <t>HB3929-40</t>
  </si>
  <si>
    <t>Micro Clamp Vascular Duplo Diamantado 1,2mmx5mm</t>
  </si>
  <si>
    <t>2. 1-Micro Clamp Vascular Duplo Diamantado 1,2mmx5mm.</t>
  </si>
  <si>
    <t>Subitem 14.2 - Caixa para Microcirurgia de Mão</t>
  </si>
  <si>
    <t>84. 1-Container sólido, com tampa de barreira, para armazenamento de todo conjunto</t>
  </si>
  <si>
    <t>83. 1-Cesto de Container;</t>
  </si>
  <si>
    <t>FX.09.446</t>
  </si>
  <si>
    <t xml:space="preserve">Tesoura Metzenbaum- Baby, lâminas curvas, finas com pontas rombas, 11.5cm </t>
  </si>
  <si>
    <t>1-Tesoura Baby Metzenbaum, serrilhada, Romba-romba, curva, com 11,5 cm</t>
  </si>
  <si>
    <t>FX.09.457</t>
  </si>
  <si>
    <t xml:space="preserve">Tesoura Metzenbaum- Fine, lâminas retas, finas com pontas agudas, 14.5cm </t>
  </si>
  <si>
    <t>81. 1-Tesoura de Dissecção Metzenbaum, delicada, Fina-fina, reta, com 14,5 cm</t>
  </si>
  <si>
    <t>FX.09.386</t>
  </si>
  <si>
    <t xml:space="preserve">Tesoura Mayo-Stille, lâminas reta, largas com pontas rombas, 15cm </t>
  </si>
  <si>
    <t>80. 1-Tesoura de Dissecção Mayo Stille, Romba-romba, reta, com 15cm de comp</t>
  </si>
  <si>
    <t>79. 1-Tesoura de Dissecção Mayo Stille, Romba-romba, curva, com 15cm</t>
  </si>
  <si>
    <t>HB7442-02</t>
  </si>
  <si>
    <t>Tesoura para Microcirurgia, Fina-fina, cabo chato, curva, 16 cm</t>
  </si>
  <si>
    <t>78. 2-Tesoura para Microcirurgia, Fina-fina, cabo chato, curva, com 16 cm</t>
  </si>
  <si>
    <t>77. 1-Tesoura de Dissecção Metzenbaum, Romba-romba, delicada, curva, com 14,5</t>
  </si>
  <si>
    <t>76. 1-Tesoura de Dissecção Mayo, Romba-romba, reta, com 14,5cm de comp.;</t>
  </si>
  <si>
    <t>75. 1-Tesoura Íris, Fina-fina, reta, com 12 cm de comprimento;</t>
  </si>
  <si>
    <t>74. 2-Tesoura Íris, Fina-fina, curva, com 12 cm de comprimento;</t>
  </si>
  <si>
    <t>FX.09.420</t>
  </si>
  <si>
    <t xml:space="preserve">Tesoura Stevens, lâminas retas, afiladas com pontas agudas, 11cm </t>
  </si>
  <si>
    <t>73. 2-Tesoura Stevens, ponta fina, 11cm;</t>
  </si>
  <si>
    <t>FX.09.407</t>
  </si>
  <si>
    <t xml:space="preserve">Tesoura Goldman-Fox, lâminas reta, finas, corte serrilhado, pontas afiladas e agudas, 13cm </t>
  </si>
  <si>
    <t>72. 1-Tesoura Goldmann Fox, serrilhada, aguda, reta, com 13 cm de comprimento;</t>
  </si>
  <si>
    <t>FX.09.408</t>
  </si>
  <si>
    <t xml:space="preserve">Tesoura Goldman-Fox, lâminas curvas, finas, corte serrilhado, pontas afiladas e agudas, 13cm </t>
  </si>
  <si>
    <t>71. 1-Tesoura Goldmann Fox, aguda, curva, com 13 cm de comprimento;</t>
  </si>
  <si>
    <t>70. 1-Tentacânula, com 14,5 cm de comprimento;</t>
  </si>
  <si>
    <t>69. 2-Tentacânula, com 14,5 cm de comprimento;</t>
  </si>
  <si>
    <t xml:space="preserve">Raspador Cobb Alavanca Espinhal, 6mm, 24cm </t>
  </si>
  <si>
    <t>68. 1-Raspador Cobb, de 6mm, com 24 cm de comprimento;</t>
  </si>
  <si>
    <t>FX.11.897</t>
  </si>
  <si>
    <t xml:space="preserve">Porta Agulha Halsey, pontas comwídea TC, retas e finas, 13cm </t>
  </si>
  <si>
    <t>67. 1-Porta Agulha Halsey, micro serrilhada, reta, com vídea, com 13 cm</t>
  </si>
  <si>
    <t>HB2303-11</t>
  </si>
  <si>
    <t>Porta Agulha Converse, micro, reta, mandíbulas serrilhadas, pequeno, 12cm com videa</t>
  </si>
  <si>
    <t>66. 1-Porta Agulha Converse, micro serrilhada, reta, com vídea, com 12,5 cm</t>
  </si>
  <si>
    <t>65. 1-Porta Agulha Crille Wood, serrilhada, reta, com vídea, com 15 cm de comprimento;</t>
  </si>
  <si>
    <t>FX.12.157</t>
  </si>
  <si>
    <t xml:space="preserve">Porta Agulha Mayo-Hegar, pontas retas, largas com serrilha cruzada e encaixe p/ agulha de sutura, 16cm </t>
  </si>
  <si>
    <t>64. 1-Porta Agulha Mayo Hegar, serrilhada, reta, com 16 cm de comprimento;</t>
  </si>
  <si>
    <t>63. 1-Porta Agulha Derf, micro serrilhada, com vídea, com 12 cm de comprimento;</t>
  </si>
  <si>
    <t>FX.10.108</t>
  </si>
  <si>
    <t xml:space="preserve">Pinça Anatômica Cushing, pontas retas, finas com 1x2 dentes, pino guia, 17.5cm </t>
  </si>
  <si>
    <t>62. 1-Pinça de Dissecção Cushing, com pino central, 1x2 dentes, com 17,5 cm</t>
  </si>
  <si>
    <t>FX.09.997</t>
  </si>
  <si>
    <t xml:space="preserve">Pinça Anatômica Cushing, pontas retas, muito finas e serrilhadas, pino guia, 17.5cm </t>
  </si>
  <si>
    <t>61. 1-Pinça de Dissecção Cushing Taylor, serilhada, com pino central, com 18 cm</t>
  </si>
  <si>
    <t>60. 1-Pinça de Dissecção Anatômica, serrilhada, delicada, fina, com 16 cm</t>
  </si>
  <si>
    <t>59. 1-Pinça de Dissecção, Dente de Rato, 1x2 dentes, com 16 cm de comprimento;</t>
  </si>
  <si>
    <t>58. 2-Pinça Kocher Ochsner, 1x2 dentes, curva com 14 cm de comprimento;</t>
  </si>
  <si>
    <t>57. 2-Pinça Kocher Ochsner, 1x2 dentes, reta, com 14 cm de comprimento;</t>
  </si>
  <si>
    <t>FX.10.629</t>
  </si>
  <si>
    <t xml:space="preserve">Pinça Backhaus, pontas curvas e agudas, 8cm </t>
  </si>
  <si>
    <t>56. 6-Pinça de Toalha Backhaus, de 8 cm de comprimento;</t>
  </si>
  <si>
    <t>FX.13.369</t>
  </si>
  <si>
    <t xml:space="preserve">Friedman Rugina Óssea, 14cm </t>
  </si>
  <si>
    <t>55. 1-Pinça Friedmann, para ossos, com 14 cm de comprimento;</t>
  </si>
  <si>
    <t>54. 1-Pinça Friedmann, para ossos, delicada, curva, com 14 cm de comprimento;</t>
  </si>
  <si>
    <t>53. 8-Pinça Arterial Halstead Mosquito, reta, com 12,5 cm comprimento;</t>
  </si>
  <si>
    <t>52. 8-Pinça Arterial Halstead Mosquito, curva, com 12,5 cm comprimento;</t>
  </si>
  <si>
    <t>51. 2-Pinça Arterial Kelly, reta, com 14 cm de comprimento;</t>
  </si>
  <si>
    <t>50. 4-Pinça Arterial Kelly, curva, com 14 cm de comprimento;</t>
  </si>
  <si>
    <t>49. 1-Pinça Cheron, com 25 cm de comprimento;</t>
  </si>
  <si>
    <t>48. 2-Pinça de Dissecção Anatômica, serrilhada, com 14,5 cm de comprimento;</t>
  </si>
  <si>
    <t>FX.09.946</t>
  </si>
  <si>
    <t xml:space="preserve">Pinça Anatômica Standard, pontas retas, largas e serrilhadas, 10.5cm </t>
  </si>
  <si>
    <t>47. 1-Pinça de Dissecção Anatômica, serrilhada, com 10,5 cm de comprimento;</t>
  </si>
  <si>
    <t>46. 2-Pinça de Dissecção, Dente de Rato, 1x2 dentes, com 14,5 cm de comprimento;</t>
  </si>
  <si>
    <t>FX.10.023</t>
  </si>
  <si>
    <t xml:space="preserve">Pinça Anatômica Standard, pontas retas, largas com 1x2 dentes, 10.5cm </t>
  </si>
  <si>
    <t>45. 1-Pinça de Dissecção, Dente de Rato, 1x2 dentes, com 10,5 cm de comprimento;</t>
  </si>
  <si>
    <t>44. 2-Pinça Allis, 5x6 dentes, com 15 cm de comprimento;</t>
  </si>
  <si>
    <t>43. 1-Pinça de Dissecção Adson, serrilhada, com 12 cm de comprimento;</t>
  </si>
  <si>
    <t>42. 1-Pinça de Dissecção Adson, 1x2 dentes, com 12 cm de comprimento;</t>
  </si>
  <si>
    <t>41. 4-Pinça de Toalha Backhaus, com 13 cm de comprimento;</t>
  </si>
  <si>
    <t>FX.10.003</t>
  </si>
  <si>
    <t xml:space="preserve">Pinça Anatômica Waugh, pontas retas, finas e serrilhadas, pino guia, 15cm </t>
  </si>
  <si>
    <t>40. 1-Pinça de Dissecção Waugh, lisa, com pino central, com 15 cm de comprimento;</t>
  </si>
  <si>
    <t>HB0103</t>
  </si>
  <si>
    <t>Pinça Suiça finas, No.3, 12cm</t>
  </si>
  <si>
    <t>39. 1-Pinça Relojoeiro, n°3, reta, com 11,5 cm de comprimento;</t>
  </si>
  <si>
    <t xml:space="preserve">Mini Lambotte Osteotomo Ósseo, 12mm, 15cm </t>
  </si>
  <si>
    <t>38. 1-Osteotomos lambotte delicado, 12mm, 15 cm.;</t>
  </si>
  <si>
    <t xml:space="preserve">Mini Lambotte Osteotomo Ósseo, 8mm, 15cm </t>
  </si>
  <si>
    <t>37. 1-Osteotomos lambotte delicado, 8mm, 15cm;</t>
  </si>
  <si>
    <t xml:space="preserve">Mini Lambotte Osteotomo Ósseo, 6mm, 15cm </t>
  </si>
  <si>
    <t>36. 1-Osteotomos lambotte delicado, 6mm, 15cm;</t>
  </si>
  <si>
    <t>Pinça para Micro sutura reta, 12cm</t>
  </si>
  <si>
    <t>35. 1-Micro Pinça, cabo redondo, reta, com pino central, com 12 cm de comprimento;</t>
  </si>
  <si>
    <t>HB0490-33</t>
  </si>
  <si>
    <t>Pinça de Micro sutura curvada, 12cm</t>
  </si>
  <si>
    <t>34. 1-Micro Pinça, cabo redondo, curva, com pino central, com 12 cm de comprimento;</t>
  </si>
  <si>
    <t>Martelo Willinger, 150g, 23cm</t>
  </si>
  <si>
    <t>33. 1-Martelo Williger, de 150 gr, com 23 cm de comprimento;</t>
  </si>
  <si>
    <t xml:space="preserve">Gillies Gancho para Pele, agudo, n1, 2.5mm, 18cm </t>
  </si>
  <si>
    <t>32. 1-Gancho Gillies, nº1, agudo, com 18 cm de comprimento;</t>
  </si>
  <si>
    <t>FX.10.850</t>
  </si>
  <si>
    <t xml:space="preserve">Afastador Joseph, gancho com abertura pequena, 2mm de largura e 02 dentes agudos e finos, 16cm </t>
  </si>
  <si>
    <t>31. 1-Gancho Joseph, 2 garras agudas, 2mm, com 16 cm de comprimento;</t>
  </si>
  <si>
    <t>FX.13.554</t>
  </si>
  <si>
    <t xml:space="preserve">Frazier Gancho para Dura, ponta unica, afiada, 18cm </t>
  </si>
  <si>
    <t>30. 1-Gancho Frazier, agudo, com 18 cm de comprimento;</t>
  </si>
  <si>
    <t>FX.16.133</t>
  </si>
  <si>
    <t xml:space="preserve">Hurd Dissector e Afastador de amígdala, 22cm </t>
  </si>
  <si>
    <t>29. 1-Elevador Hurd, com 22,5 cm comprimento;</t>
  </si>
  <si>
    <t xml:space="preserve">Freer Alavanca de Septo, afiada/romba 4.5mm, 18cm </t>
  </si>
  <si>
    <t>28. 1-Elevador Freer, duplo, Agudo-rombo, com 18 cm de comprimento;</t>
  </si>
  <si>
    <t xml:space="preserve">Joseph Alavanca Periosteal, 16cm </t>
  </si>
  <si>
    <t>27. 1-Elevador de Periósteo Joseph, com 16 cm de comprimento;</t>
  </si>
  <si>
    <t>FX.15.332</t>
  </si>
  <si>
    <t xml:space="preserve">Freer Alavanca de Septo, rombo,19cm </t>
  </si>
  <si>
    <t>26. 1-Elevador Freer, rombo, com 19 cm de comprimento;</t>
  </si>
  <si>
    <t>25. 1-Descolador Freer duplo;</t>
  </si>
  <si>
    <t>Volkmann Cureta Óssea, 17cm, 4.2x2.6mm</t>
  </si>
  <si>
    <t>24. 1-Cureta Volkmann, reta, de 2 mm, com 17 cm de comprimento;</t>
  </si>
  <si>
    <t>FX.12.882</t>
  </si>
  <si>
    <t xml:space="preserve">Lambotte Mini Osteotomo Ósseo, reto, 10mm 12.5cm </t>
  </si>
  <si>
    <t>23. 1-Cinzel Mini Lambotte, de 10 mm, com 12,5 cm de comprimento;</t>
  </si>
  <si>
    <t>HB3480-12</t>
  </si>
  <si>
    <t>Cinzel Stillle, reto, de 12mm, com 20cm</t>
  </si>
  <si>
    <t>22. 1-Cinzel Stillle, reto, de 12mm, com 20 cm de comprimento</t>
  </si>
  <si>
    <t>FX.12.814</t>
  </si>
  <si>
    <t>Cinzel Stillle, reto, de 10mm, com 20cm</t>
  </si>
  <si>
    <t>21. 1-Cinzel Stillle, reto, de 10mm, com 20 cm de comprimento;</t>
  </si>
  <si>
    <t>20. 1-Cuba redonda, com 5 cm de altura,</t>
  </si>
  <si>
    <t>19. 1-Cabo de Bisturi, n°4, graduado, com 13,7 cm de comprimento;</t>
  </si>
  <si>
    <t>18. 1-Cabo de Bisturi, n°3, graduado, com 12 cm de comprimento;</t>
  </si>
  <si>
    <t>17. 2-Broca Trefina, tipo copo, coletora de osso, 7.0mm;</t>
  </si>
  <si>
    <t>FX.12.416</t>
  </si>
  <si>
    <t xml:space="preserve">Cortador de fios de aço, dupla articulação, lâminas anguladas com wídea TC e corte diagonal, mola entre as hastes, 16cm </t>
  </si>
  <si>
    <t>16. 1-Alicate de corte de Fio, com 16 cm de comprimento;</t>
  </si>
  <si>
    <t>FX.12.413</t>
  </si>
  <si>
    <t xml:space="preserve">Cortador de fios modelo Turqueza, dupla articulação, lâminas retas com wídea TC  e corte frontal, mola entre as hastes, 15cm </t>
  </si>
  <si>
    <t>15. 1-Alicate de Corte Amarrilho, com vídea;</t>
  </si>
  <si>
    <t>14. 1-Alicate Ruskin Liston, curvo, com 18 cm de comprimento;</t>
  </si>
  <si>
    <t>13-224-02</t>
  </si>
  <si>
    <t>Alicate de Corte de Fio, com vídea, 14cm</t>
  </si>
  <si>
    <t>13. 1-Alicate de Corte de Fio, com vídea, com 14 cm de comprimento;</t>
  </si>
  <si>
    <t>13-224-01</t>
  </si>
  <si>
    <t>Alicate de Corte de Fio, com vídea, 13cm</t>
  </si>
  <si>
    <t>12. 1-Alicate de Corte de Fio cirúrgico, com vídea 13 cm de comprimento;</t>
  </si>
  <si>
    <t>FX.12.412</t>
  </si>
  <si>
    <t xml:space="preserve">Alicate ponta plana, 14cm, com videa - TC </t>
  </si>
  <si>
    <t>11. 1-Alicate de Ponta Chata, com mandíbulas serrilhadas, com 14 cm de comprimento;</t>
  </si>
  <si>
    <t>FX.12.408</t>
  </si>
  <si>
    <t>Alicate de Ponta Chata, com ranhura transversal, 17 cm</t>
  </si>
  <si>
    <t>10. 1-Alicate de Ponta Chata, com ranhura transversal, com 17 cm de comprimento;</t>
  </si>
  <si>
    <t>Afastador Senn Miller, 3 garras rombas, 18cm</t>
  </si>
  <si>
    <t>9. 1-Afastador Senn Miller, 3 garras rombas, com 18 cm de comprimento;</t>
  </si>
  <si>
    <t>FX.10.896</t>
  </si>
  <si>
    <t xml:space="preserve">Afastador Volkmann, multi-uso, gancho com 2 dentes semi-rombos,  22cm </t>
  </si>
  <si>
    <t>8. 2-Afastador Volkamann, 2 garras semi agudas, de 9x8mm, com 22 cm</t>
  </si>
  <si>
    <t>FX.10.901</t>
  </si>
  <si>
    <t xml:space="preserve">Afastador Volkmann, multi-uso, gancho com 2 dentes rombos,  22cm </t>
  </si>
  <si>
    <t>7. 2-Afastador Volkamann, 2 garras rombas, de 9x8mm, com 22 cm de comprimento;</t>
  </si>
  <si>
    <t>FX.11.179</t>
  </si>
  <si>
    <t xml:space="preserve">Afastador Jansen, garras com3 x 3 dentes pequenos e rombos, barra central com pino de ajuste, 10cm </t>
  </si>
  <si>
    <t>6. 1-Afastador Jansen, rombo, com 10cm de comprimento;</t>
  </si>
  <si>
    <t>FX.11.193</t>
  </si>
  <si>
    <t xml:space="preserve">Afastador Weitlaner, garras com 3 x 4 dentes rombos, movimento por cremalheira,16cm </t>
  </si>
  <si>
    <t>5. 1-Afastador Weitlaner, 3x4 dentes, delicado, rombo, com 16,5 cm de comprimento;</t>
  </si>
  <si>
    <t>4. 2-Afastador Senn Muller, com 3 garras rombas, com 16 cm de comprimento;</t>
  </si>
  <si>
    <t>FX.10.960</t>
  </si>
  <si>
    <t xml:space="preserve">Afastador Langenbeck, válvula com lâmina de dimensões de 30mm x 11mm, 22cm </t>
  </si>
  <si>
    <t>3. 1-Afastador Langenbeck. lâmina de 30x11mm, com 22 cm de comprimento;</t>
  </si>
  <si>
    <t>2. 2-Afastador Farabeuf, com 12 cm de comprimento,</t>
  </si>
  <si>
    <t>Subitem 14.1 - Caixa para Cirurgia de Mão</t>
  </si>
  <si>
    <t>FX.62.227</t>
  </si>
  <si>
    <t xml:space="preserve">Placa de Identificação propria para a base de container, em aluminio na cor  vermelha </t>
  </si>
  <si>
    <t>FX.61.275</t>
  </si>
  <si>
    <t>Tampa para container tamanho 1/2, com sistema de barreira permanente, silicone em toda extensão para perfeita vedação, cor vermelha</t>
  </si>
  <si>
    <t>25. 1-Tesoura de Dissecção Metzenbaum, Romba- Romba, reta, com 18 cm de</t>
  </si>
  <si>
    <t>FX.09.448</t>
  </si>
  <si>
    <t xml:space="preserve">Tesoura Metzenbaum, lâminas curvas, finas com pontas rombas, 15cm </t>
  </si>
  <si>
    <t>24. 1-Tesoura de Dissecção Metzembaum, romba-romba, curva, com 15cm</t>
  </si>
  <si>
    <t>23. 1-Tesoura de Dissecção Metzenbaum, Romba- Romba, curva, com 18 cm de</t>
  </si>
  <si>
    <t>22. 1-Tesoura Íris, fina-fina, curva, com 10,5cm de comprimento;</t>
  </si>
  <si>
    <t>FX.09.410</t>
  </si>
  <si>
    <t xml:space="preserve">Tesoura Íris, lâminas retas, finas, chanfradas com pontas agudas, 10.5cm </t>
  </si>
  <si>
    <t>21. 1-Tesoura Íris, Fina-fina, reta, com 10,5 cm de comprimento;</t>
  </si>
  <si>
    <t>FX.18.504</t>
  </si>
  <si>
    <t xml:space="preserve">Castroviejo Porta Agulha, reto, sem garras, 17cm </t>
  </si>
  <si>
    <t>20. 1-Porta Agulha Castroviejo, reto, 18 cm de comprimento;</t>
  </si>
  <si>
    <t>FX.18.436</t>
  </si>
  <si>
    <t>Mayo Hegar Porta Agulha, 14cm, com videa - TC</t>
  </si>
  <si>
    <t>19. 1-Porta Agulha Mayi Hegar, serrilhada, reta, com vídea, com 14cm de comp.;</t>
  </si>
  <si>
    <t>18. 2-Porta Agulha Mayo Hegar, serrlhada, reta, com vídea, com 18 cm de comprimento;</t>
  </si>
  <si>
    <t>FX.10.102</t>
  </si>
  <si>
    <t xml:space="preserve">Pinça Anatômica Potts-Smith, pontas retas, finas com 1x2 dentes, pino guia, 18cm </t>
  </si>
  <si>
    <t>17. 1-Pinça de Dissecção Potts-Smith, 1x2 dentes, com 18 cm de comprimento;</t>
  </si>
  <si>
    <t>16. 1-Pinça Pean, com 16 cm de comprimento;</t>
  </si>
  <si>
    <t>15. 4-Pinça Arterial Halstead Mosquito, reta, com 12,5 cm;</t>
  </si>
  <si>
    <t>14. 4-Pinça Arterial Halstead Mosquito, curva, com 12,5 cm;</t>
  </si>
  <si>
    <t>FX.18.389</t>
  </si>
  <si>
    <t xml:space="preserve">Pinça Mixter, pontas com curvatura acentuada e serrilhadas, 14cm </t>
  </si>
  <si>
    <t>13. 1-Pinça Mixter, com 13,5 cm de comprimento;</t>
  </si>
  <si>
    <t>FX.10.505</t>
  </si>
  <si>
    <t xml:space="preserve">Pinça Mixter, pontas com curvatura acentuada e serrilhadas, 15.5cm </t>
  </si>
  <si>
    <t>12. 1-Pinça Mixter, com 15,5 cm de comprimento;</t>
  </si>
  <si>
    <t>11. 1-Pinça Arterial Kelly Rankin, reta, com 16 cm de comprimento;</t>
  </si>
  <si>
    <t>10. 4-Pinça de Toalha Backhaus, com 13 cm de comprimento;</t>
  </si>
  <si>
    <t>FX.09.948</t>
  </si>
  <si>
    <t xml:space="preserve">Pinça Anatômica Standard, pontas retas, largas e serrilhadas, 13cm </t>
  </si>
  <si>
    <t>9. 1-Pinça de Dissecção Anatômica, serrilhada, com 13 cm de comprimento;</t>
  </si>
  <si>
    <t>8. 2-Pinça de Dissecção Adson, serrilhada, com 12 cm de comprimento;</t>
  </si>
  <si>
    <t>7. 2-Pinça de Dissecção Adson, 1x2 dentes, com 12 cm de comprimento;</t>
  </si>
  <si>
    <t>Cuba redonda, 5 cm de altura</t>
  </si>
  <si>
    <t>6. 1-Cuba redonda, 5 cm de altura;</t>
  </si>
  <si>
    <t>FX.13.941</t>
  </si>
  <si>
    <t xml:space="preserve">Glover Bulldog Clamp, Atraumatica, reta, 7cm </t>
  </si>
  <si>
    <t>5. 3-Clamp Cardiovascular, Bulldog Glover, reto, com 6 cm de comprimento;</t>
  </si>
  <si>
    <t>FX.13.945</t>
  </si>
  <si>
    <t>Clamp Glover Bulldog, Atrauma,curvo, 6.5cm</t>
  </si>
  <si>
    <t>4. 3-Clamp Cardiovascular, Bulldog Glover, curvo, com 5,5 cm de comprimento;</t>
  </si>
  <si>
    <t>3. 2-Afastador Farabeuf, com 12 cm;</t>
  </si>
  <si>
    <t>FX.11.246</t>
  </si>
  <si>
    <t xml:space="preserve">Afastador Adson, garras com dupla articulação e 3 x 4 dentes rombos, movimento por cremalheira, 16cm </t>
  </si>
  <si>
    <t>2. 1-Afastador Cone Adson Baby, romba, com 16 cm de comprimento;</t>
  </si>
  <si>
    <t>Subitem 13.2 - Caixa para Cirurgia de Fístula Arteriovenosa</t>
  </si>
  <si>
    <t>Placa de Identificação propria para a base de container, em aluminio na cor  vermelha</t>
  </si>
  <si>
    <t>FX.60.792</t>
  </si>
  <si>
    <t>Tampa para container tamanho 3/4, com sistema de barreira permanente, silicone em toda extensão para perfeita vedação, cor vermelha</t>
  </si>
  <si>
    <t>65. 1- Container sólido, com tampa de barreira, para armazenamento de todo conjunto</t>
  </si>
  <si>
    <t>64. 1-Cesto de Container;</t>
  </si>
  <si>
    <t>63. 1-Tesoura de Dissecção Metzembaum, romba-romba, curva, de 15cm de</t>
  </si>
  <si>
    <t>62. 1-Tesoura de Metzembaum, reta, 17,5 cm de comprimento;</t>
  </si>
  <si>
    <t>61. 1-Tesoura Íris, Fina-fina, reta, com 12 cm de comprimento;</t>
  </si>
  <si>
    <t>60. 1-Tesoura Íris, Fina-fina, curva, com 12 cm de comprimento;</t>
  </si>
  <si>
    <t>FX.18.865</t>
  </si>
  <si>
    <t xml:space="preserve">Tesoura Potts-Smith, lâminas anguladas 40º, finas com pontas agudas, 19cm </t>
  </si>
  <si>
    <t>59. 1-Tesoura Vascular Potts Smith, Fina-fina, ângulo de 40°, com 19 cm de</t>
  </si>
  <si>
    <t>FX.09.508</t>
  </si>
  <si>
    <t xml:space="preserve">Tesoura Potts-Smith, lâminas anguladas 60º, finas com pontas agudas, 19cm </t>
  </si>
  <si>
    <t>58. 1-Tesoura Vascular Potts Smith, fina-fina, angulo de 60° de 19cm de comprimento;</t>
  </si>
  <si>
    <t xml:space="preserve">Tesoura Potts-Smith, lâminas anguladas 45º, finas com pontas agudas, 19cm </t>
  </si>
  <si>
    <t>57. 1-Tesoura Vascular Potts Smith, fina-fina, angulo de 45° de 19cm de comprimento;</t>
  </si>
  <si>
    <t>FX.09.507</t>
  </si>
  <si>
    <t xml:space="preserve">Tesoura Potts-Smith, lâminas anguladas 25º, finas com pontas agudas, 19cm </t>
  </si>
  <si>
    <t>56. 1-Tesoura Vascular Potts Smith, fina-fina, angulo de 25° de 19cm de comprimento;</t>
  </si>
  <si>
    <t>FX.09.482</t>
  </si>
  <si>
    <t xml:space="preserve">Tesoura Metzenbaum-Nelson, lâminas curvas, finas com pontas rombas, 23cm </t>
  </si>
  <si>
    <t>55. 1-Tesoura de Dissecção Metzenbaum, Romba-romba, curva, com 23 cm de</t>
  </si>
  <si>
    <t>54. 1-Tesoura de Dissecção Metzenbaum, Romba-romba, curva, com 18 cm de</t>
  </si>
  <si>
    <t>53. 1-Tesoura de Disecção Metzenbaum, romba-romba, curva, 15cm.</t>
  </si>
  <si>
    <t>52. 1-Tesoura de Dissecção Mayo, Romba-romba, reta, com 17 cm de comprimento;</t>
  </si>
  <si>
    <t>51. 1-Tesoura de Dissecção Mayo, Romba-romba, curva, com 17 cm de comprimento;</t>
  </si>
  <si>
    <t>Raspa Ossea</t>
  </si>
  <si>
    <t>50. 4-Raspa Ossea;</t>
  </si>
  <si>
    <t>49. 1-Porta Agulha Mayo Hegar, serrilhada, reta, com vídea, com 20 cm de comprimento;</t>
  </si>
  <si>
    <t>48. 1-Porta Agulha Mayo Hegar, serrilhada, reta, com vídea, com 18 cm de comprimento;</t>
  </si>
  <si>
    <t>FX.11.903</t>
  </si>
  <si>
    <t>Porta Agulha Mayo-Hegar, pontas com wídea TC, retas, 24cm</t>
  </si>
  <si>
    <t>47. 1-Porta Agulha Mayo Hegar, serrilhada, reta, com vídea, com 24 cm;</t>
  </si>
  <si>
    <t>46. 1-Porta agulha Mayo Hegar, serrilhada, reto, 14cm com videa;</t>
  </si>
  <si>
    <t>45. 1-Porta agulha Castroviejo, reto, 18cm;</t>
  </si>
  <si>
    <t>FX.13.907</t>
  </si>
  <si>
    <t xml:space="preserve">Pinça Anatômica De Bakey, pontas retas, finas com 1.5mm e serrilha atraumática, 16cm </t>
  </si>
  <si>
    <t>44. 10-Pinça Cardiovascular Debakey, atraumática, reta, de 1.5 mm, 16 cm de</t>
  </si>
  <si>
    <t>43. 2-Pinça Cardiovascular, Debakey, atraumática, cabo redondo, de 2.0mm, com 20</t>
  </si>
  <si>
    <t>FX.10.509</t>
  </si>
  <si>
    <t xml:space="preserve">Pinça Mixter, pontas curvas com serrilhas paralelas longitudinais, 25cm </t>
  </si>
  <si>
    <t>42. 2-Pinça Mixter, serrilhada, com 25 cm de comprimento;</t>
  </si>
  <si>
    <t>41. 6-Pinça Arterial Kelly Rankin, reta, 16 cm de comprimento;</t>
  </si>
  <si>
    <t>FX.18.375</t>
  </si>
  <si>
    <t xml:space="preserve">Crile Rankin Pinça Hemostatica, curva, em formato de S, 16cm </t>
  </si>
  <si>
    <t>40. 2-Pinça Crille Rankin, curva, com 16 cm de comprimento;</t>
  </si>
  <si>
    <t>FX.16.320</t>
  </si>
  <si>
    <t xml:space="preserve">Babcock Pinça para Tecido, serrilhada, 18cm </t>
  </si>
  <si>
    <t>39. 2-Pinça de Apreensão Babcock, com 18 cm de comprimento;</t>
  </si>
  <si>
    <t xml:space="preserve">Baby Mixter Pinça Hemostatica, curva acentuada, 14cm </t>
  </si>
  <si>
    <t>38. 2-Pinça Mixter 13,5 ou 14cm.</t>
  </si>
  <si>
    <t>FX.10.504</t>
  </si>
  <si>
    <t xml:space="preserve">Mixter O Shaugnessy Pinça, curva, meio serrilhado, 19cm </t>
  </si>
  <si>
    <t>37. 3-Pinça Mixter, com 19 cm de comprimento;</t>
  </si>
  <si>
    <t>36. 4-Pinça Ochsner Kocher, 1x2 dentes, curva, com 16 cm de comprimento;</t>
  </si>
  <si>
    <t>35. 4-Pinça Allis, 5x6 dentes, com 15 cm de comprimento;</t>
  </si>
  <si>
    <t>34. 6-Pinça Hemostática Arterial, Kelly Rankin, serrilhada, curva, com 16 cm de</t>
  </si>
  <si>
    <t>33. 10-Pinça Arterial Halstead Mosquito, reta, com 12,5 cm de comprimento;</t>
  </si>
  <si>
    <t>32. 6-Pinça Arterial Halstead Mosquito, curva, com 12,5 cm de comprimento;</t>
  </si>
  <si>
    <t>FX.16.329</t>
  </si>
  <si>
    <t xml:space="preserve">Pinça Duval, pontas retas com triangulos pequenos, fenestrados e serrilhados, 18cm </t>
  </si>
  <si>
    <t>31. 2-Pinça Duval, atraumática, com 18 cm de comprimento;</t>
  </si>
  <si>
    <t>30. 6-Pinça de Toalha Backhaus, com 13 cm de comprimento;</t>
  </si>
  <si>
    <t>29. 1-Pinça Foerster, serrilhada, reta, com 25 cm de comprimento;</t>
  </si>
  <si>
    <t>FX.13.899</t>
  </si>
  <si>
    <t xml:space="preserve">DeBakey-Diethrich Pinça, Atraumatica, 1.0mm, 19.5cm </t>
  </si>
  <si>
    <t>28. 1-Pinça Dietrich vascular, 19,5cm.</t>
  </si>
  <si>
    <t>27. 1-Pinça de Dissecção, Dente de Rato, 1x2 dentes, com 18 cm de comprimento;</t>
  </si>
  <si>
    <t>26. 1-Pinça de Dissecção Anatômica, serrilhada, com 25 cm de comprimento;</t>
  </si>
  <si>
    <t>25. 1-Pinça de Dissecção Anatômica, serrilhada, fina, delicada, com 16 cm de</t>
  </si>
  <si>
    <t>24. 1-Pinça Cheron, com 25 de comprimento;</t>
  </si>
  <si>
    <t>23. 1-Pinça de Dissecção Adson, serrilhada, com 12 cm de comprimento;</t>
  </si>
  <si>
    <t>22. 1-Pinça de Dissecção Dente de Rato, 1x2 dentes, com 25 cm de comprimento;</t>
  </si>
  <si>
    <t>21. 1-Pinça de Dissecção Anatômica, serrilhada, com 18 cm de comprimento;</t>
  </si>
  <si>
    <t>FX.13.912</t>
  </si>
  <si>
    <t xml:space="preserve">Pinça Anatômica De Bakey, pontas retas, finas com 2mm e serrilha atraumática, 24cm </t>
  </si>
  <si>
    <t>20. 2-Pinça Cardiovascular Debakey, ponta de 2mm, com 24 cm de comprimento;</t>
  </si>
  <si>
    <t>19. 2-Pinça Debakey, atraumática, angulada, ponta de 2mm, com 20 cm de</t>
  </si>
  <si>
    <t>18. 1-Pinça de Dissecção Adson, 1x2 dentes, com 12 cm de comprimento;</t>
  </si>
  <si>
    <t>FX.11.149</t>
  </si>
  <si>
    <t xml:space="preserve">Reverdin Abdominal Spatula 60x45mm, 29cm </t>
  </si>
  <si>
    <t>17. 1-Espátula Reverdin, com 29 cm de comprimento;</t>
  </si>
  <si>
    <t>16. 1-Cuba redonda, com 5 cm de altura;</t>
  </si>
  <si>
    <t>FX.13.948</t>
  </si>
  <si>
    <t xml:space="preserve">Glover  Bulldog Clamp, Atraumatica, curva, 10.5cm </t>
  </si>
  <si>
    <t>15. 2-Clamp Cardiovascular Bulldog Glover, curvo, com 10,5 cm de comprimento;</t>
  </si>
  <si>
    <t>14. 2-Clamp Cardiovascular Bulldog Glover, reto, com 6 cm de comprimento;</t>
  </si>
  <si>
    <t>13. 2-Clamp Cardiovascular Bulldog Glover, curvo, com 5,5 cm de comprimento;</t>
  </si>
  <si>
    <t>HB4001-02</t>
  </si>
  <si>
    <t>Clamp Cardiovascular Satinsky, 12,5cm</t>
  </si>
  <si>
    <t>12. 1-Clamp Cardiovascular Satinsky, 12,5cm.</t>
  </si>
  <si>
    <t>11. 1-Clamp Cardiovascular Satinsky Debakey, com 20,5 cm de comprimento;</t>
  </si>
  <si>
    <t>FX.14.061</t>
  </si>
  <si>
    <t xml:space="preserve">Satinsky Clamp para Oclusão Tangencial, 26.5cm </t>
  </si>
  <si>
    <t>10. 1-Clamp Cardiovascular Satinsky, curva, de 30 mm, com 26 cm de comprimento;</t>
  </si>
  <si>
    <t>FX.14.060</t>
  </si>
  <si>
    <t xml:space="preserve">Satinsky Clamp para Oclusão Tangencial, 25cm </t>
  </si>
  <si>
    <t>9. 1-Clamp Cardiovascular Satinsky, curva, de 25 mm, com 26 cm de comprimento;</t>
  </si>
  <si>
    <t>FX.13.993</t>
  </si>
  <si>
    <t xml:space="preserve">Clamp DeBakey, parte funcional reta com serrilha atraumática de 50mm, 17cm </t>
  </si>
  <si>
    <t>8. 2-Clamp Cardiovascular Debakey, com 18 cm de comprimento;</t>
  </si>
  <si>
    <t>FX.13.991</t>
  </si>
  <si>
    <t xml:space="preserve">Clamp Derra, tangencial, parte funcional com abertura de 20mm e serrilha atraumática, hastes ligeiramente curvas, 17cm </t>
  </si>
  <si>
    <t>7. 2-Clamp de Anastomose, Derra Debakey, curva média, com 17 cm de comprimento;</t>
  </si>
  <si>
    <t>FX.17.022</t>
  </si>
  <si>
    <t xml:space="preserve">Afastador Doyen Especulo Vaginal, 75x45mm </t>
  </si>
  <si>
    <t>6. 2-Afastador Doyen, lâmina de 72x45mm;</t>
  </si>
  <si>
    <t>5. 2-Afastador Weitlaner, com 17cm de comprimento;</t>
  </si>
  <si>
    <t>FX.11.192</t>
  </si>
  <si>
    <t xml:space="preserve">Afastador Weitlaner, garras com 3 x 4 dentes rombos, movimento por cremalheira,14cm </t>
  </si>
  <si>
    <t>4. 2-Afastador Weitlaner, com 14cm de comprimento;</t>
  </si>
  <si>
    <t>09-576-00</t>
  </si>
  <si>
    <t>Afastador Farabeuf Conjunto Completo, 17x20cm</t>
  </si>
  <si>
    <t>3. 2-Afastador Farabeuf, com 17cm de comprimento;</t>
  </si>
  <si>
    <t>Subitem 13.1 - Caixa para Cirurgia Vascular</t>
  </si>
  <si>
    <t>37. 1-Container sólido, com tampa de barreira, para armazenamento de todo conjunto</t>
  </si>
  <si>
    <t>36. 1-Cesto de Container;</t>
  </si>
  <si>
    <t xml:space="preserve">Tubo de Sucção Yankauer, tubular, canula curva com ponta rosqueável modelo chuveiro, manopla com apoio digital e oliva, 27cm </t>
  </si>
  <si>
    <t>35. 1-Tubo de Sucção Yankauer, ponta removível, com 27 cm de comprimento;</t>
  </si>
  <si>
    <t>34. 1-Tesoura Iris, Fina-fina, curva com 10,5 cm de comprimento;</t>
  </si>
  <si>
    <t>FX.09.455</t>
  </si>
  <si>
    <t xml:space="preserve">Tesoura Metzenbaum- Fine, lâminas retas, finas com pontas rombas, 14.5cm </t>
  </si>
  <si>
    <t>33. 1-Tesoura de Dissecção Metzenbaum, Romba-romba, delicada, reta, com 14,5 cm</t>
  </si>
  <si>
    <t>32. 1-Tesoura de Dissecção Metzenbaum, Romba-romba, delicada, curva, com 14,5 cm</t>
  </si>
  <si>
    <t>31. 1-Tesoura de Dissecção Mayo, Romba-romba, reta, com 17 cm de comprimento;</t>
  </si>
  <si>
    <t>FX.09.684</t>
  </si>
  <si>
    <t xml:space="preserve">Tesoura Íris, lâminas comwídea TC, muito finas, retas, chanfradas e com pontas agudas, 11.5cm </t>
  </si>
  <si>
    <t>30. 1-Tesoura Iris, Romba-romba, reta, com vídea, com 11,5 cm de comprimento;</t>
  </si>
  <si>
    <t>29. 1-Porta Agulha Mayo Hegar, serrilhada, reta, com vídea, com 18 cm de comprimento;</t>
  </si>
  <si>
    <t>28. 1-Porta Agulha Mayo Hegar, serrilhada, reta, com vídea, com 16 cm de comprimento;</t>
  </si>
  <si>
    <t>27. 2-Pinça Schmidt, levemente curvada, com 19 cm de comprimento;</t>
  </si>
  <si>
    <t>26. 1-Pinça Ochsner Rocher, 1x2 dentes, reta, com 16 cm de comprimento;</t>
  </si>
  <si>
    <t>25. 1-Pinça Ochsner Kocher, 1x2, dentes, curva, com 16 cm de comprimento;</t>
  </si>
  <si>
    <t>24. 1-Pinça Mixter, com 19 cm de comprimento;</t>
  </si>
  <si>
    <t>23. 8-Pinça Arterial Kelly Rankin, reta, com 16 cm de comprimento;</t>
  </si>
  <si>
    <t>22. 10-Pinça Arterial Kelly, curva, com 14 cm de comprimento;</t>
  </si>
  <si>
    <t>21. 6-Pinça Arterial Halstead Mosquito, reta, com 12,5 cm de comprimento;</t>
  </si>
  <si>
    <t>20. 6-Pinça Arterial Halstead Mosquito, curva, com 12,5 cm de comprimento;</t>
  </si>
  <si>
    <t>19. 2-Pinça de DIssecção, anatômica, fina, delicada, serrilhada, com 16 cm de</t>
  </si>
  <si>
    <t>18. 1-Pinça de Dissecção Adson, serrilhada, com 12 cm de comprimento;</t>
  </si>
  <si>
    <t>17. 1-Pinça de Dissecção Dente de Rato, 1x2, com 16 cm de comprimento;</t>
  </si>
  <si>
    <t>16. 2-Pinça de Dissecção Dente de Rato, 1x2 dentes com 14,5 cm de comprimento;</t>
  </si>
  <si>
    <t>FX.09.881</t>
  </si>
  <si>
    <t>Pinça anatômica Adson, pontas com wídea TC, retas e finas, 15cm</t>
  </si>
  <si>
    <t>15. 3-Pinça de Dissecção Adson, 1x2 dentes, com vídea, com 15 cm de comprimento;</t>
  </si>
  <si>
    <t>14. 2-Pinça Allis, com 5x6 dentes, com 15 cm de comprimento;</t>
  </si>
  <si>
    <t>13. 1-Pinça de Cheron, 25 cm de comprimento;</t>
  </si>
  <si>
    <t>12. 10-Pinça de Toalha Backhaus, com 13 cm de comprimento;</t>
  </si>
  <si>
    <t>FX.10.431</t>
  </si>
  <si>
    <t xml:space="preserve">Pinça Baby-Mixter, pontas finas e curvas, 14cm </t>
  </si>
  <si>
    <t>11. 2-Pinça Baby Mixter, levemente curvada, com 14 cm de comprimento;</t>
  </si>
  <si>
    <t>FX.09.952</t>
  </si>
  <si>
    <t xml:space="preserve">Pinça Anatômica Standard, pontas retas, largas e serrilhadas, 20cm </t>
  </si>
  <si>
    <t>10. 1-Pinça de Dissecção Anatômica, serrilhada, com 20 cm de comprimento;</t>
  </si>
  <si>
    <t>QS.852.03</t>
  </si>
  <si>
    <t>Pinças de Biópsia Medina, 3mm, 24cm</t>
  </si>
  <si>
    <t>9. 2-Pinças de Biópsia medina, 3mm com 24cm de comprimento;</t>
  </si>
  <si>
    <t>8. 1-Cabo de Bisturi nº 4, graduado, com 13,7 cm de comprimento;</t>
  </si>
  <si>
    <t>7. 1-Cabo de Bisturi nº 3, graduado, com 12 cm de comprimento;</t>
  </si>
  <si>
    <t>6. 2-Afastador Langenbeck, lâmina de 50x11 mm, com 22 cm de comprimento;</t>
  </si>
  <si>
    <t>5. 2-Afastador Farabeuf, com 12 cm de comprimento;</t>
  </si>
  <si>
    <t>FX.15.636</t>
  </si>
  <si>
    <t xml:space="preserve">Bruenings Baixador de Lingua, 19cm </t>
  </si>
  <si>
    <t>4. 1-Abaixador de Língua Bruenings, reto, com 19 cm de comprimento;</t>
  </si>
  <si>
    <t>FX.15.611</t>
  </si>
  <si>
    <t>Retrator para Labios e Bochecha, tipo C</t>
  </si>
  <si>
    <t>3. 2-Abridor de boca tipo c, dental, com lip &amp; Cheek retractor Multi Purpose;</t>
  </si>
  <si>
    <t>FX.15.582</t>
  </si>
  <si>
    <t>McIvor Mordaça Bocal, completo</t>
  </si>
  <si>
    <t>2. 2-Abridor de boca MC-ivor, com 3 Lâminas, sem sucção.</t>
  </si>
  <si>
    <t>Subitem 12.1 - Caixa para Cirurgia de Cabeça e Pescoço</t>
  </si>
  <si>
    <t>32. 1-Container sólido, com tampa de barreira, para armazenamento de todo conjunto</t>
  </si>
  <si>
    <t>31. 1-Cesto de Container;</t>
  </si>
  <si>
    <t>Metzenbaum Tesoura, curva, 35cm, com Videa - TC</t>
  </si>
  <si>
    <t>30. 1-Tesoura mezembaum Duracort, romba-romba, curva, com no mínimo 35cm de</t>
  </si>
  <si>
    <t>FX.18.134</t>
  </si>
  <si>
    <t>Metzenbaum Tesoura, curva, 30cm, com Videa - TC</t>
  </si>
  <si>
    <t>29. 1-Tesoura metzembaum Duracort, romba-romba, curva, com no mínimo 30cm de</t>
  </si>
  <si>
    <t>FX.09.479</t>
  </si>
  <si>
    <t xml:space="preserve">Tesoura Metzenbaum-Nelson, lâminas retas, finas com pontas rombas, 30cm </t>
  </si>
  <si>
    <t>28. 1-Tesoura metzembauem Nelson, reta, com n mínimo 30cm de comprimento;</t>
  </si>
  <si>
    <t>FX.09.485</t>
  </si>
  <si>
    <t xml:space="preserve">Tesoura Metzenbaum-Nelson, lâminas curvas, finas com pontas rombas, 30cm </t>
  </si>
  <si>
    <t>27. 1-Tesoura metzembauem Nelson, curva, com no mínimo 30cm de comprimento;</t>
  </si>
  <si>
    <t>26. 5-Tesoura de Dissecção Mayo, Romba-romba, reta, com 14,5 cm de comprimento;</t>
  </si>
  <si>
    <t>FX.09.251</t>
  </si>
  <si>
    <t xml:space="preserve">Tesoura Mayo Supercut, lâminas chanfradas com wídea TC e corte serrilhado, largas com pontas curvas e rombas, 23cm </t>
  </si>
  <si>
    <t>25. 4-Tesoura Supercut de Dissecção Mayo, Romba-romba, curva, com 23 cm de</t>
  </si>
  <si>
    <t>FX.09.725</t>
  </si>
  <si>
    <t xml:space="preserve">Tesoura Metzenbaum-Fine, lâminas com wídea TC, finas, curvas, maciças e com pontas rombas, 25cm </t>
  </si>
  <si>
    <t>24. 4-Tesoura de Dissecção Metzenbaum, Romba-romba, delicada, curva, com vídea 25 cm de comprimento;</t>
  </si>
  <si>
    <t>14-01867-30</t>
  </si>
  <si>
    <t>Tesoura de Dissecção, Metzenbaum, Delicada, Romba/romba, 30cm, curva, com Inserto de Carbureto de Tungstênio (Vídea)</t>
  </si>
  <si>
    <t>23. 4-Tesoura de Dissecção Metzenbaum, Romba-romba, delicada, curva, com vídea 30 cm de comprimento</t>
  </si>
  <si>
    <t>FX.09.726</t>
  </si>
  <si>
    <t xml:space="preserve">Tesoura Metzenbaum-Fine, lâminas comwídea TC, finas, curvas, maciças e com pontas rombas, 28cm </t>
  </si>
  <si>
    <t>22. 4-Tesoura de Dissecção Metzenbaum, Romba-romba, delicada, curva, com vídea 28 cm de comprimento</t>
  </si>
  <si>
    <t>HB2199-36</t>
  </si>
  <si>
    <t>Porta Agulha Mayo-Hegar, pontas com wídea TC, retas, 36cm</t>
  </si>
  <si>
    <t>21. 1-Porta agulha Mayo Hegar, serrilhada, reta, com vídea, com 35cm de comprimento;</t>
  </si>
  <si>
    <t>FX.11.905</t>
  </si>
  <si>
    <t>Porta Agulha Mayo-Hegar, pontas com wídea TC, retas, 30cm</t>
  </si>
  <si>
    <t>20. 1-Porta agulha Mayo Hegar, serrilhada, reta, com videa, com 30 cm de comprimento;</t>
  </si>
  <si>
    <t>19. 4-Porta Agulha Mayo Hegar, serrilhada, reta, com vídea, com 26 cm de comprimento;</t>
  </si>
  <si>
    <t>FX.12.026</t>
  </si>
  <si>
    <t>DeBakey Porta Agulha, fino, 30cm, com videa - TC</t>
  </si>
  <si>
    <t>18. 4-Porta Agulha Debakey, micro serrilhada, reta, com vídea, com 31 cm de</t>
  </si>
  <si>
    <t>17. 4-Porta Agulha Mayo Hegar, serrilhada, reta, com vídea, com 30 cm de comprimento;</t>
  </si>
  <si>
    <t>16. 5-Pinça Arterial Halstead Mosquito, curva, com 12,5 cm de comprimento;</t>
  </si>
  <si>
    <t>15. 5-Pinça Arterial Halstead Mosquito, reta, com 12,5 cm de comprimento;</t>
  </si>
  <si>
    <t>FX.10.390</t>
  </si>
  <si>
    <t>Pinça Kocher-Ochsnner, pontas curvas, serrilhadas com 1x2 dentes, 26cm</t>
  </si>
  <si>
    <t>14. 4-Pinça Ochsner Kocher, 1x2 dentes, curva, com 26 cm de comprimento;</t>
  </si>
  <si>
    <t>FX.10.382</t>
  </si>
  <si>
    <t>Pinça Kocher-Ochsnner, pontas retas, serrilhadas com 1x2 dentes, 26cm</t>
  </si>
  <si>
    <t>13. 4-Pinça Ochsner Kocher, 1x2 dentes, reta, com 26 cm de comprimento;</t>
  </si>
  <si>
    <t>FX.18.401</t>
  </si>
  <si>
    <t>Overholt-Geissendorfer Pinça, curva acentuada, serrilhada, 21cm</t>
  </si>
  <si>
    <t>12. 4-Pinça Overholt-Geissendorfer, serrilhada, curva acentuada, com 21 cm de</t>
  </si>
  <si>
    <t>FX.18.402</t>
  </si>
  <si>
    <t>Overholt-Geissendorfer Pinça, curva acentuada, serrilhada, 27cm</t>
  </si>
  <si>
    <t>11. 4-Pinça Overholt-Geissendorfer, serrilhada, curva acentuada, com 27 cm de</t>
  </si>
  <si>
    <t>Pinça hemostática, Mixter, curva, 35cm</t>
  </si>
  <si>
    <t>AI2419</t>
  </si>
  <si>
    <t>10. 2-Pinça hemostática, mixter, curva, com no mínimo 35cm de comprimento;</t>
  </si>
  <si>
    <t>Pinça hemostática, Mixter, curva, 30cm</t>
  </si>
  <si>
    <t>AI2162</t>
  </si>
  <si>
    <t>9. 2-Pinça hemostática, mixter, curva, com no mínimo 30cm de comprimento;</t>
  </si>
  <si>
    <t>Pinça hemostática Babcock, reta, 35cm</t>
  </si>
  <si>
    <t>HB4323-36</t>
  </si>
  <si>
    <t>8. 1-Pinça hemostática Babcock, reta, com no mínimo 35cm de comprimento;</t>
  </si>
  <si>
    <t>Pinça hemostática Babcock, reta, 30cm</t>
  </si>
  <si>
    <t>HB4323-30</t>
  </si>
  <si>
    <t>7. 1-Pinça hemostática Babcock, reta, com no mínimo 30cm de comprimento;</t>
  </si>
  <si>
    <t>Pinça dissecção anatômica, c/ serrilha, 35cm</t>
  </si>
  <si>
    <t>6. 1-Pinça dissecção anatômica, c/ serrilha e no mínimo 35cm de comprimento;</t>
  </si>
  <si>
    <t>FX.09.954</t>
  </si>
  <si>
    <t>Pinça dissecção anatômica, c/ serrilha, 30cm</t>
  </si>
  <si>
    <t>5. 1-Pinça dissecção anatômica, c/ serrilha e no mínimo 30cm de comprimento;</t>
  </si>
  <si>
    <t>FX.17.008</t>
  </si>
  <si>
    <t>Doyen Especulo Vaginal, 45x85mm, 25cm</t>
  </si>
  <si>
    <t>4. 1-Afastador Doyen, com 85x50mm e 25cm;</t>
  </si>
  <si>
    <t>Afastador Doyen, n8. 100x210mm e 25cm</t>
  </si>
  <si>
    <t>3. 1-Afastador Doyen, n.8, bariátrica, com 100x210mm e 25cm.</t>
  </si>
  <si>
    <t>20-251-04</t>
  </si>
  <si>
    <t xml:space="preserve">Afastador Doyen, curvo, 160,0x45mm </t>
  </si>
  <si>
    <t>2. 4-Afastador Doyen, curvo, lâmina 160x45mm;</t>
  </si>
  <si>
    <t>Subitem 11.1 - Caixa para Cirurgia de Bariátrica</t>
  </si>
  <si>
    <t>FX.61.271</t>
  </si>
  <si>
    <t>Tampa para container tamanho 1/2, com sistema de barreira permanente, silicone em toda extensão para perfeita vedação, cor dourada</t>
  </si>
  <si>
    <t>20. 1-Container sólido, com tampa de barreira, para armazenamento de todo conjunto</t>
  </si>
  <si>
    <t>FX.61.857</t>
  </si>
  <si>
    <t>Cesto aramado compatível com box tamanho 1/2, com pés, dimensões  242x252x110 mm</t>
  </si>
  <si>
    <t>19. 1-Cesto de Container;</t>
  </si>
  <si>
    <t>18. 1-Tentacânula, com 16 cm de comprimento;</t>
  </si>
  <si>
    <t>17. 2-Tesoura de Dissecção Metzenbaum, Romba-romba, delicada, curva, com 18 cm</t>
  </si>
  <si>
    <t>16. 1-Tesoura de Dissecção Mayo Stille, Romba-romba, curva, com 17 cm de</t>
  </si>
  <si>
    <t>FX.09.338</t>
  </si>
  <si>
    <t xml:space="preserve">Tesoura Standard, lâminas retas, largas e com pontas romba /aguda, 15.5cm </t>
  </si>
  <si>
    <t>15. 1-Tesoura Standard, Fina-romba, reta, com 15,5cm de comprimento;</t>
  </si>
  <si>
    <t>14. 1- Porta Agulha Mayo Hegar, serrilhada, reta, com 16 cm de comprimento;</t>
  </si>
  <si>
    <t>13. 2-Pinça Gemini, com 13 cm de comprimento;</t>
  </si>
  <si>
    <t>12. 1-Pinça de Dissecção Dente de Rato 1x2 dentes, com 16 cm comprimento;</t>
  </si>
  <si>
    <t>11. 1-Pinça de Dissecção Anatômica, serrilhada, fina, delicada, 16 cm de comprimento;</t>
  </si>
  <si>
    <t>10. 2-Pinça de Dissecção Adson 1x2 dentes, com 12 cm de comprimento;</t>
  </si>
  <si>
    <t>9. 2-Pinça de Dissecção Adson, serrilhada, com 12 cm de comprimento;</t>
  </si>
  <si>
    <t>8. 1-Pinça Cheron, com 25 cm de comprimento;</t>
  </si>
  <si>
    <t>7. 6-Pinça Arterial Kelly, curva, com 14 cm de comprimento;</t>
  </si>
  <si>
    <t>6. 6-Pinça Arterial Halstead Mosquto, curva, com 12,5 cm de comprimento;</t>
  </si>
  <si>
    <t>5. 4-Pinça Arterial Halstead Mosquito, reta, com 12,5 cm de comprimento;</t>
  </si>
  <si>
    <t>4. 2-Pinça Allis, 5x6 dentes, 15cm;</t>
  </si>
  <si>
    <t>3. 1-Cabo de Bisturi nº3, graduado, com 12 cm de comprimento;</t>
  </si>
  <si>
    <t>2. 1-Cabo de Bisturi nº4, graduado, com 13,7 cm de comprimento;</t>
  </si>
  <si>
    <t>Subitem 10.1 - Caixa para Hemorroidectomia</t>
  </si>
  <si>
    <t>FX.61.287</t>
  </si>
  <si>
    <t>Tampa para container tamanho 1/2, com sistema de barreira permanente, silicone em toda extensão para perfeita vedação, cor preta</t>
  </si>
  <si>
    <t>40. 1-Container sólido, com tampa de barreira, para armazenamento de todo conjunto</t>
  </si>
  <si>
    <t>FX.09.447</t>
  </si>
  <si>
    <t xml:space="preserve">Tesoura Metzenbaum, lâminas retas, finas com pontas rombas, 15cm </t>
  </si>
  <si>
    <t>39. 1-Tesoura Metzenbaum, reta, 15 cm;</t>
  </si>
  <si>
    <t>38. 1-Tesoura Íris, reta, de 11,5cm;</t>
  </si>
  <si>
    <t>37. 1-Porta agulhas tipo Mayo hegar com widia, de 14cm;</t>
  </si>
  <si>
    <t>36. 1-Pinça Haltstead, mosquito, reta de 12,5cm;</t>
  </si>
  <si>
    <t>35. 1-Pinça Halstead, mosquito, curva de 12,5cm;</t>
  </si>
  <si>
    <t>34. 2-Pinça Backhaus de 10cm;</t>
  </si>
  <si>
    <t>33. 1-Pinça de Allis de 15cm;</t>
  </si>
  <si>
    <t>FX.13.898</t>
  </si>
  <si>
    <t xml:space="preserve">DeBakey-Diethrich Pinça, Atraumatica, 1.0mm, 15cm </t>
  </si>
  <si>
    <t>32. 1-Pinça Dietrich 16cm;</t>
  </si>
  <si>
    <t>31. 1-Pinça anatômica, dissecção, com 20cm.</t>
  </si>
  <si>
    <t>30. 1-Pinça anatômica; dissecção, com 18cm.</t>
  </si>
  <si>
    <t>HB3639-20</t>
  </si>
  <si>
    <t>Elevador Periasteal Seldin, n11, 20cm</t>
  </si>
  <si>
    <t>29. 1-Lima para osso dupla Seldin n.11;</t>
  </si>
  <si>
    <t>QD.198.10</t>
  </si>
  <si>
    <t>Hollemback n.3</t>
  </si>
  <si>
    <t>28. 1-Hollemback n.3;</t>
  </si>
  <si>
    <t>FX.41.658</t>
  </si>
  <si>
    <t>Forceps n.65</t>
  </si>
  <si>
    <t>27. 1-Forceps n.65;</t>
  </si>
  <si>
    <t>FX.41.654</t>
  </si>
  <si>
    <t>Forceps n.151</t>
  </si>
  <si>
    <t>26. 1-Forceps n.151;</t>
  </si>
  <si>
    <t>FX.41.653</t>
  </si>
  <si>
    <t>Forceps n.150</t>
  </si>
  <si>
    <t>25. 1-Forceps n.150;</t>
  </si>
  <si>
    <t>FX.41.657</t>
  </si>
  <si>
    <t>Forceps n.18R</t>
  </si>
  <si>
    <t>24. 1-Forceps n.18R;</t>
  </si>
  <si>
    <t>FX.41.656</t>
  </si>
  <si>
    <t>Forceps n.18L</t>
  </si>
  <si>
    <t>23. 1-Forceps n.18L;</t>
  </si>
  <si>
    <t>FX.41.655</t>
  </si>
  <si>
    <t>Forceps n.17</t>
  </si>
  <si>
    <t>22. 1-Forceps n.17;</t>
  </si>
  <si>
    <t>FX.41.763</t>
  </si>
  <si>
    <t>Forceps n.16</t>
  </si>
  <si>
    <t>FX.17.814</t>
  </si>
  <si>
    <t>21. 1-Forceps n.16;</t>
  </si>
  <si>
    <t>FX.41.652</t>
  </si>
  <si>
    <t>Forceps n.1</t>
  </si>
  <si>
    <t>20. 1-Forceps n.1;</t>
  </si>
  <si>
    <t>FX.41.650</t>
  </si>
  <si>
    <t>Extrator Seldin 1R, angulado, direito</t>
  </si>
  <si>
    <t>19. 1-Extrator Seldin 1-R, angulado, direito;</t>
  </si>
  <si>
    <t>FX.41.649</t>
  </si>
  <si>
    <t>Extrator Seldin 1L, angulado, esquerdo</t>
  </si>
  <si>
    <t>18. 1-Extrator Seldin 1-L, angulado, esquerdo;</t>
  </si>
  <si>
    <t>FX.41.651</t>
  </si>
  <si>
    <t>Extrator Seldin 2, reto</t>
  </si>
  <si>
    <t>17. 1-Extrator Seldin 2, reto;</t>
  </si>
  <si>
    <t>FX.41.647</t>
  </si>
  <si>
    <t>Extrator Apical 302 Esquerdo</t>
  </si>
  <si>
    <t>16. 1-Extrator Apical 302 Esquerdo;</t>
  </si>
  <si>
    <t>FX.41.648</t>
  </si>
  <si>
    <t>Extrator Apical 304</t>
  </si>
  <si>
    <t>15. 1-Extrator Apical 304;</t>
  </si>
  <si>
    <t>FX.41.646</t>
  </si>
  <si>
    <t>Extrator Apical 303, Direito</t>
  </si>
  <si>
    <t>14. 1-Extrator Apical 303, Direito;</t>
  </si>
  <si>
    <t>Extrator Apexo 303</t>
  </si>
  <si>
    <t>13. 1-Extrator Apexo 303;</t>
  </si>
  <si>
    <t>FX.30.841</t>
  </si>
  <si>
    <t>Elevador Dingman (Molt), 6.5mm18cm</t>
  </si>
  <si>
    <t>12. 1-Descolador de periósteo do tipo Molt, 18cm;</t>
  </si>
  <si>
    <t>FX.15.337</t>
  </si>
  <si>
    <t xml:space="preserve">Freer Alavanca e Separador, 20cm </t>
  </si>
  <si>
    <t>11. 1-Descolador de periósteo tipo freer duplo;</t>
  </si>
  <si>
    <t>QD.008.86</t>
  </si>
  <si>
    <t>Cureta Lucas n.86 (média)</t>
  </si>
  <si>
    <t>10. 1-Cureta Lucas n.86 (média);</t>
  </si>
  <si>
    <t>QD.001.14</t>
  </si>
  <si>
    <t>Cureta periodontal tipo Gracey 13/14</t>
  </si>
  <si>
    <t>9. 1-Cureta periodontal tipo Gracey 13/14;</t>
  </si>
  <si>
    <t>FX.12.798</t>
  </si>
  <si>
    <t xml:space="preserve">Alexander Chisel Ósseo, 4mm, 17cm </t>
  </si>
  <si>
    <t>8. 1-Cinzel de Alexander 4mm, n.°3;</t>
  </si>
  <si>
    <t>FX.15.926</t>
  </si>
  <si>
    <t>Behrbohm Walter Micro Osteotomo, reta, 3mm, 19cm, extra delicada, corte duplo</t>
  </si>
  <si>
    <t>7. 1-Cinzel Cirúrgico 3mm;</t>
  </si>
  <si>
    <t>FX.15.933</t>
  </si>
  <si>
    <t xml:space="preserve">Epker Osteotome, reta, 6mm, 18cm </t>
  </si>
  <si>
    <t>6. 1-Cinzel Periótomo Simples, reto;</t>
  </si>
  <si>
    <t>5. 1-Cabo de bisturi n.3;</t>
  </si>
  <si>
    <t>FX.13.389</t>
  </si>
  <si>
    <t>Luer Rugina Óssea, 15cm, fina</t>
  </si>
  <si>
    <t>4. 1-Alveolótomo Luer curvo;</t>
  </si>
  <si>
    <t>FX.15.608</t>
  </si>
  <si>
    <t xml:space="preserve">Cawood Minnesota Afastador Facial, 15.5cm </t>
  </si>
  <si>
    <t>3. 1-Afastador Minnesota;</t>
  </si>
  <si>
    <t>Afastador Farabeut Modificado 13mm/15mm (par)</t>
  </si>
  <si>
    <t>2. 1-Afastador Farabeut Modificado 13mm/15mm (par);</t>
  </si>
  <si>
    <t>Subitem 9.2 - Caixa Cirúrgica Extração Buco</t>
  </si>
  <si>
    <t>78. 1-Container sólido, com tampa de barreira, para armazenamento de todo conjunto</t>
  </si>
  <si>
    <t>77. 1-Cesto de Container;</t>
  </si>
  <si>
    <t>FX.09.490</t>
  </si>
  <si>
    <t xml:space="preserve">Tesoura Dean, lâminas anguladas p/ frente, finas, chanfradas, corte serrilhado, com pontas agudas, 17cm </t>
  </si>
  <si>
    <t>76. 1-Tesoura Dean, serrilhada, com 17cm;</t>
  </si>
  <si>
    <t>75. 2-Tesoura Metzenbaum curva, com 18cm;</t>
  </si>
  <si>
    <t>74. 2-Tesoura Iris, curva, com 11,5cm;</t>
  </si>
  <si>
    <t>73. 2-Tesoura Iris Reta com 11,5cm;</t>
  </si>
  <si>
    <t>FX.12.004</t>
  </si>
  <si>
    <t xml:space="preserve">Porta Agulha Ryder-Vascular, pontas com wídea TC, retas, finas, curtas e com perfil rebaixado, 18cm </t>
  </si>
  <si>
    <t>72. 1-Porta Agulha Ryder, com 18cm;</t>
  </si>
  <si>
    <t>FX.12.403</t>
  </si>
  <si>
    <t xml:space="preserve">Porta Agulha Torce fio, 22cm, com videa - TC </t>
  </si>
  <si>
    <t>71. 2-Porta Agulha para fio de açom com widea, 22cm;</t>
  </si>
  <si>
    <t>FX.11.907</t>
  </si>
  <si>
    <t>Mayo Hegar (Seeley) Porta Agulha, delicado, 18cm com videa - TC</t>
  </si>
  <si>
    <t>70. 2-Porta Agulha Leve Mayo Hegar com widia, 18cm;</t>
  </si>
  <si>
    <t>69. 1-Pinça Beyer, curvo, 17cm;</t>
  </si>
  <si>
    <t>QD.675.00</t>
  </si>
  <si>
    <t>Pinça Kocher, angulada, 90°, ponta ativa 14cm, com corrente buco, 58cm</t>
  </si>
  <si>
    <t>68. 1-Pinça Kocher, angulada, 90°, ponta ativa 14cm, com corrente buco de 58cm.</t>
  </si>
  <si>
    <t>67. 4-Piça Hemostatica, kelly, curva, com 14cm;</t>
  </si>
  <si>
    <t>66. 6-Pinça Backhaus, com 13cm;</t>
  </si>
  <si>
    <t>QZ.110.22</t>
  </si>
  <si>
    <t>Pinça Dietrich, 22cm</t>
  </si>
  <si>
    <t>65. 2-Pinça Dietrich, 22cm;</t>
  </si>
  <si>
    <t>64. 1-Pinça anatômica, Dissecção com 20 cm;</t>
  </si>
  <si>
    <t>63. 1-Pinça Anatômica, Dissecção com 18cm;</t>
  </si>
  <si>
    <t>62. 1-Pinça Adson sem dente, 12 cm;</t>
  </si>
  <si>
    <t>61. 1-Pinça Adson com dente, 12cm.</t>
  </si>
  <si>
    <t>HB7377-01</t>
  </si>
  <si>
    <t>Paquimetro, modelo agulha</t>
  </si>
  <si>
    <t>60. 1-Paquimetro, tipo agulha;</t>
  </si>
  <si>
    <t>QD.980.00</t>
  </si>
  <si>
    <t>Parafuso Byrd, 10cm</t>
  </si>
  <si>
    <t>59. 2-Parafuso Byrd, 10cm;</t>
  </si>
  <si>
    <t>FX.12.919</t>
  </si>
  <si>
    <t xml:space="preserve">Lexer Osteotomo Ósseo, com manopla, reto, 10mm 22cm </t>
  </si>
  <si>
    <t>58. 1-Osteótomo de Lever, 10mm, com 22cm;</t>
  </si>
  <si>
    <t>FX.16.056</t>
  </si>
  <si>
    <t>Shermann Martelo Nasal, 19mm cabeça em cobre, 16.5cm, 4.Oz</t>
  </si>
  <si>
    <t>57. 1-Martelo Buco, 17cm;</t>
  </si>
  <si>
    <t>QD.802.01</t>
  </si>
  <si>
    <t>Localizador de nervo Alveolar Inferior, 16cm</t>
  </si>
  <si>
    <t>56. 1-Localizador de nervo Alveolar Inferior, 16cm;</t>
  </si>
  <si>
    <t xml:space="preserve">Lima óssea Lewis, espátula pequena, com serrilha fina, com wídea TC, cabo redondo, 18cm </t>
  </si>
  <si>
    <t>55. 1-Lima para osso, 18cm;</t>
  </si>
  <si>
    <t>QD.248.15</t>
  </si>
  <si>
    <t>Gancho Barros, 16cm</t>
  </si>
  <si>
    <t>54. 1-Gancho Barros, 16cm;</t>
  </si>
  <si>
    <t>09-950-16</t>
  </si>
  <si>
    <t xml:space="preserve">Ribbon Afastador, maleavel, 17x200mm </t>
  </si>
  <si>
    <t>53. 1-Espátula maleável, 20x1,5cm;</t>
  </si>
  <si>
    <t>FX.11.142</t>
  </si>
  <si>
    <t xml:space="preserve">Ribbon Afastador, maleavel, 6x200mm </t>
  </si>
  <si>
    <t>52. 1-Espátula maleável, estreita, 20x0,5cm;</t>
  </si>
  <si>
    <t>QD.193.18</t>
  </si>
  <si>
    <t>Espátula com ponta em V 1001, com 17cm</t>
  </si>
  <si>
    <t>51. 2-Espátula com ponta em V 1001, com 17cm;</t>
  </si>
  <si>
    <t>QD.224.06</t>
  </si>
  <si>
    <t>Esculpidor Hollemback, 16cm</t>
  </si>
  <si>
    <t>50. 2-Esculpidor Hollemback, 16cm;</t>
  </si>
  <si>
    <t>QD.191.18</t>
  </si>
  <si>
    <t>Descolador/elevador de Henahan, de 18cm</t>
  </si>
  <si>
    <t>49. 1-Descolador/elevador de Henahan, de 18cm;</t>
  </si>
  <si>
    <t>QD.190.20</t>
  </si>
  <si>
    <t>Descolador Sverzut para ramo, 20cm</t>
  </si>
  <si>
    <t>48. 1-Descolador Sverzut para ramo, 20cm;</t>
  </si>
  <si>
    <t>QD.194.20</t>
  </si>
  <si>
    <t>Descolador em J, 20cm</t>
  </si>
  <si>
    <t>47. 1-Descolador em J, 20cm;</t>
  </si>
  <si>
    <t>QD.935.18</t>
  </si>
  <si>
    <t>Descolador Elevador Dingman (Molt), n9, 18cm</t>
  </si>
  <si>
    <t>46. 2-Descolador de Molt, n.° 9, com 18,5cm;</t>
  </si>
  <si>
    <t>QD.935.09</t>
  </si>
  <si>
    <t>Descolador Elevador Dingman (Molt), 6.5mm18cm</t>
  </si>
  <si>
    <t>45. 1-Descolar de Molt, delicado com 17,5cm;</t>
  </si>
  <si>
    <t>44. 2-Descolador de Freer, 17,5cm;</t>
  </si>
  <si>
    <t>43. 1-Descolador de Freer, 20cm;</t>
  </si>
  <si>
    <t>QD.003.14</t>
  </si>
  <si>
    <t>Cureta Periodontal 13/14, 16,5cm</t>
  </si>
  <si>
    <t>42. 2-Cureta Periodontal 13/14, 16,5cm;</t>
  </si>
  <si>
    <t>QD.929.15</t>
  </si>
  <si>
    <t xml:space="preserve">Cureta de Molt, com cabo soft, com 18,5cm </t>
  </si>
  <si>
    <t>41. 2-Cureta de Molt, com cabo soft, com 18,5cm;</t>
  </si>
  <si>
    <t>Cureta de Lucas, 17cm</t>
  </si>
  <si>
    <t>40. 1-Cureta de Lucas, 17cm;</t>
  </si>
  <si>
    <t>QD.008.84</t>
  </si>
  <si>
    <t>Cureta de Lucas, 16cm</t>
  </si>
  <si>
    <t>39. 1-Cureta de Lucas, 16cm;</t>
  </si>
  <si>
    <t>FX.13.036</t>
  </si>
  <si>
    <t>Bruns Cureta Óssea, 17cm, n5</t>
  </si>
  <si>
    <t>38. 1-Cureta de Burns n.°5, 17cm;</t>
  </si>
  <si>
    <t>FX.13.032</t>
  </si>
  <si>
    <t>Bruns Cureta Óssea, 17cm, n1</t>
  </si>
  <si>
    <t>37. 1-Cureta de Burns nº1, 17cm;</t>
  </si>
  <si>
    <t>QD.197.00</t>
  </si>
  <si>
    <t>Cinzel Sverzut, em cruz, 17cm</t>
  </si>
  <si>
    <t>36. 2-Cinzel Sverzut, em cruz, 17cm;</t>
  </si>
  <si>
    <t>FX.15.999</t>
  </si>
  <si>
    <t xml:space="preserve">Cinzel da Corcova Nasal, 10mm, 18cm </t>
  </si>
  <si>
    <t>35. 1-Cinzel para septo, 18,5cm;</t>
  </si>
  <si>
    <t>QD.120.03</t>
  </si>
  <si>
    <t>Cinzel de Wagner, reto, com 8mm e 15cm</t>
  </si>
  <si>
    <t>34. 1-Cinzel de Wagner, reto, com 8mm e 15cm;</t>
  </si>
  <si>
    <t>QD.120.02</t>
  </si>
  <si>
    <t>Cinzel de Wagner, reto, com 6 mm e 15cm</t>
  </si>
  <si>
    <t>33. 1-Cinzel de Wagner, reto, com 6 mm e 15cm;</t>
  </si>
  <si>
    <t>QD.120.01</t>
  </si>
  <si>
    <t xml:space="preserve">Cinzel de Wagner, reto, com 4 mm e 15cm </t>
  </si>
  <si>
    <t>32. 1-Cinzel de Wagner, reto, com 4 mm e 15cm;</t>
  </si>
  <si>
    <t>QD.121.05</t>
  </si>
  <si>
    <t xml:space="preserve">Cinzel de Wagner curvo, com 8mm e 15cm </t>
  </si>
  <si>
    <t>31. 1-Cinzel de Wagner curvo, com 8mm e 15cm;</t>
  </si>
  <si>
    <t>QD.121.04</t>
  </si>
  <si>
    <t xml:space="preserve">Cinzel de Wagner, curvo, com 6mm e 14,5cm </t>
  </si>
  <si>
    <t>30. 1-Cinzel de Wagner, curvo, com 6mm e 14,5cm;</t>
  </si>
  <si>
    <t>QD.121.06</t>
  </si>
  <si>
    <t xml:space="preserve">Cinzel de Wagner, angulado, com 6mm e 15cm </t>
  </si>
  <si>
    <t>29. 1-Cinzel de Wagner, angulado, com 6mm e 15cm;</t>
  </si>
  <si>
    <t>QD.137.04</t>
  </si>
  <si>
    <t>Cinzel de Lucas 16cm</t>
  </si>
  <si>
    <t>28. 1-Cinzel de Lucas; 16cm;</t>
  </si>
  <si>
    <t>Cinzel bizel, 3mm</t>
  </si>
  <si>
    <t>27. 1-Cinzel Cirurgico, 3mm bizel.</t>
  </si>
  <si>
    <t>Cinzel Periótomo, reto</t>
  </si>
  <si>
    <t>26. 1-Cinzel Periótomo, simples, reto;</t>
  </si>
  <si>
    <t>QD.137.02</t>
  </si>
  <si>
    <t>Cinzel de Lucas, duplo bisel, 4mm</t>
  </si>
  <si>
    <t>25. 1-Cinzel de Lucas, duplo bisel, 4mm;</t>
  </si>
  <si>
    <t xml:space="preserve">Compasso Castroviejo, reta, 0-40mm, 9cm </t>
  </si>
  <si>
    <t>24. 1-Compasso Castroviejo 40mm+;</t>
  </si>
  <si>
    <t>FX.08.952</t>
  </si>
  <si>
    <t xml:space="preserve">Canula de Sucção Frazier, 12.FG, 4.0mm, 45°, 19cm </t>
  </si>
  <si>
    <t>FX.08.955</t>
  </si>
  <si>
    <t>23. 1-Cânula Aspiração Frazier, 19cm;</t>
  </si>
  <si>
    <t xml:space="preserve">Canula de Sucção frazier, 9.FG, 3.0mm, 45°, 19cm </t>
  </si>
  <si>
    <t>22. 1-Cânula Aspiração Frazier 3mm, 20cm;</t>
  </si>
  <si>
    <t>21. 3-Cabo de Bisturi, n.03;</t>
  </si>
  <si>
    <t>FX.15.715</t>
  </si>
  <si>
    <t xml:space="preserve">Hargis Afastador de Mandibula, 13mm, 18cm </t>
  </si>
  <si>
    <t>20. 1-Afastador Hargis;</t>
  </si>
  <si>
    <t>QD.718.02</t>
  </si>
  <si>
    <t>Afastador de Base Mandibular Largo</t>
  </si>
  <si>
    <t>19. 1-Afastador de Base Mandibular Largo;</t>
  </si>
  <si>
    <t>18. 3-Afastador Sen Muller, ponta romba, 17cm;</t>
  </si>
  <si>
    <t>17. 1-Afastador Sen Muller, ponta romba, 16cm;</t>
  </si>
  <si>
    <t>FX.10.775</t>
  </si>
  <si>
    <t xml:space="preserve">Afastador, gancho com abertura pequena e 03 dentes rombos, 16cm </t>
  </si>
  <si>
    <t>16. 1-Afastador Rollet, três ganchos, 15cm;</t>
  </si>
  <si>
    <t>FX.15.744</t>
  </si>
  <si>
    <t xml:space="preserve">Obwegeser Afastador de Ramos, 11-15x70mm, 22cm </t>
  </si>
  <si>
    <t>15. 1-Afastador Obwegeser, para ramo, 22cm;</t>
  </si>
  <si>
    <t>FX.15.699</t>
  </si>
  <si>
    <t xml:space="preserve">Obwegeser Afastador Tecido, para cima, 11x40mm, 22cm </t>
  </si>
  <si>
    <t>14. 2-Afastador Obwegeser, para cima, curto, 22cm;</t>
  </si>
  <si>
    <t>FX.15.700</t>
  </si>
  <si>
    <t xml:space="preserve">Obwegeser Afastador Tecido, para cima, 11x55mm, 22cm </t>
  </si>
  <si>
    <t>13. 2-Afastador Obwegeser, para cima, 22cm;</t>
  </si>
  <si>
    <t>FX.15.691</t>
  </si>
  <si>
    <t>Obwegeser Afastador Tecido, para baixo, 7x25mm, 22cm, laminas concavas</t>
  </si>
  <si>
    <t>12. 2-Afastador Obwegeser, para baixo, curto, 21cm;</t>
  </si>
  <si>
    <t>FX.15.692</t>
  </si>
  <si>
    <t xml:space="preserve">Obwegeser Afastador Tecido, para baixo, 10x35mm, 22cm </t>
  </si>
  <si>
    <t>11. 2-Afastador Obwegeser, para baixo, 21cm;</t>
  </si>
  <si>
    <t>FX.15.609</t>
  </si>
  <si>
    <t>Afastador Minnesota, 14cm</t>
  </si>
  <si>
    <t>10. 1-Afastador Minnesota, 14cm;</t>
  </si>
  <si>
    <t>FX.41.542</t>
  </si>
  <si>
    <t>Afastador Gillies, 3mm, 16cm</t>
  </si>
  <si>
    <t>9. 1-Afastador Gillies, 15,5cm;</t>
  </si>
  <si>
    <t>8. 1-Afastador Farabeuf Modificado, 15cm;</t>
  </si>
  <si>
    <t>7. 1-Afastador Farabeuf, 14,5cm;</t>
  </si>
  <si>
    <t>6. 1-Afastador Farabeuf, 14cm;</t>
  </si>
  <si>
    <t xml:space="preserve">Afastador Buenings, 19cm </t>
  </si>
  <si>
    <t>5. 1-Afastador Bruenings, 19cm;</t>
  </si>
  <si>
    <t>4. 1-Afastador Guthrie, Gancho Duplo, 15,5cm;</t>
  </si>
  <si>
    <t>FX.15.555</t>
  </si>
  <si>
    <t xml:space="preserve">Abridor de boca Molt Doyen Jansen, 11cm </t>
  </si>
  <si>
    <t>3. 1-Abridor de Boca de Molt, 10,5cm;</t>
  </si>
  <si>
    <t>FX.15.630</t>
  </si>
  <si>
    <t xml:space="preserve">Afastador de Lingua, 43mm, 16.5cm </t>
  </si>
  <si>
    <t>2. 1-Abaixador de Lingua Wieder, 16cm;</t>
  </si>
  <si>
    <t>Subitem 9.1 - Caixa Cirurgia Bucomaxilofacial Principal</t>
  </si>
  <si>
    <t>24. 1-Container sólido, com tampa de barreira, para armazenamento de todo conjunto</t>
  </si>
  <si>
    <t>23. 1-Cesto de Container;</t>
  </si>
  <si>
    <t>22. 1-Tesoura de Dissecção Metzenbaum, Romba-romba, reta, com 18 cm de</t>
  </si>
  <si>
    <t>21. 1-Tesoura de Dissecção Mayo, Romba-romba, reta, com 17 cm de comprimento;</t>
  </si>
  <si>
    <t>20. 1-Tesoura de Dissecção Mayo, Romba-romba, curva, com 17 cm de comprimento;</t>
  </si>
  <si>
    <t>19. 2-Porta Agulha Mayo Hegar, serrlhada, reta, com 18 cm de comprimento;</t>
  </si>
  <si>
    <t>18. 2-Pinça Allis, reta, 25cm.</t>
  </si>
  <si>
    <t>17. 2-Pinça Allis, reta, 15cm.</t>
  </si>
  <si>
    <t>FX.16.290</t>
  </si>
  <si>
    <t xml:space="preserve">Pinça Allis, pontas retas com 5 x 6 dentes, 19cm </t>
  </si>
  <si>
    <t>16. 2-Pinça Allis, reta, 18cm.</t>
  </si>
  <si>
    <t>15. 4-Pinça Ochsner Kocher, 1x2 dentes, reta, com 16 cm de comprimento;</t>
  </si>
  <si>
    <t>14. 4-Pinça Arterial Kelly Rankin, reta, com 16 cm de comprimento;</t>
  </si>
  <si>
    <t>13. 4-Pinça Arterial Kelly Rankin, serrilhada, curva, com 16 cm de comprimento;</t>
  </si>
  <si>
    <t>12. 4-Pinça de Toalha Backhaus, com 13 cm de comprimento;</t>
  </si>
  <si>
    <t>11. 6-Pinça Allis, 5x6 dentes, com 15 cm de comprimento;</t>
  </si>
  <si>
    <t>10. 1-Pinça Foerster, lisa, reta, com 25 cm de comprimento;</t>
  </si>
  <si>
    <t>9. 1-Pinça de Dissecção Dente de Rato, 1x2 dentes, com 16 cm de comprimento;</t>
  </si>
  <si>
    <t>8. 1-Pinça de Dissecção Anatômica, serrilhada, fina, delicada, com 16 cm de</t>
  </si>
  <si>
    <t>7. 1-Pinça Cheron, com 25 cm de comprimento;</t>
  </si>
  <si>
    <t>Cuba redonda, com 5cm de altura</t>
  </si>
  <si>
    <t>6. 1-Cuba redonda, com 5 cm de altura;</t>
  </si>
  <si>
    <t>Afastador Balfour, garras laterais aramadas com 70mm  x 35mm,  hastes curvas, abertura de 180mm, Acompanha válvula central suprapúbica com 45mm x 80mm</t>
  </si>
  <si>
    <t>5. 1-Afastador Balfour, lâmina central, de 45x80 mm;</t>
  </si>
  <si>
    <t>Doyen Especulo Vaginal, 45x85mm</t>
  </si>
  <si>
    <t>4. 1-Afastador Doyen, lâmina de 85x45 mm;</t>
  </si>
  <si>
    <t>FX.11.489</t>
  </si>
  <si>
    <t>Afastador Doyen, válvula suprapúbica com dimensões de 55mm x 105mm,  28cm</t>
  </si>
  <si>
    <t>2. 1-Afastador Supra Pubica, tamanho M, curvo.</t>
  </si>
  <si>
    <t>Subitem 8.3 - Caixa para Parto Cesárea</t>
  </si>
  <si>
    <t>FX.09.475</t>
  </si>
  <si>
    <t>30. 1-Tesoura de Dissecção Metzenbaum, Romba-romba, reta, com 20 cm de</t>
  </si>
  <si>
    <t xml:space="preserve">Tesoura Metzenbaum-Nelson, lâminas retas, finas com pontas rombas, 20cm </t>
  </si>
  <si>
    <t>29. 1-Tesoura de Dissecção Metzenbaum, Romba-romba, reta, com 18 cm de</t>
  </si>
  <si>
    <t>FX.09.384</t>
  </si>
  <si>
    <t>28. 1-Tesoura de Dissecção Mayo Stille, Romba-romba, reta, com 19 cm de</t>
  </si>
  <si>
    <t xml:space="preserve">Tesoura Mayo-Stille, lâminas retas, largas com pontas rombas, 19cm </t>
  </si>
  <si>
    <t>27. 1-Tesoura de Dissecção Mayo Stille, Romba-romba, curva, com 19 cm de</t>
  </si>
  <si>
    <t>FX.11.490</t>
  </si>
  <si>
    <t>26. 1-Suprapubica - Tamanho M, curva.</t>
  </si>
  <si>
    <t>Afastador Doyen, válvula suprapúbica com dimensões de 55mm x 115mm,  28cm</t>
  </si>
  <si>
    <t>FX.17.244</t>
  </si>
  <si>
    <t>25. 1-Saca Mioma Doyen, com 17 cm de comprimento;</t>
  </si>
  <si>
    <t>FX.12.162</t>
  </si>
  <si>
    <t xml:space="preserve">Porta Agulha Mayo-Hegar, pontas retas, largas com serrilha cruzada e encaixe p/ agulha de sutura, 30cm </t>
  </si>
  <si>
    <t>24. 1-Porta Agulha Mayo Hegar, serrilhada, reta, com 30 cm de comprimento;</t>
  </si>
  <si>
    <t>23. 2-Porta Agulha Mayo Hegar, serrilhada, reta, com 18 cm de comprimento;</t>
  </si>
  <si>
    <t>22. 2-Pinça Allis, reta, 25cm.</t>
  </si>
  <si>
    <t>21. 2-Pinça Allis, reta, 15cm.</t>
  </si>
  <si>
    <t>20. 2-Pinça Allis, reta, 18cm.</t>
  </si>
  <si>
    <t>19. 1-Pinça Uterina Pozzi, com 25,5 cm de comprimento;</t>
  </si>
  <si>
    <t>FX.10.379</t>
  </si>
  <si>
    <t>Pinça Kocher-Ochsnner, pontas retas, serrilhadas com 1x2 dentes, 20cm</t>
  </si>
  <si>
    <t>18. 4-Pinça Ochsner Kocher, 1x2 dentes, reta, com 20 cm;</t>
  </si>
  <si>
    <t>17. 4-Pinça Ochsner Kocher, 1x2 dentes, reta, com 18 cm;</t>
  </si>
  <si>
    <t>FX.10.386</t>
  </si>
  <si>
    <t>Pinça Kocher-Ochsnner, pontas curvas, serrilhadas com 1x2 dentes, 18cm</t>
  </si>
  <si>
    <t>16. 4-Pinça Ochsner Kocher, 1x2 dentes, curva, com 18 cm;</t>
  </si>
  <si>
    <t>15. 6-Pinça Mixter, com 19 cm de comprimento;</t>
  </si>
  <si>
    <t>14. 6-Pinça Arterial Kelly Rankin, reta, com 16 cm;</t>
  </si>
  <si>
    <t>13. 6-Pinça Arterial Kelly Rankin, serrilhada, curva, com 16 cm;</t>
  </si>
  <si>
    <t>12. 1-Pinça Foerster, lisa, reta, com 25 cm de comprimento;</t>
  </si>
  <si>
    <t>FX.10.713</t>
  </si>
  <si>
    <t xml:space="preserve">Pinça Foerster, pontas curvas com anéis fenestrados sem serrilha, 25cm </t>
  </si>
  <si>
    <t>11. 1-Pinça Foerster, lisa, curva, com 25 cm de comprimento;</t>
  </si>
  <si>
    <t>FX.10.538</t>
  </si>
  <si>
    <t xml:space="preserve">Pinça Faure, pontas curvas, curtas, serrilhadas com 1x2 dentes, 20cm </t>
  </si>
  <si>
    <t>10. 6-Pinça Faure, 1x2 dentes, levemente curvada, com 20 cm de comprimento;</t>
  </si>
  <si>
    <t>FX.10.029</t>
  </si>
  <si>
    <t xml:space="preserve">Pinça Anatômica Standard, pontas retas, largas com 1x2 dentes, 20cm </t>
  </si>
  <si>
    <t>9. 2-Pinça de Dissecção, Dente de Rato, 1x2 dentes, com 20 cm;</t>
  </si>
  <si>
    <t xml:space="preserve">Gillies Gancho para Pele, delicado, n1, 18cm </t>
  </si>
  <si>
    <t>8. 1-Gancho Gillies, nº1, agudo, com 18 cm de comprimento;</t>
  </si>
  <si>
    <t>7. 1-Espátula Reverdin, com 29 cm de comprimento;</t>
  </si>
  <si>
    <t>Afastatador com espatula maleável, G, 50mm, 30cm</t>
  </si>
  <si>
    <t>AI2599</t>
  </si>
  <si>
    <t>6. 3-Afastatador/Espatula maleável, G, 50mm, com 30cm comprimento;</t>
  </si>
  <si>
    <t>Afastatador com espatula maleável, M, 35mm, 30cm</t>
  </si>
  <si>
    <t>AI1675</t>
  </si>
  <si>
    <t>5. 3-Afastatador/Espatula maleável, M, 35mm, com 30cm comprimento;</t>
  </si>
  <si>
    <t>Afastatador com espatula maleável, P, 20mm, 30cm</t>
  </si>
  <si>
    <t>AI0570</t>
  </si>
  <si>
    <t>4. 3-Afastatador/Espatula maleável, P, 20mm, com 30cm comprimento;</t>
  </si>
  <si>
    <t>FX.17.011</t>
  </si>
  <si>
    <t>Doyen Especulo Vaginal, 60x85mm</t>
  </si>
  <si>
    <t>3. 2-Afastador Doyen, levemente concâvo, lâmina de 85x60mm;</t>
  </si>
  <si>
    <t>Afastador Balfour, abertura de 180mm, válvula central suprapúbica com 45mm x 80mm</t>
  </si>
  <si>
    <t>2. 1- Afastador Balfour, lâmina central, com 45x80mm;</t>
  </si>
  <si>
    <t>Subitem 8.2 - Caixa Cirúrgica para Histerectomia Abdominal</t>
  </si>
  <si>
    <t>31. 1-Container sólido, com tampa de barreira, para armazenamento de todo conjunto</t>
  </si>
  <si>
    <t>30. 1-Cesto de Container;</t>
  </si>
  <si>
    <t>29. 1-Tesoura de Dissecção Metzenbaum, Romba-romba, curva, com 18 cm de</t>
  </si>
  <si>
    <t>28. 1-Tesoura de Dissecção Mayo, Romba-romba, curva, com 17 cm de comprimento;</t>
  </si>
  <si>
    <t xml:space="preserve">Collin Sonda Uterina, 28cm </t>
  </si>
  <si>
    <t>27. 1-Sonda Uterina Collin, com 28 cm de comprimento;</t>
  </si>
  <si>
    <t>FX.12.159</t>
  </si>
  <si>
    <t xml:space="preserve">Porta Agulha Mayo-Hegar, pontas retas, largas com serrilha cruzada e encaixe p/ agulha de sutura, 20cm </t>
  </si>
  <si>
    <t>26. 1-Porta Agulha Mayo Hegar, serrilhada, reta, com 20 cm de comprimento;</t>
  </si>
  <si>
    <t>25. 1-Porta Agulha Mayo Hegar, serrilhada, reta, com 18 cm de comprimento;</t>
  </si>
  <si>
    <t>FX.10.364</t>
  </si>
  <si>
    <t xml:space="preserve">Pinça Rochester-Pean, pontas retas e serrilhadas, 22cm </t>
  </si>
  <si>
    <t>24. 1-Pinça Rochester Pean, reta, com 22 cm de comprimento;</t>
  </si>
  <si>
    <t>23. 1-Pinça Uterina Pozzi, com 25,5 cm de comprimento;</t>
  </si>
  <si>
    <t>22. 2-Pinça Arterial Kelly, curva, com 14 cm de comprimento;</t>
  </si>
  <si>
    <t>21. 1-Pinça Foerster, lisa, reta, com 25 cm de comprimento;</t>
  </si>
  <si>
    <t>FX.17.664</t>
  </si>
  <si>
    <t>Winter  Pinça Placenta e Ovario, reta, 28cm, 9.5mm</t>
  </si>
  <si>
    <t>20. 1-Pinça Winter Placenta e Ovum, reta, sem cremalheira, com 27 cm de comprimento n 1</t>
  </si>
  <si>
    <t>FX.17.667</t>
  </si>
  <si>
    <t xml:space="preserve">Winter  Pinça Placenta e Ovario, curva, 28cm, 9.5mm </t>
  </si>
  <si>
    <t>19. 1-Pinça Winter Placenta e Ovum, curva, sem cremalheira, com 27 cm de n 1</t>
  </si>
  <si>
    <t>FX.17.665</t>
  </si>
  <si>
    <t xml:space="preserve">Winter  Pinça Placenta e Ovario, reta, 28cm, 11mm </t>
  </si>
  <si>
    <t>18. 1-Pinça Winter Placenta e Ovum, reta, sem cremalheira, com 27 cm de comprimento n 2</t>
  </si>
  <si>
    <t>FX.17.668</t>
  </si>
  <si>
    <t xml:space="preserve">Winter  Pinça Placenta e Ovario, curva, 28cm, 11mm  </t>
  </si>
  <si>
    <t>17. 1-Pinça Winter Placenta e Ovum, curva, sem cremalheira, com 27 cm de n2</t>
  </si>
  <si>
    <t>16. 1-Pinça Uterina Pozzi, com 25,5 cm de comprimento;</t>
  </si>
  <si>
    <t>15. 2-Pinça Uterina Museux, reta, com 8x24 cm de comprimento;</t>
  </si>
  <si>
    <t>FX.16.913</t>
  </si>
  <si>
    <t xml:space="preserve">Collin Landau Especulo Vaginal, 100x35mm </t>
  </si>
  <si>
    <t>14. 1-Espéculo Vaginal Collin Landau, com 100x35 mm de comprimento;</t>
  </si>
  <si>
    <t>27-09227-16</t>
  </si>
  <si>
    <t>Cureta Uterina Recamier, maleável, romba, 16mm, 26cm</t>
  </si>
  <si>
    <t>13. 1-Cureta Uterina Recamier, maleável, romba, 16 mm, com 26 com de comprimento;</t>
  </si>
  <si>
    <t>27-09227-12</t>
  </si>
  <si>
    <t>Cureta Uterina Recamier, maleável, romba, 12mm, 26cm</t>
  </si>
  <si>
    <t>12. 1-Cureta Uterina Recamier, maleável, romba, 12 mm, com 26 com de comprimento;</t>
  </si>
  <si>
    <t>27-09227-08</t>
  </si>
  <si>
    <t>Cureta Uterina Recamier, maleável, romba, 8mm, 26cm</t>
  </si>
  <si>
    <t>11. 1-Cureta Uterina Recamier, maleável, romba, 8 mm, com 26 com de comprimento;</t>
  </si>
  <si>
    <t>27-09227-05</t>
  </si>
  <si>
    <t>Cureta Uterina Recamier, maleável, romba, 5mm, 26cm</t>
  </si>
  <si>
    <t>10. 1-Cureta Uterina Recamier, maleável, romba, 5 mm, com 26 com de comprimento;</t>
  </si>
  <si>
    <t>FX.17.378</t>
  </si>
  <si>
    <t xml:space="preserve">Schroeder Colher Uterina, afiada, 13.0mm, 30cm </t>
  </si>
  <si>
    <t>9. 1-Cureta Schroeder, 13,8 mm (+/- 0,2mm), com 30 cm de comprimento;</t>
  </si>
  <si>
    <t>FX.17.377</t>
  </si>
  <si>
    <t xml:space="preserve">Schroeder Colher Uterina, afiada, 11.5mm, 30cm </t>
  </si>
  <si>
    <t>8. 1-Cureta Schroeder, 12 mm (+/- 0,2mm), com 30 cm de comprimento;</t>
  </si>
  <si>
    <t>FX.17.376</t>
  </si>
  <si>
    <t xml:space="preserve">Schroeder Colher Uterina, afiada, 10.0mm, 30cm </t>
  </si>
  <si>
    <t>7. 1-Cureta Schroeder, 10 mm (+/- 0,2mm), com 30 cm de comprimento;</t>
  </si>
  <si>
    <t>FX.17.375</t>
  </si>
  <si>
    <t xml:space="preserve">Schroeder Colher Uterina, afiada, 8.5mm, 30cm </t>
  </si>
  <si>
    <t>6. 1-Cureta Schroeder, 8 mm (+/- 0,2mm), com 30 cm de comprimento;</t>
  </si>
  <si>
    <t>FX.17.374</t>
  </si>
  <si>
    <t xml:space="preserve">Schroeder Colher Uterina, afiada, 6.8mm, 30cm </t>
  </si>
  <si>
    <t>5. 1-Cureta Schroeder, 6 mm (+/- 0,2mm), com 30 cm de comprimento;</t>
  </si>
  <si>
    <t>FX.17.708</t>
  </si>
  <si>
    <t xml:space="preserve">Wallich Colher para Aborto, rombo, 42cm </t>
  </si>
  <si>
    <t>4. 1-Colher Wallich, com 42 cm de comprimento;</t>
  </si>
  <si>
    <t>3. 1-Afastadror Breisky, de 130x30mm;</t>
  </si>
  <si>
    <t>FX.17.067</t>
  </si>
  <si>
    <t xml:space="preserve">Breisky Especulo, 130x35mm </t>
  </si>
  <si>
    <t>2. 1-Afastador Breisky, de 140x35mm;</t>
  </si>
  <si>
    <t>Subitem 8.1 - Caixa para Curetagem Uterina</t>
  </si>
  <si>
    <t>44. 1- Container sólido, com tampa de barreira, para armazenamento de todo conjunto</t>
  </si>
  <si>
    <t>43. 1-Cesto de Container;</t>
  </si>
  <si>
    <t>HB2670-89</t>
  </si>
  <si>
    <t>Tubo de sucção Frazier, revestido em preto, 9CH, 18cm</t>
  </si>
  <si>
    <t>42. 1-Tubo de Sução, com mandril, maleável, acabamento em preto para anti re</t>
  </si>
  <si>
    <t>41. 1-Tubo de Sucção Yanker, ponta removível, com 27 cm de comprimento;</t>
  </si>
  <si>
    <t>FX.18.175</t>
  </si>
  <si>
    <t>POTTS SMITH Tesoura Vascular serrilhada, 25°, 19cm, SuperCut, com Videa - TC</t>
  </si>
  <si>
    <t>40. 1-Tesoura Supercut Potts-Smith, serrilhada, Fina-fina, 25º, com 19cm de comp.</t>
  </si>
  <si>
    <t>FX.09.445</t>
  </si>
  <si>
    <t xml:space="preserve">Tesoura Metzenbaum- Baby, lâminas retas, finas com pontas rombas, 11.5cm </t>
  </si>
  <si>
    <t>39. 1-Tesoura de Dissecção, Baby Metzenbaum, Romba-romba, reta, serrilhada, com 11,5 cm</t>
  </si>
  <si>
    <t>38. 1-Tesoura de Dissecção, Baby Metzenbaum, Romba-romba, curva, com 11,5 cm de</t>
  </si>
  <si>
    <t>FX.09.449</t>
  </si>
  <si>
    <t xml:space="preserve">Tesoura Metzenbaum, lâminas retas, finas com pontas rombas, 14.5cm </t>
  </si>
  <si>
    <t>37. 1-Tesoura de Dissecçção Metzenbaum, Romba-romba, reta, com 14,5 cm de</t>
  </si>
  <si>
    <t>FX.09.450</t>
  </si>
  <si>
    <t xml:space="preserve">Tesoura Metzenbaum, lâminas curvas, finas com pontas rombas, 14.5cm </t>
  </si>
  <si>
    <t>36. 1-Tesoura de Dissecçção Metzenbaum, Romba-romba, curva, com 14,5 cm de</t>
  </si>
  <si>
    <t>35. 2-Porta Agulha Mayo Hegar, serrilhada, reta, com 18 cm de comprimento;</t>
  </si>
  <si>
    <t>34. 2-Porta Agulha Mayo Hegar, serrilhada, reta, com 16 cm de comprimento;</t>
  </si>
  <si>
    <t>FX.10.453</t>
  </si>
  <si>
    <t xml:space="preserve">Pinça Gemini, pontas curvas, finas e serrilhadas, 25cm </t>
  </si>
  <si>
    <t>33. 2-Pinça Gemini, com 25 cm de comprimento;</t>
  </si>
  <si>
    <t>32. 2-Pinça Mixter, com 15,5 cm de comprimento;</t>
  </si>
  <si>
    <t>FX.10.343</t>
  </si>
  <si>
    <t xml:space="preserve">Pinça Pean, reta, 14cm </t>
  </si>
  <si>
    <t>31. 1-Pinça Arterial Pean Murphy, com 14 cm de comprimento;</t>
  </si>
  <si>
    <t>30. 2-Pinça Ochsner Kocher, 1x2 dentes, reta, com 14 cm de comprimento;</t>
  </si>
  <si>
    <t>29. 2-Pinça Ochsner Kocher, 1x2 dentes, curva, com 14 cm de comprimento;</t>
  </si>
  <si>
    <t>28. 6-Pinça Arterial Kelly, reta, com 14 cm de comprimento;</t>
  </si>
  <si>
    <t>27. 6-Pinça Arterial Kelly, curva, com 14 cm de comprimento;</t>
  </si>
  <si>
    <t>26. 6-Pinça Arterial Halstead Mosquito, reta, com 12,5 cm de comprimento;</t>
  </si>
  <si>
    <t>25. 6-Pinça Arterial Halstead Mosquito, curva, com 12,5 cm de comprimento;</t>
  </si>
  <si>
    <t>24. 1-Pinça Foerster, serrilhada, curva, com 18 cm de comprimento;</t>
  </si>
  <si>
    <t>FX.13.908</t>
  </si>
  <si>
    <t xml:space="preserve">Pinça Anatômica De Bakey, pontas retas, finas com 1.5mm e serrilha atraumática, 20cm </t>
  </si>
  <si>
    <t>23. 2-Pinça Debakey Cardiovascular, atraumática, 1,5mm, com 20cm de comp;</t>
  </si>
  <si>
    <t>22. 1-Pinça Collin, com 16,5 cm de comprimento;</t>
  </si>
  <si>
    <t>21. 1-Pinça Cheron, com 25 cm de comprimento;</t>
  </si>
  <si>
    <t>20. 6-Pinça de Toalha Backhaus, com 13 cm de comprimento;</t>
  </si>
  <si>
    <t>FX.16.298</t>
  </si>
  <si>
    <t xml:space="preserve">Pinça Allis- Atrauma, pontas retas com serrilha atraumática, 20cm </t>
  </si>
  <si>
    <t>19. 2-Pinça Allis, atraumática, com 20 cm de comprimento;</t>
  </si>
  <si>
    <t>FX.16.297</t>
  </si>
  <si>
    <t xml:space="preserve">Pinça Allis- Atrauma, pontas retas com serrilha atraumática, 16cm </t>
  </si>
  <si>
    <t>18. 2-Pinça Allis, atraumática, com 16 cm de comprimento;</t>
  </si>
  <si>
    <t>17. 2-Pinça de Dissecção Dente de Rato, 1x2 dentes, com 18 cm de comprimento;</t>
  </si>
  <si>
    <t>16. 2-Pinça de Dissecção Dente de Rato, 1x2 dentes, com 16 cm de comprimento;</t>
  </si>
  <si>
    <t>15. 2-Pinça de Dissecção Anatômica, serrilhada, fina, delicada, com 16 cm de</t>
  </si>
  <si>
    <t>14. 2-Pinça de Dissecção Anatômica, serrilhada, com 18 cm de comprimento;</t>
  </si>
  <si>
    <t>12. 1-Pinça de Dissecção Adson, 1x2, dentes, com 12 cm de comprimento;</t>
  </si>
  <si>
    <t>11. 1-Espátula Reverdin, com 29 cm de comprimento;</t>
  </si>
  <si>
    <t>10. 2-Cabo de Bisturi nº4, graduado, com 13,7 cm de comprimento;</t>
  </si>
  <si>
    <t>FX.09.159</t>
  </si>
  <si>
    <t xml:space="preserve">Cabo de Bisturi  #7K 12.5cm </t>
  </si>
  <si>
    <t>9. 2-Cabo de Bisturi n°7;</t>
  </si>
  <si>
    <t>Alicate para fio de aço, reto, 7x5 mm, com vídea, 12 cm</t>
  </si>
  <si>
    <t>8. 1-Alicate para fio de aço, reto, 7x5 mm, com vídea, com 12 cm de comprimento;</t>
  </si>
  <si>
    <t xml:space="preserve">Doyen Especulo Vaginal, 75x45mm </t>
  </si>
  <si>
    <t>7. 2-Afastador Doyen, lâmina de 75x45 mm;</t>
  </si>
  <si>
    <t>FX.14.446</t>
  </si>
  <si>
    <t xml:space="preserve">Finochietto-Baby, Afastador de Costelas, 15x15x75mm </t>
  </si>
  <si>
    <t>6. 1-Afastador Finochietto Baby Haight, 15x15, com 75 mm de comprimento;</t>
  </si>
  <si>
    <t>FX.14.461</t>
  </si>
  <si>
    <t xml:space="preserve">Finochietto Afastador de Costelas, 38x44mm, 135mm </t>
  </si>
  <si>
    <t>5. 1-Afastador Finochietto, 38x44, com 135 mm de comprimento;</t>
  </si>
  <si>
    <t>4. 2-Afastador Weitlaner, 3x4 dentes, delicado, rombo, com 16,5 cm de comprimento;</t>
  </si>
  <si>
    <t>Subitem 7.2 - Caixa para Toracotomia Infantil</t>
  </si>
  <si>
    <t>41. 1- Container sólido, com tampa de barreira, para armazenamento de todo conjunto</t>
  </si>
  <si>
    <t>40. 1-Cesto de Container;</t>
  </si>
  <si>
    <t>39. 2-Tesoura de Dissecção Metzembaum, Romba-Romba, curva, 30cm,</t>
  </si>
  <si>
    <t>38. 1-Tesoura de Dissecção Metzembaum, Romba-romba, curva, com 18 cm de</t>
  </si>
  <si>
    <t>FX.18.201</t>
  </si>
  <si>
    <t xml:space="preserve">Mayo Tesoura, reta, 19cm </t>
  </si>
  <si>
    <t>37. 1-Tesoura de Dissecção Mayo, Romba-romba, reta, com 19 cm;</t>
  </si>
  <si>
    <t>FX.18.205</t>
  </si>
  <si>
    <t xml:space="preserve">Mayo Tesoura, curva, 19cm </t>
  </si>
  <si>
    <t>36. 1-Tesoura de Dissecção Mayo, Romba-romba, curva, com 19 cm de comprimento;</t>
  </si>
  <si>
    <t>35. 1-Tesoura de Dissecção Metzembaum, Romba-romba, curva, com 20 cm de</t>
  </si>
  <si>
    <t>34. 1-Raspador Farabeuf, curvo, com 15 cm de comprimento;</t>
  </si>
  <si>
    <t>FX.13.122</t>
  </si>
  <si>
    <t xml:space="preserve">Lambotte Alavanca Periosteal, 10mm, 21cm </t>
  </si>
  <si>
    <t>33. 1-Raspador Lambotte, 10mm, com 21 cm de comprimento;</t>
  </si>
  <si>
    <t>FX.13.117</t>
  </si>
  <si>
    <t xml:space="preserve">Doyen Costal Periosteal, esquerda, adulto, 17cm </t>
  </si>
  <si>
    <t>32. 2-Raspador de Periósteo Doyen, curvado para esquerda, com 17 cm de comp.;</t>
  </si>
  <si>
    <t>31. 1-Raspador Farabeuf, reta, com 15 cm de comprimento;</t>
  </si>
  <si>
    <t>30. 1-Porta Agulha Mayo Hegar, serrilhada, reta, com 18 cm de comprimento;</t>
  </si>
  <si>
    <t>29. 2-Porta Agulha Mayo Hegar, serrilhada, reta, com vídea, com 24 cm de comprimento;</t>
  </si>
  <si>
    <t>28. 1-Porta Agulha Mayo Hegar, serrilhada, reta, com vídea, com 20 cm de comprimento;</t>
  </si>
  <si>
    <t>FX.09.962</t>
  </si>
  <si>
    <t xml:space="preserve">Pinça Anatômica Estreita, pontas retas, finas e serrilhadas, 30cm </t>
  </si>
  <si>
    <t>27. 2-Pinça Dissecção Anatomica, Serrilhada, fina e Delicada, 30cm,</t>
  </si>
  <si>
    <t>FX.16.330</t>
  </si>
  <si>
    <t xml:space="preserve">Pinça Duval, pontas retas com triangulos pequenos, fenestrados e serrilhados, 20cm </t>
  </si>
  <si>
    <t>26. 5-Pinça Atraumática Duval, com 20 cm de comprimento;</t>
  </si>
  <si>
    <t>FX.10.462</t>
  </si>
  <si>
    <t xml:space="preserve">Mixter Gall Bladder Pinça, curva, 23cm </t>
  </si>
  <si>
    <t>25. 2-Pinça Mixter Slim, com 23 cm de comprimento;</t>
  </si>
  <si>
    <t>FX.10.031</t>
  </si>
  <si>
    <t xml:space="preserve">Pinça Anatômica Standard, pontas retas, largas com 1x2 dentes, 30cm </t>
  </si>
  <si>
    <t>24. 1-Pinça de Dissecção Dente de Rato, 1x2 dentes, com 30 cm de comprimento;</t>
  </si>
  <si>
    <t xml:space="preserve">Pinça Anatômica Standard, pontas retas, largas e serrilhadas, 30cm </t>
  </si>
  <si>
    <t>23. 1-Pinça de Dissecção Anatômica, serrilhada, com 30 cm de comprimento;</t>
  </si>
  <si>
    <t>21. 6-Pinça Allis, 5x6 dentes, com 15 cm de comprimento;</t>
  </si>
  <si>
    <t>20. 10-Pinça Arterial Kelly Rankin, serrilhada, curva, com 16 cm de comprimento;</t>
  </si>
  <si>
    <t>19. 8-Pinça Arterial Halstead Mosquito, reta, com 12,5 cm de comprimento;</t>
  </si>
  <si>
    <t>18. 5-Pinça de Toalha Backhaus, com 13 cm de comprimento;</t>
  </si>
  <si>
    <t>17. 1-Pinça de Dissecção Anatômica, serrilhada, fina, delicada, com 16 cm de</t>
  </si>
  <si>
    <t>16. 1-Pinça Cheron, com 25 cm de comprimento;</t>
  </si>
  <si>
    <t>FX.16.334</t>
  </si>
  <si>
    <t xml:space="preserve">Pinça Duval, pontas retas com triangulos grandes, fenestrados e serrilhados, 23cm </t>
  </si>
  <si>
    <t>15. 2-Pinça para tecidos e órgãos Duval, com 25 cm de comprimento;</t>
  </si>
  <si>
    <t>Pinça Mixter, com 35 cm de comprimento</t>
  </si>
  <si>
    <t>14. 2-Pinça Mixter, com 35 cm de comprimento;</t>
  </si>
  <si>
    <t>13. 2-Pinça Foerster, serrilhada, reta, com 25 cm de comprimento;</t>
  </si>
  <si>
    <t>FX.10.719</t>
  </si>
  <si>
    <t xml:space="preserve">Pinça Foerster, pontas curvas com anéis fenestrados e serrilhados, 25cm </t>
  </si>
  <si>
    <t>12. 2-Pinça Foerster, serrilhada, curva, com 25 cm de comprimento;</t>
  </si>
  <si>
    <t>FX.10.718</t>
  </si>
  <si>
    <t xml:space="preserve">Pinça Foerster, pontas curvas com anéis fenestrados e serrilhados, 20cm </t>
  </si>
  <si>
    <t>11. 2-Pinça Foerster, serrilhada, curva, com 20 cm de comprimento;</t>
  </si>
  <si>
    <t>FX.12.895</t>
  </si>
  <si>
    <t xml:space="preserve">Lambotte Osteotomo Ósseo, reto, 25mm 24cm </t>
  </si>
  <si>
    <t>10. 1-Cinzel Lambotte, 25mm, com 24 cm de comprimento;</t>
  </si>
  <si>
    <t>FX.14.394</t>
  </si>
  <si>
    <t>Costótomo de Collin, curva, 22cm</t>
  </si>
  <si>
    <t>9. 1-Costótomo de Collin, curva, com 22 cm de comprimento;</t>
  </si>
  <si>
    <t>FX.14.557</t>
  </si>
  <si>
    <t>Semb Pinça Ligadura, curva acentuada, 24cm</t>
  </si>
  <si>
    <t>8. 1- Clamp Cardiovascular Semb, angulado, com 24 cm de comprimento;</t>
  </si>
  <si>
    <t>FX.09.156</t>
  </si>
  <si>
    <t>7. 1-Cabo de bisturi n.°4;</t>
  </si>
  <si>
    <t>FX.13.425</t>
  </si>
  <si>
    <t xml:space="preserve">Leksell Rugina Óssea, 5mm bite 23cm </t>
  </si>
  <si>
    <t>6. 1-Alicate Leksell, 4mm, com 24 cm de comprimento;</t>
  </si>
  <si>
    <t>FX.13.468</t>
  </si>
  <si>
    <t xml:space="preserve">Stille-Liston Pinça Corta Osso, angulado, 23cm </t>
  </si>
  <si>
    <t>5. 1-Alicate Stille Liston, curva, com 23 cm de comprimento;</t>
  </si>
  <si>
    <t>FX.14.466</t>
  </si>
  <si>
    <t xml:space="preserve">FINOCHIETTO Afastador de Costelas, 70x65x250mm </t>
  </si>
  <si>
    <t>4. 1-Afastador Finochietto,65X65mm, com 25 cm de comprimento;</t>
  </si>
  <si>
    <t>FX.11.248</t>
  </si>
  <si>
    <t xml:space="preserve">Afastador Adson, garras com dupla articulação e 3 x 4 dentes rombos, movimento por cremalheira, 26cm </t>
  </si>
  <si>
    <t>3. 1-Afastador Cone, rombo, com 25 cm de comprimento;</t>
  </si>
  <si>
    <t>2. 2-Afastador Farabeuf, com 12 cm;</t>
  </si>
  <si>
    <t>Subitem 7.1 - Caixa para Cirurgia Toracotomia</t>
  </si>
  <si>
    <t>28. 1-Container sólido, com tampa de barreira, para armazenamento de todo conjunto</t>
  </si>
  <si>
    <t>27. 1-Cesto de Container;</t>
  </si>
  <si>
    <t>26. 1-Tesoura de Dissecção Metzenbaum, Romba-romba, curva, com 14,5 cm de</t>
  </si>
  <si>
    <t>25. 1-Tesoura de Dissecção Mayo Stille, Romba-romba, curva, com 15 cm de</t>
  </si>
  <si>
    <t>24. 1-Tesoura Íris, Fina-fina, reta, com 11,5 cm de comprimento;</t>
  </si>
  <si>
    <t>FX.11.910</t>
  </si>
  <si>
    <t xml:space="preserve">Porta Agulha Baby Crile-Wood, pontas com wídea TC, retas e muito finas, 15cm </t>
  </si>
  <si>
    <t>23. 2-Porta Agulha Micro Baby-Crile-Wood, com vídea, serrilhada, reta, com 15 cm de</t>
  </si>
  <si>
    <t>22. 2-Pinça Allis, 5x6 dentes, com 15 cm de comprimento;</t>
  </si>
  <si>
    <t>21. 2-Pinça Arterial Kelly, curva, com 14 cm de comprimento;</t>
  </si>
  <si>
    <t>20. 2-Pinça Arterial Kelly, reta, com 14 cm de comprimento;</t>
  </si>
  <si>
    <t>19. 4-Pinça Arterial Halstead Mosquito, curva, com 12,5cm de comprimento;</t>
  </si>
  <si>
    <t>18. 2-Pinça Arterial Halstead Mosquito, reta, com 12,5cm de comprimento;</t>
  </si>
  <si>
    <t>17. 2-Pinça de Dissecção Adson, serrilhada, com 12 cm de comprimento;</t>
  </si>
  <si>
    <t>16. 2-Pinça de Dissecção Adson, 1x2 dentes, com 12 cm de comprimento;</t>
  </si>
  <si>
    <t>15. 1-Pinça de Dissecção Dente de Rato, 1x2 dentes, com 14,5cm de comp.;</t>
  </si>
  <si>
    <t>14. 2-Pinça Dissecção Anatômica, serrilhada, fina, delicada, com 16cm de comp.;</t>
  </si>
  <si>
    <t>13. 6- Pinça de Toalha Backhaus, com 13 cm de comprimento;</t>
  </si>
  <si>
    <t>12. 1- Pinça Cheron, com 25 cm de comprimento;</t>
  </si>
  <si>
    <t>11. 2-Pinça schinidt, boettcher, curva, com 18cm de comprimento;</t>
  </si>
  <si>
    <t>10. 2-Pinça Babcock, com 20cm de comprimento;</t>
  </si>
  <si>
    <t xml:space="preserve">Mixter Gall Bladder Pinça, curva, 30cm </t>
  </si>
  <si>
    <t>9. 2-Pinça Mixter com 30 cm de comprimento;</t>
  </si>
  <si>
    <t>8. 1-Pinça Mixter com 24 cm de comprimento;</t>
  </si>
  <si>
    <t>Cuba 100x50mm</t>
  </si>
  <si>
    <t>7. 1-Cuba 100x50mm;</t>
  </si>
  <si>
    <t>6. 1-Cabo de bisturi. n.°4;</t>
  </si>
  <si>
    <t>5. 1-Cabo de Bisturi. n° 3;</t>
  </si>
  <si>
    <t>4. 2-Alfinete de Segurança Mayo para esterilização, reto, com 14cm de comp.;</t>
  </si>
  <si>
    <t>Doyen Especulo Vaginal, 45x55mm 24cm</t>
  </si>
  <si>
    <t>3. 1-Afastador Doyen, 45mm x55mm, com 24cm de comprimento;</t>
  </si>
  <si>
    <t>2. 1-Afastador farabeuf, par, 1,5cm x 15cm de comprimento;</t>
  </si>
  <si>
    <t>Subitem 6.2 - Caixa para Apendicectomia e Cistostomia</t>
  </si>
  <si>
    <t>47. 1-Container sólido, com tampa de barreira, para armazenamento de todo conjunto</t>
  </si>
  <si>
    <t>46. 1-Cesto de Container;</t>
  </si>
  <si>
    <t>45. 1-Tesoura de Dissecção Metzembaum, Romba-romba, curva, 23cm de comp.;</t>
  </si>
  <si>
    <t>44. 1-Tesoura de Dissecção Metzembaum, Romba-romba, curva, 18cm de comp.;</t>
  </si>
  <si>
    <t>43. 1-Tesoura de Dissecção Mayo, Romba-romba, reta com 17cm de comp.;</t>
  </si>
  <si>
    <t>42. 1-Tesoura de Dissecção Mayo, Romba-romba, curva com 17cm de comp.;</t>
  </si>
  <si>
    <t>41. 1-Porta Agulha Mayo Hegar, serrilhada, reta, com vídea, com 18cm de comp.;</t>
  </si>
  <si>
    <t>40. 1-Porta Agulha Mayo Hegar, serrilhada, reta, com vídea, com 26cm de comp.;</t>
  </si>
  <si>
    <t>39. 1-Porta Agulha Mayo Hegar, serrilhada, reta, com vídea, com 20cm de comp.;</t>
  </si>
  <si>
    <t>38. 1-Porta Agulha Mayo Hegar, serrilhada, reta, com vídea, com 16cm de comp.;</t>
  </si>
  <si>
    <t>37. 2-Pinça Rochester Pean, reta, com 22 cm de comprimento;</t>
  </si>
  <si>
    <t>FX.10.372</t>
  </si>
  <si>
    <t xml:space="preserve">Pinça Rochester-Pean, pontas curvas e serrilhadas, 22cm </t>
  </si>
  <si>
    <t>36. 2-Pinça Rochester Pean, curva, com 22 cm de comprimento;</t>
  </si>
  <si>
    <t>FX.16.516</t>
  </si>
  <si>
    <t xml:space="preserve">Randal Pinça para pedra no Rim, 23cm, 5mm </t>
  </si>
  <si>
    <t>35. 1-Pinça Randall, serrilhada, com 23 cm de comprimento;</t>
  </si>
  <si>
    <t>34. 4-Pinça Ochsner Kocher, 1x2 dentes, reta, com 18 cm de comprimento;</t>
  </si>
  <si>
    <t>33. 4-Pinça Ochsner Kocher, 1x2 dentes, curva, com 18 cm de comprimento;</t>
  </si>
  <si>
    <t>32. 4-Pinça Moynihan, curva, com 23 cm de comprimento;</t>
  </si>
  <si>
    <t>31. 4-Pinça Mixter Slim, com 23 cm de comprimento;</t>
  </si>
  <si>
    <t>30. 4-Pinça Arterial Halstead Mosquito, reta, com 12,5 cm de comprimento;</t>
  </si>
  <si>
    <t>29. 4-Pinça Arterial Halstead Mosquito, curva, com 12,5 cm de comprimento;</t>
  </si>
  <si>
    <t>Pinça Greys, com 23 cm de comprimento</t>
  </si>
  <si>
    <t>28. 1-Pinça Greys, com 23 cm de comprimento;</t>
  </si>
  <si>
    <t>27. 2-Pinça Foerster, lisa, reta, com 25 cm de comprimento;</t>
  </si>
  <si>
    <t>FX.10.712</t>
  </si>
  <si>
    <t xml:space="preserve">Pinça Foerster, pontas curvas com anéis fenestrados sem serrilha, 20cm </t>
  </si>
  <si>
    <t>26. 1-Pinça Foerster, lisa, curva, com 20 cm de comprimento;</t>
  </si>
  <si>
    <t>25. 1-Pinça de Dissecção Anatômica, serrilhada, com 18 cm de comprimento;</t>
  </si>
  <si>
    <t>FX.10.523</t>
  </si>
  <si>
    <t xml:space="preserve">Desjardins Clamp para Duto Biliar, curva, 21cm </t>
  </si>
  <si>
    <t>24. 2-Pinça Desjardins, 21 cm de comprimento;</t>
  </si>
  <si>
    <t>23. 1-Pinça de Dissecção Dente de Rato, 1x2 dentes, com 25 cm de comprimento;</t>
  </si>
  <si>
    <t>22. 1-Pinça de Dissecção Dente de Rato, 1x2 dentes, com 20 cm de comprimento;</t>
  </si>
  <si>
    <t>21. 1-Pinça de Dissecção Dente de Rato, 1x2 dentes, com 18 cm de comprimento;</t>
  </si>
  <si>
    <t>20. 1-Pinça de Dissecção Adson, 1x2 dentes, com 12 cm de comprimento;</t>
  </si>
  <si>
    <t>FX.18.374</t>
  </si>
  <si>
    <t xml:space="preserve">Crile Rankin Pinça Hemostatica, reta, 16cm </t>
  </si>
  <si>
    <t>19. 6-Pinça Crille Rankin, reta, com 16 cm de comprimento;</t>
  </si>
  <si>
    <t>18. 6-Pinça Crille Rankin, curva, com 16 cm de comprimento;</t>
  </si>
  <si>
    <t>17. 2-Pinça Collin, com 16 cm de comprimento;</t>
  </si>
  <si>
    <t>15. 8-Pinça de Toalha Backhaus, com 13 cm de comprimento;</t>
  </si>
  <si>
    <t>14. 4-Pinça Allis, atraumática, com 20 cm de comprimento;</t>
  </si>
  <si>
    <t>13. 4-Pinça Allis, atraumática, com 16 cm de comprimento;</t>
  </si>
  <si>
    <t>12. 1-Pinça de Dissecção Anatômica, serrilhada, 25 cm de comprimento;</t>
  </si>
  <si>
    <t>11. 1-Pinça de Dissecção Anatômica, serrilhada, com 20 cm de comprimento;</t>
  </si>
  <si>
    <t>FX.11.137</t>
  </si>
  <si>
    <t xml:space="preserve">Ribbon Afastador, 40x330mm </t>
  </si>
  <si>
    <t>10. 1-Espátula Maleável, lâmina de 40mm, com 33 cm de comprimento;</t>
  </si>
  <si>
    <t>FX.11.136</t>
  </si>
  <si>
    <t xml:space="preserve">Ribbon Afastador, 30x330mm </t>
  </si>
  <si>
    <t>9. 1-Espátula Maleável, lâmina de 30mm, com 33 cm de comprimento;</t>
  </si>
  <si>
    <t>8. 1-Cabo de Bisturi, nº 4 graduado, com 13,5 cm de comprimento;</t>
  </si>
  <si>
    <t>7. 1-Cabo de Bisturi, nº 3 graduado, com 12 cm de comprimento;</t>
  </si>
  <si>
    <t>FX.10.954</t>
  </si>
  <si>
    <t>Afastador Lahey, lâmina de dimensões de 28mm x 6mm, cabo vertical, 19cm</t>
  </si>
  <si>
    <t>6. 2-Afastador Lahey, lâmina de 28x6mm, com 19 cm de comprimento;</t>
  </si>
  <si>
    <t>5. 1-Afastador Doyen,lâmina de 85x45mm;</t>
  </si>
  <si>
    <t>4. 1-Afastador Doyen, lâmina de 75x45mm;</t>
  </si>
  <si>
    <t>3. 1-Afastador Doyen, lâmina de 115x45mm;</t>
  </si>
  <si>
    <t>2. 4-Afastador Farabeuf, com 15 cm de comprimento;</t>
  </si>
  <si>
    <t>Subitem 6.1 - Caixa para Colecistectomia</t>
  </si>
  <si>
    <t>Placa de Identificação propria para a base de container, em aluminio na cor  azul</t>
  </si>
  <si>
    <t>52. 1-Container sólido, com tampa de barreira, para armazenamento de todo conjunto</t>
  </si>
  <si>
    <t>FX.61.220</t>
  </si>
  <si>
    <t>Cesto aramado compatível com box tamanho 3/4, com pés, dimensões 405x252x110 mm</t>
  </si>
  <si>
    <t>51. 1-Cesto de Container;</t>
  </si>
  <si>
    <t xml:space="preserve">Frazier/McGuckin Canula de Sucção, 12.FG, 4.0mm, 45°, 19cm </t>
  </si>
  <si>
    <t>50. 1-Tubo de Succção Frazier, de 45°, 190 mm, 12 CH;</t>
  </si>
  <si>
    <t xml:space="preserve">Frazier/McGuckin Canula de Sucção, 9.FG, 3.0mm, 45°, 19cm </t>
  </si>
  <si>
    <t>49. 1-Tubo de Succção Frazier, de 45°, 190 mm, 9 CH;</t>
  </si>
  <si>
    <t>FX.08.949</t>
  </si>
  <si>
    <t xml:space="preserve">Frazier/McGuckin Canula de Sucção, 6.FG, 2.0mm, 45°, 19cm </t>
  </si>
  <si>
    <t>48. 1-Tubo de Succção Frazier, de 45°, 190 mm, 6 CH;</t>
  </si>
  <si>
    <t>47. 1-Tesoura de Dissecção Metzenbaum, Romba-romba, curva, com 18 cm</t>
  </si>
  <si>
    <t>FX.09.459</t>
  </si>
  <si>
    <t xml:space="preserve">Tesoura Metzenbaum- Fine, lâminas retas, finas com pontas rombas, 18cm </t>
  </si>
  <si>
    <t>46. 1-Tesoura de Dissecção Metzenbaum, Fina,Romba-Romba, reta, com 18 cm de</t>
  </si>
  <si>
    <t xml:space="preserve">Rugina Lambotte Alavanca Periosteal, 15mm, 21cm </t>
  </si>
  <si>
    <t>45. 1-Rugina Lambote, 15mm;</t>
  </si>
  <si>
    <t>44. 1-Porta agulha delicado, Ryder, com 18cm de comprimento;</t>
  </si>
  <si>
    <t>FX.12.022</t>
  </si>
  <si>
    <t>DeBakey Porta Agulha, fino, 18cm, com videa - TC</t>
  </si>
  <si>
    <t>43. 1-Porta agulha delicado, De Bakey, com 18cm de comprimento;</t>
  </si>
  <si>
    <t>42. 2-Porta Agulha Mayo Hegar, serrilhada, reta,com 16 cm de comprimento</t>
  </si>
  <si>
    <t>FX.13.430</t>
  </si>
  <si>
    <t>Stille Ruskin Rugina Óssea, reta,  23cm  8mm</t>
  </si>
  <si>
    <t>41. 1-Pinça Óssea Stille Ruskin, de 8mm, com 23 cm de comprimento;</t>
  </si>
  <si>
    <t>FX.10.398</t>
  </si>
  <si>
    <t xml:space="preserve">Pinça Kocher, pontas retas com 1x2 dentes, finas e serrilhadas, 14cm </t>
  </si>
  <si>
    <t>40. 5-Pinça Arterial Kocher, 1x2 dentes, delicada. reta, com 14 cm de comprimento;</t>
  </si>
  <si>
    <t>39. 10-Pinça Arterial Micro Mosquito, serrilhada, curva, com 12 cm de comprimento;</t>
  </si>
  <si>
    <t>38. 10-Pinça Arterial Micro Mosquito, serrilhada, reta, com 12 cm de comprimento;</t>
  </si>
  <si>
    <t>37. 10-Pinça de Toalha Backhaus, com 13 cm de comprimento;</t>
  </si>
  <si>
    <t>FX.16.285</t>
  </si>
  <si>
    <t xml:space="preserve">Pinça Allis, pontas retas, finas com 4 x 5 dentes, 15cm </t>
  </si>
  <si>
    <t>36. 3-Pinça Allis, 4x3 dentes, com 15 cm de comprimento;</t>
  </si>
  <si>
    <t>35. 2-Pinça de Dissecção, Dente de Rato, 1x2 dentes, com 18 cm de comprimento;</t>
  </si>
  <si>
    <t>34. 2-Pinça de Dissecção Anatômica, serrilhada, com 18 cm de comprimento,</t>
  </si>
  <si>
    <t>FX.10.116</t>
  </si>
  <si>
    <t>Pinça Anatômica Adson, pontas retas, finas com 1x2 dentes, 15cm</t>
  </si>
  <si>
    <t>33. 1-Pinça de Dissecção Adson, 1x2, com 15 cm de comprimento;</t>
  </si>
  <si>
    <t>FX.09.991</t>
  </si>
  <si>
    <t xml:space="preserve">Pinça Anatômica Adson, pontas retas, finas e serrilhadas, 15cm </t>
  </si>
  <si>
    <t>32. 1-Pinça de Dissecção Adson, serrilhada, com 15 cm de comprimento;</t>
  </si>
  <si>
    <t>FX.10.306</t>
  </si>
  <si>
    <t xml:space="preserve">Pinça Dandy, pontas curvas laterais, finas e serrilhadas, 14cm </t>
  </si>
  <si>
    <t>31. 20-Pinças hemostáticas, Dandy, com 14cm de comprimento;</t>
  </si>
  <si>
    <t>HB1483-04</t>
  </si>
  <si>
    <t xml:space="preserve">Ferris Smith Kerrison Punch, para cima, 3mm 18cm, 45° </t>
  </si>
  <si>
    <t>30. 1-Pinça para Disco Invertebral, Ferris-Smith Kerrison, corte para cima,45° de 4mm, 20CM</t>
  </si>
  <si>
    <t>HB1483-02</t>
  </si>
  <si>
    <t xml:space="preserve">Ferris Smith Kerrison Punch, para cima, 2mm 18cm, 45° </t>
  </si>
  <si>
    <t>29. 1-Pinça para Disco Invertebral, Ferris-Smith Kerrison, corte para cima,45°, de 2mm, 20CM</t>
  </si>
  <si>
    <t>Pinça Ruskin, Stile, com 23cm</t>
  </si>
  <si>
    <t>28. 1-Pinça Ruskin, Stile, com 23cm de comprimento;</t>
  </si>
  <si>
    <t>13-921-24</t>
  </si>
  <si>
    <t>Pinça Ruskin, Roettgen, 24cm</t>
  </si>
  <si>
    <t>27. 1-Pinça Ruskin, Roettgen, com 24cm de comprimento;</t>
  </si>
  <si>
    <t xml:space="preserve">Ruskin Rugina Óssea, curva, 23cm </t>
  </si>
  <si>
    <t>26. 1-Pinça Ruskin, curva, com 23cm de comprimento;</t>
  </si>
  <si>
    <t>FX.13.418</t>
  </si>
  <si>
    <t xml:space="preserve">Ruskin Rugina Óssea, reta, 23cm </t>
  </si>
  <si>
    <t>25. 1-Pinça Ruskin, reta, com 23cm de comprimento;</t>
  </si>
  <si>
    <t>FX.13.417</t>
  </si>
  <si>
    <t xml:space="preserve">Ruskin Rugina Óssea, curva, 18cm </t>
  </si>
  <si>
    <t>24. 1-Pinça Ruskin, curva, com 19cm de comprimento;</t>
  </si>
  <si>
    <t>FX.13.416</t>
  </si>
  <si>
    <t xml:space="preserve">Ruskin Rugina Óssea, reta, 18cm </t>
  </si>
  <si>
    <t>23. 1-Pinça Ruskin, reta, com 19cm de comprimento;</t>
  </si>
  <si>
    <t>FX.10.013</t>
  </si>
  <si>
    <t xml:space="preserve">Pinça Anatômica Taylor, baioneta, pontas retas, finas e serrilhadas, pino guia, 18.5cm </t>
  </si>
  <si>
    <t>22. 1-Pinça baioneta, taylor, com 18,5cm de comprimento;</t>
  </si>
  <si>
    <t>FX.13.583</t>
  </si>
  <si>
    <t>Penfield Cureta e Elevador Dura, duplo, 17.5cm</t>
  </si>
  <si>
    <t>21. 1-Elevador para Dura Penfield, duplo, com ponta redonda de 4mm, a outra em formato de colher de 6mm, com 17,5 cm de comprimento</t>
  </si>
  <si>
    <t>FX.13.595</t>
  </si>
  <si>
    <t>Frazier Hoen Dissector Dura, 15cm  90º</t>
  </si>
  <si>
    <t>20. 1-Elevador Hoen, angulado 90º, com 15cm de comprimento;</t>
  </si>
  <si>
    <t>FX.11.147</t>
  </si>
  <si>
    <t xml:space="preserve">Ribbon Afastador, maleavel, 25x200mm </t>
  </si>
  <si>
    <t>19. 1-Espátula maleável 200x250mm;</t>
  </si>
  <si>
    <t>FX.11.146</t>
  </si>
  <si>
    <t xml:space="preserve">Ribbon Afastador, maleavel, 20x200mm </t>
  </si>
  <si>
    <t>18. 1-Espátula Maleável 200x200mm;</t>
  </si>
  <si>
    <t>17. 1-Espátula maleável 200x150mm;</t>
  </si>
  <si>
    <t>FX.11.143</t>
  </si>
  <si>
    <t xml:space="preserve">Ribbon Afastador, maleavel, 9x200mm </t>
  </si>
  <si>
    <t>16. 1-Espátula maleável 200x100mm;</t>
  </si>
  <si>
    <t>FX.13.587</t>
  </si>
  <si>
    <t>Penfield Dissector Dura, 29cm</t>
  </si>
  <si>
    <t>15. 1-Dissecador para Dura Penfield, duplo, com pontas curvas, em formato de colher uma de 4mm, e a outra com 6 mm, com 29 cm de comprimento</t>
  </si>
  <si>
    <t>FX.13.585</t>
  </si>
  <si>
    <t>Penfield Cureta e Dissector Dura, 17.5cm</t>
  </si>
  <si>
    <t>14. 1-Dissecador para Dura Penfield, duplo, com 1 ponta redonda de 2mm curva, a outra em formato de colher curva, de 60º, com 6mm, com 19,5 cm de comprimento</t>
  </si>
  <si>
    <t>FX.13.581</t>
  </si>
  <si>
    <t xml:space="preserve">Toennis Dissector Dura, 25cm </t>
  </si>
  <si>
    <t>13. 1-Dissector, Toenis, com 25cm de comprimento;</t>
  </si>
  <si>
    <t>FX.13.582</t>
  </si>
  <si>
    <t xml:space="preserve">Dissector Dura, 22cm </t>
  </si>
  <si>
    <t>12. 1-Dissector, com 22cm de comprimento;</t>
  </si>
  <si>
    <t>FX.12.755</t>
  </si>
  <si>
    <t xml:space="preserve">Jansen Osteotomo Ósseo, 12mm, 13.5cm </t>
  </si>
  <si>
    <t>11. 1-Cinzel Ósseo, 12mm, com 13,5 cm de comprimento;</t>
  </si>
  <si>
    <t>Cureta Óssea Bruns, 8mm, 17cm</t>
  </si>
  <si>
    <t>10. 1-Cureta Óssea Bruns, 8mm, com 17 cm de comprimento;</t>
  </si>
  <si>
    <t>FX.13.038</t>
  </si>
  <si>
    <t>Cureta Óssea Bruns, 6mm, 17cm</t>
  </si>
  <si>
    <t>9. 1-Cureta Óssea Bruns, 6mm, com 17 cm de comprimento;</t>
  </si>
  <si>
    <t>FX.13.039</t>
  </si>
  <si>
    <t>Cureta Óssea Bruns, 5mm, 17cm</t>
  </si>
  <si>
    <t>8. 1-Cureta Óssea Bruns, 5mm, com 17 cm de comprimento;</t>
  </si>
  <si>
    <t>FX.13.040</t>
  </si>
  <si>
    <t>Cureta Óssea Bruns, 4mm, 17cm</t>
  </si>
  <si>
    <t>7. 1-Cureta Óssea Bruns, 4mm, com 17 cm de comprimento;</t>
  </si>
  <si>
    <t>6. 1-Cabo de bisturi n.4;</t>
  </si>
  <si>
    <t>4. 2-Afastador Jansen, 3x3 dentes rombos, com 10 cm de comprimento;</t>
  </si>
  <si>
    <t>FX.11.186</t>
  </si>
  <si>
    <t xml:space="preserve">Afastador Weitlaner-Loktite, garras  com2 x 3 dentes agudos, movimento por cremalheira, 10.5cm </t>
  </si>
  <si>
    <t>3. 1-Afastador Weitlaner Loktite, 2x3 dentes afiados, com 10,5 cm de comprimento;</t>
  </si>
  <si>
    <t>Subitem 5.3 - Caixa Básica para Neurocirurgia</t>
  </si>
  <si>
    <t>89. 1-Container sólido, com tampa de barreira, para armazenamento de todo conjunto</t>
  </si>
  <si>
    <t>88. 1-Cesto de Container;</t>
  </si>
  <si>
    <t>HB2670-75</t>
  </si>
  <si>
    <t xml:space="preserve">Canula de Sucção Frazier, 15.FG, 5.0mm, 45°, 20cm </t>
  </si>
  <si>
    <t>87. 1-Tubo de Sucção Frazier,de 45°, 5 mm de diâmetro, (15 CH);</t>
  </si>
  <si>
    <t>86. 1-Tubo de Sucção Frazier,de 45°, 190 mm, 4 mm de diâmetro (12 CH);</t>
  </si>
  <si>
    <t>85. 1-Tubo de Sucção Frazier,de 45°, 190 mm, 3 mm de diâmetro (9 CH);</t>
  </si>
  <si>
    <t xml:space="preserve">Canula de Sucção Frazier, 6.FG, 2.0mm, 45°, 19cm </t>
  </si>
  <si>
    <t>84. 1-Tubo de Sucção Frazier,de 45°, 190 mm, 2mm diâmetro (6 CH)- ;</t>
  </si>
  <si>
    <t>83. 1-Tesoura de Dissecção Metzenbaum, Romba-romba, delicada, reta, com 14,5 cm</t>
  </si>
  <si>
    <t>82. 2-Tesoura de Dissecção Metzenbaum, Romba-romba, curva, com 18 cm</t>
  </si>
  <si>
    <t>81. 1-Tesoura de Dissecção Metzenbaum, Romba-romba, delicada, curva, com 14,5 cm</t>
  </si>
  <si>
    <t>FX.09.814</t>
  </si>
  <si>
    <t xml:space="preserve">Tesoura De Bakey, lâminas com wídea TC,  muito finas, anguladas em 60º e com pontas agudas, 19cm </t>
  </si>
  <si>
    <t>80. 1-Tesoura Vascular Pott-Smith, Fina-fina, ângulo de 60°, com vídea, com 19 cm de</t>
  </si>
  <si>
    <t>79. 1-Tesoura de Dissecção Metzenbaum, Romba-romba, reta, com 18 cm de</t>
  </si>
  <si>
    <t>05-454-17</t>
  </si>
  <si>
    <t>Tesoura Neurocirúrgica Fulton 17cm</t>
  </si>
  <si>
    <t>78. 1-Tesoura Fulton, com 17 cm de comprimento;</t>
  </si>
  <si>
    <t>77. 1-Tesoura de Dissecção Metzenbaum, Romba-romba, curva, com 14 cm de</t>
  </si>
  <si>
    <t>76. 1-Tesoura de Dissecção Metzenbaum, Romba-romba, curva com 14,5 cm de</t>
  </si>
  <si>
    <t>75. 1-Rugina, lambote com 15cm;</t>
  </si>
  <si>
    <t>HB1481-25</t>
  </si>
  <si>
    <t>Rugina de disco intervertebral Ferris-Smith-Kerrison, corte de 90° para cima, 5mm, 23cm</t>
  </si>
  <si>
    <t>74. 1-Rugina para Disco Invertebral Ferris-Smith Kerrison, corte de 90° para cima, 5mm 23CM</t>
  </si>
  <si>
    <t>HB1481-24</t>
  </si>
  <si>
    <t>Rugina de disco intervertebral Ferris-Smith-Kerrison, corte de 90° para cima, 4mm, 23cm</t>
  </si>
  <si>
    <t>73. 1-Rugina para Disco Invertebral Ferris-Smith Kerrison, corte de 90° para cima, 4mm 23CM</t>
  </si>
  <si>
    <t>HB1481-23</t>
  </si>
  <si>
    <t>Rugina de disco intervertebral Ferris-Smith-Kerrison, corte de 90° para cima, 3mm, 23cm</t>
  </si>
  <si>
    <t>72. 1-Rugina para Disco Invertebral Ferris-Smith Kerrison, corte de 90° para cima, 3mm, 23CM</t>
  </si>
  <si>
    <t>FX.13.124</t>
  </si>
  <si>
    <t xml:space="preserve">Raspador Lambotte Alavanca Periosteal, 20mm, 21cm </t>
  </si>
  <si>
    <t>71. 1-Raspador Lambotte, de 20mm, com 21 cm de comprimento;</t>
  </si>
  <si>
    <t xml:space="preserve">Raspador Lambotte Alavanca Periosteal, 15mm, 21cm </t>
  </si>
  <si>
    <t>70. 1-Raspador Lambotte, de 15 mm, com 21 cm de comprimento;</t>
  </si>
  <si>
    <t>69. 2-Porta Agulha Mayo Hegar, serrilhada, reta,com 18 cm de comprimento;</t>
  </si>
  <si>
    <t>68. 2-Porta Agulha Mayo Hegar, serrilhada, reta,com 16 cm de comprimento;</t>
  </si>
  <si>
    <t>67. 1-Porta Agulha Mayo Hegar, serrilhada, reta, com vídea, com 16 cm;</t>
  </si>
  <si>
    <t>66. 1-Porta Agulha Mayo Hegar, com 14 cm de comprimento;</t>
  </si>
  <si>
    <t>FX.13.434</t>
  </si>
  <si>
    <t xml:space="preserve">Pinça Stille Luer Rugina Óssea, curva, 22cm </t>
  </si>
  <si>
    <t>65. 1-Pinça Óssea Stille Luer, curva, de 10 mm, com 22 cm de comprimento;</t>
  </si>
  <si>
    <t>64. 5-Pinça Kocher, 1x2 dentes, delicada, reta, com 14 cm;</t>
  </si>
  <si>
    <t>63. 1-Pinça Cheron, com 25 cm de comprimento;</t>
  </si>
  <si>
    <t>62. 10-Pinça de Toalha Backhaus, com 13 cm de comprimento;</t>
  </si>
  <si>
    <t>61. 3-Pinça Allis 4x5 dentes, com 15 comprimento;</t>
  </si>
  <si>
    <t>60. 2-Pinça de Dissecção Dente de Rato, 1x2 dentes, com 18 cm de comprimento;</t>
  </si>
  <si>
    <t>59. 2-Pinça de Dissecção Anatômica, serrilhada, com 18 cm de comprimento;</t>
  </si>
  <si>
    <t>06-146-12</t>
  </si>
  <si>
    <t>Pinça de Tecido Ewald Hudson, 1x2 dentes, 12cm</t>
  </si>
  <si>
    <t>58. 1-Pinça de Tecido Ewald Hudson, 1x2 dentes, com 12 cm de comprimento;</t>
  </si>
  <si>
    <t>57. 1-Pinça de Dissecção Adson, serrilhada, com 15 cm de comprimento;</t>
  </si>
  <si>
    <t>HB1483-05</t>
  </si>
  <si>
    <t xml:space="preserve">Ferris Smith Kerrison Punch, para cima, 5mm, 18cm, 40° </t>
  </si>
  <si>
    <t>56. 1-Pinça para Disco Invertebral, Ferris-Smith Kerrison, corte de 40° para cima, de 5mm, com 20 cm de comprimento</t>
  </si>
  <si>
    <t>55. 20-Pinça hemostáticas, Dandy, com 14cm;</t>
  </si>
  <si>
    <t>HB1481-05</t>
  </si>
  <si>
    <t xml:space="preserve">Ferris Smith Kerrison Punch para cima, 5mm, 18cm </t>
  </si>
  <si>
    <t>54. 1-Pinça para Disco Invertebral, Ferris-Smith Kerrison, corte para cima, de 5 mm,20CM</t>
  </si>
  <si>
    <t>HB1481-03</t>
  </si>
  <si>
    <t xml:space="preserve">Ferris Smith Kerrison Punch para cima, 3mm, 18cm </t>
  </si>
  <si>
    <t>53. 1-Pinça para Disco Invertebral, Ferris-Smith Kerrison, corte para cima, de 3mm, com 20CM</t>
  </si>
  <si>
    <t>52. 5-Pinça Arterial Kelly Rankin, reta, serrilhada, com 16 cm de comprimento;</t>
  </si>
  <si>
    <t>51. 5-Pinça Arterial Kelly, reta, com 14 cm de comprimento;</t>
  </si>
  <si>
    <t>50. 5-Pinça Arterial Kelly Rankin, serrilhada, curva, com 16 cm de comprimento;</t>
  </si>
  <si>
    <t>49. 5-Pinça Arterial Kelly, curva, com 14 cm de comprimento;</t>
  </si>
  <si>
    <t>15-04183-20</t>
  </si>
  <si>
    <t>Pinça Jansen, 1x2 dentes, cabo Baioneta, com 20cm</t>
  </si>
  <si>
    <t>48. 1-Pinça Jansen, 1x2 dentes, cabo Baioneta, com 20 cm de comprimento;</t>
  </si>
  <si>
    <t>15-04183-18</t>
  </si>
  <si>
    <t>Pinça Jansen, 1x2 dentes, cabo Baioneta, com 18cm</t>
  </si>
  <si>
    <t>47. 1-Pinça Jansen, 1x2 dentes, cabo Baioneta, com 18 cm de comprimento;</t>
  </si>
  <si>
    <t>46. 6-Pinça de Toalha Backhaus, com 13 cm de comprimento;</t>
  </si>
  <si>
    <t>FX.13.692</t>
  </si>
  <si>
    <t xml:space="preserve">Ferris Smith Kerrison Punch, para cima, 3mm 18cm, 40° </t>
  </si>
  <si>
    <t>45. 2-Pinça para Disco Invertebral, Ferris-Smith Kerrison, corte de 40° para cima, de 3mm, com 18 cm de comprimento</t>
  </si>
  <si>
    <t>FX.13.691</t>
  </si>
  <si>
    <t xml:space="preserve">Ferris Smith Kerrison Punch, para cima, 2mm 18cm, 40° </t>
  </si>
  <si>
    <t>44. 1-Pinça para Disco Invertebral, Ferris-Smith Kerrison, corte de 40° para cima, de 2mm, com 18 cm de comprimento</t>
  </si>
  <si>
    <t>43. 1-Pinça Cheron, com 25 cm de comprimento;</t>
  </si>
  <si>
    <t>FX.10.135</t>
  </si>
  <si>
    <t xml:space="preserve">Micro Pinça Yasargill, baioneta, pontas retas com conchas fenestradas serrilhadas de 3mm, 22cm </t>
  </si>
  <si>
    <t>42. 2-Pinça para Tumor Yasargil, cabo Baioneta, com ponta tipo colher, serrilhada, 3mm com 22cm de comprimento</t>
  </si>
  <si>
    <t>41. 2-Pinça de Dissecção Dente de Rato, 1x2 dentes, com 16 cm de comprimento;</t>
  </si>
  <si>
    <t>40. 2-Pinça de Dissecção Anatômica, serrilhada, fina, delicada, com 16 cm de</t>
  </si>
  <si>
    <t>39. 2-Pinça de Dissecção Adson, serrilhada, com 12 cm de comprimento;</t>
  </si>
  <si>
    <t>38. 2-Pinça de Dissecção Adson, 1x2 dentes, com 12 cm de comprimento;</t>
  </si>
  <si>
    <t>FX.10.005</t>
  </si>
  <si>
    <t xml:space="preserve">Pinça Anatômica Waugh, pontas retas, finas e serrilhadas, pino guia, 20cm </t>
  </si>
  <si>
    <t>37. 1-Pinça de Dissecção Waugh, pino central, de 20 cm de comprimento;</t>
  </si>
  <si>
    <t>HB5563</t>
  </si>
  <si>
    <t>Pinça Anatômica Gruenwald- Jansen, baioneta, pontas retas e serrilhadas, 18cm</t>
  </si>
  <si>
    <t>36. 3-Pinça Jansen Gruenwald, serrilhada, cabo Baioneta, com 18 cm de comprimento;</t>
  </si>
  <si>
    <t>HB1395-01</t>
  </si>
  <si>
    <t>Gancho Yasargil galea, 31cm, 7mm</t>
  </si>
  <si>
    <t>35. 4-Gancho Yasargil Galea de 7mm, com 31 cm de comprimento;</t>
  </si>
  <si>
    <t>34. 2-Espátula Maleável, 200x8mm, de 20 cm de comprimento;</t>
  </si>
  <si>
    <t>FX.13.594</t>
  </si>
  <si>
    <t xml:space="preserve">Frazier Hoen Dissector Dura, 15cm </t>
  </si>
  <si>
    <t>33. 2-Elevador Hoen, reto, com 15 cm de comprimento;</t>
  </si>
  <si>
    <t>32. 1-Elevador para Dura Penfield, duplo, 1 ponta redonda de 4mm, a outra em forma de colher de 6 mm, com 17,5 cm de comprimento</t>
  </si>
  <si>
    <t>Penfield Dissector Dura, dupla, 29cm</t>
  </si>
  <si>
    <t>31. 1-Dissecador para Dura Penfield, duplo, com pontas curvas, em formato de colher uma ponta com 4 mm, a outra com 6 mm, com 29 cm de comprimento;</t>
  </si>
  <si>
    <t>30. 1-Dissecador para Dura Penfield, duplo, com ponta redonda de 2 mm curva, a outra em de colher, curva 60º, de 6 mm, com 19,5 cm de comprimento;</t>
  </si>
  <si>
    <t>FX.13.584</t>
  </si>
  <si>
    <t>Penfield Dissector Dura, 19.5cm</t>
  </si>
  <si>
    <t>29. 1-Dissecador para Dura Penfield, duplo, com ponta redonda curva de 2mm, e a outra em de colher, curva de 40º, de 6mm, com 19,5 cm de comprimento</t>
  </si>
  <si>
    <t>28. 1-Dissecador para Dura Penfield, duplo, com ponta redonda de 4 mm, e a outra em formato de colhher de 6 mm, com 17 cm de comprimento</t>
  </si>
  <si>
    <t xml:space="preserve">Cureta Volkamann, 4mm, 17cm </t>
  </si>
  <si>
    <t>27. 1-Cureta Volkamann, de 4mm, com 17 cm de comprimento;</t>
  </si>
  <si>
    <t>FX.13.024</t>
  </si>
  <si>
    <t xml:space="preserve">Cureta Volkamann, 8mm, 17cm </t>
  </si>
  <si>
    <t>26. 1-Cureta Volkamann, de 8mm, com 17 cm de comprimento;</t>
  </si>
  <si>
    <t>25. 1-Cureta Óssea Bruns, de 5mm, com 17 cm de comprimento;</t>
  </si>
  <si>
    <t>24. 1-Cureta Óssea Bruns, de 4mm, com 17 cm de comprimento;</t>
  </si>
  <si>
    <t>FX.13.041</t>
  </si>
  <si>
    <t>Cureta Óssea Bruns, 3mm, 17cm</t>
  </si>
  <si>
    <t>23. 1-Cureta Óssea Bruns, de 3mm, com 17 cm de comprimento;</t>
  </si>
  <si>
    <t>Cuba redonda, com 5m de altura</t>
  </si>
  <si>
    <t>22. 1-Cuba redonda, com 5m de altura;</t>
  </si>
  <si>
    <t>21. 1-Cinzel Osseo, de 12mm, 13,5 cm de comprimento;</t>
  </si>
  <si>
    <t>20. 1-Cabo de bisturi n.4;</t>
  </si>
  <si>
    <t>19. 1-Cabo de bisturi n.3;</t>
  </si>
  <si>
    <t>FX.13.426</t>
  </si>
  <si>
    <t>Alicate Leksell, de 8mm, 24cm</t>
  </si>
  <si>
    <t>18. 1-Alicate Leksell de 8mm, com 24 cm de comprimento;</t>
  </si>
  <si>
    <t>Alicate Leksell, de 6mm, 24cm</t>
  </si>
  <si>
    <t>17. 1-Alicate Leksell de 6mm, com 24 cm de comprimento;</t>
  </si>
  <si>
    <t>16. 1-Alicate Leksell, de 6mm, com 24 cm de comprimento;</t>
  </si>
  <si>
    <t>15. 1-Afastador Weitlaner, 3x4 dentes rombos, com 16,5 cm de comprimento;</t>
  </si>
  <si>
    <t>FX.11.187</t>
  </si>
  <si>
    <t xml:space="preserve">Afastador Weitlaner-Loktite, garras  com2 x 3 dentes rombos, movimento por cremalheira, 10.5cm </t>
  </si>
  <si>
    <t>14. 1-Afastador Weitlaner Locktite, 2x3 dentes rombos, com 10,5 cm de comprimento;</t>
  </si>
  <si>
    <t>FX.11.201</t>
  </si>
  <si>
    <t xml:space="preserve">Afastador Weitlaner, garras com 3 x 4 dentes rombos, movimento por cremalheira, 20cm </t>
  </si>
  <si>
    <t>13. 1-Afastador Weitlaner Locktite, rombo, com 20 cm de comprimento;</t>
  </si>
  <si>
    <t>12. 1-Afastador maleável, 200x25mm;</t>
  </si>
  <si>
    <t>11. 1-Afastador maleável, 200x19mm;</t>
  </si>
  <si>
    <t>FX.11.145</t>
  </si>
  <si>
    <t>10. 1-Afastador maleável, 200x17mm;</t>
  </si>
  <si>
    <t>9. 1-Afastador Maleável, 200x16mm;</t>
  </si>
  <si>
    <t>FX.11.144</t>
  </si>
  <si>
    <t xml:space="preserve">Ribbon Afastador, maleavel, 12x200mm </t>
  </si>
  <si>
    <t>8. 1-Afastador Maleável, 200x13mm;</t>
  </si>
  <si>
    <t>7. 1-Afastador Maleável, 200x9,5mm;</t>
  </si>
  <si>
    <t>6. 2-Afastador Farabeuf, 15 cm de comprimento;</t>
  </si>
  <si>
    <t>5. 2-Afastador Jansen, rombo, com 10 cm de comprimento;</t>
  </si>
  <si>
    <t>4. 2-Afastador Farabeuf, com 15 cm de comprimento;</t>
  </si>
  <si>
    <t>2. 1-Afastador Weitlaner, 3x4 dentes rombos, com 20 cm de comprimento;</t>
  </si>
  <si>
    <t>Subitem 5.2 - Caixa Cirúrgica Craniotomia</t>
  </si>
  <si>
    <t>66. 1-Container sólido, com tampa de barreira, para armazenamento de todo conjunto</t>
  </si>
  <si>
    <t>65. 1-Cesto de Container;</t>
  </si>
  <si>
    <t>Tubo de Sucção Frazier, com mandril e controle de pressão manual, de 4mm de diâmetro interno, ângulo de 45º</t>
  </si>
  <si>
    <t>64. 1-Tubo de Sucção Frazier, com mandril e controle de pressão manual, de 4 mm de diâmetro interno,ângulo de 45º;</t>
  </si>
  <si>
    <t>Tubo de Sucção Frazier, com mandril e controle de pressão manual, de 3mm de diâmetro interno, ângulo de 45º</t>
  </si>
  <si>
    <t>63. 1-Tubo de Sucção Frazier, com mandril e controle de pressão manual, de 3mm de diâmetro interno, ângulo de 45º;</t>
  </si>
  <si>
    <t>Tesoura de Dissecção Mayo, Romba-romba, reta, 18cm</t>
  </si>
  <si>
    <t>62. 1-Tesoura de Dissecção Mayo, Romba-romba, reta, com 18 cm de comprimento;</t>
  </si>
  <si>
    <t>FX.18.204</t>
  </si>
  <si>
    <t>Tesoura de Dissecção Mayo, Romba-romba, curva, 18cm</t>
  </si>
  <si>
    <t>61. 1-Tesoura de Dissecção Mayo, Romba-romba, curva, com 18 cm de comprimento;</t>
  </si>
  <si>
    <t>60. 1-Tesoura de Dissecção Mayo, Romba-romba, reta, com 17 cm de comprimento;</t>
  </si>
  <si>
    <t>Tesoura de Dissecção Mayo, Romba-romba, curva, 17cm</t>
  </si>
  <si>
    <t>59. 1-Tesoura de Dissecção Mayo, Romba-romba, curva, com 17 cm de comprimento;</t>
  </si>
  <si>
    <t>Saca bocado Goiva, reta</t>
  </si>
  <si>
    <t>58. 1-Saca bocado, goiva, reta.</t>
  </si>
  <si>
    <t>FX.13.431</t>
  </si>
  <si>
    <t>Saca bocado Goiva, curva</t>
  </si>
  <si>
    <t>57. 1-Saca bocado, goiva, curva;</t>
  </si>
  <si>
    <t>Raspador Lambotte, 20mm, 21cm</t>
  </si>
  <si>
    <t>56. 1-Raspador Lambotte, de 20mm, com 21 cm de comprimento;</t>
  </si>
  <si>
    <t>FX.13.159</t>
  </si>
  <si>
    <t xml:space="preserve">Raspador Cobb, 10mm, 25cm </t>
  </si>
  <si>
    <t>55. 2-Raspador Cobb, 10mm, com 25 cm de comprimento;</t>
  </si>
  <si>
    <t>FX.13.682</t>
  </si>
  <si>
    <t>Pinça para Disco Invertebral, Ferri-Smith Kerrison, corte para cima, 5mm, 20cm</t>
  </si>
  <si>
    <t>54. 1-Pinça para Disco Invertebral, Ferri-Smith Kerrison, corte para cima, 5mm, com 20CM</t>
  </si>
  <si>
    <t>FX.13.680</t>
  </si>
  <si>
    <t>Pinça para Disco Invertebral, Ferri-Smith Kerrison, corte para cima, 3mm, 20cm</t>
  </si>
  <si>
    <t>53. 1-Pinça para Disco Invertebral, Ferri-Smith Kerrison, corte para cima, 3mm, com 20CM</t>
  </si>
  <si>
    <t>Pinça love, reta, 5mm, 20 cm de comprimento</t>
  </si>
  <si>
    <t>HB1449-05</t>
  </si>
  <si>
    <t>52. 1-Pinça love, reta, 5mm, 20 cm de comprimento;</t>
  </si>
  <si>
    <t>Pinça love, reta, 4mm, 20 cm de comprimento</t>
  </si>
  <si>
    <t>HB1470-20</t>
  </si>
  <si>
    <t>51. 1-Pinça love, reta, 4mm, 20 cm de comprimento;</t>
  </si>
  <si>
    <t>Pinça love, reta, 3mm, 20 cm de comprimento</t>
  </si>
  <si>
    <t>HB1460-20</t>
  </si>
  <si>
    <t>50. 1-Pinça love, reta, 3mm, 20 cm de comprimento;</t>
  </si>
  <si>
    <t>Pinça love, reta, 2mm, 20 cm de comprimento</t>
  </si>
  <si>
    <t>HB1450-20</t>
  </si>
  <si>
    <t>49. 1-Pinça love, reta, 2mm, 20 cm de comprimento;</t>
  </si>
  <si>
    <t>48. 1-Pinça love, reta, 2mm, 20 cm de comprimento;</t>
  </si>
  <si>
    <t>FX.13.694</t>
  </si>
  <si>
    <t xml:space="preserve">Pinça Ferris Smith Kerrison Punch, para cima, 5mm, 18cm, 40° </t>
  </si>
  <si>
    <t>47. 1-Pinça Kerrison 40°, boca para cima, 5mm;</t>
  </si>
  <si>
    <t>FX.13.693</t>
  </si>
  <si>
    <t xml:space="preserve">Pinça Ferris Smith Kerrison Punch, 40° para cima, 4mm 18cm </t>
  </si>
  <si>
    <t>46. 1-Pinça Kerrison 40°, boca para cima, 4mm;</t>
  </si>
  <si>
    <t xml:space="preserve">Pinça Ferris Smith Kerrison Punch, para cima, 40°,  3mm, 18cm </t>
  </si>
  <si>
    <t>45. 1-Pinça Kerrison 40°, boca para cima, 3mm;</t>
  </si>
  <si>
    <t xml:space="preserve">Pinça Ferris Smith Kerrison Punch, para cima, 2mm 18cm, 40° </t>
  </si>
  <si>
    <t>44. 1-Pinça Kerrison 40°, boca para cima, 2mm;</t>
  </si>
  <si>
    <t>43. 1-Porta Agulha Mayo Hegar, serrilhada, reta, com vídea, com 20 cm de comprimento;</t>
  </si>
  <si>
    <t>42. 1-Porta Agulha Mayo Hegar, serrilhada, reta, com vídea, com 16 cm de comprimento;</t>
  </si>
  <si>
    <t>FX.13.716</t>
  </si>
  <si>
    <t xml:space="preserve">Pinça Spurling Rugina para Laminectomia, reta, 4x10mm, 18cm </t>
  </si>
  <si>
    <t>41. 1-Pinça para Laminetomia Spurling, 4x10mm, reta, com 18 cm de comprimento;</t>
  </si>
  <si>
    <t>FX.13.707</t>
  </si>
  <si>
    <t xml:space="preserve">Pinça Love-Gruenwald Rugina para Laminectomia, reta, 3x10mm, 18cm </t>
  </si>
  <si>
    <t>40. 1-Pinça para Laminectomia Love Grunwald, 3x10mm, reta, com 18 cm de</t>
  </si>
  <si>
    <t>FX.13.698</t>
  </si>
  <si>
    <t xml:space="preserve">Pinça Cushing Rugina para Laminectomia, reta, 2x10mm, 18cm </t>
  </si>
  <si>
    <t>39. 1-Pinça para Laminectomia Cushing, 2x10mm, com 18 cm de comprimento;</t>
  </si>
  <si>
    <t>FX.13.713</t>
  </si>
  <si>
    <t xml:space="preserve">Pinça Love-Gruenwald Rugina para Laminectomia, 45° para baixo, 3x10mm, 18cm </t>
  </si>
  <si>
    <t>38. 2-Pinça para Laminectomia Love Grunwald, para baixo 3x10mm, reta, com 18 cm</t>
  </si>
  <si>
    <t>FX.13.681</t>
  </si>
  <si>
    <t xml:space="preserve">Pinça Ferris Smith Kerrison Punch para cima, 4mm, 18cm </t>
  </si>
  <si>
    <t>37. 1-Pinça para Disco Invertebral, Ferris-Smith Kerrison, corte para cima, 4mm, com 18CM</t>
  </si>
  <si>
    <t xml:space="preserve">Pinça Ferris Smith Kerrison Punch para cima, 3mm, 18cm </t>
  </si>
  <si>
    <t>36. 1-Pinça para Disco Invertebral, Ferris-Smith Kerrison, corte para cima, 3mm, com 18CM</t>
  </si>
  <si>
    <t>FX.13.679</t>
  </si>
  <si>
    <t xml:space="preserve">Pinça Ferris Smith Kerrison Punch para cima, 2mm, 18cm </t>
  </si>
  <si>
    <t>35. 1-Pinça para Disco Invertebral, Ferris-Smith Kerrison, corte para cima, 2mm, 18CM</t>
  </si>
  <si>
    <t>34. 6- Pinça Arterial Kelly, reta, com 14 cm de comprimento;</t>
  </si>
  <si>
    <t>33. 6- Pinça Arterial Kelly, curva, com 14 cm de comprimento;</t>
  </si>
  <si>
    <t>32. 1-Pinça Cheron, com 25 cm de comprimento;</t>
  </si>
  <si>
    <t>31. 10-Pinça de Toalha Backhaus, com 13 cm de comprimento;</t>
  </si>
  <si>
    <t>30. 3-Pinça de Dissecção Dente de Rato, 1x2 dentes, com 14,5cm de comprimento;</t>
  </si>
  <si>
    <t>29. 3-Pinça de Dissecção Anatômica, com 14,5 cm de comprimento;</t>
  </si>
  <si>
    <t>28. 2-Pinça de Dissecção Adson, serrilhada, com 12 cm de comprimento;</t>
  </si>
  <si>
    <t>27. 2-Pinça de Dissecção Adson, 1x2 dentes, com 12 cm de comprimento;</t>
  </si>
  <si>
    <t>26. 1-Elevador Freer, duplo, Agudo-rombo, com 18 cm comprimento;</t>
  </si>
  <si>
    <t>Penfield Cureta e Elevador Dura, 17.5cm</t>
  </si>
  <si>
    <t>25. 1-Elevador para Dura Penfield, duplo, com ponta redonda de 4 mm, e a outra em formato de colher, 6mm, com 17,5 cm de comprimento;</t>
  </si>
  <si>
    <t>FX.12.989</t>
  </si>
  <si>
    <t>Simon Cureta Óssea, 24cm, 6x4mm</t>
  </si>
  <si>
    <t>24. 1-Cureta Simon, 4mm, com 24 cm de comprimento;</t>
  </si>
  <si>
    <t>Simon Cureta Óssea, 24cm, 5x3mm</t>
  </si>
  <si>
    <t>23. 1-Cureta Simon, 3mm, com 24 cm de comprimento;</t>
  </si>
  <si>
    <t>FX.12.987</t>
  </si>
  <si>
    <t>Simon Cureta Óssea, 24cm, 4x2mm</t>
  </si>
  <si>
    <t>22. 1-Cureta Simon, 2mm, com 24 cm de comprimento</t>
  </si>
  <si>
    <t>FX.12.986</t>
  </si>
  <si>
    <t>Simon Cureta Óssea, 24cm, 3x1mm</t>
  </si>
  <si>
    <t>21. 1-Cureta Simon, 1mm, com 24 cm de comprimento;</t>
  </si>
  <si>
    <t>20. 1-Cuba redonda, com 5 cm de altura;</t>
  </si>
  <si>
    <t xml:space="preserve">Cabo de Bisturi  #7K </t>
  </si>
  <si>
    <t>19. 1-Cabo bisturi nº. 7;</t>
  </si>
  <si>
    <t>18. 1-Cabo bisturi nº. 4;</t>
  </si>
  <si>
    <t>17. 1-Cabo de Bisturi, nº3, redondo, com 21,5 cm de comprimento;</t>
  </si>
  <si>
    <t>FX.13.374</t>
  </si>
  <si>
    <t xml:space="preserve">Jansen Rugina Óssea, junta parafusada, reta, 18cm </t>
  </si>
  <si>
    <t>15. 1-Alicate Jansen, reto, com 18 cm de comprimento;</t>
  </si>
  <si>
    <t>FX.13.451</t>
  </si>
  <si>
    <t xml:space="preserve">Liston Pinça Corta Osso, reta, 17cm </t>
  </si>
  <si>
    <t>14. 1-Alicate Liston, reto, com 17 cm de comprimento;</t>
  </si>
  <si>
    <t>FX.13.541</t>
  </si>
  <si>
    <t xml:space="preserve">Love Afastador de raiz nervosa, 19cm, 45° angle </t>
  </si>
  <si>
    <t>13. 2-Afastador Love, lâmina de 7mm, angulado, com 19 cm de comprimento;</t>
  </si>
  <si>
    <t>12. 2-Afastador Langenbeck, lâmina de 40x11mm, com 21 cm de comprimento;</t>
  </si>
  <si>
    <t>FX.10.956</t>
  </si>
  <si>
    <t xml:space="preserve">Afastador Langenbeck, válvula com lâmina de dimensões de 30mm x 14mm, 22cm </t>
  </si>
  <si>
    <t>11. 2-Afastador Langenbeck, lâmina de 30x14mm, com 21 cm de comprimento;</t>
  </si>
  <si>
    <t>10. 2-Afastador Jansen, rombo, com 10 cm de comprimento;</t>
  </si>
  <si>
    <t>FX.11.231</t>
  </si>
  <si>
    <t xml:space="preserve">Afastador Gelpi, garras  laterais com 1 x 1 dente agudo, hastes curvas, movimento por cremalheira, 14cm </t>
  </si>
  <si>
    <t>9. 1-Afastador Gelpi, rombo, com 14 ccm de comprimento;</t>
  </si>
  <si>
    <t>8. 1-Afastador Gelpi, rombo, com 19 ccm de comprimento;</t>
  </si>
  <si>
    <t>7. 2-Afastador Farabeuf, com 15 ccm de comprimento;</t>
  </si>
  <si>
    <t>6. 2-Afastador Farabeuf, com 12 ccm de comprimento;</t>
  </si>
  <si>
    <t>FX.13.231</t>
  </si>
  <si>
    <t xml:space="preserve">Taylor Retrator para Coluna, 75x30mm, 16.5cm </t>
  </si>
  <si>
    <t>5. 1-Afastador de Vertebral Taylor, lâmina de 75x30mm, com 16,5 cm de comprimento;</t>
  </si>
  <si>
    <t>FX.11.252</t>
  </si>
  <si>
    <t xml:space="preserve">Afastador Beckmann-Eaton, garras com dupla articulação e 7 x 7 dentes agudos, movimento por cremalheira, 32cm </t>
  </si>
  <si>
    <t>4. 1-Afastador Beckmann Eaton, agudo, com 32 cm de comprimento;</t>
  </si>
  <si>
    <t>HB3343-02</t>
  </si>
  <si>
    <t>Afastador Markham-Meyerding, lâmina lado esquerdo, 18cm</t>
  </si>
  <si>
    <t>3. 2-Afastador Markhan-Meyerding esquerda;</t>
  </si>
  <si>
    <t>HB3343-01</t>
  </si>
  <si>
    <t>Afastador Markham-Meyerding, lâmina lado direito, 18cm</t>
  </si>
  <si>
    <t>2. 2-Afastador Markhan-Meyerding Direita;</t>
  </si>
  <si>
    <t>Subitem 5.1 - Caixa para Laminectomia</t>
  </si>
  <si>
    <t>FX.62.231</t>
  </si>
  <si>
    <t>Placa de Identificação propria para a base de container, em aluminio na cor  verde</t>
  </si>
  <si>
    <t>FX.61.283</t>
  </si>
  <si>
    <t>22. 1-Container sólido, com tampa de barreira, para armazenamento de todo conjunto</t>
  </si>
  <si>
    <t>21. 2-Tesouras metzenbaum curva 16cm.</t>
  </si>
  <si>
    <t>20. 3-Tesoura de iris curva 12 cm.</t>
  </si>
  <si>
    <t>FX.14.835</t>
  </si>
  <si>
    <t>Sounda Itard, 14cm, 3.5mm</t>
  </si>
  <si>
    <t>19. 3-Sonda de Itard 3,5mmx130.</t>
  </si>
  <si>
    <t>FX.11.836</t>
  </si>
  <si>
    <t xml:space="preserve">Farrel Aplicador de algodão rosqueado, 16cm </t>
  </si>
  <si>
    <t>18. 2-Porta algodão 15cm.</t>
  </si>
  <si>
    <t>FX.14.888</t>
  </si>
  <si>
    <t>Hartmann Pinça Ouricular, para cima, 80mm</t>
  </si>
  <si>
    <t>17. 1-Pinça biópsia de ouvido reta infatil 80mm.</t>
  </si>
  <si>
    <t>FX.14.878</t>
  </si>
  <si>
    <t xml:space="preserve">Hartmann Jacaré Pinça, 8.5cm </t>
  </si>
  <si>
    <t>16. 2-Pinça jacaré ouvido.</t>
  </si>
  <si>
    <t>Pinça biópsia de boca</t>
  </si>
  <si>
    <t>AI2428</t>
  </si>
  <si>
    <t>15. 1-Pinça biópsia de boca.</t>
  </si>
  <si>
    <t>Pinça Schnidt-Sawtell, pontas curvas, 21cm</t>
  </si>
  <si>
    <t>14. 2-Pinça hemostática schnidt curva 21cm.</t>
  </si>
  <si>
    <t>13. 2-Pinça adson com dente 12cm.</t>
  </si>
  <si>
    <t>FX.14.915</t>
  </si>
  <si>
    <t xml:space="preserve">Pinça Anatômica Jansen, baioneta, pontas retas e serrilhadas, 16cm </t>
  </si>
  <si>
    <t>12. 4-Pinça baionete 16 cm.</t>
  </si>
  <si>
    <t>FX.15.172</t>
  </si>
  <si>
    <t>Killian Especulo Nasal, junta parafusada, 50mm 150cm, n2</t>
  </si>
  <si>
    <t>11. 1-Especulo nasal Killian n°2, 60x160mm.</t>
  </si>
  <si>
    <t>FX.15.171</t>
  </si>
  <si>
    <t>Killian Especulo Nasal, junta parafusada, 35mm 150cm, n1</t>
  </si>
  <si>
    <t>10. 2-Especulo nasal Killian n°1,45x150mm.</t>
  </si>
  <si>
    <t>FX.15.155</t>
  </si>
  <si>
    <t>Hartmann Halle Especulo Nasal, 30mm 15cm</t>
  </si>
  <si>
    <t>9. 4-Especulo nasal Hartman n°2, 150mm.</t>
  </si>
  <si>
    <t>FX.18.097</t>
  </si>
  <si>
    <t>Cabo de Bisturi, #7, 16cm</t>
  </si>
  <si>
    <t>8. 2-Cabo derd bisturi n°7 de 17 cm.</t>
  </si>
  <si>
    <t>FX.14.923</t>
  </si>
  <si>
    <t xml:space="preserve">Buck Cureta Auricular, reta, rombo, 2.5mm, 16.5cm </t>
  </si>
  <si>
    <t>7. 5-Cureta de cerumem baionte 17cm.</t>
  </si>
  <si>
    <t>Canula de Sucção Frazier, 4.0mm</t>
  </si>
  <si>
    <t>6. 4-Aspirador Atraumático 4mm.</t>
  </si>
  <si>
    <t>22-308-30</t>
  </si>
  <si>
    <t>Canula de Sucção House 3.0mm</t>
  </si>
  <si>
    <t>5. 4-Aspirador de Ouvido 3mm.</t>
  </si>
  <si>
    <t>22-308-25</t>
  </si>
  <si>
    <t>Canula de Sucção House 2.5mm</t>
  </si>
  <si>
    <t>4. 2-Aspirador de Ouvido 2,5mm.</t>
  </si>
  <si>
    <t>22-308-20</t>
  </si>
  <si>
    <t>Canula de Sucção House 2mm</t>
  </si>
  <si>
    <t>3. 2-Aspirador de Ouvido 2mm.</t>
  </si>
  <si>
    <t>Aspirador Cautério</t>
  </si>
  <si>
    <t>2. 4-Aspirador Cautério.</t>
  </si>
  <si>
    <t>Subitem 4.2 - Caixa para Otorrino para uso em Pronto Socorro</t>
  </si>
  <si>
    <t>FX.61.318</t>
  </si>
  <si>
    <t>Box de container tamanho 1/2, em alumínio anodizado, dimensões internas 260x260x85 mm</t>
  </si>
  <si>
    <t>20. 1- Container sólido, com tampa de barreira, para armazenamento de todo conjunto</t>
  </si>
  <si>
    <t>FX.61.849</t>
  </si>
  <si>
    <t>Cesto aramado compatível com box tamanho 1/2, com pés, dimensões  242x252x60 mm</t>
  </si>
  <si>
    <t>18. 6-Tesoura Íris Fina-Fina, reta, com 10,5 cm de comprimento;</t>
  </si>
  <si>
    <t>17. 12-Tesoura Íris, Fina-FIna,curva, com 10,5 cm de comprimento;</t>
  </si>
  <si>
    <t>FX.09.488</t>
  </si>
  <si>
    <t xml:space="preserve">Tesoura Heymann-Knight, lâminas anguladas, chanfradas com pontas rombas, 18cm </t>
  </si>
  <si>
    <t>16. 6-Tesoura Heymann, angulada, com 18 cm de comprimento;</t>
  </si>
  <si>
    <t>FX.09.487</t>
  </si>
  <si>
    <t xml:space="preserve">Tesoura Cottle, lâminas retas, largas com pontas rombas, hastes anguladas p/ frente, 15cm </t>
  </si>
  <si>
    <t>15. 6-Tesoura Cottle, angulada, com 16 cm de comprimento;</t>
  </si>
  <si>
    <t>14. 6-Pinça de Dissecção Adson, serrilhada, com 12 cm de comprimento;</t>
  </si>
  <si>
    <t>13. 6-Pinça de Dissecção Adson, 1x2 dentes, com 12 cm de comprimento;</t>
  </si>
  <si>
    <t>12. 12-Pinça de Dissecção Adson Brown, com 12 cm de comprimento;</t>
  </si>
  <si>
    <t>27-304-06</t>
  </si>
  <si>
    <t>Paquímetro Castroviejo, de  20mm</t>
  </si>
  <si>
    <t>11. 6-Paquímetro Castroviejo, com 20mm;</t>
  </si>
  <si>
    <t>Paquímetro Castroviejo, de 15mm</t>
  </si>
  <si>
    <t>10. 6-Paquímetro Castroviejo, com 15mm;</t>
  </si>
  <si>
    <t>9. 6-Gancho Gillies, nº1, agudo, com 18 cm de comprimento;</t>
  </si>
  <si>
    <t>FX.15.439</t>
  </si>
  <si>
    <t xml:space="preserve">Fomon/Joseph Afastador, com pontas abauladas, 16cm </t>
  </si>
  <si>
    <t>8. 6-Gancho Fomon, 2 dentes rombos, com 16 cm de comprimento;</t>
  </si>
  <si>
    <t>FX.15.437</t>
  </si>
  <si>
    <t xml:space="preserve">Cottle Ret. dromba, romba/afiada, 15cm </t>
  </si>
  <si>
    <t>7. 12-Gancho Cottle, 2 garras, Agudo-rombo, com 15 cm de comprimento;</t>
  </si>
  <si>
    <t>6. 6-Elevador Joseph, com 16,5 cm de comprimento;</t>
  </si>
  <si>
    <t>FX.15.354</t>
  </si>
  <si>
    <t xml:space="preserve">Joseph Masing Alavanca de Septo, formato baioneta, 22cm </t>
  </si>
  <si>
    <t>5. 12-Elevador Periósteo Masing, curvo, 3x2mm, com 22 cm de comprimento;</t>
  </si>
  <si>
    <t>23-650-17</t>
  </si>
  <si>
    <t>Cinzel Masing Reto17.5cm</t>
  </si>
  <si>
    <t>4. 12-Cinzel Masing, reto, com 17,5 cm de comprimento;</t>
  </si>
  <si>
    <t>3. 6-Cinzel Masing, com 17,5 cm de comprimento;</t>
  </si>
  <si>
    <t>50-230-10</t>
  </si>
  <si>
    <t>Afastador de Fibra Óptica Maliniac Com Guia de Luz 10 cm Laminas 9x45mm</t>
  </si>
  <si>
    <t>2. 6-Afastador com guia de luz, para fibra óptica Maliniac, com lâmina de 9x45mm, com</t>
  </si>
  <si>
    <t>Subitem 4.1 - Caixa para Rinoplastia</t>
  </si>
  <si>
    <t>29. 1-Container sólido, com tampa de barreira, para armazenamento de todo conjunto</t>
  </si>
  <si>
    <t>28. 1-Cesto de Container;</t>
  </si>
  <si>
    <t>27. 1-Tesoura de Dissecção Metzenbaum, Romba-romba, reta, com 18 cm de</t>
  </si>
  <si>
    <t>26. 1-Tesoura de Dissecção Metzenbaum, Romba-romba, curva, com 18 cm de</t>
  </si>
  <si>
    <t>25. 1-Tesoura de Dissecção Metzenbaum, Romba-romba, reta, delicada, de 14,5cm de</t>
  </si>
  <si>
    <t>24. 1-Tesoura Íris, Fina-fina, curva, com 12 cm de comprimento;</t>
  </si>
  <si>
    <t>23. 1-Porta Agulha Mayo Hegar, serrilhada, reto, com 16 cm de comprimento;</t>
  </si>
  <si>
    <t>22. 4-Porta Agulha Mayo Hegar, serrilhada, reta, com 14 cm de comprimento;</t>
  </si>
  <si>
    <t>21. 2-Pinça Kocher Ochsner, 1x2 dentes, reta, com 16 cm de comprimento;</t>
  </si>
  <si>
    <t>20. 2-Pinça Kocher Ochsner, 1x2 dentes, reta, com 14 cm de comprimento;</t>
  </si>
  <si>
    <t>19. 2-Pinça Arterial Kelly Rankin, reta, com 16 cm de comprimento;</t>
  </si>
  <si>
    <t>18. 2-Pinça Arterial Kelly, reta, com 14 cm de comprimento;</t>
  </si>
  <si>
    <t>17. 4-Pinça Arterial Kelly, curva, com 14 cm de comprimento;</t>
  </si>
  <si>
    <t>16. 2-Pinça Arterial Kelly Rankin, serrilhada, curva, com 16 cm de comprimento;</t>
  </si>
  <si>
    <t>15. 4-Pinça Arterial Halstead Mosquito, reta, com 12,5 cm de comprimento;</t>
  </si>
  <si>
    <t>14. 6-Pinça Arterial Halstead Mosquito, curva, com 12,5 cm de comprimento;</t>
  </si>
  <si>
    <t>13. 3-Pinça de Dissecção Anatômica, serrilhada, com 13 cm de comprimento;</t>
  </si>
  <si>
    <t>12. 1-Pinça de Dissecção Adson, serrilhada, com 12 cm de comprimento;</t>
  </si>
  <si>
    <t>11. 1-Pinça Dente de Rato, 1x2, com 16 cm de comprimento;</t>
  </si>
  <si>
    <t>10. 3-Pinça de Dissecção Dente de Rato, 1X2 dentes, com 10,5 cm de comprimento;</t>
  </si>
  <si>
    <t>9. 1-Pinça de Dissecção Adson, 1X2 dentes, com 12 cm de comprimento;</t>
  </si>
  <si>
    <t>8. 2-Pinça Allis, 5x6 dentes, com 15 cm de comprimento;</t>
  </si>
  <si>
    <t>7. 1-Pinça Cheron, 25 com de comprimento;</t>
  </si>
  <si>
    <t>6. 4-Pinça de Toalha Backhaus, com 13 cm de comprimento;</t>
  </si>
  <si>
    <t>5. 1-Cabo de Bisturi nº4, graduado, com 13,7 cm de comprimento;</t>
  </si>
  <si>
    <t>4. 1-Cabo de Bisturi nº3, graduado, com 12 cm de comprimento;</t>
  </si>
  <si>
    <t>3. 1-Cuba redonda, com 5 cm de altura;</t>
  </si>
  <si>
    <t>2. 2-Afastador Farabeuf, com 12 cm de comprimento;</t>
  </si>
  <si>
    <t>Subitem 3.2 - Caixa para Cirurgia Geral Pequeno Porte</t>
  </si>
  <si>
    <t>36. 1-Container sólido, com tampa de barreira, para armazenamento de todo conjunto</t>
  </si>
  <si>
    <t>35. 1-Cesto de Container;</t>
  </si>
  <si>
    <t>34. 1-Tesoura de Dissecção Metzembaum, Romba-romba, reta, com 18 cm de</t>
  </si>
  <si>
    <t>33. 1-Tesoura de Dissecção Metzembaum, Romba-romba, curva, com 18 cm de</t>
  </si>
  <si>
    <t>32. 1-Tesoura de Dissecção Mayo, Romba-Romba, reta, com 17 cm de comprimento;</t>
  </si>
  <si>
    <t>31. 1-Tesoura de Dissecção Mayo, Romba-romba, curva, com 17 cm de comprimento;</t>
  </si>
  <si>
    <t>30. 1-Porta Agulha Mayo Hegar, serrilhada, reta, com 20 cm de comprimento</t>
  </si>
  <si>
    <t>29. 1-Porta Agulha Mayo Hegar, serrilhada, reta, com 18 cm de comprimento;</t>
  </si>
  <si>
    <t>28. 2-Pinça Ochsner Kocher, 1x2 dentes, reta, com 16 cm de comprimento;</t>
  </si>
  <si>
    <t>27. 2-Pinça Ochsner Kocher, 1x2 dentes, curva, com 16 cm de comprimento;</t>
  </si>
  <si>
    <t>Pinça Mixer, com 30cm</t>
  </si>
  <si>
    <t>25. 1-Pinça Mixer, com 30cm;</t>
  </si>
  <si>
    <t>24. 1-Pinça Mixer, com 24cm;</t>
  </si>
  <si>
    <t>23. 2-Pinça Babcock, com 20cm de comprimento;</t>
  </si>
  <si>
    <t>22. 6-Pinça Arterial Halstead Mosquito, curva, com 12,5 cm de comprimento;</t>
  </si>
  <si>
    <t>FX.41.643</t>
  </si>
  <si>
    <t xml:space="preserve">Pinça Kelly, reta, 18cm </t>
  </si>
  <si>
    <t>07-373-18</t>
  </si>
  <si>
    <t>20. 2-Pinça arterial Kelly, reta, com 18cm de comprimento;</t>
  </si>
  <si>
    <t>FX.10.463</t>
  </si>
  <si>
    <t xml:space="preserve">Kelly Pinça Hemostatica, semi curva, 19cm </t>
  </si>
  <si>
    <t>19. 4-Pinça arterial Kelly, curva, 18cm de comprimento;</t>
  </si>
  <si>
    <t>18. 2-Pinça arterila Kelly rankin, serrilhada, reta, com 16cm de comprimento;</t>
  </si>
  <si>
    <t>17. 2-Pinça arterial Kelly rankin, serrilhada, curva, com 16cm de comprimento;</t>
  </si>
  <si>
    <t>FX.18.333</t>
  </si>
  <si>
    <t xml:space="preserve">Adson Pinça Curativos, serrilhada, 19cm </t>
  </si>
  <si>
    <t>16. 1-Pinça de Dissecção Adson, serrilhada, standart, com 20cm de comprimento;</t>
  </si>
  <si>
    <t>15. 2-Pinça de Dissecção Anatômica, serrilhada, com 18 cm de comprimento;</t>
  </si>
  <si>
    <t>14. 2-Pinça de Dissecção Dente de Rato, com 1x 2 dentes, com 18 cm de comprimento;</t>
  </si>
  <si>
    <t>13. 1-Pinça de Dissecção Adson 1x2 dentes, com 12 cm de comprimento;</t>
  </si>
  <si>
    <t>12. 2-Pinça Collin, com 16,5 cm de comprimento;</t>
  </si>
  <si>
    <t>11. 1-Pinça Cheron, com 25 cm de comprimento;</t>
  </si>
  <si>
    <t>10. 6-Pinça de Toalha Backhaus, com 13 cm de comprimento;</t>
  </si>
  <si>
    <t>9. 2-Pinça Allis, 5x6 dentes, com 15cm de comprimento;</t>
  </si>
  <si>
    <t>8. 1-Cuba 100x50mm;</t>
  </si>
  <si>
    <t>7. 1-Cabo de bisturin.°4;</t>
  </si>
  <si>
    <t>6. 1-Cabo de bisturi n°3;</t>
  </si>
  <si>
    <t>Afastador Richardson, com lâmina de 52x22mm, 26 cm</t>
  </si>
  <si>
    <t>5. 1-Afastador Richardson, com lâmina de 52x22mm, com 26 cm de comprimento;</t>
  </si>
  <si>
    <t>FX.10.962</t>
  </si>
  <si>
    <t>4. 1-Afastador Langenbeck , com lâmina de 30x16mm, com 22 cm de comprimento;</t>
  </si>
  <si>
    <t>3. 1-Afastador Farabeuf, com15 cm de comprimento;</t>
  </si>
  <si>
    <t>2. 1-Afastador Farabeuf, com 12 cm de comprimento;</t>
  </si>
  <si>
    <t>Subitem 3.1 - Caixa para Cirurgia Geral Médio Porte</t>
  </si>
  <si>
    <t>49. 1-Container sólido, com tampa de barreira, para armazenamento de todo conjunto</t>
  </si>
  <si>
    <t>48. 1-Cesto de Container;</t>
  </si>
  <si>
    <t>47. 1-Tesoura de Dissecção Baby Metzenbaum, Romba-romba, reta, com 11,5 cm de</t>
  </si>
  <si>
    <t>46. 1-Tesourade Dissecção Metzenbaum, Romba-romba, delicada, com 14,5 cm de</t>
  </si>
  <si>
    <t>45. 1-Tesoura Baby Metzenbaum, serrilhada, Romba-romba, curva, com 11,5 cm de</t>
  </si>
  <si>
    <t>44. 1-Tesoura de Dissecção Metzenbaum, Romba-romba, delicada, curva, com 14,5 cm</t>
  </si>
  <si>
    <t>43. 1-Tesoura de DIssecção Mayo, Romba-romba, reta, cm 14,5 cm de comprimento;</t>
  </si>
  <si>
    <t>42. 1-Tesoura Íris, Fina-fina, reta, com 12 cm de comprimento;</t>
  </si>
  <si>
    <t xml:space="preserve">Porta Agulha Mayo-Hegar, pontas retas, largas com serrilha cruzada e encaixe p/ agulha de sutura, 18cm </t>
  </si>
  <si>
    <t>41. 1-Porta Agulha Mayo Hegar, serrilhada, reta, com 18 cm de comprimento;</t>
  </si>
  <si>
    <t>40. 1-Porta Agulha Mayo Hegar, serrilhada, reta, com 16 cm de comprimento;</t>
  </si>
  <si>
    <t>39. 1-Porta Agulha Mayo Hegar, serrilhada, reta, com 14 cm de comprimento;</t>
  </si>
  <si>
    <t>38. 6-Pinça Arterial Halstead Mosquito, reta, com 12,5 cm de comprimento;</t>
  </si>
  <si>
    <t>37. 6-Pinça Arterial Halstead Mosquito, curva, com 12,5 cm de comprimento;</t>
  </si>
  <si>
    <t>FX.10.510</t>
  </si>
  <si>
    <t xml:space="preserve">Pinça Mixter, pontas curvas com serrilhas paralelas longitudinais, 28cm </t>
  </si>
  <si>
    <t>36. 1-Pinça de Dissecção e Ligadura Mixter, serrilhada e angulada, com 28 cm de</t>
  </si>
  <si>
    <t>35. 4-Pinça Baby Mixter, levemente curvada, com 14 cm de comprimento;</t>
  </si>
  <si>
    <t>34. 2-Pinça Ochsner Kocher, 1x2 dentes, reta, com 18 cm de comprimento;</t>
  </si>
  <si>
    <t>33. 2-Pinça Ochsner Kocher, 1x2 dentes, curva, com 18 cm de comprimento;</t>
  </si>
  <si>
    <t>32. 6-Pinça Arterial Kelly, reta, com 14 cm de comprimento;</t>
  </si>
  <si>
    <t>31. 6-Pinça Arterial Kelly, curva, com 14 cm de comprimento;</t>
  </si>
  <si>
    <t>FX.14.007</t>
  </si>
  <si>
    <t xml:space="preserve">DeBakey Pean Pinça Atraumatica Arterial, curva, 20cm </t>
  </si>
  <si>
    <t>30. 3-Pinça Debakey-Pean, curva, com 20 cm de comprimento;</t>
  </si>
  <si>
    <t>FX.14.006</t>
  </si>
  <si>
    <t xml:space="preserve">DeBakey Pean Pinça Atraumatica Arterial, curva, 18cm </t>
  </si>
  <si>
    <t>29. 3-Pinça Debakey-Pean, curva, com 18 cm de comprimento;</t>
  </si>
  <si>
    <t>28. 1-Pinça Collin, com 16,5 cm de comprimento;</t>
  </si>
  <si>
    <t>27. 1-Pinça Cheron, com 25 cm de comprimento;</t>
  </si>
  <si>
    <t>26. 6-Pinça de Toalha Bachhaus, com 8 cm de comprimento;</t>
  </si>
  <si>
    <t>25. 1-Pinça Standard de Dissecção Anatômica, serrilhada, com 14,5 cm de comprimento;</t>
  </si>
  <si>
    <t>24. 1-Pinça Standard de Dissecção Anatômica, serrilhada, com 13 cm de comprimento;</t>
  </si>
  <si>
    <t>23. 1-Pinça de Dissecção, Dente de Rato, 1x2 dentes, com 14,5 cm de comprimento;</t>
  </si>
  <si>
    <t>FX.10.025</t>
  </si>
  <si>
    <t xml:space="preserve">Pinça Anatômica Standard, pontas retas, largas com 1x2 dentes, 13cm </t>
  </si>
  <si>
    <t>22. 1-Pinça de Dissecção, Dente de Rato, 1x2 dentes, com 13 cm de comprimento;</t>
  </si>
  <si>
    <t>21. 4-Pinça Allis, 5x6 dentes, com 15 cm de comprimento;</t>
  </si>
  <si>
    <t>20. 1-Pinça de Dissecção Adson, serrilhada, com 12 cm de comprimento;</t>
  </si>
  <si>
    <t>19. 1-Pinça de Dissecção Adson, 1x2 dentes, com 12 cm de comprimento;</t>
  </si>
  <si>
    <t>FX.10.380</t>
  </si>
  <si>
    <t>Pinça Kocher-Ochsnner, pontas retas, serrilhadas com 1x2 dentes, 22cm</t>
  </si>
  <si>
    <t>18. 1-Pinça Kocher, reta, com 22 cm de comprimento;</t>
  </si>
  <si>
    <t>FX.10.388</t>
  </si>
  <si>
    <t>Pinça Kocher-Ochsnner, pontas curvas, serrilhadas com 1x2 dentes, 22cm</t>
  </si>
  <si>
    <t>17. 1-Pinça Kocher, curva, com 22 cm de comprimento;</t>
  </si>
  <si>
    <t>Pinça Baby-Babcok, 16 cm</t>
  </si>
  <si>
    <t>16. 1-Pinça Baby-Babcok, com 16 cm de comprimento;</t>
  </si>
  <si>
    <t>15. 4-Pinça de Apreensão Babcook, 16 cm de comprimento;</t>
  </si>
  <si>
    <t>14. 1-Pinça de Apreensão Babcook, 20 cm de comprimento;</t>
  </si>
  <si>
    <t xml:space="preserve">Ribbon Afastador, 25x330mm </t>
  </si>
  <si>
    <t>13. 2-Espátula Maleável, lâmina de 25mm, com 33 cm de comprimento;</t>
  </si>
  <si>
    <t>12. 1-Cuba Redonda, com 5 cm de altura;</t>
  </si>
  <si>
    <t>FX.41.303</t>
  </si>
  <si>
    <t>Badeja Rim, 162*77*31mm</t>
  </si>
  <si>
    <t>UPL-051</t>
  </si>
  <si>
    <t>11. 1-Cuba de rim, de inóx.</t>
  </si>
  <si>
    <t>10. 1-Cabo de Bisturi nº 3, com 12 cm de comprimento;</t>
  </si>
  <si>
    <t>9. 1-Cabo de Bisturi nº 4, com 13 cm de comprimento;</t>
  </si>
  <si>
    <t>81897710034</t>
  </si>
  <si>
    <t>FX.09.010</t>
  </si>
  <si>
    <t xml:space="preserve">Canula de aspiração Poole, tubular,angulada em 90º, tubo externo multi perfurado, calibre de 23 French (8mm), 22cm </t>
  </si>
  <si>
    <t>8. 1-Aspirador, tipo Poole, curvo, com 22 cm de comprimento;</t>
  </si>
  <si>
    <t>7. 2-Afastador Doyen, lâmina de 75x45mm;</t>
  </si>
  <si>
    <t>6. 2-Afastador Farabeuf, com 12 cm de comprimento;</t>
  </si>
  <si>
    <t>5. 2-Afastador Farabeuf, com 15 cm de comprimento;</t>
  </si>
  <si>
    <t>4. 1-Afastador Gosset, com 14 cm de comprimento;</t>
  </si>
  <si>
    <t>Afastador de Costelas Finochietto Baby, 18x21x105mm</t>
  </si>
  <si>
    <t>3. 2-Afastador Finochietto Baby, 18x21x105mm;</t>
  </si>
  <si>
    <t>2. 2-Afastador Langenbeck, lâmina de 40x11mm, com 21 cm de comprimento;</t>
  </si>
  <si>
    <t>Subitem 2.2. - Caixa para Laparotomia Infantil</t>
  </si>
  <si>
    <t xml:space="preserve">Tesoura Metzenbaum, lâminas curvas, finas com pontas rombas, 18cm </t>
  </si>
  <si>
    <t>50. 1-Tesoura de Dissecção Metzembaum, Romba-romba, curva, com 18cm de</t>
  </si>
  <si>
    <t>49. 1-Tesoura de Dissecção Mayo, Romba-romba, reta, com 17cm de comprimento;</t>
  </si>
  <si>
    <t>48. 1-Tesoura de Dissecção Mayo, Romba-romba, curva, com 17cm de comprimento;</t>
  </si>
  <si>
    <t>FX.12.161</t>
  </si>
  <si>
    <t xml:space="preserve">Porta Agulha Mayo-Hegar, pontas retas, largas com serrilha cruzada e encaixe p/ agulha de sutura, 26cm </t>
  </si>
  <si>
    <t>47. 2-Porta Agulha Mayo Hegar, serrilhada, reta, com 26 cm de comprimento;</t>
  </si>
  <si>
    <t>46. 2-Porta Agulha Mayo Hegar, serilhada, reta, com 20 cm de comprimento;</t>
  </si>
  <si>
    <t>45. 3-Porta Agulha Mayo Hegar, serrilhada, reta, com 16 cm de comprimento;</t>
  </si>
  <si>
    <t>FX.11.917</t>
  </si>
  <si>
    <t>Heaney Porta Agulha, curvo e serrilhado, 21cm com videa - TC</t>
  </si>
  <si>
    <t>FX.12.173</t>
  </si>
  <si>
    <t>44. 1-Porta Agulha Heaney, serrilhada, curva, com 21 cm de comprimento;</t>
  </si>
  <si>
    <t>43. 8-Pinça Ochsner Kocher, 1x2 dentes, reta, com 18 cm de comprimento;</t>
  </si>
  <si>
    <t>42. 8-Pinça Ochsner Kocher, 1x2 dentes, curva, com 18 cm de comprimento;</t>
  </si>
  <si>
    <t>41. 2-Pinça Ochsner Kocher, 1x2 dentes, reta,com 16 cm de comprimento;</t>
  </si>
  <si>
    <t>40. 2-Pinça Ochsner Kocher, 1x2 dentes, curva, com 16 cm de comprimento;</t>
  </si>
  <si>
    <t xml:space="preserve">Pinça Mixter, curva, meio serrilhado, 19cm </t>
  </si>
  <si>
    <t>39. 2-Pinça Mixter, com 19 cm de comprimento;</t>
  </si>
  <si>
    <t>FX.10.381</t>
  </si>
  <si>
    <t>Pinça Kocher-Ochsnner, pontas retas, serrilhadas com 1x2 dentes, 24cm</t>
  </si>
  <si>
    <t>38. 2-Pinça Kocher, reta, com 25 cm de comprimento;</t>
  </si>
  <si>
    <t>FX.10.389</t>
  </si>
  <si>
    <t>Pinça Kocher-Ochsnner, pontas curvas, serrilhadas com 1x2 dentes, 24cm</t>
  </si>
  <si>
    <t>37. 2-Pinça Kocher, curva, com 25 cm de comprimento;</t>
  </si>
  <si>
    <t>36. 6-Pinça Arterial Kelly Rankin, reta, com 16 cm de comprimento;</t>
  </si>
  <si>
    <t>35. 6-Pinça Arterial Kelly Rankin, serrilhada, curva, com 16 cm de comprimento;</t>
  </si>
  <si>
    <t>FX.10.258</t>
  </si>
  <si>
    <t>Pinça Halsted-Mosquito, pontas retas, finas e serrilhadas, 14cm</t>
  </si>
  <si>
    <t>34. 4-Pinça Halstead Mosquito, reta, com 14 cm de comprimento;</t>
  </si>
  <si>
    <t>33. 4-Pinça Halstead Mosquito, curva, com 12,5 cm de comprimento;</t>
  </si>
  <si>
    <t>32. 1-Pinça Foerster, lisa, reta, com 25 cm de comprimento;</t>
  </si>
  <si>
    <t>31. 2-Pinça Faure, 1x2 dentes, levemente curvada, 20 cm de comprimento;</t>
  </si>
  <si>
    <t>30. 2-Pinça de Dissecção Anatômica, serrilhada, com 30 cm de comprimento;</t>
  </si>
  <si>
    <t>29. 3-Pinça de Dissecção Anatômica, serrilhada, com 18 cm de comprimento;</t>
  </si>
  <si>
    <t>28. 2-Pinça de Dissecção Dente de Rato, 1x2 dentes,com 25 cm de comprimento;</t>
  </si>
  <si>
    <t>27. 2-Pinça de Dissecção Dente de Rato, 1x2 dentes, com 20 cm de comprimento;</t>
  </si>
  <si>
    <t>26. 3-Pinça de Dissecção Dente de Rato, 1x2 dentes, com 18 cm de comprimento;</t>
  </si>
  <si>
    <t>25. 2-Pinça Allis, 5x6 dentes, com 19 cm de comprimento;</t>
  </si>
  <si>
    <t>24. 6-Pinça Allis, 5x6 dentes, com 15 cm de comprimento;</t>
  </si>
  <si>
    <t>FX.10.494</t>
  </si>
  <si>
    <t xml:space="preserve">Pinça Crafoord, pontas curvas e serrilhadas, 18cm </t>
  </si>
  <si>
    <t>23. 2-Pinça Crawford, curva, com 18 cm de comprimento;</t>
  </si>
  <si>
    <t>22. 2-Pinça Collin, com 16,5 cm de comprimento;</t>
  </si>
  <si>
    <t>20. 6-Pinça Backhaus, com 13 cm de comprimento;</t>
  </si>
  <si>
    <t>FX.16.322</t>
  </si>
  <si>
    <t xml:space="preserve">Babcock Pinça para Tecido, serrilhada, 24cm </t>
  </si>
  <si>
    <t>19. 2-Pinça de Apreensão Babcok, com 24 cm de comprimento;</t>
  </si>
  <si>
    <t>18. 2-Pinça de Apreensão Babcok, com 20 cm de comprimento;</t>
  </si>
  <si>
    <t>17. 1-Pinça Duval, atraumática, com 18 cm de comprimento;</t>
  </si>
  <si>
    <t>FX.10.080</t>
  </si>
  <si>
    <t>Pinça Anatômica Adson, pontas retas com 1x2 dentes, finas e serrilhadas, 18cm</t>
  </si>
  <si>
    <t>16. 1-Pinça Adson, 1x2 dentes, reta, com 18 cm de comprimento;</t>
  </si>
  <si>
    <t>15. 2-Pinça de Dissecção Anatômica, serrilhada, com 20 cm de comprimento;</t>
  </si>
  <si>
    <t>FX.11.138</t>
  </si>
  <si>
    <t xml:space="preserve">Espátula Maleáve, 50x330mm </t>
  </si>
  <si>
    <t>14. 1-Espátula Maleável, lâmina de 50 mm e com 33 cm de comprimento;</t>
  </si>
  <si>
    <t>13. 1-Cuba de rim, de inox;</t>
  </si>
  <si>
    <t xml:space="preserve">Cuba redonda, com 5,5 cm </t>
  </si>
  <si>
    <t>12. 1-Cuba redonda, com 5,5 cm de altura (+/-0,5cm);</t>
  </si>
  <si>
    <t>11. 1-Clamp Satinsky Debakey, com 20 cm de comprimento;</t>
  </si>
  <si>
    <t>8. 3-Alfinetes de Segurança Mayo, para esterilização, reto, com 14cm de comprimento;</t>
  </si>
  <si>
    <t>7. 2-Afastador Doyen,com lâmina de 85mmx45mm;</t>
  </si>
  <si>
    <t>6. 3-Afastador Doyen, com lâmina de 75mmx45mm;</t>
  </si>
  <si>
    <t>5. 2-Afastador Doyen, com lâmina de 115mmx45mm;</t>
  </si>
  <si>
    <t>4. 2-Afasatdor Farabeuf, com 15 cm de comprimento;</t>
  </si>
  <si>
    <t>2. 1-Aspirador, tipo Poole, curvo, com 22 cm de comprimento;</t>
  </si>
  <si>
    <t>Subitem 2.1 - Caixa para Laparotomia Adulto</t>
  </si>
  <si>
    <t>Placa de Identificação propria para a base de container, em aluminio na cor vermelha</t>
  </si>
  <si>
    <t>16. 1-Caixa perfurada, com travas, para armazenamento de todo conjunto</t>
  </si>
  <si>
    <t>Tesoura Metzembaum, curva, delicada, 15cm</t>
  </si>
  <si>
    <t>15. 2-Tesoura Metzembaum, curva, delicada, com 15cm de comprimento;</t>
  </si>
  <si>
    <t>FX.11.936</t>
  </si>
  <si>
    <t>Porta Agulha para Coronaria, delicado, 18cm</t>
  </si>
  <si>
    <t>14. 1-Porta Agulha para Coronaria, delicado, com 18cm de comprimento;</t>
  </si>
  <si>
    <t>13. 1-Porta Agulha Castroviejo, com travas, medindo 18cm de comprimento;</t>
  </si>
  <si>
    <t>12. 1-Porta Agulha Castroviejo, cabo redondo com trava, medindo 18cm</t>
  </si>
  <si>
    <t>AI01471</t>
  </si>
  <si>
    <t>Pinça Dinkhuysen, para dissecção de mamaria, 23cm</t>
  </si>
  <si>
    <t>11. 1-Pinça Dinkhuysen, para dissecção de mamaria, com 23cm de comprimento;</t>
  </si>
  <si>
    <t>05-391-00</t>
  </si>
  <si>
    <t xml:space="preserve">Tesoura Dietrich, lâminas anguladas  125º, muito finas com pontas agudas, 18cm </t>
  </si>
  <si>
    <t>10. 2-Pinça Dietrich, com 130° graus, medindo 18cm de comprimento;</t>
  </si>
  <si>
    <t>9. 2-Pinça Dietrich, com 60° graus, medindo 18cm de comprimento;</t>
  </si>
  <si>
    <t>8. 2-Pinça Dietrich, com 45° graus, medindo 18cm de comprimento;</t>
  </si>
  <si>
    <t>FX.13.901</t>
  </si>
  <si>
    <t xml:space="preserve">DeBakey-Diethrich Pinça, Atraumatica, 1.5mm, 15cm </t>
  </si>
  <si>
    <t>7. 4-Pinça Dietrich, delicada, com 16cm de comprimento;</t>
  </si>
  <si>
    <t>FX.14.260</t>
  </si>
  <si>
    <t xml:space="preserve">DeBakey/ Garret Dilator Vascular, 2.0mm, 19cm </t>
  </si>
  <si>
    <t>6. 1-Dilatador e Coronaria, medindo 2,0 mm de espessura;</t>
  </si>
  <si>
    <t>5. 1-Dilatador e Coronaria, medindo 1,75 mm de espessura;</t>
  </si>
  <si>
    <t>FX.14.259</t>
  </si>
  <si>
    <t xml:space="preserve">DeBakey/ Garret Dilator Vascular, 1.5mm, 19cm </t>
  </si>
  <si>
    <t>4. 1-Dilatador e Coronaria, medindo 1,5 mm de espessura;</t>
  </si>
  <si>
    <t>3. 1-Dilatador e Coronaria, medindo 1,25 mm de espessura;</t>
  </si>
  <si>
    <t>FX.14.258</t>
  </si>
  <si>
    <t xml:space="preserve">DeBakey/ Garret Dilator Vascular, 1.0mm, 19cm </t>
  </si>
  <si>
    <t>2. 1-Dilatador e Coronaria, medindo 1,0 mm de espessura;</t>
  </si>
  <si>
    <t>Subitem 1.3 - Caixa para Cirurgia Cardiovascular Delicada</t>
  </si>
  <si>
    <t>FX.60.666</t>
  </si>
  <si>
    <t>Cesto aramado compatível com box tamanho 1/1, com pés, dimensões  539x252x110 mm</t>
  </si>
  <si>
    <t>FX.60.009</t>
  </si>
  <si>
    <t>Tampa para container tamanho 1/1, com sistema de barreira permanente, silicone em toda extensão para perfeita vedação, cor vermelha</t>
  </si>
  <si>
    <t>54. 1-Caixa perfurada, com travas, para armazenamento de todo conjunto</t>
  </si>
  <si>
    <t>53. 2-Tesoura Metzenbaum, curva, com 23cm de comprimento;</t>
  </si>
  <si>
    <t>52. 4-Tesoura Metzenbaum, curva, com 20cm de comprimento;</t>
  </si>
  <si>
    <t>51. 2-Tesoura Metzenbaum, curva, com 14cm de comprimento;</t>
  </si>
  <si>
    <t>FX.10.608</t>
  </si>
  <si>
    <t xml:space="preserve">Pinça Presbyterian para tubos, pontas retas e lisas, 20cm </t>
  </si>
  <si>
    <t>50. 2-Tesoura de Tubo, reta forte, com 20cm de comprimento;</t>
  </si>
  <si>
    <t>49. 4-Tesoura de Mayo, reta, com 14cm de comprimento;</t>
  </si>
  <si>
    <t>48. 4-Porta Agulha Mayo Hegar com vídea, com 23cm de comprimento;</t>
  </si>
  <si>
    <t>47. 4-Porta Agulha Mayo Hegar, com vídea, com 20cm de comprimento;</t>
  </si>
  <si>
    <t>46. 1-Porta Agulha Mayo Hegar sem vídea, com 17cm de comprimento;</t>
  </si>
  <si>
    <t>45. 2-Porta Agulha Mayo Hegar com vídea, com 14cm de comprimento;</t>
  </si>
  <si>
    <t>FX.09.028</t>
  </si>
  <si>
    <t xml:space="preserve">Yankauer Canula de Sucção, 10mm, 29.5cm </t>
  </si>
  <si>
    <t>44. 2-Ponta de Aspirador Yankauer, com 30cm de comprimento;</t>
  </si>
  <si>
    <t>FX.12.399</t>
  </si>
  <si>
    <t xml:space="preserve">Alicate Torce Fio Mayo Hauberisser, 16cm, com videa - TC </t>
  </si>
  <si>
    <t>43. 2-Porta Agulha para Fio de Aço, com 16cm de comprimento;</t>
  </si>
  <si>
    <t>42. 1-Porta Agulha Castroviejo, cabo redondo com trava, com 18cm de comprimento;</t>
  </si>
  <si>
    <t>41. 4-Pinça Anatômica, reta, sem dente, com 18cm de comprimento;</t>
  </si>
  <si>
    <t>40. 2-Pinça Mixter Baby, com 19cm de comprimento;</t>
  </si>
  <si>
    <t xml:space="preserve">Pinça Reynald para tubos, pontas retas e lisas, 20cm </t>
  </si>
  <si>
    <t>39. 2-Pinça Reynald para tubo, reta, com 20cm de comprimento;</t>
  </si>
  <si>
    <t>38. 10-Pinça Kelly, curva, com 14cm de comprimento;</t>
  </si>
  <si>
    <t>37. 15-Pinça Mosquito Haltead, curva, com 12cm de comprimento;</t>
  </si>
  <si>
    <t>36. 15-Pinça Bakhaus, com curvatura e ponta fina, medindo 13cm de comprimento;</t>
  </si>
  <si>
    <t>35. 1-Pinça Cheron, com 24cm de comprimento;</t>
  </si>
  <si>
    <t>34. 4-Pinça Allys, reta, com 25cm de comprimento;</t>
  </si>
  <si>
    <t>QZ.900.04</t>
  </si>
  <si>
    <t>Pinça Saca Cálcia, para esquerda, 20cm</t>
  </si>
  <si>
    <t>33. 1-Pinça Saca Cálcia, para esquerda, com 20cm de comprimento;</t>
  </si>
  <si>
    <t>QZ.900.03</t>
  </si>
  <si>
    <t>Pinça Saca Cálcia, para direita, 20cm</t>
  </si>
  <si>
    <t>32. 1-Pinça Saca Cálcia, para direita, com 20cm de comprimento;</t>
  </si>
  <si>
    <t>QZ.900.01</t>
  </si>
  <si>
    <t>Pinça Saca Cálcia, reta, 20cm</t>
  </si>
  <si>
    <t>31. 1-Pinça Saca Cálcia, reta, com 20cm de comprimento;</t>
  </si>
  <si>
    <t>FX.14.126</t>
  </si>
  <si>
    <t xml:space="preserve">Clamp universal Cooley, parte funcional angulada em 15º com serrilha atraumática de 50mm, 17cm </t>
  </si>
  <si>
    <t>30. 2-Pinça Cooley Clamp, com 16,5cm de comprimento;</t>
  </si>
  <si>
    <t>QZ.420.01</t>
  </si>
  <si>
    <t>Pinça Debakey Rumel, curvo, 26cm</t>
  </si>
  <si>
    <t>29. 2-Pinça Debakey Rumel, curvo, com 26cm de comprimento;</t>
  </si>
  <si>
    <t>FX.14.105</t>
  </si>
  <si>
    <t>Pinça Clamp Vascular Potts, parte funcional reta com serrilha atraumática de 72mm, 23cm</t>
  </si>
  <si>
    <t>28. 2-Pinça Clamp Vascular, com 23cm de comprimento;</t>
  </si>
  <si>
    <t>FX.14.000</t>
  </si>
  <si>
    <t>Pinça Clamp Vascular, 18cm</t>
  </si>
  <si>
    <t>27. 2-Pinça Clamp Vascular, com 18cm de comprimento;</t>
  </si>
  <si>
    <t>QZ.321.32</t>
  </si>
  <si>
    <t>Pinça Debakey para Aorta, ponta angulada 60° , 32cm</t>
  </si>
  <si>
    <t>26. 2-Pinça Debakey para Aorta, ponta angulada 60° com 32cm de comprimento;</t>
  </si>
  <si>
    <t>FX.13.994</t>
  </si>
  <si>
    <t>Pinça Debakey para Coarctção, angulada no cabo, 17cm</t>
  </si>
  <si>
    <t>25. 2-Pinça Debakey para Coarctção, angulada no cabo, com 17cm de comprimento;</t>
  </si>
  <si>
    <t>Pinça Debakey para Coarctção, angulada no cabo, 23cm</t>
  </si>
  <si>
    <t>24. 2-Pinça Debakey para Coarctção, angulada no cabo, com 23cm de comprimento;</t>
  </si>
  <si>
    <t>FX.14.111</t>
  </si>
  <si>
    <t>Pinça Debakey para Aorta, curva, 30cm</t>
  </si>
  <si>
    <t>23. 2-Pinça Debakey para Aorta, curva, com 30cm de comprimento;</t>
  </si>
  <si>
    <t>QZ.217.34</t>
  </si>
  <si>
    <t>Pinça para Válvula Mitral, 34cm</t>
  </si>
  <si>
    <t>22. 1-Pinça para Válvula Mitral, com 34cm de comprimento;</t>
  </si>
  <si>
    <t>Pinça Saca Tronco, reta, 28cm, 9.5mm</t>
  </si>
  <si>
    <t>21. 1-Pinça Saca Trombro, com 28cm de comprimento;</t>
  </si>
  <si>
    <t>20. 2-Pinça Mixter Baby, curva forte, com 14cm de comprimento;</t>
  </si>
  <si>
    <t>19. 2-Pinça Mixter, curva delicada, com 23cm de comprimento;</t>
  </si>
  <si>
    <t>CRIAR</t>
  </si>
  <si>
    <t xml:space="preserve">Pinça Moynihan, pontas curvas e serrilhadas, 21cm </t>
  </si>
  <si>
    <t>18. 2-Pinça Moynihan, curva, com gremalheira, com 21cm de comprimento;</t>
  </si>
  <si>
    <t>QZ.490.33</t>
  </si>
  <si>
    <t>Gancho Mitral para Simpatectomia, adulto</t>
  </si>
  <si>
    <t>17. 2-Gancho Mitral para Simpatectomia, tamanho, adulto;</t>
  </si>
  <si>
    <t>FX.14.236</t>
  </si>
  <si>
    <t xml:space="preserve">Estilete para passar fios, ponta em gancho, 26cm </t>
  </si>
  <si>
    <t>16. 2-Estilete Rummel, passador de fio, com 26cm de comprimento;</t>
  </si>
  <si>
    <t xml:space="preserve">Simon Colher Uterina, afiada, 8.5mm, 20cm </t>
  </si>
  <si>
    <t>15. 2-Cureta tipo Simon, reta, com ponta rígida concha, com 8,5mm de diâmetro e 20CM</t>
  </si>
  <si>
    <t>FX.12.420</t>
  </si>
  <si>
    <t xml:space="preserve">Cortador de fios de aço, lâminas anguladas com wídea TC e corte diagonal, 20cm </t>
  </si>
  <si>
    <t>14. 1-Cortador de Fio de Aço, com 20 cm de comprimento;</t>
  </si>
  <si>
    <t>AI02167</t>
  </si>
  <si>
    <t>Cânula para Cardioplegia, tipo Dinkhuysen ponta 30°, 20cm</t>
  </si>
  <si>
    <t>13. 1-Cânula para Cardioplegia, tipo Dinkhuysen ponta 30°, cin 20cm de comprimento;</t>
  </si>
  <si>
    <t>AI02166</t>
  </si>
  <si>
    <t>Cânula para Cardioplegia, tipo Dinkhuysen ponta 90°, 20cm</t>
  </si>
  <si>
    <t>12. 1-Cânula para Cardioplegia, tipo Dinkhuysen ponta 90°, com 20cm de comprimento;</t>
  </si>
  <si>
    <t>11. 2-Cabo de Bisturi, n. 7, com 16,5cm de comprimento;</t>
  </si>
  <si>
    <t>10. 2-Cabo de Bisturi, n.4, com 13cm de comprimeno;</t>
  </si>
  <si>
    <t>FX.18.092</t>
  </si>
  <si>
    <t xml:space="preserve">Cabo de Bisturi, #3L, 20cm </t>
  </si>
  <si>
    <t>9. 2-Cabo de Bisturi, n. 3, longo, com 20cm de comprimento;</t>
  </si>
  <si>
    <t>8. 2-Afastador Farabeuf, tamanho grande, com 15cm de comprimento;</t>
  </si>
  <si>
    <t>QZ.010.04</t>
  </si>
  <si>
    <t>Afastador de externo, simples, 30cm</t>
  </si>
  <si>
    <t>7. 2-Afastador de externo, simples, com 30 cm de comprimento;</t>
  </si>
  <si>
    <t>FX.11.107</t>
  </si>
  <si>
    <t>Afastador Cooley, válvula aramada lisa, fenestrada, curva p/ direita, com dimensões de 45mm x 48mm, 21.5cm</t>
  </si>
  <si>
    <t>6. 1-Afastador Atril Direito, com 21 cm de comprimento;</t>
  </si>
  <si>
    <t>FX.11.108</t>
  </si>
  <si>
    <t>Afastador Cooley, válvula aramada serrilhada, fenestrada, curva p/direita, com dimensões de 45mm x 48mm, 21.5cm</t>
  </si>
  <si>
    <t>5. 1-Afastador Atril Esquerdo, com 21 cm de comprimento;</t>
  </si>
  <si>
    <t>QZ.044.02</t>
  </si>
  <si>
    <t>Afastador Ventrículo, tamanho médio, 20cm</t>
  </si>
  <si>
    <t>4. 2-Afastador Ventrículo, tamanho médio, com 20cm de comprimento;</t>
  </si>
  <si>
    <t>QZ.044.01</t>
  </si>
  <si>
    <t>Afastador Ventrículo, tamanho pequeno, 20cm</t>
  </si>
  <si>
    <t>3. 2-Afastador Ventrículo, tamanho pequeno, com 20cm de comprimento;</t>
  </si>
  <si>
    <t>FX.11.218</t>
  </si>
  <si>
    <t xml:space="preserve">Afastador Mollison, garras com 4 x 4 dentes agudos, hastes comcurva acentuada, movimento por cremalheira, 15cm </t>
  </si>
  <si>
    <t>2. 2-Afastador Autostático, com 4 ganchos no afastador, com 15 cm de comprimento;</t>
  </si>
  <si>
    <t>Subitem 1.2 - Caixa para Cirurgia de Válvula Cardíaca</t>
  </si>
  <si>
    <t>50. 1- Caixa perfurada, com travas, para armazenamento de todo conjunto de</t>
  </si>
  <si>
    <t>49. 4-Tesoura de Mayo, reta, com 14 cm de comprimento;</t>
  </si>
  <si>
    <t>48. 2-Tesoura de Tubo, reta forte, com 20 de comprimento;</t>
  </si>
  <si>
    <t>47. 2-Tesoura Metzenbaum, curva, com 23 cm de comprimento;</t>
  </si>
  <si>
    <t>46. 4-Tesoura Metzenbaum, curva, com 20 cm de comprimento;</t>
  </si>
  <si>
    <t>45. 2-Tesoura Metzenbaum, curva, com 14 cm de comprimento;</t>
  </si>
  <si>
    <t>44. 4-Porta Agulha Mayo, Hegar com vídea, sem 23 cm de comprimento;</t>
  </si>
  <si>
    <t>43. 4-Porta Agulha Mayo, Hegar sem vídea, com 18 cm de comprimento;</t>
  </si>
  <si>
    <t>42. 2-Porta Agulha Mayo, Hegar sem vídea, com14 cm de comprimento;</t>
  </si>
  <si>
    <t>41. 2-Porta Agulha Mayo, Hegar com vídea, com 14 cm de comprimento;</t>
  </si>
  <si>
    <t xml:space="preserve">Yankauer Canula de Sucção, 10mm,    29.5cm </t>
  </si>
  <si>
    <t>40. 2-Ponta de Aspirador Yankauer, com 30 cm de comprimento;</t>
  </si>
  <si>
    <t>39. 2-Porta Agulha para Fio de Aço, com 16 cm de comprimento;</t>
  </si>
  <si>
    <t>38. 1-Porta Agulha Castroviejo, com trava, com 18 cm de comprimento.</t>
  </si>
  <si>
    <t>37. 4-Pinça Anatômica, com 18 cm de comprimento;</t>
  </si>
  <si>
    <t>36. 2-Pinça Mixter Baby, 19 cm de comprimento;</t>
  </si>
  <si>
    <t>35. 1-Pinça Reynald para tubo, reta, com 20 cm de comprimento;</t>
  </si>
  <si>
    <t>34. 10-Pinça Kelly, reta, com 14 cm de comprimento;</t>
  </si>
  <si>
    <t>33. 15-Pinça Halsted Mosquito, curva, com 12 cm de comprimento;</t>
  </si>
  <si>
    <t>32. 15-Pinça Backhaus, com curvatura e ponta fina, com 13 cm de comprimento;</t>
  </si>
  <si>
    <t>31. 1-Pinça Cheron, com 24 cm de comprimento;</t>
  </si>
  <si>
    <t>30. 4-Pinça Allys, reta, de apreensão com cremalheira, com 25 cm de comprimento;</t>
  </si>
  <si>
    <t>29. 2-Pinça Cooley Clamp, com 16,5 cm de comprimento;</t>
  </si>
  <si>
    <t xml:space="preserve">Rumel Pinça Arterial, curva, 26cm </t>
  </si>
  <si>
    <t>28. 2-Pinça Debakey Rumel, curvo, com 26 cm de comprimento;</t>
  </si>
  <si>
    <t>Clamp universal Potts, parte funcional reta com serrilha atraumática de 72mm, 23cm</t>
  </si>
  <si>
    <t>27. 2-Pinça Clamp Vascular, com 23 cm de comprimento;</t>
  </si>
  <si>
    <t xml:space="preserve">DeBakey Pean Pinça Atraumatica Arterial, reta, 18cm </t>
  </si>
  <si>
    <t>26. 2-Pinça Clamp Vascular, com 18 cm de comprimento;</t>
  </si>
  <si>
    <t>Clamp universal Potts, parte funcional curva com serrilha atraumática de 100mm, 31.5cm</t>
  </si>
  <si>
    <t>25. 2-Pinça Debakey para Aorta, angulada 60°, com 32 cm de comprimento;</t>
  </si>
  <si>
    <t>Clamp De Bakey, parte funcional angulada em 15º com serrilha atraumática de 45mm, 17cm</t>
  </si>
  <si>
    <t>24. 2-Pinça Debakey para Coarctção, angulada no cabo com 17 cm de comprimento;</t>
  </si>
  <si>
    <t>23. 2-Pinça Debakey para Coarctção, angulada no cabo, com 23 cm de comprimento;</t>
  </si>
  <si>
    <t>DeBakey Aorta-Aneurysm-Clamp,curvo, 110mm, 30cm,dentes "DeBakey"</t>
  </si>
  <si>
    <t>22. 1-Pinça Debakey para Aorta, curva, com 30 cm de comprimento;</t>
  </si>
  <si>
    <t>FX.14.011</t>
  </si>
  <si>
    <t xml:space="preserve">Clamp Lambert-Kay, parte funcional com curvatura acentuada p/ trás,  concha com abertura de 50mm e serrilha atraumática, hastes em S, 21cm </t>
  </si>
  <si>
    <t>21. 1-Pinça Aorta Lambert Kay, com 22 cm de comprimento;</t>
  </si>
  <si>
    <t>20. 1-Pinça Derra baby, com 17 cm de comprimento;</t>
  </si>
  <si>
    <t>FX.13.992</t>
  </si>
  <si>
    <t xml:space="preserve">Clamp Derra, tangencial, parte funcional com abertura de 25mm e serrilha atraumática, hastes ligeiramente curvas, 18cm </t>
  </si>
  <si>
    <t>19. 1-Pinça Derra, com 18 cm de comprimento;</t>
  </si>
  <si>
    <t>FX.13.990</t>
  </si>
  <si>
    <t xml:space="preserve">Clamp Derra, tangencial, parte funcional com abertura de 16mm e serrilha atraumática, hastes ligeiramente curvas, 16cm </t>
  </si>
  <si>
    <t>18. 1-Pinça Derra, com 16 cm de comprimento;</t>
  </si>
  <si>
    <t>FX.14.556</t>
  </si>
  <si>
    <t xml:space="preserve">Semb Pinça Ligadura, curva, 24cm </t>
  </si>
  <si>
    <t>17. 1-Pinça Semb, não articulada, não cortante, com 24 cm de comprimento;</t>
  </si>
  <si>
    <t>16. 2-Pinça Mixter Baby, curva, com 14 cm de comprimento;</t>
  </si>
  <si>
    <t>15. 2-Pinça Mixter, curva delicada, com 23 cm de comprimento;</t>
  </si>
  <si>
    <t>14. 2-Pinça Moynihan, curva, com gremalheira, com 21 cm de comprimento;</t>
  </si>
  <si>
    <t xml:space="preserve">Estilete para passar fios, ponta em gancho, calibre de 1.5mm, 26cm </t>
  </si>
  <si>
    <t>13. 2-Estilete Rummel, com 26 cm de comprimento;</t>
  </si>
  <si>
    <t>12. 2-Cureta tipo Simon, reta, com ponta rígida concha, com 8,5 mm de diâmetro 20CM</t>
  </si>
  <si>
    <t>FX.13.961</t>
  </si>
  <si>
    <t xml:space="preserve">Gregory Bulldog Clamp, Atraumatica, maleavel, angulada, 11cm </t>
  </si>
  <si>
    <t>11. 4-Clamp tipo Bulldog, ponta angulada, com 12 mm de comprimento;</t>
  </si>
  <si>
    <t>13-190-20</t>
  </si>
  <si>
    <t>10. 2-Cortador de Fio de Aço, com 20 cm de comprimento;</t>
  </si>
  <si>
    <t>9. 2-Cabo de Bisturi, n° 7, com 16,5 cm de comprimento;</t>
  </si>
  <si>
    <t>8. 2-Cabo de Bisturi, n° 4, com 13 cm de comprimento;</t>
  </si>
  <si>
    <t>7. 2-Cabo de Bisturi, longo n° 3, com 20 cm de comprimento;</t>
  </si>
  <si>
    <t>6. 2-Afastador Farabeuf, tamanho grande, com 15 cm de comprimento;</t>
  </si>
  <si>
    <t xml:space="preserve">Afastador Mollison, garras com 4 x 4 dentes, 15cm </t>
  </si>
  <si>
    <t>5. 2-Afastador Autostático, com 4 ganchos no afastador, apresentando 15 cm</t>
  </si>
  <si>
    <t>FX.14.456</t>
  </si>
  <si>
    <t>Finochietto Afastador de Costelas, 74x64mm, 245mm - inclui acessórios</t>
  </si>
  <si>
    <t>4. 2-Afastador Finochietto, tamanho adulto, deverá vir com acessório para afastador finochietto aclopado;</t>
  </si>
  <si>
    <t>Afastador Dinkhuysen mamária, tamanho adulto</t>
  </si>
  <si>
    <t>3. 1-Afastador Dinkhuysen mamária, tamanho adulto;</t>
  </si>
  <si>
    <t>AI00743</t>
  </si>
  <si>
    <t>Acessório afastador mamária acoplado</t>
  </si>
  <si>
    <t>2. 2-Acessório afastador mamária acoplado.</t>
  </si>
  <si>
    <t>ICMS</t>
  </si>
  <si>
    <t xml:space="preserve">SUBITEM 1.1 - Caixa para Cirurgia Coronária </t>
  </si>
  <si>
    <t>TOTAL GERAL</t>
  </si>
  <si>
    <t>Avulsos: Cirurgia Cardíaca</t>
  </si>
  <si>
    <t>17.4</t>
  </si>
  <si>
    <t>Avulsos: Cirurgia Ginecológica e Obstetrícia</t>
  </si>
  <si>
    <t>17.3</t>
  </si>
  <si>
    <t>Avulsos: Cirurgia Ortopédicas</t>
  </si>
  <si>
    <t>17.2</t>
  </si>
  <si>
    <t>Avulsos: Cirurgia Neurológica</t>
  </si>
  <si>
    <t>17.1</t>
  </si>
  <si>
    <t>Valor Total sem ICMS</t>
  </si>
  <si>
    <t>Valor Unit sem ICMS</t>
  </si>
  <si>
    <t xml:space="preserve">Caixa de Instrumental </t>
  </si>
  <si>
    <t>SUBITEM</t>
  </si>
  <si>
    <t>Serviço Locação Instrumentais Avulsos</t>
  </si>
  <si>
    <t>CAIXA PERINEOPLASTIA</t>
  </si>
  <si>
    <t>16.3</t>
  </si>
  <si>
    <t>CAIXA CIRURGIA BASICA UROLOGIA</t>
  </si>
  <si>
    <t>16.2</t>
  </si>
  <si>
    <t>CAIXA CIRURGIA UROLOGIA INFANTIL</t>
  </si>
  <si>
    <t>16.1</t>
  </si>
  <si>
    <t>Serviço de Locação de Instrumetais para Cirurgia Urológica</t>
  </si>
  <si>
    <t>CAIXA CIRURGIA PLASTICA</t>
  </si>
  <si>
    <t>15.3</t>
  </si>
  <si>
    <t>CAIXA MAMOPLASTIA/ABDOMINOPLASTIA</t>
  </si>
  <si>
    <t>15.2</t>
  </si>
  <si>
    <t xml:space="preserve"> Não cotamos </t>
  </si>
  <si>
    <t>CAIXA LIPOASPIRAÇÃO</t>
  </si>
  <si>
    <t>15.1</t>
  </si>
  <si>
    <t>Serviço de Locação de Instrumetais para Cirurgia Plástica</t>
  </si>
  <si>
    <t>CAIXA CIRURGIA OMBRO</t>
  </si>
  <si>
    <t>14.4</t>
  </si>
  <si>
    <t>CAIXA CIRURGIA PÉ</t>
  </si>
  <si>
    <t>14.3</t>
  </si>
  <si>
    <t>CAIXA MICROCIRURGIA MÃO</t>
  </si>
  <si>
    <t>14.2</t>
  </si>
  <si>
    <t>CAIXA CIRURGIA MÃO</t>
  </si>
  <si>
    <t>14.1</t>
  </si>
  <si>
    <t>Serviço de Locação de Instrumetais para Cirurgia Ortopédicas</t>
  </si>
  <si>
    <t>CAIXA CIRURGIA FISTULA ARTERIOVENOSA</t>
  </si>
  <si>
    <t>13.2</t>
  </si>
  <si>
    <t>CAIXA CIRURGIA VASCULAR</t>
  </si>
  <si>
    <t>13.1</t>
  </si>
  <si>
    <t>Serviço de Locação de Instrumentais para Cirurgia Vascular</t>
  </si>
  <si>
    <t>CAIXA CIRURGIA CABEÇA E PESCOÇO</t>
  </si>
  <si>
    <t>12.1</t>
  </si>
  <si>
    <t>Serviço de Locação de Instrumetais para Cirurgia de Cabeça e pescoço</t>
  </si>
  <si>
    <t>CAIXA CIRURGIA BARIATRICA</t>
  </si>
  <si>
    <t>11.1</t>
  </si>
  <si>
    <t>Serviço de Locação de Instrumetais para Cirurgia Bariátrica</t>
  </si>
  <si>
    <t>CAIXA DE HEMORROIDECTOMIA</t>
  </si>
  <si>
    <t>10.1</t>
  </si>
  <si>
    <t>Serviço de Locação de Instrumetais para Cirurgias Coloproctologia</t>
  </si>
  <si>
    <t>CAIXA CIRURGICA EXTRAÇÃO BUCO</t>
  </si>
  <si>
    <t>9.2</t>
  </si>
  <si>
    <t>CAIXA CIRURGIA BUCOMAXILOFACIAL</t>
  </si>
  <si>
    <t>9.1</t>
  </si>
  <si>
    <t>Serviço de Locação de Instrumetais para Cirurgia Odontológicas</t>
  </si>
  <si>
    <t>CAIXA PARTO CESÁREA</t>
  </si>
  <si>
    <t>8.3</t>
  </si>
  <si>
    <t>CAIXA HISTERECTOMIA ABDOMINAL</t>
  </si>
  <si>
    <t>8.2</t>
  </si>
  <si>
    <t>CAIXA CURETAGEM UTERINA</t>
  </si>
  <si>
    <t>8.1</t>
  </si>
  <si>
    <t>Serviço de Locação de Instrumentais para Cirurgia Ginecológica e Obstetrícia</t>
  </si>
  <si>
    <t>CAIXA TORACOTOMIA INFANTIL</t>
  </si>
  <si>
    <t>7.2</t>
  </si>
  <si>
    <t>CAIXA CIRURGIA TORACOTOMIA</t>
  </si>
  <si>
    <t>7.1</t>
  </si>
  <si>
    <t>Serviço de Locação de Instrumentais para Cirurgias Torácica</t>
  </si>
  <si>
    <t>CAIXA APENDICECTOMIA E CISTOSTOMIA</t>
  </si>
  <si>
    <t>6.2</t>
  </si>
  <si>
    <t>CAIXA DE COLECISTECTOMIA</t>
  </si>
  <si>
    <t>6.1</t>
  </si>
  <si>
    <t>Serviço de Locação de Instrumentais para Cirurgias Gastroenterológica</t>
  </si>
  <si>
    <t>CAIXA BASICA NEUROCIRURGIA</t>
  </si>
  <si>
    <t>5.3</t>
  </si>
  <si>
    <t>CAIXA CIRURGIA CRANIOTOMIA</t>
  </si>
  <si>
    <t>5.2</t>
  </si>
  <si>
    <t>CAIXA DE LAMINECTOMIA</t>
  </si>
  <si>
    <t>5.1</t>
  </si>
  <si>
    <t>Serviço de Locação de Instrumetais para Cirurgia Neurológicas</t>
  </si>
  <si>
    <t>CAIXA OTORRINO PARA PS</t>
  </si>
  <si>
    <t>4.2</t>
  </si>
  <si>
    <t>CAIXA RINOPLASTIA</t>
  </si>
  <si>
    <t>4.1</t>
  </si>
  <si>
    <t>Serviço de Locação de Instrumentais para Cirurgia de Otorrinolaringologia</t>
  </si>
  <si>
    <t>CAIXA CIRURGIA GERAL PEQUENO PORTE</t>
  </si>
  <si>
    <t>3.2</t>
  </si>
  <si>
    <t>CAIXA CIRURGIA GERAL MEDIO PORTE</t>
  </si>
  <si>
    <t>3.1</t>
  </si>
  <si>
    <t>Serviço de Locação de Instrumentais para Cirurgia Geral</t>
  </si>
  <si>
    <t>CAIXA LAPAROTOMIA INFANTIL</t>
  </si>
  <si>
    <t>2.2</t>
  </si>
  <si>
    <t>CAIXA LAPAROTOMIA ADULTO</t>
  </si>
  <si>
    <t>2.1</t>
  </si>
  <si>
    <t>Serviço de Locação de Instrumentais para Cirurgia de Laparotomia</t>
  </si>
  <si>
    <t>CAIXA CIRURGIA CARDIOVASCULAR DELICADA</t>
  </si>
  <si>
    <t>1.3</t>
  </si>
  <si>
    <t>CAIXA CIRURGIA DE VÁLVULA CARDÍACA</t>
  </si>
  <si>
    <t>1.2</t>
  </si>
  <si>
    <t>CAIXA CIRURGIA CORONÁRIA</t>
  </si>
  <si>
    <t>1.1</t>
  </si>
  <si>
    <t>Serviço de Locação de Instrumentais para Cirurgia Cardíaca</t>
  </si>
  <si>
    <t>Valor Edital</t>
  </si>
  <si>
    <t>PESQUISA AGEIS</t>
  </si>
  <si>
    <r>
      <t xml:space="preserve">Constitui objeto desta licitação: </t>
    </r>
    <r>
      <rPr>
        <b/>
        <sz val="10"/>
        <color theme="1"/>
        <rFont val="Arial"/>
        <family val="2"/>
      </rPr>
      <t>Contratação de Serviço de Locação de Caixas de Instrumental Cirúrgico</t>
    </r>
    <r>
      <rPr>
        <sz val="10"/>
        <color theme="1"/>
        <rFont val="Arial"/>
        <family val="2"/>
      </rPr>
      <t>, para atender o Hospital Universitário do Oeste do Paraná</t>
    </r>
  </si>
  <si>
    <t xml:space="preserve">      Agência:                                                 Conta corrente:</t>
  </si>
  <si>
    <t>Banco:</t>
  </si>
  <si>
    <t>e-mail:</t>
  </si>
  <si>
    <t>Telefone:</t>
  </si>
  <si>
    <t>Estado:</t>
  </si>
  <si>
    <t>Cidade:</t>
  </si>
  <si>
    <t>CEP:</t>
  </si>
  <si>
    <t>Bairro:</t>
  </si>
  <si>
    <t>Endereço:</t>
  </si>
  <si>
    <t>Inscrição Estadual:</t>
  </si>
  <si>
    <t>CNPJ/CPF:</t>
  </si>
  <si>
    <t>Fornecedor:</t>
  </si>
  <si>
    <t>DADOS DO FORNECEDOR</t>
  </si>
  <si>
    <r>
      <t xml:space="preserve">Anexo III - </t>
    </r>
    <r>
      <rPr>
        <b/>
        <sz val="10"/>
        <color theme="1"/>
        <rFont val="Arial"/>
        <family val="2"/>
      </rPr>
      <t>PROPOSTA DE PREÇOS (MODELO DE DESCRITIVO)</t>
    </r>
  </si>
  <si>
    <t>FX.41.684</t>
  </si>
  <si>
    <t>FX.41.685</t>
  </si>
  <si>
    <t>FX.41.673</t>
  </si>
  <si>
    <t>FX.41.674</t>
  </si>
  <si>
    <t>FX.41.686</t>
  </si>
  <si>
    <t>FX.41.644</t>
  </si>
  <si>
    <t>FX.41.672</t>
  </si>
  <si>
    <t>FX.41.681</t>
  </si>
  <si>
    <t>FX.41.667</t>
  </si>
  <si>
    <t>FX.41.668</t>
  </si>
  <si>
    <t>FX.41.669</t>
  </si>
  <si>
    <t>FX.41.670</t>
  </si>
  <si>
    <t>FX.41.671</t>
  </si>
  <si>
    <t>FX.10.520</t>
  </si>
  <si>
    <t>FX.41.666</t>
  </si>
  <si>
    <t>FX.41.661</t>
  </si>
  <si>
    <t>FX.41.662</t>
  </si>
  <si>
    <t>FX.41.663</t>
  </si>
  <si>
    <t>FX.41.682</t>
  </si>
  <si>
    <t>FX.41.659</t>
  </si>
  <si>
    <t>FX.41.660</t>
  </si>
  <si>
    <t>FX.41.676</t>
  </si>
  <si>
    <t>07.0100.30</t>
  </si>
  <si>
    <t>07.2268.30</t>
  </si>
  <si>
    <t>07.0264.30</t>
  </si>
  <si>
    <t>FX.41.677</t>
  </si>
  <si>
    <t>FX.41.678</t>
  </si>
  <si>
    <t>FX.41.679</t>
  </si>
  <si>
    <t>FX.41.680</t>
  </si>
  <si>
    <t>FX.41.683</t>
  </si>
  <si>
    <t>05-905-14</t>
  </si>
  <si>
    <t>05-905-18</t>
  </si>
  <si>
    <t>FX.41.664</t>
  </si>
  <si>
    <t>FX.41.665</t>
  </si>
  <si>
    <t>FX.41.675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</si>
</sst>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R$-416]\ * #,##0.00_-;\-[$R$-416]\ * #,##0.00_-;_-[$R$-416]\ * &quot;-&quot;??_-;_-@_-"/>
    <numFmt numFmtId="165" formatCode="&quot;R$&quot;\ #,##0.0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color rgb="FF000000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  <font>
      <sz val="11"/>
      <name val="Calibri"/>
      <family val="2"/>
    </font>
    <font>
      <sz val="11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1"/>
      <color theme="1"/>
      <name val="Calibri"/>
      <family val="2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  <font>
      <sz val="10"/>
      <color theme="1"/>
      <name val="Aptos Narrow"/>
      <family val="2"/>
      <scheme val="minor"/>
    </font>
    <font>
      <sz val="14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4" tint="-0.499984740745262"/>
      <name val="Calibri"/>
      <family val="2"/>
    </font>
    <font>
      <b/>
      <sz val="12"/>
      <color theme="1"/>
      <name val="Arial"/>
      <family val="2"/>
    </font>
    <font>
      <sz val="8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theme="8" tint="0.79998168889431442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ont="0" applyFill="0" applyBorder="0" applyAlignment="0" applyProtection="0"/>
  </cellStyleXfs>
  <cellXfs count="136">
    <xf numFmtId="0" fontId="0" fillId="0" borderId="0" xfId="0"/>
    <xf numFmtId="9" fontId="0" fillId="0" borderId="0" xfId="3" applyFont="1"/>
    <xf numFmtId="164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3" fillId="0" borderId="0" xfId="0" applyFont="1"/>
    <xf numFmtId="9" fontId="4" fillId="2" borderId="1" xfId="3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9" fontId="0" fillId="0" borderId="3" xfId="3" applyFont="1" applyBorder="1"/>
    <xf numFmtId="164" fontId="0" fillId="0" borderId="3" xfId="0" applyNumberFormat="1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center" wrapText="1"/>
    </xf>
    <xf numFmtId="0" fontId="0" fillId="0" borderId="4" xfId="0" applyBorder="1"/>
    <xf numFmtId="0" fontId="0" fillId="0" borderId="4" xfId="0" applyBorder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0" fillId="3" borderId="0" xfId="0" applyFill="1" applyAlignment="1" applyProtection="1">
      <alignment horizontal="center" vertical="center"/>
      <protection locked="0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3" xfId="4" applyFont="1" applyBorder="1" applyAlignment="1">
      <alignment horizontal="left"/>
    </xf>
    <xf numFmtId="0" fontId="0" fillId="0" borderId="0" xfId="4" applyFont="1" applyBorder="1" applyAlignment="1">
      <alignment horizontal="left"/>
    </xf>
    <xf numFmtId="0" fontId="0" fillId="0" borderId="0" xfId="0" applyAlignment="1" applyProtection="1">
      <alignment horizontal="center" vertical="center"/>
      <protection locked="0"/>
    </xf>
    <xf numFmtId="9" fontId="4" fillId="2" borderId="5" xfId="3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/>
    </xf>
    <xf numFmtId="0" fontId="0" fillId="4" borderId="0" xfId="0" applyFill="1" applyAlignment="1" applyProtection="1">
      <alignment horizontal="center" vertical="center"/>
      <protection locked="0"/>
    </xf>
    <xf numFmtId="0" fontId="0" fillId="0" borderId="0" xfId="0" applyAlignment="1">
      <alignment wrapText="1"/>
    </xf>
    <xf numFmtId="0" fontId="7" fillId="0" borderId="3" xfId="4" applyFont="1" applyBorder="1" applyAlignment="1">
      <alignment horizontal="left"/>
    </xf>
    <xf numFmtId="0" fontId="7" fillId="0" borderId="0" xfId="0" applyFont="1"/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/>
    </xf>
    <xf numFmtId="0" fontId="0" fillId="0" borderId="0" xfId="0" applyAlignment="1" applyProtection="1">
      <alignment horizontal="left" vertical="center"/>
      <protection locked="0"/>
    </xf>
    <xf numFmtId="0" fontId="0" fillId="4" borderId="3" xfId="0" applyFill="1" applyBorder="1" applyAlignment="1">
      <alignment horizontal="center" wrapText="1"/>
    </xf>
    <xf numFmtId="0" fontId="0" fillId="3" borderId="0" xfId="0" applyFill="1" applyAlignment="1" applyProtection="1">
      <alignment horizontal="left" vertical="center"/>
      <protection locked="0"/>
    </xf>
    <xf numFmtId="0" fontId="0" fillId="4" borderId="0" xfId="0" applyFill="1" applyAlignment="1" applyProtection="1">
      <alignment horizontal="left" vertical="center"/>
      <protection locked="0"/>
    </xf>
    <xf numFmtId="165" fontId="0" fillId="0" borderId="0" xfId="0" applyNumberFormat="1" applyAlignment="1">
      <alignment horizontal="center"/>
    </xf>
    <xf numFmtId="0" fontId="7" fillId="0" borderId="6" xfId="0" applyFont="1" applyBorder="1" applyAlignment="1">
      <alignment horizontal="center"/>
    </xf>
    <xf numFmtId="0" fontId="0" fillId="5" borderId="0" xfId="0" applyFill="1" applyAlignment="1" applyProtection="1">
      <alignment horizontal="left" vertical="center"/>
      <protection locked="0"/>
    </xf>
    <xf numFmtId="0" fontId="0" fillId="3" borderId="0" xfId="0" applyFill="1"/>
    <xf numFmtId="0" fontId="0" fillId="4" borderId="3" xfId="0" applyFill="1" applyBorder="1"/>
    <xf numFmtId="0" fontId="9" fillId="6" borderId="3" xfId="0" applyFont="1" applyFill="1" applyBorder="1" applyAlignment="1">
      <alignment horizontal="left" vertical="center" wrapText="1"/>
    </xf>
    <xf numFmtId="0" fontId="0" fillId="7" borderId="0" xfId="0" applyFill="1" applyAlignment="1" applyProtection="1">
      <alignment horizontal="left" vertical="center"/>
      <protection locked="0"/>
    </xf>
    <xf numFmtId="0" fontId="3" fillId="3" borderId="0" xfId="0" applyFont="1" applyFill="1"/>
    <xf numFmtId="0" fontId="2" fillId="0" borderId="0" xfId="0" applyFont="1" applyAlignment="1">
      <alignment horizontal="center"/>
    </xf>
    <xf numFmtId="0" fontId="0" fillId="0" borderId="3" xfId="0" applyBorder="1" applyAlignment="1">
      <alignment wrapText="1"/>
    </xf>
    <xf numFmtId="0" fontId="3" fillId="0" borderId="3" xfId="0" applyFont="1" applyBorder="1" applyAlignment="1" applyProtection="1">
      <alignment horizontal="center" vertical="center" wrapText="1"/>
      <protection locked="0"/>
    </xf>
    <xf numFmtId="17" fontId="3" fillId="0" borderId="3" xfId="0" applyNumberFormat="1" applyFont="1" applyBorder="1" applyAlignment="1" applyProtection="1">
      <alignment horizontal="center" vertical="center" wrapText="1"/>
      <protection locked="0"/>
    </xf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0" fontId="5" fillId="4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3" fillId="7" borderId="3" xfId="0" applyFont="1" applyFill="1" applyBorder="1" applyAlignment="1" applyProtection="1">
      <alignment horizontal="center" vertical="center" wrapText="1"/>
      <protection locked="0"/>
    </xf>
    <xf numFmtId="0" fontId="11" fillId="4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0" fillId="0" borderId="3" xfId="2" applyNumberFormat="1" applyFont="1" applyBorder="1" applyAlignment="1" applyProtection="1">
      <alignment horizontal="left" vertical="center" wrapText="1"/>
      <protection hidden="1"/>
    </xf>
    <xf numFmtId="0" fontId="0" fillId="0" borderId="6" xfId="0" applyBorder="1" applyAlignment="1">
      <alignment horizontal="center"/>
    </xf>
    <xf numFmtId="0" fontId="0" fillId="0" borderId="3" xfId="0" applyBorder="1" applyAlignment="1" applyProtection="1">
      <alignment horizontal="left" vertical="center" wrapText="1"/>
      <protection hidden="1"/>
    </xf>
    <xf numFmtId="0" fontId="0" fillId="0" borderId="0" xfId="0" applyAlignment="1">
      <alignment horizontal="left"/>
    </xf>
    <xf numFmtId="0" fontId="0" fillId="8" borderId="0" xfId="0" applyFill="1" applyAlignment="1" applyProtection="1">
      <alignment horizontal="left" vertical="center"/>
      <protection locked="0"/>
    </xf>
    <xf numFmtId="0" fontId="0" fillId="0" borderId="2" xfId="4" applyFont="1" applyBorder="1" applyAlignment="1">
      <alignment horizontal="left"/>
    </xf>
    <xf numFmtId="0" fontId="0" fillId="0" borderId="2" xfId="0" applyBorder="1" applyAlignment="1">
      <alignment wrapText="1"/>
    </xf>
    <xf numFmtId="0" fontId="12" fillId="0" borderId="0" xfId="0" applyFont="1"/>
    <xf numFmtId="164" fontId="12" fillId="0" borderId="0" xfId="0" applyNumberFormat="1" applyFont="1"/>
    <xf numFmtId="43" fontId="12" fillId="0" borderId="0" xfId="1" applyFont="1"/>
    <xf numFmtId="0" fontId="12" fillId="0" borderId="0" xfId="0" applyFont="1" applyAlignment="1">
      <alignment horizontal="center"/>
    </xf>
    <xf numFmtId="8" fontId="0" fillId="0" borderId="0" xfId="0" applyNumberFormat="1"/>
    <xf numFmtId="0" fontId="12" fillId="0" borderId="0" xfId="0" applyFont="1" applyAlignment="1">
      <alignment horizontal="center" wrapText="1"/>
    </xf>
    <xf numFmtId="44" fontId="13" fillId="2" borderId="3" xfId="2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13" fillId="2" borderId="3" xfId="2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vertical="center"/>
    </xf>
    <xf numFmtId="0" fontId="12" fillId="0" borderId="3" xfId="0" applyFont="1" applyBorder="1" applyAlignment="1">
      <alignment horizontal="center" wrapText="1"/>
    </xf>
    <xf numFmtId="44" fontId="14" fillId="4" borderId="9" xfId="2" applyFont="1" applyFill="1" applyBorder="1" applyAlignment="1">
      <alignment vertical="center" wrapText="1"/>
    </xf>
    <xf numFmtId="164" fontId="14" fillId="4" borderId="3" xfId="3" applyNumberFormat="1" applyFont="1" applyFill="1" applyBorder="1" applyAlignment="1">
      <alignment horizontal="center" vertical="center" wrapText="1"/>
    </xf>
    <xf numFmtId="164" fontId="14" fillId="4" borderId="9" xfId="3" applyNumberFormat="1" applyFont="1" applyFill="1" applyBorder="1" applyAlignment="1">
      <alignment horizontal="center" vertical="center" wrapText="1"/>
    </xf>
    <xf numFmtId="0" fontId="14" fillId="9" borderId="3" xfId="0" applyFont="1" applyFill="1" applyBorder="1" applyAlignment="1">
      <alignment horizontal="center"/>
    </xf>
    <xf numFmtId="49" fontId="14" fillId="4" borderId="3" xfId="0" applyNumberFormat="1" applyFont="1" applyFill="1" applyBorder="1" applyAlignment="1">
      <alignment horizontal="left" vertical="center"/>
    </xf>
    <xf numFmtId="0" fontId="14" fillId="4" borderId="3" xfId="0" applyFont="1" applyFill="1" applyBorder="1" applyAlignment="1">
      <alignment horizontal="left" vertical="center"/>
    </xf>
    <xf numFmtId="0" fontId="12" fillId="0" borderId="9" xfId="0" applyFont="1" applyBorder="1" applyAlignment="1">
      <alignment horizontal="center" wrapText="1"/>
    </xf>
    <xf numFmtId="0" fontId="14" fillId="9" borderId="9" xfId="0" applyFont="1" applyFill="1" applyBorder="1" applyAlignment="1">
      <alignment horizontal="center"/>
    </xf>
    <xf numFmtId="0" fontId="14" fillId="4" borderId="9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43" fontId="12" fillId="0" borderId="0" xfId="1" applyFont="1" applyFill="1"/>
    <xf numFmtId="44" fontId="13" fillId="2" borderId="7" xfId="2" applyFont="1" applyFill="1" applyBorder="1" applyAlignment="1">
      <alignment vertical="center" wrapText="1"/>
    </xf>
    <xf numFmtId="0" fontId="13" fillId="2" borderId="10" xfId="2" applyNumberFormat="1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vertical="center"/>
    </xf>
    <xf numFmtId="0" fontId="13" fillId="2" borderId="8" xfId="2" applyNumberFormat="1" applyFont="1" applyFill="1" applyBorder="1" applyAlignment="1">
      <alignment horizontal="center" vertical="center"/>
    </xf>
    <xf numFmtId="0" fontId="14" fillId="0" borderId="3" xfId="0" applyFont="1" applyBorder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15" fillId="4" borderId="9" xfId="0" applyFont="1" applyFill="1" applyBorder="1" applyAlignment="1">
      <alignment horizontal="left" vertical="center"/>
    </xf>
    <xf numFmtId="49" fontId="16" fillId="4" borderId="9" xfId="0" applyNumberFormat="1" applyFont="1" applyFill="1" applyBorder="1" applyAlignment="1">
      <alignment horizontal="left" vertical="center"/>
    </xf>
    <xf numFmtId="44" fontId="13" fillId="2" borderId="4" xfId="2" applyFont="1" applyFill="1" applyBorder="1" applyAlignment="1">
      <alignment vertical="center" wrapText="1"/>
    </xf>
    <xf numFmtId="0" fontId="13" fillId="2" borderId="4" xfId="2" applyNumberFormat="1" applyFont="1" applyFill="1" applyBorder="1" applyAlignment="1">
      <alignment horizontal="center" vertical="center" wrapText="1"/>
    </xf>
    <xf numFmtId="0" fontId="13" fillId="2" borderId="4" xfId="2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44" fontId="13" fillId="2" borderId="1" xfId="2" applyFont="1" applyFill="1" applyBorder="1" applyAlignment="1">
      <alignment vertical="center" wrapText="1"/>
    </xf>
    <xf numFmtId="0" fontId="13" fillId="2" borderId="11" xfId="2" applyNumberFormat="1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13" fillId="2" borderId="2" xfId="2" applyNumberFormat="1" applyFont="1" applyFill="1" applyBorder="1" applyAlignment="1">
      <alignment horizontal="center" vertical="center"/>
    </xf>
    <xf numFmtId="164" fontId="12" fillId="11" borderId="0" xfId="0" applyNumberFormat="1" applyFont="1" applyFill="1"/>
    <xf numFmtId="49" fontId="0" fillId="4" borderId="3" xfId="0" applyNumberFormat="1" applyFill="1" applyBorder="1" applyAlignment="1">
      <alignment horizontal="left" vertical="center"/>
    </xf>
    <xf numFmtId="164" fontId="14" fillId="4" borderId="9" xfId="3" applyNumberFormat="1" applyFont="1" applyFill="1" applyBorder="1" applyAlignment="1">
      <alignment vertical="center" wrapText="1"/>
    </xf>
    <xf numFmtId="49" fontId="0" fillId="4" borderId="9" xfId="0" applyNumberFormat="1" applyFill="1" applyBorder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vertical="center"/>
    </xf>
    <xf numFmtId="44" fontId="13" fillId="2" borderId="7" xfId="2" applyFont="1" applyFill="1" applyBorder="1" applyAlignment="1">
      <alignment vertical="center"/>
    </xf>
    <xf numFmtId="43" fontId="17" fillId="0" borderId="0" xfId="1" applyFont="1" applyBorder="1" applyAlignment="1" applyProtection="1">
      <alignment vertical="center"/>
      <protection locked="0"/>
    </xf>
    <xf numFmtId="43" fontId="12" fillId="0" borderId="0" xfId="1" applyFont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/>
    <xf numFmtId="0" fontId="20" fillId="0" borderId="0" xfId="0" applyFont="1" applyAlignment="1">
      <alignment vertic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0" fontId="0" fillId="10" borderId="0" xfId="0" applyFill="1"/>
    <xf numFmtId="164" fontId="0" fillId="10" borderId="0" xfId="0" applyNumberFormat="1" applyFill="1"/>
    <xf numFmtId="0" fontId="3" fillId="10" borderId="0" xfId="0" applyFont="1" applyFill="1"/>
    <xf numFmtId="164" fontId="12" fillId="0" borderId="0" xfId="0" applyNumberFormat="1" applyFont="1" applyFill="1"/>
    <xf numFmtId="164" fontId="12" fillId="0" borderId="0" xfId="0" quotePrefix="1" applyNumberFormat="1" applyFont="1" applyFill="1"/>
    <xf numFmtId="8" fontId="12" fillId="0" borderId="0" xfId="0" applyNumberFormat="1" applyFont="1"/>
    <xf numFmtId="0" fontId="12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20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4" fillId="2" borderId="12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3" fillId="10" borderId="0" xfId="0" applyFont="1" applyFill="1" applyAlignment="1">
      <alignment horizontal="center"/>
    </xf>
    <xf numFmtId="0" fontId="0" fillId="7" borderId="0" xfId="0" applyFill="1"/>
    <xf numFmtId="0" fontId="0" fillId="12" borderId="0" xfId="0" applyFill="1"/>
    <xf numFmtId="0" fontId="3" fillId="7" borderId="0" xfId="0" applyFont="1" applyFill="1"/>
    <xf numFmtId="0" fontId="2" fillId="0" borderId="3" xfId="0" applyFont="1" applyBorder="1"/>
    <xf numFmtId="0" fontId="0" fillId="7" borderId="0" xfId="0" applyFill="1" applyAlignment="1" applyProtection="1">
      <alignment horizontal="center" vertical="center"/>
      <protection locked="0"/>
    </xf>
  </cellXfs>
  <cellStyles count="5">
    <cellStyle name="Moeda" xfId="2" builtinId="4"/>
    <cellStyle name="Normal" xfId="0" builtinId="0"/>
    <cellStyle name="Normal 2" xfId="4" xr:uid="{FC1DDB80-9266-4CCA-A3C4-002570462098}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484</xdr:row>
      <xdr:rowOff>25400</xdr:rowOff>
    </xdr:from>
    <xdr:ext cx="9525" cy="0"/>
    <xdr:pic>
      <xdr:nvPicPr>
        <xdr:cNvPr id="2" name="Imagem 1" descr="http://sistemaswebhom.einstein.br/CME/Imagens/nada.gif">
          <a:extLst>
            <a:ext uri="{FF2B5EF4-FFF2-40B4-BE49-F238E27FC236}">
              <a16:creationId xmlns:a16="http://schemas.microsoft.com/office/drawing/2014/main" id="{A1A2CF3C-B5D2-47DD-A835-865AA89B3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87622062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484</xdr:row>
      <xdr:rowOff>25400</xdr:rowOff>
    </xdr:from>
    <xdr:ext cx="9525" cy="0"/>
    <xdr:pic>
      <xdr:nvPicPr>
        <xdr:cNvPr id="3" name="Imagem 2" descr="http://sistemaswebhom.einstein.br/CME/Imagens/nada.gif">
          <a:extLst>
            <a:ext uri="{FF2B5EF4-FFF2-40B4-BE49-F238E27FC236}">
              <a16:creationId xmlns:a16="http://schemas.microsoft.com/office/drawing/2014/main" id="{FD7C9FFF-CAF9-46B6-8552-AF44EE3E8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87622062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536</xdr:row>
      <xdr:rowOff>25400</xdr:rowOff>
    </xdr:from>
    <xdr:ext cx="9525" cy="0"/>
    <xdr:pic>
      <xdr:nvPicPr>
        <xdr:cNvPr id="4" name="Imagem 3" descr="http://sistemaswebhom.einstein.br/CME/Imagens/nada.gif">
          <a:extLst>
            <a:ext uri="{FF2B5EF4-FFF2-40B4-BE49-F238E27FC236}">
              <a16:creationId xmlns:a16="http://schemas.microsoft.com/office/drawing/2014/main" id="{361DC5DE-A967-4C1B-ACA2-79CE3719F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97032762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536</xdr:row>
      <xdr:rowOff>25400</xdr:rowOff>
    </xdr:from>
    <xdr:ext cx="9525" cy="0"/>
    <xdr:pic>
      <xdr:nvPicPr>
        <xdr:cNvPr id="5" name="Imagem 4" descr="http://sistemaswebhom.einstein.br/CME/Imagens/nada.gif">
          <a:extLst>
            <a:ext uri="{FF2B5EF4-FFF2-40B4-BE49-F238E27FC236}">
              <a16:creationId xmlns:a16="http://schemas.microsoft.com/office/drawing/2014/main" id="{FEFE5755-B022-45ED-8EAD-EBC0D5F81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97032762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536</xdr:row>
      <xdr:rowOff>25400</xdr:rowOff>
    </xdr:from>
    <xdr:ext cx="9525" cy="0"/>
    <xdr:pic>
      <xdr:nvPicPr>
        <xdr:cNvPr id="6" name="Imagem 5" descr="http://sistemaswebhom.einstein.br/CME/Imagens/nada.gif">
          <a:extLst>
            <a:ext uri="{FF2B5EF4-FFF2-40B4-BE49-F238E27FC236}">
              <a16:creationId xmlns:a16="http://schemas.microsoft.com/office/drawing/2014/main" id="{D29794A4-A687-4AF7-B1D0-B099AE750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97032762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86f0888f8bade68b/Fentex%20Surgical/&#193;rea%20de%20Trabalho/HU%20PREGAO/Preg&#227;o%20Eletronico%20HUOP%20-%20Cota&#231;&#227;o%20CMETK%20v.2.xlsx" TargetMode="External"/><Relationship Id="rId1" Type="http://schemas.openxmlformats.org/officeDocument/2006/relationships/externalLinkPath" Target="https://d.docs.live.net/86f0888f8bade68b/Fentex%20Surgical/&#193;rea%20de%20Trabalho/HU%20PREGAO/Preg&#227;o%20Eletronico%20HUOP%20-%20Cota&#231;&#227;o%20CMETK%20v.2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mergu\AppData\Local\Packages\5319275A.WhatsAppDesktop_cv1g1gvanyjgm\LocalState\sessions\197BE78C5DABBB3A7D658E513A937D12D5012B4B\transfers\2026-08\C&#243;pia%20de%20codificar%20FX%20-inclus&#227;o%20forceps%20odonto%20reg%2019002%20inox.xlsx" TargetMode="External"/><Relationship Id="rId2" Type="http://schemas.microsoft.com/office/2019/04/relationships/externalLinkLongPath" Target="file:///C:\Users\mergu\AppData\Local\Packages\5319275A.WhatsAppDesktop_cv1g1gvanyjgm\LocalState\sessions\197BE78C5DABBB3A7D658E513A937D12D5012B4B\transfers\2026-08\C&#243;pia%20de%20codificar%20FX%20-inclus&#227;o%20forceps%20odonto%20reg%2019002%20inox.xlsx?FA06D31F" TargetMode="External"/><Relationship Id="rId1" Type="http://schemas.openxmlformats.org/officeDocument/2006/relationships/externalLinkPath" Target="file:///\\FA06D31F\C&#243;pia%20de%20codificar%20FX%20-inclus&#227;o%20forceps%20odonto%20reg%2019002%20ino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a"/>
      <sheetName val="1"/>
      <sheetName val="proposta pesquisa ageis"/>
      <sheetName val="PROPOSTA"/>
      <sheetName val="PROPOSTAS LISTA 2"/>
      <sheetName val="PROPOSTA LISTAS"/>
      <sheetName val="CORONÁRIA"/>
      <sheetName val="VÁLVULA CARDÍACA"/>
      <sheetName val="CARDIOVASCULAR DELICADA"/>
      <sheetName val="LAPARO ADULTO"/>
      <sheetName val="LAPARO INFANTIL"/>
      <sheetName val="GERAL MEDIA"/>
      <sheetName val="GERAL PEQUENA"/>
      <sheetName val="RINOPLASTIA"/>
      <sheetName val="OTORRINO PS"/>
      <sheetName val="LAMINECTOMIA"/>
      <sheetName val="CRANIOTOMIA"/>
      <sheetName val="NEUROCIRURGIA"/>
      <sheetName val="COLECISTECTOMIA"/>
      <sheetName val="APENDICE E CISTOSTOMIA"/>
      <sheetName val="TORACOTOMIA"/>
      <sheetName val="TORACOTOMIA INFANTIL"/>
      <sheetName val="CURETAGEM UTERINA"/>
      <sheetName val="HISTERECTOMIA ABDOMINAL"/>
      <sheetName val="CESÁREA"/>
      <sheetName val="BUCO"/>
      <sheetName val="EXTRAÇÃO BUCO"/>
      <sheetName val="HEMORROIDECTOMIA"/>
      <sheetName val="BARIATRICA"/>
      <sheetName val="CABEÇA PESCOÇO"/>
      <sheetName val="VASCULAR"/>
      <sheetName val="FISTULA ARTERIOVENOSA"/>
      <sheetName val="MÃO"/>
      <sheetName val="MICROCIRURGIA MÃO"/>
      <sheetName val="PÉ"/>
      <sheetName val="OMBRO"/>
      <sheetName val="LIPOASPIRAÇÃO"/>
      <sheetName val="MAMOPLASTIA ABDOM"/>
      <sheetName val="PLASTICA"/>
      <sheetName val=" UROLOGIA INFANTIL"/>
      <sheetName val="BASICA UROLOGIA"/>
      <sheetName val="PERINEOPLASTIA"/>
      <sheetName val="ADENOAMIGDALECTOMIA"/>
      <sheetName val="RINOSSEPTOPLASTIA"/>
      <sheetName val="TIMPANOPLASTIA E ESTAPEDOTOMIA"/>
      <sheetName val="BASE CRANIO"/>
      <sheetName val="AVULSO NEURO"/>
      <sheetName val="AVULSO ORTOP"/>
      <sheetName val="AVULSO GINECO"/>
      <sheetName val="AVULSO CARDIACA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6">
          <cell r="I56">
            <v>12968.103259438454</v>
          </cell>
        </row>
        <row r="779">
          <cell r="K779">
            <v>6475.591317942858</v>
          </cell>
        </row>
        <row r="880">
          <cell r="I880">
            <v>2419.3560000000002</v>
          </cell>
        </row>
        <row r="1009">
          <cell r="K1009">
            <v>2518.3078055999995</v>
          </cell>
        </row>
        <row r="1372">
          <cell r="K1372">
            <v>4142.8662637714297</v>
          </cell>
        </row>
        <row r="1423">
          <cell r="I1423">
            <v>5306.7177600000023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Plan1"/>
      <sheetName val="Plan2"/>
      <sheetName val="Plan3"/>
      <sheetName val="atualizar planilha cotaç"/>
    </sheetNames>
    <sheetDataSet>
      <sheetData sheetId="0"/>
      <sheetData sheetId="1"/>
      <sheetData sheetId="2"/>
      <sheetData sheetId="3">
        <row r="1">
          <cell r="B1" t="str">
            <v>CODIGO FENTEX</v>
          </cell>
        </row>
        <row r="2">
          <cell r="B2" t="str">
            <v>FX.41.663</v>
          </cell>
          <cell r="C2">
            <v>81897719002</v>
          </cell>
        </row>
        <row r="3">
          <cell r="B3" t="str">
            <v>FX.41.664</v>
          </cell>
          <cell r="C3">
            <v>81897719002</v>
          </cell>
        </row>
        <row r="4">
          <cell r="B4" t="str">
            <v>FX.41.665</v>
          </cell>
          <cell r="C4">
            <v>81897719002</v>
          </cell>
        </row>
        <row r="5">
          <cell r="B5" t="str">
            <v>FX.41.666</v>
          </cell>
          <cell r="C5">
            <v>81897719002</v>
          </cell>
        </row>
        <row r="6">
          <cell r="B6" t="str">
            <v>FX.41.667</v>
          </cell>
          <cell r="C6">
            <v>81897719002</v>
          </cell>
        </row>
        <row r="7">
          <cell r="B7" t="str">
            <v>FX.41.668</v>
          </cell>
          <cell r="C7">
            <v>81897719002</v>
          </cell>
        </row>
        <row r="8">
          <cell r="B8" t="str">
            <v>FX.41.669</v>
          </cell>
          <cell r="C8">
            <v>81897719002</v>
          </cell>
        </row>
        <row r="9">
          <cell r="B9" t="str">
            <v>FX.41.670</v>
          </cell>
          <cell r="C9">
            <v>81897719002</v>
          </cell>
        </row>
        <row r="10">
          <cell r="B10" t="str">
            <v>FX.41.671</v>
          </cell>
          <cell r="C10">
            <v>81897719002</v>
          </cell>
        </row>
        <row r="11">
          <cell r="B11" t="str">
            <v>FX.41.672</v>
          </cell>
          <cell r="C11">
            <v>81897719002</v>
          </cell>
        </row>
        <row r="12">
          <cell r="B12" t="str">
            <v>FX.41.673</v>
          </cell>
          <cell r="C12">
            <v>81897719002</v>
          </cell>
        </row>
        <row r="13">
          <cell r="B13" t="str">
            <v>FX.41.674</v>
          </cell>
          <cell r="C13">
            <v>81897719002</v>
          </cell>
        </row>
        <row r="14">
          <cell r="B14" t="str">
            <v>FX.41.675</v>
          </cell>
          <cell r="C14">
            <v>81897719002</v>
          </cell>
        </row>
        <row r="15">
          <cell r="B15" t="str">
            <v>FX.41.676</v>
          </cell>
          <cell r="C15">
            <v>81897719002</v>
          </cell>
        </row>
        <row r="16">
          <cell r="B16" t="str">
            <v>FX.41.677</v>
          </cell>
          <cell r="C16">
            <v>81897719002</v>
          </cell>
        </row>
        <row r="17">
          <cell r="B17" t="str">
            <v>FX.41.678</v>
          </cell>
          <cell r="C17">
            <v>81897719002</v>
          </cell>
        </row>
        <row r="18">
          <cell r="B18" t="str">
            <v>FX.41.679</v>
          </cell>
          <cell r="C18">
            <v>81897719002</v>
          </cell>
        </row>
        <row r="19">
          <cell r="B19" t="str">
            <v>FX.41.680</v>
          </cell>
          <cell r="C19">
            <v>81897719002</v>
          </cell>
        </row>
        <row r="20">
          <cell r="B20" t="str">
            <v>FX.41.681</v>
          </cell>
          <cell r="C20">
            <v>81897719002</v>
          </cell>
        </row>
        <row r="21">
          <cell r="B21" t="str">
            <v>FX.41.682</v>
          </cell>
          <cell r="C21">
            <v>81897719002</v>
          </cell>
        </row>
        <row r="22">
          <cell r="B22" t="str">
            <v>FX.41.683</v>
          </cell>
          <cell r="C22">
            <v>81897719002</v>
          </cell>
        </row>
        <row r="23">
          <cell r="B23" t="str">
            <v>FX.41.684</v>
          </cell>
          <cell r="C23">
            <v>81897719002</v>
          </cell>
        </row>
        <row r="24">
          <cell r="B24" t="str">
            <v>FX.41.685</v>
          </cell>
          <cell r="C24">
            <v>81897719002</v>
          </cell>
        </row>
        <row r="25">
          <cell r="B25" t="str">
            <v>FX.41.686</v>
          </cell>
          <cell r="C25">
            <v>81897719002</v>
          </cell>
        </row>
        <row r="26">
          <cell r="B26" t="str">
            <v>FX.41.687</v>
          </cell>
          <cell r="C26">
            <v>81897719002</v>
          </cell>
        </row>
        <row r="27">
          <cell r="B27" t="str">
            <v>FX.41.688</v>
          </cell>
          <cell r="C27">
            <v>81897719002</v>
          </cell>
        </row>
        <row r="28">
          <cell r="B28" t="str">
            <v>FX.41.689</v>
          </cell>
          <cell r="C28">
            <v>81897719002</v>
          </cell>
        </row>
        <row r="29">
          <cell r="B29" t="str">
            <v>FX.41.690</v>
          </cell>
          <cell r="C29">
            <v>81897719002</v>
          </cell>
        </row>
        <row r="30">
          <cell r="B30" t="str">
            <v>FX.41.691</v>
          </cell>
          <cell r="C30">
            <v>81897719002</v>
          </cell>
        </row>
        <row r="31">
          <cell r="B31" t="str">
            <v>FX.41.692</v>
          </cell>
          <cell r="C31">
            <v>81897719002</v>
          </cell>
        </row>
        <row r="32">
          <cell r="B32" t="str">
            <v>FX.41.693</v>
          </cell>
          <cell r="C32">
            <v>81897719002</v>
          </cell>
        </row>
        <row r="33">
          <cell r="B33" t="str">
            <v>FX.41.694</v>
          </cell>
          <cell r="C33">
            <v>81897719002</v>
          </cell>
        </row>
        <row r="34">
          <cell r="B34" t="str">
            <v>FX.41.695</v>
          </cell>
          <cell r="C34">
            <v>81897719002</v>
          </cell>
        </row>
        <row r="35">
          <cell r="B35" t="str">
            <v>FX.41.696</v>
          </cell>
          <cell r="C35">
            <v>81897719002</v>
          </cell>
        </row>
        <row r="36">
          <cell r="B36" t="str">
            <v>FX.41.697</v>
          </cell>
          <cell r="C36">
            <v>81897719002</v>
          </cell>
        </row>
        <row r="37">
          <cell r="B37" t="str">
            <v>FX.41.698</v>
          </cell>
          <cell r="C37">
            <v>81897719002</v>
          </cell>
        </row>
        <row r="38">
          <cell r="B38" t="str">
            <v>FX.41.699</v>
          </cell>
          <cell r="C38">
            <v>81897719002</v>
          </cell>
        </row>
        <row r="39">
          <cell r="B39" t="str">
            <v>FX.41.700</v>
          </cell>
          <cell r="C39">
            <v>81897719002</v>
          </cell>
        </row>
        <row r="40">
          <cell r="B40" t="str">
            <v>FX.41.701</v>
          </cell>
          <cell r="C40">
            <v>81897719002</v>
          </cell>
        </row>
        <row r="41">
          <cell r="B41" t="str">
            <v>FX.41.702</v>
          </cell>
          <cell r="C41">
            <v>81897719002</v>
          </cell>
        </row>
        <row r="42">
          <cell r="B42" t="str">
            <v>FX.41.703</v>
          </cell>
          <cell r="C42">
            <v>81897719002</v>
          </cell>
        </row>
        <row r="43">
          <cell r="B43" t="str">
            <v>FX.41.704</v>
          </cell>
          <cell r="C43">
            <v>81897719002</v>
          </cell>
        </row>
        <row r="44">
          <cell r="B44" t="str">
            <v>FX.41.705</v>
          </cell>
          <cell r="C44">
            <v>81897719002</v>
          </cell>
        </row>
        <row r="45">
          <cell r="B45" t="str">
            <v>FX.41.706</v>
          </cell>
          <cell r="C45">
            <v>81897719002</v>
          </cell>
        </row>
        <row r="46">
          <cell r="B46" t="str">
            <v>FX.41.707</v>
          </cell>
          <cell r="C46">
            <v>81897719002</v>
          </cell>
        </row>
        <row r="47">
          <cell r="B47" t="str">
            <v>FX.41.708</v>
          </cell>
          <cell r="C47">
            <v>81897719002</v>
          </cell>
        </row>
        <row r="48">
          <cell r="B48" t="str">
            <v>FX.41.709</v>
          </cell>
          <cell r="C48">
            <v>81897719002</v>
          </cell>
        </row>
        <row r="49">
          <cell r="B49" t="str">
            <v>FX.41.710</v>
          </cell>
          <cell r="C49">
            <v>81897719002</v>
          </cell>
        </row>
        <row r="50">
          <cell r="B50" t="str">
            <v>FX.41.711</v>
          </cell>
          <cell r="C50">
            <v>81897719002</v>
          </cell>
        </row>
        <row r="51">
          <cell r="B51" t="str">
            <v>FX.41.712</v>
          </cell>
          <cell r="C51">
            <v>81897719002</v>
          </cell>
        </row>
        <row r="52">
          <cell r="B52" t="str">
            <v>FX.41.713</v>
          </cell>
          <cell r="C52">
            <v>81897719002</v>
          </cell>
        </row>
        <row r="53">
          <cell r="B53" t="str">
            <v>FX.41.714</v>
          </cell>
          <cell r="C53">
            <v>81897719002</v>
          </cell>
        </row>
        <row r="54">
          <cell r="B54" t="str">
            <v>FX.41.715</v>
          </cell>
          <cell r="C54">
            <v>81897719002</v>
          </cell>
        </row>
        <row r="55">
          <cell r="B55" t="str">
            <v>FX.41.716</v>
          </cell>
          <cell r="C55">
            <v>81897719002</v>
          </cell>
        </row>
        <row r="56">
          <cell r="B56" t="str">
            <v>FX.41.717</v>
          </cell>
          <cell r="C56">
            <v>81897719002</v>
          </cell>
        </row>
        <row r="57">
          <cell r="B57" t="str">
            <v>FX.41.718</v>
          </cell>
          <cell r="C57">
            <v>81897719002</v>
          </cell>
        </row>
        <row r="58">
          <cell r="B58" t="str">
            <v>FX.41.719</v>
          </cell>
          <cell r="C58">
            <v>81897719002</v>
          </cell>
        </row>
        <row r="59">
          <cell r="B59" t="str">
            <v>FX.41.720</v>
          </cell>
          <cell r="C59">
            <v>81897719002</v>
          </cell>
        </row>
        <row r="60">
          <cell r="B60" t="str">
            <v>FX.41.721</v>
          </cell>
          <cell r="C60">
            <v>81897719002</v>
          </cell>
        </row>
        <row r="61">
          <cell r="B61" t="str">
            <v>FX.41.737</v>
          </cell>
          <cell r="C61">
            <v>81897719002</v>
          </cell>
        </row>
        <row r="62">
          <cell r="B62" t="str">
            <v>FX.41.738</v>
          </cell>
          <cell r="C62">
            <v>81897719002</v>
          </cell>
        </row>
        <row r="63">
          <cell r="B63" t="str">
            <v>FX.41.739</v>
          </cell>
          <cell r="C63">
            <v>81897719002</v>
          </cell>
        </row>
        <row r="64">
          <cell r="B64" t="str">
            <v>FX.41.740</v>
          </cell>
          <cell r="C64">
            <v>81897719002</v>
          </cell>
        </row>
        <row r="65">
          <cell r="B65" t="str">
            <v>FX.41.741</v>
          </cell>
          <cell r="C65">
            <v>81897719002</v>
          </cell>
        </row>
        <row r="66">
          <cell r="B66" t="str">
            <v>FX.41.742</v>
          </cell>
          <cell r="C66">
            <v>81897719002</v>
          </cell>
        </row>
        <row r="67">
          <cell r="B67" t="str">
            <v>FX.41.743</v>
          </cell>
          <cell r="C67">
            <v>81897719002</v>
          </cell>
        </row>
        <row r="68">
          <cell r="B68" t="str">
            <v>FX.41.744</v>
          </cell>
          <cell r="C68">
            <v>81897719002</v>
          </cell>
        </row>
        <row r="69">
          <cell r="B69" t="str">
            <v>FX.41.745</v>
          </cell>
          <cell r="C69">
            <v>81897719002</v>
          </cell>
        </row>
        <row r="70">
          <cell r="B70" t="str">
            <v>FX.41.746</v>
          </cell>
          <cell r="C70">
            <v>81897719002</v>
          </cell>
        </row>
        <row r="71">
          <cell r="B71" t="str">
            <v>FX.41.747</v>
          </cell>
          <cell r="C71">
            <v>81897719002</v>
          </cell>
        </row>
        <row r="72">
          <cell r="B72" t="str">
            <v>FX.41.652</v>
          </cell>
          <cell r="C72">
            <v>81897719002</v>
          </cell>
        </row>
        <row r="73">
          <cell r="B73" t="str">
            <v>FX.41.748</v>
          </cell>
          <cell r="C73">
            <v>81897719002</v>
          </cell>
        </row>
        <row r="74">
          <cell r="B74" t="str">
            <v>FX.41.749</v>
          </cell>
          <cell r="C74">
            <v>81897719002</v>
          </cell>
        </row>
        <row r="75">
          <cell r="B75" t="str">
            <v>FX.41.656</v>
          </cell>
          <cell r="C75">
            <v>81897719002</v>
          </cell>
        </row>
        <row r="76">
          <cell r="B76" t="str">
            <v>FX.41.657</v>
          </cell>
          <cell r="C76">
            <v>81897719002</v>
          </cell>
        </row>
        <row r="77">
          <cell r="B77" t="str">
            <v>FX.41.750</v>
          </cell>
          <cell r="C77">
            <v>81897719002</v>
          </cell>
        </row>
        <row r="78">
          <cell r="B78" t="str">
            <v>FX.41.751</v>
          </cell>
          <cell r="C78">
            <v>81897719002</v>
          </cell>
        </row>
        <row r="79">
          <cell r="B79" t="str">
            <v>FX.41.752</v>
          </cell>
          <cell r="C79">
            <v>81897719002</v>
          </cell>
        </row>
        <row r="80">
          <cell r="B80" t="str">
            <v>FX.41.753</v>
          </cell>
          <cell r="C80">
            <v>81897719002</v>
          </cell>
        </row>
        <row r="81">
          <cell r="B81" t="str">
            <v>FX.41.754</v>
          </cell>
          <cell r="C81">
            <v>81897719002</v>
          </cell>
        </row>
        <row r="82">
          <cell r="B82" t="str">
            <v>FX.41.658</v>
          </cell>
          <cell r="C82">
            <v>81897719002</v>
          </cell>
        </row>
        <row r="83">
          <cell r="B83" t="str">
            <v>FX.41.755</v>
          </cell>
          <cell r="C83">
            <v>81897719002</v>
          </cell>
        </row>
        <row r="84">
          <cell r="B84" t="str">
            <v>FX.41.756</v>
          </cell>
          <cell r="C84">
            <v>81897719002</v>
          </cell>
        </row>
        <row r="85">
          <cell r="B85" t="str">
            <v>FX.41.757</v>
          </cell>
          <cell r="C85">
            <v>81897719002</v>
          </cell>
        </row>
        <row r="86">
          <cell r="B86" t="str">
            <v>FX.41.653</v>
          </cell>
          <cell r="C86">
            <v>81897719002</v>
          </cell>
        </row>
        <row r="87">
          <cell r="B87" t="str">
            <v>FX.41.758</v>
          </cell>
          <cell r="C87">
            <v>81897719002</v>
          </cell>
        </row>
        <row r="88">
          <cell r="B88" t="str">
            <v>FX.41.759</v>
          </cell>
          <cell r="C88">
            <v>81897719002</v>
          </cell>
        </row>
        <row r="89">
          <cell r="B89" t="str">
            <v>FX.41.760</v>
          </cell>
          <cell r="C89">
            <v>81897719002</v>
          </cell>
        </row>
        <row r="90">
          <cell r="B90" t="str">
            <v>FX.41.761</v>
          </cell>
          <cell r="C90">
            <v>81897719002</v>
          </cell>
        </row>
        <row r="91">
          <cell r="B91" t="str">
            <v>FX.41.762</v>
          </cell>
          <cell r="C91">
            <v>81897719002</v>
          </cell>
        </row>
        <row r="92">
          <cell r="B92" t="str">
            <v>FX.41.763</v>
          </cell>
          <cell r="C92">
            <v>81897719002</v>
          </cell>
        </row>
        <row r="93">
          <cell r="B93" t="str">
            <v>FX.41.655</v>
          </cell>
          <cell r="C93">
            <v>81897719002</v>
          </cell>
        </row>
        <row r="94">
          <cell r="B94" t="str">
            <v>FX.41.764</v>
          </cell>
          <cell r="C94">
            <v>81897719002</v>
          </cell>
        </row>
        <row r="95">
          <cell r="B95" t="str">
            <v>FX.41.654</v>
          </cell>
          <cell r="C95">
            <v>81897719002</v>
          </cell>
        </row>
        <row r="96">
          <cell r="B96" t="str">
            <v>FX.41.765</v>
          </cell>
          <cell r="C96">
            <v>81897719002</v>
          </cell>
        </row>
        <row r="97">
          <cell r="B97" t="str">
            <v>FX.41.766</v>
          </cell>
          <cell r="C97">
            <v>81897719002</v>
          </cell>
        </row>
        <row r="98">
          <cell r="B98" t="str">
            <v>FX.41.767</v>
          </cell>
          <cell r="C98">
            <v>81897719002</v>
          </cell>
        </row>
        <row r="99">
          <cell r="B99" t="str">
            <v>FX.41.768</v>
          </cell>
          <cell r="C99">
            <v>81897719002</v>
          </cell>
        </row>
        <row r="100">
          <cell r="B100" t="str">
            <v>FX.41.769</v>
          </cell>
          <cell r="C100">
            <v>81897719002</v>
          </cell>
        </row>
        <row r="101">
          <cell r="B101" t="str">
            <v>FX.41.770</v>
          </cell>
          <cell r="C101">
            <v>81897719002</v>
          </cell>
        </row>
        <row r="102">
          <cell r="B102" t="str">
            <v>FX.41.771</v>
          </cell>
          <cell r="C102">
            <v>81897719002</v>
          </cell>
        </row>
        <row r="103">
          <cell r="B103" t="str">
            <v>FX.41.772</v>
          </cell>
          <cell r="C103">
            <v>81897719002</v>
          </cell>
        </row>
        <row r="104">
          <cell r="B104" t="str">
            <v>FX.41.773</v>
          </cell>
          <cell r="C104">
            <v>81897719002</v>
          </cell>
        </row>
        <row r="105">
          <cell r="B105" t="str">
            <v>FX.41.649</v>
          </cell>
          <cell r="C105">
            <v>81897719002</v>
          </cell>
        </row>
        <row r="106">
          <cell r="B106" t="str">
            <v>FX.41.650</v>
          </cell>
          <cell r="C106">
            <v>81897719002</v>
          </cell>
        </row>
        <row r="107">
          <cell r="B107" t="str">
            <v>FX.41.651</v>
          </cell>
          <cell r="C107">
            <v>81897719002</v>
          </cell>
        </row>
        <row r="108">
          <cell r="B108" t="str">
            <v>FX.41.774</v>
          </cell>
          <cell r="C108">
            <v>81897719002</v>
          </cell>
        </row>
        <row r="109">
          <cell r="B109" t="str">
            <v>FX.41.775</v>
          </cell>
          <cell r="C109">
            <v>81897719002</v>
          </cell>
        </row>
        <row r="110">
          <cell r="B110" t="str">
            <v>FX.41.776</v>
          </cell>
          <cell r="C110">
            <v>81897719002</v>
          </cell>
        </row>
        <row r="111">
          <cell r="B111" t="str">
            <v>FX.41.777</v>
          </cell>
          <cell r="C111">
            <v>81897719002</v>
          </cell>
        </row>
        <row r="112">
          <cell r="B112" t="str">
            <v>FX.41.778</v>
          </cell>
          <cell r="C112">
            <v>81897719002</v>
          </cell>
        </row>
        <row r="113">
          <cell r="B113" t="str">
            <v>FX.41.779</v>
          </cell>
          <cell r="C113">
            <v>81897719002</v>
          </cell>
        </row>
        <row r="114">
          <cell r="B114" t="str">
            <v>FX.41.780</v>
          </cell>
          <cell r="C114">
            <v>81897719002</v>
          </cell>
        </row>
        <row r="115">
          <cell r="B115" t="str">
            <v>FX.41.781</v>
          </cell>
          <cell r="C115">
            <v>81897719002</v>
          </cell>
        </row>
        <row r="116">
          <cell r="B116" t="str">
            <v>FX.41.782</v>
          </cell>
          <cell r="C116">
            <v>81897719002</v>
          </cell>
        </row>
        <row r="117">
          <cell r="B117" t="str">
            <v>FX.41.783</v>
          </cell>
          <cell r="C117">
            <v>81897719002</v>
          </cell>
        </row>
        <row r="118">
          <cell r="B118" t="str">
            <v>FX.41.784</v>
          </cell>
          <cell r="C118">
            <v>81897719002</v>
          </cell>
        </row>
        <row r="119">
          <cell r="B119" t="str">
            <v>FX.41.785</v>
          </cell>
          <cell r="C119">
            <v>81897719002</v>
          </cell>
        </row>
        <row r="120">
          <cell r="B120" t="str">
            <v>FX.41.786</v>
          </cell>
          <cell r="C120">
            <v>81897719002</v>
          </cell>
        </row>
        <row r="121">
          <cell r="B121" t="str">
            <v>FX.41.787</v>
          </cell>
          <cell r="C121">
            <v>81897719002</v>
          </cell>
        </row>
        <row r="122">
          <cell r="B122" t="str">
            <v>FX.41.788</v>
          </cell>
          <cell r="C122">
            <v>81897719002</v>
          </cell>
        </row>
        <row r="123">
          <cell r="B123" t="str">
            <v>FX.41.789</v>
          </cell>
          <cell r="C123">
            <v>81897719002</v>
          </cell>
        </row>
        <row r="124">
          <cell r="B124" t="str">
            <v>FX.41.790</v>
          </cell>
          <cell r="C124">
            <v>81897719002</v>
          </cell>
        </row>
        <row r="125">
          <cell r="B125" t="str">
            <v>FX.41.791</v>
          </cell>
          <cell r="C125">
            <v>81897719002</v>
          </cell>
        </row>
        <row r="126">
          <cell r="B126" t="str">
            <v>FX.41.792</v>
          </cell>
          <cell r="C126">
            <v>81897719002</v>
          </cell>
        </row>
        <row r="127">
          <cell r="B127" t="str">
            <v>FX.41.793</v>
          </cell>
          <cell r="C127">
            <v>81897719002</v>
          </cell>
        </row>
        <row r="128">
          <cell r="B128" t="str">
            <v>FX.41.794</v>
          </cell>
          <cell r="C128">
            <v>81897719002</v>
          </cell>
        </row>
        <row r="129">
          <cell r="B129" t="str">
            <v>FX.41.795</v>
          </cell>
          <cell r="C129">
            <v>81897719002</v>
          </cell>
        </row>
        <row r="130">
          <cell r="B130" t="str">
            <v>FX.41.796</v>
          </cell>
          <cell r="C130">
            <v>81897719002</v>
          </cell>
        </row>
        <row r="131">
          <cell r="B131" t="str">
            <v>FX.41.797</v>
          </cell>
          <cell r="C131">
            <v>81897719002</v>
          </cell>
        </row>
        <row r="132">
          <cell r="B132" t="str">
            <v>FX.41.798</v>
          </cell>
          <cell r="C132">
            <v>81897719002</v>
          </cell>
        </row>
        <row r="133">
          <cell r="B133" t="str">
            <v>FX.41.799</v>
          </cell>
          <cell r="C133">
            <v>81897719002</v>
          </cell>
        </row>
        <row r="134">
          <cell r="B134" t="str">
            <v>FX.41.800</v>
          </cell>
          <cell r="C134">
            <v>81897719002</v>
          </cell>
        </row>
        <row r="135">
          <cell r="B135" t="str">
            <v>FX.41.801</v>
          </cell>
          <cell r="C135">
            <v>81897719002</v>
          </cell>
        </row>
        <row r="136">
          <cell r="B136" t="str">
            <v>FX.41.802</v>
          </cell>
          <cell r="C136">
            <v>81897719002</v>
          </cell>
        </row>
        <row r="137">
          <cell r="B137" t="str">
            <v>FX.41.803</v>
          </cell>
          <cell r="C137">
            <v>81897719002</v>
          </cell>
        </row>
        <row r="138">
          <cell r="B138" t="str">
            <v>FX.41.804</v>
          </cell>
          <cell r="C138">
            <v>81897719002</v>
          </cell>
        </row>
        <row r="139">
          <cell r="B139" t="str">
            <v>FX.41.805</v>
          </cell>
          <cell r="C139">
            <v>81897719002</v>
          </cell>
        </row>
        <row r="140">
          <cell r="B140" t="str">
            <v>FX.41.806</v>
          </cell>
          <cell r="C140">
            <v>81897719002</v>
          </cell>
        </row>
        <row r="141">
          <cell r="B141" t="str">
            <v>FX.41.807</v>
          </cell>
          <cell r="C141">
            <v>81897719002</v>
          </cell>
        </row>
        <row r="142">
          <cell r="B142" t="str">
            <v>FX.41.808</v>
          </cell>
          <cell r="C142">
            <v>81897719002</v>
          </cell>
        </row>
        <row r="143">
          <cell r="B143" t="str">
            <v>FX.41.647</v>
          </cell>
          <cell r="C143">
            <v>81897719002</v>
          </cell>
        </row>
        <row r="144">
          <cell r="B144" t="str">
            <v>FX.41.646</v>
          </cell>
          <cell r="C144">
            <v>81897719002</v>
          </cell>
        </row>
        <row r="145">
          <cell r="B145" t="str">
            <v>FX.41.648</v>
          </cell>
          <cell r="C145">
            <v>81897719002</v>
          </cell>
        </row>
        <row r="146">
          <cell r="B146" t="str">
            <v>FX.41.809</v>
          </cell>
          <cell r="C146">
            <v>81897719002</v>
          </cell>
        </row>
        <row r="147">
          <cell r="B147" t="str">
            <v>FX.41.810</v>
          </cell>
          <cell r="C147">
            <v>81897719002</v>
          </cell>
        </row>
        <row r="148">
          <cell r="B148" t="str">
            <v>FX.41.811</v>
          </cell>
          <cell r="C148">
            <v>81897719002</v>
          </cell>
        </row>
        <row r="149">
          <cell r="B149" t="str">
            <v>FX.41.812</v>
          </cell>
          <cell r="C149">
            <v>81897719002</v>
          </cell>
        </row>
        <row r="150">
          <cell r="B150" t="str">
            <v>FX.41.813</v>
          </cell>
          <cell r="C150">
            <v>81897719002</v>
          </cell>
        </row>
        <row r="151">
          <cell r="B151" t="str">
            <v>FX.41.814</v>
          </cell>
          <cell r="C151">
            <v>81897719002</v>
          </cell>
        </row>
        <row r="152">
          <cell r="B152" t="str">
            <v>FX.41.815</v>
          </cell>
          <cell r="C152">
            <v>81897719002</v>
          </cell>
        </row>
        <row r="153">
          <cell r="B153" t="str">
            <v>FX.41.816</v>
          </cell>
          <cell r="C153">
            <v>81897719002</v>
          </cell>
        </row>
        <row r="154">
          <cell r="B154" t="str">
            <v>FX.41.817</v>
          </cell>
          <cell r="C154">
            <v>81897719002</v>
          </cell>
        </row>
        <row r="155">
          <cell r="B155" t="str">
            <v>FX.41.818</v>
          </cell>
          <cell r="C155">
            <v>81897719002</v>
          </cell>
        </row>
        <row r="156">
          <cell r="B156" t="str">
            <v>FX.41.819</v>
          </cell>
          <cell r="C156">
            <v>81897719002</v>
          </cell>
        </row>
        <row r="157">
          <cell r="B157" t="str">
            <v>FX.41.820</v>
          </cell>
          <cell r="C157">
            <v>81897719002</v>
          </cell>
        </row>
        <row r="158">
          <cell r="B158" t="str">
            <v>FX.41.821</v>
          </cell>
          <cell r="C158">
            <v>81897719002</v>
          </cell>
        </row>
        <row r="159">
          <cell r="B159" t="str">
            <v>FX.41.822</v>
          </cell>
          <cell r="C159">
            <v>81897719002</v>
          </cell>
        </row>
        <row r="160">
          <cell r="B160" t="str">
            <v>FX.41.823</v>
          </cell>
          <cell r="C160">
            <v>81897719002</v>
          </cell>
        </row>
        <row r="161">
          <cell r="B161" t="str">
            <v>FX.41.824</v>
          </cell>
          <cell r="C161">
            <v>81897719002</v>
          </cell>
        </row>
        <row r="162">
          <cell r="B162" t="str">
            <v>FX.41.825</v>
          </cell>
          <cell r="C162">
            <v>81897719002</v>
          </cell>
        </row>
        <row r="163">
          <cell r="B163" t="str">
            <v>FX.41.826</v>
          </cell>
          <cell r="C163">
            <v>81897719002</v>
          </cell>
        </row>
        <row r="164">
          <cell r="B164" t="str">
            <v>FX.41.827</v>
          </cell>
          <cell r="C164">
            <v>81897719002</v>
          </cell>
        </row>
        <row r="165">
          <cell r="B165" t="str">
            <v>FX.41.828</v>
          </cell>
          <cell r="C165">
            <v>81897719002</v>
          </cell>
        </row>
        <row r="166">
          <cell r="B166" t="str">
            <v>FX.41.829</v>
          </cell>
          <cell r="C166">
            <v>81897719002</v>
          </cell>
        </row>
        <row r="167">
          <cell r="B167" t="str">
            <v>FX.41.830</v>
          </cell>
          <cell r="C167">
            <v>81897719002</v>
          </cell>
        </row>
        <row r="168">
          <cell r="B168" t="str">
            <v>FX.41.831</v>
          </cell>
          <cell r="C168">
            <v>81897719002</v>
          </cell>
        </row>
        <row r="169">
          <cell r="B169" t="str">
            <v>FX.41.832</v>
          </cell>
          <cell r="C169">
            <v>81897719002</v>
          </cell>
        </row>
        <row r="170">
          <cell r="B170" t="str">
            <v>FX.41.833</v>
          </cell>
          <cell r="C170">
            <v>81897719002</v>
          </cell>
        </row>
        <row r="171">
          <cell r="B171" t="str">
            <v>FX.41.834</v>
          </cell>
          <cell r="C171">
            <v>81897719002</v>
          </cell>
        </row>
        <row r="172">
          <cell r="B172" t="str">
            <v>FX.41.835</v>
          </cell>
          <cell r="C172">
            <v>81897719002</v>
          </cell>
        </row>
        <row r="173">
          <cell r="B173" t="str">
            <v>FX.41.836</v>
          </cell>
          <cell r="C173">
            <v>81897719002</v>
          </cell>
        </row>
        <row r="174">
          <cell r="B174" t="str">
            <v>FX.41.837</v>
          </cell>
          <cell r="C174">
            <v>81897719002</v>
          </cell>
        </row>
        <row r="175">
          <cell r="B175" t="str">
            <v>FX.41.838</v>
          </cell>
          <cell r="C175">
            <v>81897719002</v>
          </cell>
        </row>
        <row r="176">
          <cell r="B176" t="str">
            <v>FX.41.839</v>
          </cell>
          <cell r="C176">
            <v>81897719002</v>
          </cell>
        </row>
        <row r="177">
          <cell r="B177" t="str">
            <v>FX.41.840</v>
          </cell>
          <cell r="C177">
            <v>81897719002</v>
          </cell>
        </row>
        <row r="178">
          <cell r="B178" t="str">
            <v>FX.41.841</v>
          </cell>
          <cell r="C178">
            <v>81897719002</v>
          </cell>
        </row>
        <row r="179">
          <cell r="B179" t="str">
            <v>FX.41.842</v>
          </cell>
          <cell r="C179">
            <v>81897719002</v>
          </cell>
        </row>
        <row r="180">
          <cell r="B180" t="str">
            <v>FX.41.843</v>
          </cell>
          <cell r="C180">
            <v>81897719002</v>
          </cell>
        </row>
        <row r="181">
          <cell r="B181" t="str">
            <v>FX.41.844</v>
          </cell>
          <cell r="C181">
            <v>81897719002</v>
          </cell>
        </row>
        <row r="182">
          <cell r="B182" t="str">
            <v>FX.41.845</v>
          </cell>
          <cell r="C182">
            <v>81897719002</v>
          </cell>
        </row>
        <row r="183">
          <cell r="B183" t="str">
            <v>FX.41.846</v>
          </cell>
          <cell r="C183">
            <v>81897719002</v>
          </cell>
        </row>
        <row r="184">
          <cell r="B184" t="str">
            <v>FX.41.847</v>
          </cell>
          <cell r="C184">
            <v>81897719002</v>
          </cell>
        </row>
        <row r="185">
          <cell r="B185" t="str">
            <v>FX.41.848</v>
          </cell>
          <cell r="C185">
            <v>81897719002</v>
          </cell>
        </row>
        <row r="186">
          <cell r="B186" t="str">
            <v>FX.41.849</v>
          </cell>
          <cell r="C186">
            <v>81897719002</v>
          </cell>
        </row>
        <row r="187">
          <cell r="B187" t="str">
            <v>FX.41.850</v>
          </cell>
          <cell r="C187">
            <v>81897719002</v>
          </cell>
        </row>
        <row r="188">
          <cell r="B188" t="str">
            <v>FX.41.851</v>
          </cell>
          <cell r="C188">
            <v>81897719002</v>
          </cell>
        </row>
        <row r="189">
          <cell r="B189" t="str">
            <v>FX.41.852</v>
          </cell>
          <cell r="C189">
            <v>81897719002</v>
          </cell>
        </row>
        <row r="190">
          <cell r="B190" t="str">
            <v>FX.41.853</v>
          </cell>
          <cell r="C190">
            <v>81897719002</v>
          </cell>
        </row>
        <row r="191">
          <cell r="B191" t="str">
            <v>FX.41.854</v>
          </cell>
          <cell r="C191">
            <v>81897719002</v>
          </cell>
        </row>
        <row r="192">
          <cell r="B192" t="str">
            <v>FX.41.855</v>
          </cell>
          <cell r="C192">
            <v>81897719002</v>
          </cell>
        </row>
        <row r="193">
          <cell r="B193" t="str">
            <v>FX.41.856</v>
          </cell>
          <cell r="C193">
            <v>81897719002</v>
          </cell>
        </row>
        <row r="194">
          <cell r="B194" t="str">
            <v>FX.41.857</v>
          </cell>
          <cell r="C194">
            <v>81897719002</v>
          </cell>
        </row>
        <row r="195">
          <cell r="B195" t="str">
            <v>FX.41.858</v>
          </cell>
          <cell r="C195">
            <v>81897719002</v>
          </cell>
        </row>
        <row r="196">
          <cell r="B196" t="str">
            <v>FX.41.859</v>
          </cell>
          <cell r="C196">
            <v>81897719002</v>
          </cell>
        </row>
        <row r="197">
          <cell r="B197" t="str">
            <v>FX.41.860</v>
          </cell>
          <cell r="C197">
            <v>81897719002</v>
          </cell>
        </row>
        <row r="198">
          <cell r="B198" t="str">
            <v>FX.41.861</v>
          </cell>
          <cell r="C198">
            <v>81897719002</v>
          </cell>
        </row>
        <row r="199">
          <cell r="B199" t="str">
            <v>FX.41.862</v>
          </cell>
          <cell r="C199">
            <v>81897719002</v>
          </cell>
        </row>
        <row r="200">
          <cell r="B200" t="str">
            <v>FX.17.839</v>
          </cell>
          <cell r="C200">
            <v>81897719002</v>
          </cell>
        </row>
        <row r="201">
          <cell r="B201" t="str">
            <v>FX.17.840</v>
          </cell>
          <cell r="C201">
            <v>81897719002</v>
          </cell>
        </row>
        <row r="202">
          <cell r="B202" t="str">
            <v>FX.17.841</v>
          </cell>
          <cell r="C202">
            <v>81897719002</v>
          </cell>
        </row>
        <row r="203">
          <cell r="B203" t="str">
            <v>FX.17.833</v>
          </cell>
          <cell r="C203">
            <v>81897719002</v>
          </cell>
        </row>
        <row r="204">
          <cell r="B204" t="str">
            <v>FX.17.834</v>
          </cell>
          <cell r="C204">
            <v>81897719002</v>
          </cell>
        </row>
        <row r="205">
          <cell r="B205" t="str">
            <v>FX.17.835</v>
          </cell>
          <cell r="C205">
            <v>81897719002</v>
          </cell>
        </row>
        <row r="206">
          <cell r="B206" t="str">
            <v>FX.41.876</v>
          </cell>
          <cell r="C206">
            <v>81897719002</v>
          </cell>
        </row>
        <row r="207">
          <cell r="B207" t="str">
            <v>FX.41.877</v>
          </cell>
          <cell r="C207">
            <v>81897719002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7BACD-903B-4B71-A1FC-F5FC78C756D8}">
  <sheetPr>
    <tabColor rgb="FF0070C0"/>
  </sheetPr>
  <dimension ref="B1:S110"/>
  <sheetViews>
    <sheetView showGridLines="0" zoomScale="110" zoomScaleNormal="110" zoomScalePageLayoutView="80" workbookViewId="0">
      <selection activeCell="E115" sqref="E115"/>
    </sheetView>
  </sheetViews>
  <sheetFormatPr defaultColWidth="9.140625" defaultRowHeight="15" x14ac:dyDescent="0.25"/>
  <cols>
    <col min="1" max="1" width="5.85546875" style="63" customWidth="1"/>
    <col min="2" max="2" width="8.7109375" style="63" customWidth="1"/>
    <col min="3" max="3" width="66" style="63" bestFit="1" customWidth="1"/>
    <col min="4" max="4" width="4.28515625" style="66" bestFit="1" customWidth="1"/>
    <col min="5" max="5" width="12.7109375" style="63" customWidth="1"/>
    <col min="6" max="7" width="11.42578125" style="63" customWidth="1"/>
    <col min="8" max="8" width="12.85546875" style="63" customWidth="1"/>
    <col min="9" max="9" width="8.140625" style="66" customWidth="1"/>
    <col min="10" max="10" width="1.42578125" style="65" customWidth="1"/>
    <col min="11" max="11" width="13.42578125" style="120" bestFit="1" customWidth="1"/>
    <col min="12" max="12" width="15" style="63" bestFit="1" customWidth="1"/>
    <col min="13" max="13" width="12" style="63" bestFit="1" customWidth="1"/>
    <col min="14" max="14" width="12.140625" style="63" bestFit="1" customWidth="1"/>
    <col min="15" max="15" width="62.140625" style="63" bestFit="1" customWidth="1"/>
    <col min="16" max="16" width="9.140625" style="63"/>
    <col min="17" max="17" width="12" style="63" bestFit="1" customWidth="1"/>
    <col min="18" max="18" width="12.140625" style="63" bestFit="1" customWidth="1"/>
    <col min="19" max="16384" width="9.140625" style="63"/>
  </cols>
  <sheetData>
    <row r="1" spans="2:18" ht="30.75" customHeight="1" x14ac:dyDescent="0.25">
      <c r="B1" s="124" t="s">
        <v>3037</v>
      </c>
      <c r="C1" s="124"/>
      <c r="D1" s="124"/>
      <c r="E1" s="124"/>
      <c r="F1" s="124"/>
      <c r="G1" s="124"/>
      <c r="H1" s="124"/>
      <c r="I1" s="112"/>
      <c r="J1" s="63"/>
    </row>
    <row r="2" spans="2:18" ht="24" customHeight="1" x14ac:dyDescent="0.25">
      <c r="D2" s="63"/>
      <c r="I2" s="112"/>
      <c r="J2" s="63"/>
    </row>
    <row r="3" spans="2:18" ht="20.25" customHeight="1" x14ac:dyDescent="0.25">
      <c r="B3" s="125" t="s">
        <v>3036</v>
      </c>
      <c r="C3" s="125"/>
      <c r="D3" s="125"/>
      <c r="E3" s="125"/>
      <c r="F3" s="125"/>
      <c r="G3" s="125"/>
      <c r="I3" s="112"/>
      <c r="J3" s="63"/>
    </row>
    <row r="4" spans="2:18" x14ac:dyDescent="0.25">
      <c r="D4" s="63"/>
      <c r="I4" s="112"/>
      <c r="J4" s="63"/>
    </row>
    <row r="5" spans="2:18" x14ac:dyDescent="0.25">
      <c r="B5" s="114" t="s">
        <v>3035</v>
      </c>
      <c r="C5" s="114"/>
      <c r="D5" s="63"/>
      <c r="I5" s="112"/>
      <c r="J5" s="63"/>
    </row>
    <row r="6" spans="2:18" x14ac:dyDescent="0.25">
      <c r="B6" s="114" t="s">
        <v>3034</v>
      </c>
      <c r="C6" s="114"/>
      <c r="D6" s="63"/>
      <c r="F6" s="114" t="s">
        <v>3033</v>
      </c>
      <c r="G6" s="115"/>
      <c r="H6" s="115"/>
      <c r="I6" s="112"/>
      <c r="J6" s="63"/>
    </row>
    <row r="7" spans="2:18" x14ac:dyDescent="0.25">
      <c r="B7" s="114" t="s">
        <v>3032</v>
      </c>
      <c r="C7" s="114"/>
      <c r="D7" s="63"/>
      <c r="I7" s="112"/>
      <c r="J7" s="63"/>
    </row>
    <row r="8" spans="2:18" x14ac:dyDescent="0.25">
      <c r="B8" s="114" t="s">
        <v>3031</v>
      </c>
      <c r="C8" s="114"/>
      <c r="D8" s="63"/>
      <c r="I8" s="112"/>
      <c r="J8" s="63"/>
    </row>
    <row r="9" spans="2:18" x14ac:dyDescent="0.25">
      <c r="B9" s="114" t="s">
        <v>3030</v>
      </c>
      <c r="C9" s="114"/>
      <c r="D9" s="63"/>
      <c r="E9" s="113" t="s">
        <v>3029</v>
      </c>
      <c r="F9" s="114" t="s">
        <v>3028</v>
      </c>
      <c r="I9" s="112"/>
      <c r="J9" s="63"/>
    </row>
    <row r="10" spans="2:18" x14ac:dyDescent="0.25">
      <c r="B10" s="114" t="s">
        <v>3027</v>
      </c>
      <c r="C10" s="114"/>
      <c r="D10" s="63"/>
      <c r="E10" s="113" t="s">
        <v>3026</v>
      </c>
      <c r="I10" s="112"/>
      <c r="J10" s="63"/>
    </row>
    <row r="11" spans="2:18" x14ac:dyDescent="0.25">
      <c r="B11" s="114" t="s">
        <v>3025</v>
      </c>
      <c r="C11" s="114"/>
      <c r="D11" s="63"/>
      <c r="E11" s="113" t="s">
        <v>3024</v>
      </c>
      <c r="F11" s="126"/>
      <c r="G11" s="126"/>
      <c r="H11" s="126"/>
      <c r="I11" s="112"/>
      <c r="J11" s="63"/>
    </row>
    <row r="12" spans="2:18" x14ac:dyDescent="0.25">
      <c r="D12" s="63"/>
      <c r="I12" s="112"/>
      <c r="J12" s="63"/>
    </row>
    <row r="13" spans="2:18" x14ac:dyDescent="0.25">
      <c r="D13" s="63"/>
      <c r="I13" s="112"/>
      <c r="J13" s="63"/>
    </row>
    <row r="14" spans="2:18" ht="38.25" customHeight="1" x14ac:dyDescent="0.25">
      <c r="B14" s="127" t="s">
        <v>3023</v>
      </c>
      <c r="C14" s="127"/>
      <c r="D14" s="127"/>
      <c r="E14" s="127"/>
      <c r="F14" s="127"/>
      <c r="G14" s="127"/>
      <c r="I14" s="112"/>
      <c r="J14" s="63"/>
      <c r="K14" s="121" t="s">
        <v>0</v>
      </c>
    </row>
    <row r="16" spans="2:18" x14ac:dyDescent="0.25">
      <c r="M16" s="123" t="s">
        <v>3022</v>
      </c>
      <c r="N16" s="123"/>
      <c r="P16" s="66"/>
      <c r="Q16" s="66"/>
      <c r="R16" s="66"/>
    </row>
    <row r="17" spans="2:19" ht="27.75" customHeight="1" x14ac:dyDescent="0.25">
      <c r="J17" s="111"/>
      <c r="K17" s="120" t="s">
        <v>3021</v>
      </c>
    </row>
    <row r="18" spans="2:19" x14ac:dyDescent="0.25">
      <c r="B18" s="103">
        <v>1</v>
      </c>
      <c r="C18" s="128" t="s">
        <v>3020</v>
      </c>
      <c r="D18" s="128"/>
      <c r="E18" s="128"/>
      <c r="F18" s="128"/>
      <c r="G18" s="128"/>
      <c r="H18" s="110">
        <f>SUM(H20:H22)</f>
        <v>80778.664128000004</v>
      </c>
      <c r="J18" s="85"/>
      <c r="K18" s="104">
        <v>80784.490000000005</v>
      </c>
      <c r="L18"/>
      <c r="M18"/>
      <c r="N18" s="67">
        <v>82068.990000000005</v>
      </c>
    </row>
    <row r="19" spans="2:19" ht="60" x14ac:dyDescent="0.25">
      <c r="B19" s="108" t="s">
        <v>2930</v>
      </c>
      <c r="C19" s="108" t="s">
        <v>2929</v>
      </c>
      <c r="D19" s="108" t="s">
        <v>26</v>
      </c>
      <c r="E19" s="24" t="s">
        <v>21</v>
      </c>
      <c r="F19" s="24" t="s">
        <v>23</v>
      </c>
      <c r="G19" s="24" t="s">
        <v>2928</v>
      </c>
      <c r="H19" s="83" t="s">
        <v>2927</v>
      </c>
      <c r="I19" s="83" t="s">
        <v>22</v>
      </c>
    </row>
    <row r="20" spans="2:19" x14ac:dyDescent="0.25">
      <c r="B20" s="81" t="s">
        <v>3019</v>
      </c>
      <c r="C20" s="82" t="s">
        <v>3018</v>
      </c>
      <c r="D20" s="81">
        <v>3</v>
      </c>
      <c r="E20" s="76">
        <f>'PROPOSTAS LISTA '!I56</f>
        <v>10909.3536</v>
      </c>
      <c r="F20" s="76">
        <f>E20*D20</f>
        <v>32728.060799999999</v>
      </c>
      <c r="G20" s="76">
        <f>'PROPOSTAS LISTA '!K56</f>
        <v>10909.3536</v>
      </c>
      <c r="H20" s="74">
        <f>G20*D20</f>
        <v>32728.060799999999</v>
      </c>
      <c r="I20" s="80">
        <v>18</v>
      </c>
      <c r="L20">
        <v>3</v>
      </c>
      <c r="M20" s="67">
        <v>11187.74</v>
      </c>
      <c r="N20" s="67">
        <v>33563.21</v>
      </c>
    </row>
    <row r="21" spans="2:19" x14ac:dyDescent="0.25">
      <c r="B21" s="77" t="s">
        <v>3017</v>
      </c>
      <c r="C21" s="79" t="s">
        <v>3016</v>
      </c>
      <c r="D21" s="77">
        <v>3</v>
      </c>
      <c r="E21" s="75">
        <f>'PROPOSTAS LISTA '!I116</f>
        <v>14131.736320000004</v>
      </c>
      <c r="F21" s="76">
        <f>E21*D21</f>
        <v>42395.208960000011</v>
      </c>
      <c r="G21" s="75">
        <f>'PROPOSTAS LISTA '!K116</f>
        <v>14131.736320000004</v>
      </c>
      <c r="H21" s="74">
        <f>G21*D21</f>
        <v>42395.208960000011</v>
      </c>
      <c r="I21" s="73">
        <v>18</v>
      </c>
      <c r="L21">
        <v>3</v>
      </c>
      <c r="M21" s="67">
        <v>14128.6</v>
      </c>
      <c r="N21" s="67">
        <v>42385.81</v>
      </c>
    </row>
    <row r="22" spans="2:19" x14ac:dyDescent="0.25">
      <c r="B22" s="77" t="s">
        <v>3015</v>
      </c>
      <c r="C22" s="109" t="s">
        <v>3014</v>
      </c>
      <c r="D22" s="77">
        <v>3</v>
      </c>
      <c r="E22" s="75">
        <f>'PROPOSTAS LISTA '!I138</f>
        <v>2298.9407999999999</v>
      </c>
      <c r="F22" s="76">
        <f>E22*D22</f>
        <v>6896.8223999999991</v>
      </c>
      <c r="G22" s="75">
        <f>'PROPOSTAS LISTA '!K138</f>
        <v>1885.1314560000001</v>
      </c>
      <c r="H22" s="74">
        <f>G22*D22</f>
        <v>5655.3943680000002</v>
      </c>
      <c r="I22" s="73">
        <v>18</v>
      </c>
      <c r="L22">
        <v>3</v>
      </c>
      <c r="M22" s="67">
        <v>2039.99</v>
      </c>
      <c r="N22" s="67">
        <v>6119.97</v>
      </c>
    </row>
    <row r="23" spans="2:19" ht="6.95" customHeight="1" x14ac:dyDescent="0.25">
      <c r="L23"/>
      <c r="M23" s="67"/>
      <c r="N23" s="67"/>
    </row>
    <row r="24" spans="2:19" x14ac:dyDescent="0.25">
      <c r="B24" s="103">
        <v>2</v>
      </c>
      <c r="C24" s="129" t="s">
        <v>3013</v>
      </c>
      <c r="D24" s="129"/>
      <c r="E24" s="129"/>
      <c r="F24" s="129"/>
      <c r="G24" s="129"/>
      <c r="H24" s="99">
        <f>SUM(H26:H27)</f>
        <v>38641.750656000004</v>
      </c>
      <c r="I24" s="68"/>
      <c r="J24" s="85"/>
      <c r="K24" s="104">
        <v>38653.83</v>
      </c>
      <c r="L24"/>
      <c r="M24"/>
      <c r="N24" s="67">
        <v>37619.339999999997</v>
      </c>
    </row>
    <row r="25" spans="2:19" ht="60" x14ac:dyDescent="0.25">
      <c r="B25" s="108" t="s">
        <v>2930</v>
      </c>
      <c r="C25" s="108" t="s">
        <v>2929</v>
      </c>
      <c r="D25" s="108" t="s">
        <v>26</v>
      </c>
      <c r="E25" s="24" t="s">
        <v>21</v>
      </c>
      <c r="F25" s="24" t="s">
        <v>23</v>
      </c>
      <c r="G25" s="24" t="s">
        <v>2928</v>
      </c>
      <c r="H25" s="24" t="s">
        <v>2927</v>
      </c>
      <c r="I25" s="98" t="s">
        <v>22</v>
      </c>
    </row>
    <row r="26" spans="2:19" x14ac:dyDescent="0.25">
      <c r="B26" s="77" t="s">
        <v>3012</v>
      </c>
      <c r="C26" s="109" t="s">
        <v>3011</v>
      </c>
      <c r="D26" s="77">
        <v>4</v>
      </c>
      <c r="E26" s="75">
        <f>'PROPOSTAS LISTA '!I195</f>
        <v>5405.61456</v>
      </c>
      <c r="F26" s="76">
        <f>E26*D26</f>
        <v>21622.45824</v>
      </c>
      <c r="G26" s="75">
        <f>'PROPOSTAS LISTA '!K195</f>
        <v>5405.61456</v>
      </c>
      <c r="H26" s="74">
        <f>G26*D26</f>
        <v>21622.45824</v>
      </c>
      <c r="I26" s="73">
        <v>18</v>
      </c>
      <c r="L26">
        <v>4</v>
      </c>
      <c r="M26" s="67">
        <v>5484.52</v>
      </c>
      <c r="N26" s="67">
        <v>21938.09</v>
      </c>
    </row>
    <row r="27" spans="2:19" x14ac:dyDescent="0.25">
      <c r="B27" s="77" t="s">
        <v>3010</v>
      </c>
      <c r="C27" s="79" t="s">
        <v>3009</v>
      </c>
      <c r="D27" s="77">
        <v>4</v>
      </c>
      <c r="E27" s="75">
        <f>'PROPOSTAS LISTA '!I249</f>
        <v>4254.8231040000001</v>
      </c>
      <c r="F27" s="75">
        <f>E27*D27</f>
        <v>17019.292416</v>
      </c>
      <c r="G27" s="75">
        <f>'PROPOSTAS LISTA '!K249</f>
        <v>4254.8231040000001</v>
      </c>
      <c r="H27" s="74">
        <f>G27*D27</f>
        <v>17019.292416</v>
      </c>
      <c r="I27" s="73">
        <v>18</v>
      </c>
      <c r="L27">
        <v>4</v>
      </c>
      <c r="M27" s="67">
        <v>3920.31</v>
      </c>
      <c r="N27" s="67">
        <v>15681.26</v>
      </c>
      <c r="P27"/>
      <c r="Q27"/>
      <c r="R27"/>
      <c r="S27" s="67"/>
    </row>
    <row r="28" spans="2:19" ht="6.95" customHeight="1" x14ac:dyDescent="0.25">
      <c r="L28"/>
      <c r="M28"/>
    </row>
    <row r="29" spans="2:19" x14ac:dyDescent="0.25">
      <c r="B29" s="103">
        <v>3</v>
      </c>
      <c r="C29" s="102" t="s">
        <v>3008</v>
      </c>
      <c r="D29" s="101"/>
      <c r="E29" s="100"/>
      <c r="F29" s="100"/>
      <c r="G29" s="100"/>
      <c r="H29" s="99">
        <f>SUM(H31:H32)</f>
        <v>11799.074560000001</v>
      </c>
      <c r="I29" s="68"/>
      <c r="J29" s="85"/>
      <c r="K29" s="104">
        <v>11842.24</v>
      </c>
      <c r="N29" s="67">
        <v>11686.72</v>
      </c>
    </row>
    <row r="30" spans="2:19" ht="60" x14ac:dyDescent="0.25">
      <c r="B30" s="108" t="s">
        <v>2930</v>
      </c>
      <c r="C30" s="108" t="s">
        <v>2929</v>
      </c>
      <c r="D30" s="108" t="s">
        <v>26</v>
      </c>
      <c r="E30" s="24" t="s">
        <v>21</v>
      </c>
      <c r="F30" s="24" t="s">
        <v>23</v>
      </c>
      <c r="G30" s="24" t="s">
        <v>2928</v>
      </c>
      <c r="H30" s="24" t="s">
        <v>2927</v>
      </c>
      <c r="I30" s="98" t="s">
        <v>22</v>
      </c>
      <c r="L30">
        <v>3</v>
      </c>
      <c r="M30" s="67">
        <v>2478.9899999999998</v>
      </c>
      <c r="N30" s="67">
        <v>7436.97</v>
      </c>
    </row>
    <row r="31" spans="2:19" x14ac:dyDescent="0.25">
      <c r="B31" s="81" t="s">
        <v>3007</v>
      </c>
      <c r="C31" s="82" t="s">
        <v>3006</v>
      </c>
      <c r="D31" s="81">
        <v>3</v>
      </c>
      <c r="E31" s="76">
        <f>'PROPOSTAS LISTA '!I290</f>
        <v>2503.7376000000004</v>
      </c>
      <c r="F31" s="76">
        <f>E31*D31</f>
        <v>7511.2128000000012</v>
      </c>
      <c r="G31" s="76">
        <f>'PROPOSTAS LISTA '!K290</f>
        <v>2503.7376000000004</v>
      </c>
      <c r="H31" s="74">
        <f>G31*D31</f>
        <v>7511.2128000000012</v>
      </c>
      <c r="I31" s="73">
        <v>18</v>
      </c>
      <c r="L31">
        <v>2</v>
      </c>
      <c r="M31" s="67">
        <v>2124.88</v>
      </c>
      <c r="N31" s="67">
        <v>4249.75</v>
      </c>
    </row>
    <row r="32" spans="2:19" x14ac:dyDescent="0.25">
      <c r="B32" s="77" t="s">
        <v>3005</v>
      </c>
      <c r="C32" s="79" t="s">
        <v>3004</v>
      </c>
      <c r="D32" s="77">
        <v>2</v>
      </c>
      <c r="E32" s="75">
        <f>'PROPOSTAS LISTA '!I324</f>
        <v>2143.9308799999999</v>
      </c>
      <c r="F32" s="76">
        <f>E32*D32</f>
        <v>4287.8617599999998</v>
      </c>
      <c r="G32" s="75">
        <f>'PROPOSTAS LISTA '!K324</f>
        <v>2143.9308799999999</v>
      </c>
      <c r="H32" s="74">
        <f>G32*D32</f>
        <v>4287.8617599999998</v>
      </c>
      <c r="I32" s="73">
        <v>18</v>
      </c>
      <c r="L32"/>
      <c r="M32"/>
    </row>
    <row r="33" spans="2:14" ht="6.95" customHeight="1" x14ac:dyDescent="0.25">
      <c r="L33"/>
      <c r="M33"/>
      <c r="N33" s="67"/>
    </row>
    <row r="34" spans="2:14" x14ac:dyDescent="0.25">
      <c r="B34" s="90">
        <v>4</v>
      </c>
      <c r="C34" s="89" t="s">
        <v>3003</v>
      </c>
      <c r="D34" s="88"/>
      <c r="E34" s="87"/>
      <c r="F34" s="87"/>
      <c r="G34" s="87"/>
      <c r="H34" s="86">
        <f>SUM(H36:H37)</f>
        <v>12016.738079999999</v>
      </c>
      <c r="I34" s="68"/>
      <c r="J34" s="85"/>
      <c r="K34" s="104">
        <v>12066.44</v>
      </c>
      <c r="L34"/>
      <c r="M34"/>
      <c r="N34" s="67">
        <v>12066.44</v>
      </c>
    </row>
    <row r="35" spans="2:14" ht="60" x14ac:dyDescent="0.25">
      <c r="B35" s="84" t="s">
        <v>2930</v>
      </c>
      <c r="C35" s="84" t="s">
        <v>2929</v>
      </c>
      <c r="D35" s="84" t="s">
        <v>26</v>
      </c>
      <c r="E35" s="83" t="s">
        <v>21</v>
      </c>
      <c r="F35" s="83" t="s">
        <v>23</v>
      </c>
      <c r="G35" s="83" t="s">
        <v>2928</v>
      </c>
      <c r="H35" s="83" t="s">
        <v>2927</v>
      </c>
      <c r="I35" s="83" t="s">
        <v>22</v>
      </c>
    </row>
    <row r="36" spans="2:14" x14ac:dyDescent="0.25">
      <c r="B36" s="81" t="s">
        <v>3002</v>
      </c>
      <c r="C36" s="107" t="s">
        <v>3001</v>
      </c>
      <c r="D36" s="81">
        <v>1</v>
      </c>
      <c r="E36" s="106">
        <f>'PROPOSTAS LISTA '!I349</f>
        <v>7065.3467999999975</v>
      </c>
      <c r="F36" s="76">
        <f>E36*D36</f>
        <v>7065.3467999999975</v>
      </c>
      <c r="G36" s="106">
        <f>'PROPOSTAS LISTA '!K349</f>
        <v>7065.3467999999975</v>
      </c>
      <c r="H36" s="74">
        <f>G36*D36</f>
        <v>7065.3467999999975</v>
      </c>
      <c r="I36" s="80">
        <v>18</v>
      </c>
      <c r="L36">
        <v>1</v>
      </c>
      <c r="M36" s="67">
        <v>1734.89</v>
      </c>
      <c r="N36" s="67">
        <v>1734.89</v>
      </c>
    </row>
    <row r="37" spans="2:14" x14ac:dyDescent="0.25">
      <c r="B37" s="77" t="s">
        <v>3000</v>
      </c>
      <c r="C37" s="105" t="s">
        <v>2999</v>
      </c>
      <c r="D37" s="77">
        <v>1</v>
      </c>
      <c r="E37" s="75">
        <f>'PROPOSTAS LISTA '!I377</f>
        <v>4951.3912800000007</v>
      </c>
      <c r="F37" s="76">
        <f>E37*D37</f>
        <v>4951.3912800000007</v>
      </c>
      <c r="G37" s="75">
        <f>'PROPOSTAS LISTA '!K377</f>
        <v>4951.3912800000007</v>
      </c>
      <c r="H37" s="74">
        <f>G37*D37</f>
        <v>4951.3912800000007</v>
      </c>
      <c r="I37" s="73">
        <v>18</v>
      </c>
      <c r="L37">
        <v>1</v>
      </c>
      <c r="M37" s="67">
        <v>3850.78</v>
      </c>
      <c r="N37" s="67">
        <v>3850.78</v>
      </c>
    </row>
    <row r="38" spans="2:14" ht="6.95" customHeight="1" x14ac:dyDescent="0.25">
      <c r="L38"/>
      <c r="M38"/>
    </row>
    <row r="39" spans="2:14" x14ac:dyDescent="0.25">
      <c r="B39" s="90">
        <v>5</v>
      </c>
      <c r="C39" s="89" t="s">
        <v>2998</v>
      </c>
      <c r="D39" s="88"/>
      <c r="E39" s="87"/>
      <c r="F39" s="87"/>
      <c r="G39" s="87"/>
      <c r="H39" s="86">
        <f>SUM(H41:H43)</f>
        <v>67769.797599999991</v>
      </c>
      <c r="I39" s="68"/>
      <c r="J39" s="85"/>
      <c r="K39" s="104">
        <v>67698.94</v>
      </c>
      <c r="L39"/>
      <c r="M39"/>
      <c r="N39" s="67">
        <v>65418.83</v>
      </c>
    </row>
    <row r="40" spans="2:14" ht="60" x14ac:dyDescent="0.25">
      <c r="B40" s="84" t="s">
        <v>2930</v>
      </c>
      <c r="C40" s="84" t="s">
        <v>2929</v>
      </c>
      <c r="D40" s="84" t="s">
        <v>26</v>
      </c>
      <c r="E40" s="83" t="s">
        <v>21</v>
      </c>
      <c r="F40" s="83" t="s">
        <v>23</v>
      </c>
      <c r="G40" s="83" t="s">
        <v>2928</v>
      </c>
      <c r="H40" s="83" t="s">
        <v>2927</v>
      </c>
      <c r="I40" s="83" t="s">
        <v>22</v>
      </c>
      <c r="L40">
        <v>2</v>
      </c>
      <c r="M40" s="67">
        <v>12596.89</v>
      </c>
      <c r="N40" s="67">
        <v>25193.77</v>
      </c>
    </row>
    <row r="41" spans="2:14" x14ac:dyDescent="0.25">
      <c r="B41" s="81" t="s">
        <v>2997</v>
      </c>
      <c r="C41" s="82" t="s">
        <v>2996</v>
      </c>
      <c r="D41" s="81">
        <v>2</v>
      </c>
      <c r="E41" s="76">
        <f>'PROPOSTAS LISTA '!I448</f>
        <v>13580.871360000003</v>
      </c>
      <c r="F41" s="76">
        <f>E41*D41</f>
        <v>27161.742720000006</v>
      </c>
      <c r="G41" s="76">
        <f>'PROPOSTAS LISTA '!K448</f>
        <v>13580.871360000003</v>
      </c>
      <c r="H41" s="74">
        <f>G41*D41</f>
        <v>27161.742720000006</v>
      </c>
      <c r="I41" s="80">
        <v>18</v>
      </c>
      <c r="L41">
        <v>2</v>
      </c>
      <c r="M41" s="67">
        <v>14194.66</v>
      </c>
      <c r="N41" s="67">
        <v>28389.32</v>
      </c>
    </row>
    <row r="42" spans="2:14" x14ac:dyDescent="0.25">
      <c r="B42" s="77" t="s">
        <v>2995</v>
      </c>
      <c r="C42" s="79" t="s">
        <v>2994</v>
      </c>
      <c r="D42" s="77">
        <v>2</v>
      </c>
      <c r="E42" s="75">
        <f>'PROPOSTAS LISTA '!I542</f>
        <v>17031.560879999994</v>
      </c>
      <c r="F42" s="76">
        <f>E42*D42</f>
        <v>34063.121759999987</v>
      </c>
      <c r="G42" s="75">
        <f>'PROPOSTAS LISTA '!K542</f>
        <v>17031.560879999994</v>
      </c>
      <c r="H42" s="74">
        <f>G42*D42</f>
        <v>34063.121759999987</v>
      </c>
      <c r="I42" s="73">
        <v>18</v>
      </c>
      <c r="L42">
        <v>2</v>
      </c>
      <c r="M42" s="67">
        <v>5917.87</v>
      </c>
      <c r="N42" s="67">
        <v>11835.74</v>
      </c>
    </row>
    <row r="43" spans="2:14" x14ac:dyDescent="0.25">
      <c r="B43" s="77" t="s">
        <v>2993</v>
      </c>
      <c r="C43" s="79" t="s">
        <v>2992</v>
      </c>
      <c r="D43" s="77">
        <v>1</v>
      </c>
      <c r="E43" s="75">
        <f>'PROPOSTAS LISTA '!I599</f>
        <v>6544.9331200000006</v>
      </c>
      <c r="F43" s="76">
        <f>E43*D43</f>
        <v>6544.9331200000006</v>
      </c>
      <c r="G43" s="75">
        <f>'PROPOSTAS LISTA '!K599</f>
        <v>6544.9331200000006</v>
      </c>
      <c r="H43" s="74">
        <f>G43*D43</f>
        <v>6544.9331200000006</v>
      </c>
      <c r="I43" s="73">
        <v>18</v>
      </c>
      <c r="L43"/>
      <c r="M43"/>
    </row>
    <row r="44" spans="2:14" ht="6.95" customHeight="1" x14ac:dyDescent="0.25">
      <c r="L44"/>
      <c r="M44"/>
      <c r="N44" s="67"/>
    </row>
    <row r="45" spans="2:14" x14ac:dyDescent="0.25">
      <c r="B45" s="103">
        <v>6</v>
      </c>
      <c r="C45" s="102" t="s">
        <v>2991</v>
      </c>
      <c r="D45" s="101"/>
      <c r="E45" s="100"/>
      <c r="F45" s="100"/>
      <c r="G45" s="100"/>
      <c r="H45" s="99">
        <f>SUM(H47:H48)</f>
        <v>19952.698560000004</v>
      </c>
      <c r="I45" s="68"/>
      <c r="J45" s="85"/>
      <c r="K45" s="104">
        <v>19959.990000000002</v>
      </c>
      <c r="L45"/>
      <c r="M45"/>
      <c r="N45" s="67">
        <v>19199.97</v>
      </c>
    </row>
    <row r="46" spans="2:14" ht="60" x14ac:dyDescent="0.25">
      <c r="B46" s="84" t="s">
        <v>2930</v>
      </c>
      <c r="C46" s="84" t="s">
        <v>2929</v>
      </c>
      <c r="D46" s="84" t="s">
        <v>26</v>
      </c>
      <c r="E46" s="83" t="s">
        <v>21</v>
      </c>
      <c r="F46" s="83" t="s">
        <v>23</v>
      </c>
      <c r="G46" s="83" t="s">
        <v>2928</v>
      </c>
      <c r="H46" s="83" t="s">
        <v>2927</v>
      </c>
      <c r="I46" s="98" t="s">
        <v>22</v>
      </c>
    </row>
    <row r="47" spans="2:14" x14ac:dyDescent="0.25">
      <c r="B47" s="81" t="s">
        <v>2990</v>
      </c>
      <c r="C47" s="82" t="s">
        <v>2989</v>
      </c>
      <c r="D47" s="81">
        <v>3</v>
      </c>
      <c r="E47" s="76">
        <f>'PROPOSTAS LISTA '!I652</f>
        <v>3465.73576</v>
      </c>
      <c r="F47" s="76">
        <f>E47*D47</f>
        <v>10397.207280000001</v>
      </c>
      <c r="G47" s="76">
        <f>'PROPOSTAS LISTA '!K652</f>
        <v>3465.73576</v>
      </c>
      <c r="H47" s="74">
        <f>G47*D47</f>
        <v>10397.207280000001</v>
      </c>
      <c r="I47" s="73">
        <v>18</v>
      </c>
      <c r="L47">
        <v>3</v>
      </c>
      <c r="M47" s="67">
        <v>4231.32</v>
      </c>
      <c r="N47" s="67">
        <v>12693.95</v>
      </c>
    </row>
    <row r="48" spans="2:14" x14ac:dyDescent="0.25">
      <c r="B48" s="77" t="s">
        <v>2988</v>
      </c>
      <c r="C48" s="79" t="s">
        <v>2987</v>
      </c>
      <c r="D48" s="77">
        <v>3</v>
      </c>
      <c r="E48" s="75">
        <f>'PROPOSTAS LISTA '!I685</f>
        <v>3185.1637600000004</v>
      </c>
      <c r="F48" s="76">
        <f>E48*D48</f>
        <v>9555.491280000002</v>
      </c>
      <c r="G48" s="75">
        <f>'PROPOSTAS LISTA '!K685</f>
        <v>3185.1637600000004</v>
      </c>
      <c r="H48" s="74">
        <f>G48*D48</f>
        <v>9555.491280000002</v>
      </c>
      <c r="I48" s="73">
        <v>18</v>
      </c>
      <c r="L48">
        <v>3</v>
      </c>
      <c r="M48" s="67">
        <v>2168.6799999999998</v>
      </c>
      <c r="N48" s="67">
        <v>6506.03</v>
      </c>
    </row>
    <row r="49" spans="2:14" ht="6.95" customHeight="1" x14ac:dyDescent="0.25">
      <c r="L49"/>
      <c r="M49"/>
    </row>
    <row r="50" spans="2:14" x14ac:dyDescent="0.25">
      <c r="B50" s="90">
        <v>7</v>
      </c>
      <c r="C50" s="89" t="s">
        <v>2986</v>
      </c>
      <c r="D50" s="88"/>
      <c r="E50" s="87"/>
      <c r="F50" s="87"/>
      <c r="G50" s="87"/>
      <c r="H50" s="86">
        <f>SUM(H52:H53)</f>
        <v>13300.688917942858</v>
      </c>
      <c r="I50" s="68"/>
      <c r="J50" s="85"/>
      <c r="K50" s="104">
        <v>13301.7</v>
      </c>
      <c r="L50"/>
      <c r="M50"/>
      <c r="N50" s="67">
        <v>12916.11</v>
      </c>
    </row>
    <row r="51" spans="2:14" ht="60" x14ac:dyDescent="0.25">
      <c r="B51" s="84" t="s">
        <v>2930</v>
      </c>
      <c r="C51" s="84" t="s">
        <v>2929</v>
      </c>
      <c r="D51" s="84" t="s">
        <v>26</v>
      </c>
      <c r="E51" s="83" t="s">
        <v>21</v>
      </c>
      <c r="F51" s="83" t="s">
        <v>23</v>
      </c>
      <c r="G51" s="83" t="s">
        <v>2928</v>
      </c>
      <c r="H51" s="83" t="s">
        <v>2927</v>
      </c>
      <c r="I51" s="83" t="s">
        <v>22</v>
      </c>
    </row>
    <row r="52" spans="2:14" x14ac:dyDescent="0.25">
      <c r="B52" s="81" t="s">
        <v>2985</v>
      </c>
      <c r="C52" s="82" t="s">
        <v>2984</v>
      </c>
      <c r="D52" s="81">
        <v>2</v>
      </c>
      <c r="E52" s="76">
        <f>'PROPOSTAS LISTA '!I731</f>
        <v>13269.507599999999</v>
      </c>
      <c r="F52" s="76">
        <f>E52*D52</f>
        <v>26539.015199999998</v>
      </c>
      <c r="G52" s="76">
        <f>'PROPOSTAS LISTA '!K731</f>
        <v>13269.507599999999</v>
      </c>
      <c r="H52" s="74">
        <f>'[1]PROPOSTAS LISTA 2'!K779</f>
        <v>6475.591317942858</v>
      </c>
      <c r="I52" s="80">
        <v>18</v>
      </c>
      <c r="L52">
        <v>2</v>
      </c>
      <c r="M52" s="67">
        <v>4480.9399999999996</v>
      </c>
      <c r="N52" s="67">
        <v>8961.8799999999992</v>
      </c>
    </row>
    <row r="53" spans="2:14" x14ac:dyDescent="0.25">
      <c r="B53" s="77" t="s">
        <v>2983</v>
      </c>
      <c r="C53" s="79" t="s">
        <v>2982</v>
      </c>
      <c r="D53" s="77">
        <v>1</v>
      </c>
      <c r="E53" s="75">
        <f>'PROPOSTAS LISTA '!I779</f>
        <v>6825.097600000001</v>
      </c>
      <c r="F53" s="76">
        <f>E53*D53</f>
        <v>6825.097600000001</v>
      </c>
      <c r="G53" s="75">
        <f>'PROPOSTAS LISTA '!K779</f>
        <v>6825.097600000001</v>
      </c>
      <c r="H53" s="74">
        <f>G53*D53</f>
        <v>6825.097600000001</v>
      </c>
      <c r="I53" s="73">
        <v>18</v>
      </c>
      <c r="L53">
        <v>1</v>
      </c>
      <c r="M53" s="67">
        <v>3954.23</v>
      </c>
      <c r="N53" s="67">
        <v>3954.23</v>
      </c>
    </row>
    <row r="54" spans="2:14" x14ac:dyDescent="0.25">
      <c r="L54"/>
      <c r="M54"/>
    </row>
    <row r="55" spans="2:14" x14ac:dyDescent="0.25">
      <c r="B55" s="97">
        <v>8</v>
      </c>
      <c r="C55" s="89" t="s">
        <v>2981</v>
      </c>
      <c r="D55" s="88"/>
      <c r="E55" s="96"/>
      <c r="F55" s="96"/>
      <c r="G55" s="96"/>
      <c r="H55" s="95">
        <f>SUM(H57:H59)</f>
        <v>51354.5</v>
      </c>
      <c r="I55" s="68"/>
      <c r="J55" s="85"/>
      <c r="K55" s="104">
        <v>51427.08</v>
      </c>
      <c r="L55"/>
      <c r="M55"/>
      <c r="N55" s="67">
        <v>51241.25</v>
      </c>
    </row>
    <row r="56" spans="2:14" ht="60" x14ac:dyDescent="0.25">
      <c r="B56" s="84" t="s">
        <v>2930</v>
      </c>
      <c r="C56" s="84" t="s">
        <v>2929</v>
      </c>
      <c r="D56" s="84" t="s">
        <v>26</v>
      </c>
      <c r="E56" s="83" t="s">
        <v>21</v>
      </c>
      <c r="F56" s="83" t="s">
        <v>23</v>
      </c>
      <c r="G56" s="83" t="s">
        <v>2928</v>
      </c>
      <c r="H56" s="83" t="s">
        <v>2927</v>
      </c>
      <c r="I56" s="83" t="s">
        <v>22</v>
      </c>
    </row>
    <row r="57" spans="2:14" x14ac:dyDescent="0.25">
      <c r="B57" s="81" t="s">
        <v>2980</v>
      </c>
      <c r="C57" s="82" t="s">
        <v>2979</v>
      </c>
      <c r="D57" s="81">
        <v>5</v>
      </c>
      <c r="E57" s="76">
        <f>'PROPOSTAS LISTA '!I815</f>
        <v>2298.41</v>
      </c>
      <c r="F57" s="76">
        <f>E57*D57</f>
        <v>11492.05</v>
      </c>
      <c r="G57" s="76">
        <f>'PROPOSTAS LISTA '!K815</f>
        <v>2298.41</v>
      </c>
      <c r="H57" s="74">
        <f>G57*D57</f>
        <v>11492.05</v>
      </c>
      <c r="I57" s="80">
        <v>18</v>
      </c>
      <c r="L57">
        <v>5</v>
      </c>
      <c r="M57" s="67">
        <v>2281.98</v>
      </c>
      <c r="N57" s="67">
        <v>11409.91</v>
      </c>
    </row>
    <row r="58" spans="2:14" x14ac:dyDescent="0.25">
      <c r="B58" s="77" t="s">
        <v>2978</v>
      </c>
      <c r="C58" s="79" t="s">
        <v>2977</v>
      </c>
      <c r="D58" s="77">
        <v>5</v>
      </c>
      <c r="E58" s="75">
        <f>'PROPOSTAS LISTA '!I851</f>
        <v>3133.7900000000004</v>
      </c>
      <c r="F58" s="76">
        <f>E58*D58</f>
        <v>15668.950000000003</v>
      </c>
      <c r="G58" s="75">
        <f>'PROPOSTAS LISTA '!K851</f>
        <v>3133.7900000000004</v>
      </c>
      <c r="H58" s="74">
        <f>G58*D58</f>
        <v>15668.950000000003</v>
      </c>
      <c r="I58" s="73">
        <v>18</v>
      </c>
      <c r="L58">
        <v>5</v>
      </c>
      <c r="M58" s="67">
        <v>3102.21</v>
      </c>
      <c r="N58" s="67">
        <v>15511.06</v>
      </c>
    </row>
    <row r="59" spans="2:14" x14ac:dyDescent="0.25">
      <c r="B59" s="77" t="s">
        <v>2976</v>
      </c>
      <c r="C59" s="79" t="s">
        <v>2975</v>
      </c>
      <c r="D59" s="77">
        <v>10</v>
      </c>
      <c r="E59" s="75">
        <f>'[1]PROPOSTAS LISTA 2'!I880</f>
        <v>2419.3560000000002</v>
      </c>
      <c r="F59" s="76">
        <f>'PROPOSTAS LISTA '!I880</f>
        <v>2419.35</v>
      </c>
      <c r="G59" s="75">
        <f>'PROPOSTAS LISTA '!K880</f>
        <v>2419.35</v>
      </c>
      <c r="H59" s="74">
        <f>G59*D59</f>
        <v>24193.5</v>
      </c>
      <c r="I59" s="73">
        <v>18</v>
      </c>
      <c r="L59">
        <v>10</v>
      </c>
      <c r="M59" s="67">
        <v>2432.0300000000002</v>
      </c>
      <c r="N59" s="67">
        <v>24320.28</v>
      </c>
    </row>
    <row r="60" spans="2:14" ht="6.95" customHeight="1" x14ac:dyDescent="0.25">
      <c r="L60"/>
      <c r="M60"/>
    </row>
    <row r="61" spans="2:14" x14ac:dyDescent="0.25">
      <c r="B61" s="90">
        <v>9</v>
      </c>
      <c r="C61" s="89" t="s">
        <v>2974</v>
      </c>
      <c r="D61" s="88"/>
      <c r="E61" s="87"/>
      <c r="F61" s="87"/>
      <c r="G61" s="87"/>
      <c r="H61" s="86">
        <f>SUM(H63:H64)</f>
        <v>10299.732605600002</v>
      </c>
      <c r="I61" s="68"/>
      <c r="J61" s="85"/>
      <c r="K61" s="104">
        <v>10313.65</v>
      </c>
      <c r="L61"/>
      <c r="M61"/>
      <c r="N61" s="67">
        <v>10636.95</v>
      </c>
    </row>
    <row r="62" spans="2:14" ht="60" x14ac:dyDescent="0.25">
      <c r="B62" s="84" t="s">
        <v>2930</v>
      </c>
      <c r="C62" s="84" t="s">
        <v>2929</v>
      </c>
      <c r="D62" s="84" t="s">
        <v>26</v>
      </c>
      <c r="E62" s="83" t="s">
        <v>21</v>
      </c>
      <c r="F62" s="83" t="s">
        <v>23</v>
      </c>
      <c r="G62" s="83" t="s">
        <v>2928</v>
      </c>
      <c r="H62" s="83" t="s">
        <v>2927</v>
      </c>
      <c r="I62" s="83" t="s">
        <v>22</v>
      </c>
    </row>
    <row r="63" spans="2:14" x14ac:dyDescent="0.25">
      <c r="B63" s="81" t="s">
        <v>2973</v>
      </c>
      <c r="C63" s="82" t="s">
        <v>2972</v>
      </c>
      <c r="D63" s="81">
        <v>1</v>
      </c>
      <c r="E63" s="76">
        <f>'PROPOSTAS LISTA '!I963</f>
        <v>7781.4248000000016</v>
      </c>
      <c r="F63" s="76">
        <f>E63*D63</f>
        <v>7781.4248000000016</v>
      </c>
      <c r="G63" s="76">
        <f>'PROPOSTAS LISTA '!K963</f>
        <v>7781.4248000000016</v>
      </c>
      <c r="H63" s="74">
        <f>G63*D63</f>
        <v>7781.4248000000016</v>
      </c>
      <c r="I63" s="80">
        <v>18</v>
      </c>
      <c r="L63">
        <v>1</v>
      </c>
      <c r="M63" s="67">
        <v>8100.82</v>
      </c>
      <c r="N63" s="67">
        <v>8100.82</v>
      </c>
    </row>
    <row r="64" spans="2:14" x14ac:dyDescent="0.25">
      <c r="B64" s="77" t="s">
        <v>2971</v>
      </c>
      <c r="C64" s="79" t="s">
        <v>2970</v>
      </c>
      <c r="D64" s="77">
        <v>1</v>
      </c>
      <c r="E64" s="75">
        <f>'PROPOSTAS LISTA '!I1009</f>
        <v>2530.5946399999998</v>
      </c>
      <c r="F64" s="76">
        <f>'PROPOSTAS LISTA '!K1009</f>
        <v>2530.5946399999998</v>
      </c>
      <c r="G64" s="75">
        <f>'[1]PROPOSTAS LISTA 2'!K1009</f>
        <v>2518.3078055999995</v>
      </c>
      <c r="H64" s="74">
        <f>G64*D64</f>
        <v>2518.3078055999995</v>
      </c>
      <c r="I64" s="73">
        <v>18</v>
      </c>
      <c r="L64">
        <v>1</v>
      </c>
      <c r="M64" s="67">
        <v>2536.13</v>
      </c>
      <c r="N64" s="67">
        <v>2536.13</v>
      </c>
    </row>
    <row r="65" spans="2:14" ht="6.95" customHeight="1" x14ac:dyDescent="0.25">
      <c r="L65"/>
      <c r="M65"/>
    </row>
    <row r="66" spans="2:14" x14ac:dyDescent="0.25">
      <c r="B66" s="90">
        <v>10</v>
      </c>
      <c r="C66" s="89" t="s">
        <v>2969</v>
      </c>
      <c r="D66" s="88"/>
      <c r="E66" s="87"/>
      <c r="F66" s="87"/>
      <c r="G66" s="87"/>
      <c r="H66" s="86">
        <f>H68</f>
        <v>2003.9892799999998</v>
      </c>
      <c r="I66" s="68"/>
      <c r="J66" s="85"/>
      <c r="K66" s="104">
        <v>2004.69</v>
      </c>
      <c r="L66"/>
      <c r="M66"/>
      <c r="N66" s="67">
        <v>1739.09</v>
      </c>
    </row>
    <row r="67" spans="2:14" ht="60" x14ac:dyDescent="0.25">
      <c r="B67" s="84" t="s">
        <v>2930</v>
      </c>
      <c r="C67" s="84" t="s">
        <v>2929</v>
      </c>
      <c r="D67" s="84" t="s">
        <v>26</v>
      </c>
      <c r="E67" s="83" t="s">
        <v>21</v>
      </c>
      <c r="F67" s="83" t="s">
        <v>23</v>
      </c>
      <c r="G67" s="83" t="s">
        <v>2928</v>
      </c>
      <c r="H67" s="83" t="s">
        <v>2927</v>
      </c>
      <c r="I67" s="83" t="s">
        <v>22</v>
      </c>
    </row>
    <row r="68" spans="2:14" x14ac:dyDescent="0.25">
      <c r="B68" s="81" t="s">
        <v>2968</v>
      </c>
      <c r="C68" s="82" t="s">
        <v>2967</v>
      </c>
      <c r="D68" s="81">
        <v>1</v>
      </c>
      <c r="E68" s="76">
        <f>'PROPOSTAS LISTA '!I1034</f>
        <v>2003.9892799999998</v>
      </c>
      <c r="F68" s="76">
        <f>E68*D68</f>
        <v>2003.9892799999998</v>
      </c>
      <c r="G68" s="76">
        <f>'PROPOSTAS LISTA '!K1034</f>
        <v>2003.9892799999998</v>
      </c>
      <c r="H68" s="74">
        <f>G68*D68</f>
        <v>2003.9892799999998</v>
      </c>
      <c r="I68" s="80">
        <v>18</v>
      </c>
      <c r="L68">
        <v>1</v>
      </c>
      <c r="M68" s="67">
        <v>1739.09</v>
      </c>
      <c r="N68" s="67">
        <v>1739.09</v>
      </c>
    </row>
    <row r="69" spans="2:14" ht="6.95" customHeight="1" x14ac:dyDescent="0.25">
      <c r="L69"/>
      <c r="M69"/>
    </row>
    <row r="70" spans="2:14" x14ac:dyDescent="0.25">
      <c r="B70" s="90">
        <v>11</v>
      </c>
      <c r="C70" s="89" t="s">
        <v>2966</v>
      </c>
      <c r="D70" s="88"/>
      <c r="E70" s="87"/>
      <c r="F70" s="87"/>
      <c r="G70" s="87"/>
      <c r="H70" s="86">
        <f>H72</f>
        <v>7348.4865600000003</v>
      </c>
      <c r="I70" s="68"/>
      <c r="J70" s="85"/>
      <c r="K70" s="104">
        <v>7417.65</v>
      </c>
      <c r="L70"/>
      <c r="M70"/>
      <c r="N70" s="67">
        <v>7602.97</v>
      </c>
    </row>
    <row r="71" spans="2:14" ht="60" x14ac:dyDescent="0.25">
      <c r="B71" s="84" t="s">
        <v>2930</v>
      </c>
      <c r="C71" s="84" t="s">
        <v>2929</v>
      </c>
      <c r="D71" s="84" t="s">
        <v>26</v>
      </c>
      <c r="E71" s="83" t="s">
        <v>21</v>
      </c>
      <c r="F71" s="83" t="s">
        <v>23</v>
      </c>
      <c r="G71" s="83" t="s">
        <v>2928</v>
      </c>
      <c r="H71" s="83" t="s">
        <v>2927</v>
      </c>
      <c r="I71" s="83" t="s">
        <v>22</v>
      </c>
    </row>
    <row r="72" spans="2:14" x14ac:dyDescent="0.25">
      <c r="B72" s="81" t="s">
        <v>2965</v>
      </c>
      <c r="C72" s="82" t="s">
        <v>2964</v>
      </c>
      <c r="D72" s="81">
        <v>2</v>
      </c>
      <c r="E72" s="76">
        <f>'PROPOSTAS LISTA '!I1071</f>
        <v>3674.2432800000001</v>
      </c>
      <c r="F72" s="76">
        <f>E72*D72</f>
        <v>7348.4865600000003</v>
      </c>
      <c r="G72" s="76">
        <f>'PROPOSTAS LISTA '!K1071</f>
        <v>3674.2432800000001</v>
      </c>
      <c r="H72" s="74">
        <f>G72*D72</f>
        <v>7348.4865600000003</v>
      </c>
      <c r="I72" s="80">
        <v>18</v>
      </c>
      <c r="L72">
        <v>2</v>
      </c>
      <c r="M72" s="67">
        <v>3801.48</v>
      </c>
      <c r="N72" s="67">
        <v>7602.97</v>
      </c>
    </row>
    <row r="73" spans="2:14" ht="6.95" customHeight="1" x14ac:dyDescent="0.25">
      <c r="L73"/>
      <c r="M73"/>
    </row>
    <row r="74" spans="2:14" x14ac:dyDescent="0.25">
      <c r="B74" s="90">
        <v>12</v>
      </c>
      <c r="C74" s="89" t="s">
        <v>2963</v>
      </c>
      <c r="D74" s="88"/>
      <c r="E74" s="87"/>
      <c r="F74" s="87"/>
      <c r="G74" s="87"/>
      <c r="H74" s="86">
        <f>H76</f>
        <v>8507.3220799999999</v>
      </c>
      <c r="I74" s="68"/>
      <c r="J74" s="85"/>
      <c r="K74" s="104">
        <v>8551.3700000000008</v>
      </c>
      <c r="L74"/>
      <c r="M74"/>
      <c r="N74" s="67">
        <v>7842.11</v>
      </c>
    </row>
    <row r="75" spans="2:14" ht="60" x14ac:dyDescent="0.25">
      <c r="B75" s="84" t="s">
        <v>2930</v>
      </c>
      <c r="C75" s="84" t="s">
        <v>2929</v>
      </c>
      <c r="D75" s="84" t="s">
        <v>26</v>
      </c>
      <c r="E75" s="83" t="s">
        <v>21</v>
      </c>
      <c r="F75" s="83" t="s">
        <v>23</v>
      </c>
      <c r="G75" s="83" t="s">
        <v>2928</v>
      </c>
      <c r="H75" s="83" t="s">
        <v>2927</v>
      </c>
      <c r="I75" s="83" t="s">
        <v>22</v>
      </c>
    </row>
    <row r="76" spans="2:14" x14ac:dyDescent="0.25">
      <c r="B76" s="81" t="s">
        <v>2962</v>
      </c>
      <c r="C76" s="82" t="s">
        <v>2961</v>
      </c>
      <c r="D76" s="81">
        <v>2</v>
      </c>
      <c r="E76" s="76">
        <f>'PROPOSTAS LISTA '!I1113</f>
        <v>4253.66104</v>
      </c>
      <c r="F76" s="76">
        <f>E76*D76</f>
        <v>8507.3220799999999</v>
      </c>
      <c r="G76" s="76">
        <f>'PROPOSTAS LISTA '!K1113</f>
        <v>4253.66104</v>
      </c>
      <c r="H76" s="74">
        <f>G76*D76</f>
        <v>8507.3220799999999</v>
      </c>
      <c r="I76" s="80">
        <v>18</v>
      </c>
      <c r="L76">
        <v>2</v>
      </c>
      <c r="M76" s="67">
        <v>3921.06</v>
      </c>
      <c r="N76" s="67">
        <v>7842.11</v>
      </c>
    </row>
    <row r="77" spans="2:14" ht="6.95" customHeight="1" x14ac:dyDescent="0.25">
      <c r="L77"/>
      <c r="M77"/>
    </row>
    <row r="78" spans="2:14" x14ac:dyDescent="0.25">
      <c r="B78" s="90">
        <v>13</v>
      </c>
      <c r="C78" s="89" t="s">
        <v>2960</v>
      </c>
      <c r="D78" s="88"/>
      <c r="E78" s="87"/>
      <c r="F78" s="87"/>
      <c r="G78" s="87"/>
      <c r="H78" s="86">
        <f>SUM(H80:H81)</f>
        <v>19794.6224</v>
      </c>
      <c r="I78" s="68"/>
      <c r="J78" s="85"/>
      <c r="K78" s="104">
        <v>19900.2</v>
      </c>
      <c r="L78"/>
      <c r="M78"/>
      <c r="N78" s="67">
        <v>18964.62</v>
      </c>
    </row>
    <row r="79" spans="2:14" ht="60" x14ac:dyDescent="0.25">
      <c r="B79" s="84" t="s">
        <v>2930</v>
      </c>
      <c r="C79" s="84" t="s">
        <v>2929</v>
      </c>
      <c r="D79" s="84" t="s">
        <v>26</v>
      </c>
      <c r="E79" s="83" t="s">
        <v>21</v>
      </c>
      <c r="F79" s="83" t="s">
        <v>23</v>
      </c>
      <c r="G79" s="83" t="s">
        <v>2928</v>
      </c>
      <c r="H79" s="83" t="s">
        <v>2927</v>
      </c>
      <c r="I79" s="83" t="s">
        <v>22</v>
      </c>
    </row>
    <row r="80" spans="2:14" x14ac:dyDescent="0.25">
      <c r="B80" s="81" t="s">
        <v>2959</v>
      </c>
      <c r="C80" s="82" t="s">
        <v>2958</v>
      </c>
      <c r="D80" s="81">
        <v>2</v>
      </c>
      <c r="E80" s="76">
        <f>'PROPOSTAS LISTA '!I1183</f>
        <v>7242.4573600000003</v>
      </c>
      <c r="F80" s="76">
        <f>E80*D80</f>
        <v>14484.914720000001</v>
      </c>
      <c r="G80" s="76">
        <f>'PROPOSTAS LISTA '!K1183</f>
        <v>7242.4573600000003</v>
      </c>
      <c r="H80" s="74">
        <f>G80*D80</f>
        <v>14484.914720000001</v>
      </c>
      <c r="I80" s="80">
        <v>18</v>
      </c>
      <c r="L80">
        <v>2</v>
      </c>
      <c r="M80" s="67">
        <v>7405.02</v>
      </c>
      <c r="N80" s="67">
        <v>14810.05</v>
      </c>
    </row>
    <row r="81" spans="2:14" x14ac:dyDescent="0.25">
      <c r="B81" s="77" t="s">
        <v>2957</v>
      </c>
      <c r="C81" s="79" t="s">
        <v>2956</v>
      </c>
      <c r="D81" s="77">
        <v>2</v>
      </c>
      <c r="E81" s="75">
        <f>'PROPOSTAS LISTA '!I1215</f>
        <v>2654.8538399999998</v>
      </c>
      <c r="F81" s="76">
        <f>E81*D81</f>
        <v>5309.7076799999995</v>
      </c>
      <c r="G81" s="75">
        <f>'PROPOSTAS LISTA '!K1215</f>
        <v>2654.8538399999998</v>
      </c>
      <c r="H81" s="74">
        <f>G81*D81</f>
        <v>5309.7076799999995</v>
      </c>
      <c r="I81" s="73">
        <v>18</v>
      </c>
      <c r="L81">
        <v>2</v>
      </c>
      <c r="M81" s="67">
        <v>2077.29</v>
      </c>
      <c r="N81" s="67">
        <v>4154.58</v>
      </c>
    </row>
    <row r="82" spans="2:14" ht="6.95" customHeight="1" x14ac:dyDescent="0.25">
      <c r="L82"/>
      <c r="M82"/>
    </row>
    <row r="83" spans="2:14" x14ac:dyDescent="0.25">
      <c r="B83" s="90">
        <v>14</v>
      </c>
      <c r="C83" s="89" t="s">
        <v>2955</v>
      </c>
      <c r="D83" s="88"/>
      <c r="E83" s="87"/>
      <c r="F83" s="87"/>
      <c r="G83" s="87"/>
      <c r="H83" s="86">
        <f>SUM(H85:H88)</f>
        <v>31230.873807542863</v>
      </c>
      <c r="I83" s="68"/>
      <c r="J83" s="85"/>
      <c r="K83" s="104">
        <v>31237.82</v>
      </c>
      <c r="L83"/>
      <c r="M83"/>
      <c r="N83" s="67">
        <v>34031.46</v>
      </c>
    </row>
    <row r="84" spans="2:14" ht="60" x14ac:dyDescent="0.25">
      <c r="B84" s="84" t="s">
        <v>2930</v>
      </c>
      <c r="C84" s="84" t="s">
        <v>2929</v>
      </c>
      <c r="D84" s="84" t="s">
        <v>26</v>
      </c>
      <c r="E84" s="83" t="s">
        <v>21</v>
      </c>
      <c r="F84" s="83" t="s">
        <v>23</v>
      </c>
      <c r="G84" s="83" t="s">
        <v>2928</v>
      </c>
      <c r="H84" s="83" t="s">
        <v>2927</v>
      </c>
      <c r="I84" s="83" t="s">
        <v>22</v>
      </c>
    </row>
    <row r="85" spans="2:14" x14ac:dyDescent="0.25">
      <c r="B85" s="81" t="s">
        <v>2954</v>
      </c>
      <c r="C85" s="94" t="s">
        <v>2953</v>
      </c>
      <c r="D85" s="81">
        <v>2</v>
      </c>
      <c r="E85" s="76">
        <f>'PROPOSTAS LISTA '!I1304</f>
        <v>5779.0459200000005</v>
      </c>
      <c r="F85" s="76">
        <f>E85*D85</f>
        <v>11558.091840000001</v>
      </c>
      <c r="G85" s="76">
        <f>'PROPOSTAS LISTA '!K1304</f>
        <v>5779.0459200000005</v>
      </c>
      <c r="H85" s="74">
        <f>G85*D85</f>
        <v>11558.091840000001</v>
      </c>
      <c r="I85" s="80">
        <v>18</v>
      </c>
      <c r="L85">
        <v>2</v>
      </c>
      <c r="M85" s="67">
        <v>5863.8</v>
      </c>
      <c r="N85" s="67">
        <v>11727.6</v>
      </c>
    </row>
    <row r="86" spans="2:14" x14ac:dyDescent="0.25">
      <c r="B86" s="77" t="s">
        <v>2952</v>
      </c>
      <c r="C86" s="79" t="s">
        <v>2951</v>
      </c>
      <c r="D86" s="77">
        <v>2</v>
      </c>
      <c r="E86" s="75">
        <f>'PROPOSTAS LISTA '!I1316</f>
        <v>2500.4584800000002</v>
      </c>
      <c r="F86" s="76">
        <f>E86*D86</f>
        <v>5000.9169600000005</v>
      </c>
      <c r="G86" s="75">
        <f>'PROPOSTAS LISTA '!K1316</f>
        <v>2500.4584800000002</v>
      </c>
      <c r="H86" s="74">
        <f>G86*D86</f>
        <v>5000.9169600000005</v>
      </c>
      <c r="I86" s="73">
        <v>18</v>
      </c>
      <c r="L86">
        <v>2</v>
      </c>
      <c r="M86" s="67">
        <v>3207.16</v>
      </c>
      <c r="N86" s="67">
        <v>6414.32</v>
      </c>
    </row>
    <row r="87" spans="2:14" x14ac:dyDescent="0.25">
      <c r="B87" s="77" t="s">
        <v>2950</v>
      </c>
      <c r="C87" s="79" t="s">
        <v>2949</v>
      </c>
      <c r="D87" s="77">
        <v>2</v>
      </c>
      <c r="E87" s="75">
        <f>'PROPOSTAS LISTA '!I1372</f>
        <v>3193.0662399999997</v>
      </c>
      <c r="F87" s="76">
        <f>E87*D87</f>
        <v>6386.1324799999993</v>
      </c>
      <c r="G87" s="75">
        <f>'[1]PROPOSTAS LISTA 2'!K1372</f>
        <v>4142.8662637714297</v>
      </c>
      <c r="H87" s="74">
        <f>G87*D87</f>
        <v>8285.7325275428593</v>
      </c>
      <c r="I87" s="73">
        <v>18</v>
      </c>
      <c r="L87">
        <v>2</v>
      </c>
      <c r="M87" s="67">
        <v>3944.21</v>
      </c>
      <c r="N87" s="67">
        <v>7888.42</v>
      </c>
    </row>
    <row r="88" spans="2:14" x14ac:dyDescent="0.25">
      <c r="B88" s="77" t="s">
        <v>2948</v>
      </c>
      <c r="C88" s="79" t="s">
        <v>2947</v>
      </c>
      <c r="D88" s="77">
        <v>2</v>
      </c>
      <c r="E88" s="75">
        <f>'[1]PROPOSTAS LISTA 2'!I1423</f>
        <v>5306.7177600000023</v>
      </c>
      <c r="F88" s="76">
        <f>E88*D88</f>
        <v>10613.435520000005</v>
      </c>
      <c r="G88" s="75">
        <f>'PROPOSTAS LISTA '!K1372</f>
        <v>3193.0662399999997</v>
      </c>
      <c r="H88" s="74">
        <f>G88*D88</f>
        <v>6386.1324799999993</v>
      </c>
      <c r="I88" s="73">
        <v>18</v>
      </c>
      <c r="L88">
        <v>2</v>
      </c>
      <c r="M88" s="67">
        <v>4000.56</v>
      </c>
      <c r="N88" s="67">
        <v>8001.12</v>
      </c>
    </row>
    <row r="89" spans="2:14" ht="6.95" customHeight="1" x14ac:dyDescent="0.25">
      <c r="L89"/>
      <c r="M89"/>
    </row>
    <row r="90" spans="2:14" x14ac:dyDescent="0.25">
      <c r="B90" s="90">
        <v>15</v>
      </c>
      <c r="C90" s="89" t="s">
        <v>2946</v>
      </c>
      <c r="D90" s="88"/>
      <c r="E90" s="87"/>
      <c r="F90" s="87"/>
      <c r="G90" s="87"/>
      <c r="H90" s="86">
        <f>SUM(H92:H94)</f>
        <v>9433.8921600000012</v>
      </c>
      <c r="I90" s="68"/>
      <c r="J90" s="85"/>
      <c r="K90" s="104">
        <v>9448.4699999999993</v>
      </c>
      <c r="L90"/>
      <c r="M90"/>
      <c r="N90" s="67">
        <v>8961.43</v>
      </c>
    </row>
    <row r="91" spans="2:14" ht="60" x14ac:dyDescent="0.25">
      <c r="B91" s="84" t="s">
        <v>2930</v>
      </c>
      <c r="C91" s="84" t="s">
        <v>2929</v>
      </c>
      <c r="D91" s="84" t="s">
        <v>26</v>
      </c>
      <c r="E91" s="83" t="s">
        <v>21</v>
      </c>
      <c r="F91" s="83" t="s">
        <v>23</v>
      </c>
      <c r="G91" s="83" t="s">
        <v>2928</v>
      </c>
      <c r="H91" s="83" t="s">
        <v>2927</v>
      </c>
      <c r="I91" s="83" t="s">
        <v>22</v>
      </c>
    </row>
    <row r="92" spans="2:14" x14ac:dyDescent="0.25">
      <c r="B92" s="81" t="s">
        <v>2945</v>
      </c>
      <c r="C92" s="93" t="s">
        <v>2944</v>
      </c>
      <c r="D92" s="81">
        <v>2</v>
      </c>
      <c r="E92" s="76">
        <f>'PROPOSTAS LISTA '!I1439</f>
        <v>1629.9626400000002</v>
      </c>
      <c r="F92" s="76">
        <f>E92*D92</f>
        <v>3259.9252800000004</v>
      </c>
      <c r="G92" s="76">
        <f>'PROPOSTAS LISTA '!K1439</f>
        <v>1629.9626400000002</v>
      </c>
      <c r="H92" s="74">
        <f>G92*D92</f>
        <v>3259.9252800000004</v>
      </c>
      <c r="I92" s="80">
        <v>18</v>
      </c>
      <c r="L92">
        <v>2</v>
      </c>
      <c r="M92" t="s">
        <v>2943</v>
      </c>
      <c r="N92"/>
    </row>
    <row r="93" spans="2:14" x14ac:dyDescent="0.25">
      <c r="B93" s="77" t="s">
        <v>2942</v>
      </c>
      <c r="C93" s="79" t="s">
        <v>2941</v>
      </c>
      <c r="D93" s="77">
        <v>2</v>
      </c>
      <c r="E93" s="75">
        <f>'PROPOSTAS LISTA '!I1471</f>
        <v>1400.1730399999999</v>
      </c>
      <c r="F93" s="76">
        <f>E93*D93</f>
        <v>2800.3460799999998</v>
      </c>
      <c r="G93" s="75">
        <f>'PROPOSTAS LISTA '!K1471</f>
        <v>1400.1730399999999</v>
      </c>
      <c r="H93" s="74">
        <f>G93*D93</f>
        <v>2800.3460799999998</v>
      </c>
      <c r="I93" s="73">
        <v>18</v>
      </c>
      <c r="L93">
        <v>2</v>
      </c>
      <c r="M93" s="67">
        <v>2073.48</v>
      </c>
      <c r="N93" s="67">
        <v>4146.96</v>
      </c>
    </row>
    <row r="94" spans="2:14" x14ac:dyDescent="0.25">
      <c r="B94" s="77" t="s">
        <v>2940</v>
      </c>
      <c r="C94" s="79" t="s">
        <v>2939</v>
      </c>
      <c r="D94" s="77">
        <v>2</v>
      </c>
      <c r="E94" s="75">
        <f>'PROPOSTAS LISTA '!I1509</f>
        <v>1686.8104000000003</v>
      </c>
      <c r="F94" s="76">
        <f>E94*D94</f>
        <v>3373.6208000000006</v>
      </c>
      <c r="G94" s="75">
        <f>'PROPOSTAS LISTA '!K1509</f>
        <v>1686.8104000000003</v>
      </c>
      <c r="H94" s="74">
        <f>G94*D94</f>
        <v>3373.6208000000006</v>
      </c>
      <c r="I94" s="73">
        <v>18</v>
      </c>
      <c r="L94">
        <v>2</v>
      </c>
      <c r="M94" s="67">
        <v>2407.23</v>
      </c>
      <c r="N94" s="67">
        <v>4814.47</v>
      </c>
    </row>
    <row r="95" spans="2:14" ht="6.95" customHeight="1" x14ac:dyDescent="0.25">
      <c r="L95"/>
      <c r="M95"/>
    </row>
    <row r="96" spans="2:14" x14ac:dyDescent="0.25">
      <c r="B96" s="90">
        <v>16</v>
      </c>
      <c r="C96" s="89" t="s">
        <v>2938</v>
      </c>
      <c r="D96" s="88"/>
      <c r="E96" s="87"/>
      <c r="F96" s="87"/>
      <c r="G96" s="87"/>
      <c r="H96" s="86">
        <f>SUM(H98:H100)</f>
        <v>16942.659520000001</v>
      </c>
      <c r="I96" s="68"/>
      <c r="J96" s="85"/>
      <c r="K96" s="120">
        <f>H96</f>
        <v>16942.659520000001</v>
      </c>
      <c r="L96"/>
      <c r="M96"/>
      <c r="N96" s="67">
        <v>20561.43</v>
      </c>
    </row>
    <row r="97" spans="2:18" ht="60" x14ac:dyDescent="0.25">
      <c r="B97" s="84" t="s">
        <v>2930</v>
      </c>
      <c r="C97" s="84" t="s">
        <v>2929</v>
      </c>
      <c r="D97" s="84" t="s">
        <v>26</v>
      </c>
      <c r="E97" s="83" t="s">
        <v>21</v>
      </c>
      <c r="F97" s="83" t="s">
        <v>23</v>
      </c>
      <c r="G97" s="83" t="s">
        <v>2928</v>
      </c>
      <c r="H97" s="83" t="s">
        <v>2927</v>
      </c>
      <c r="I97" s="83" t="s">
        <v>22</v>
      </c>
    </row>
    <row r="98" spans="2:18" x14ac:dyDescent="0.25">
      <c r="B98" s="81" t="s">
        <v>2937</v>
      </c>
      <c r="C98" s="92" t="s">
        <v>2936</v>
      </c>
      <c r="D98" s="81">
        <v>1</v>
      </c>
      <c r="E98" s="76">
        <f>'PROPOSTAS LISTA '!I1576</f>
        <v>3963.04448</v>
      </c>
      <c r="F98" s="76">
        <f>E98*D98</f>
        <v>3963.04448</v>
      </c>
      <c r="G98" s="76">
        <f>'PROPOSTAS LISTA '!K1576</f>
        <v>3963.04448</v>
      </c>
      <c r="H98" s="74">
        <f>G98*D98</f>
        <v>3963.04448</v>
      </c>
      <c r="I98" s="80">
        <v>18</v>
      </c>
      <c r="L98">
        <v>1</v>
      </c>
      <c r="M98" s="67">
        <v>4809.53</v>
      </c>
      <c r="N98" s="67">
        <v>4809.53</v>
      </c>
    </row>
    <row r="99" spans="2:18" x14ac:dyDescent="0.25">
      <c r="B99" s="77" t="s">
        <v>2935</v>
      </c>
      <c r="C99" s="91" t="s">
        <v>2934</v>
      </c>
      <c r="D99" s="77">
        <v>2</v>
      </c>
      <c r="E99" s="75">
        <f>'PROPOSTAS LISTA '!I1638</f>
        <v>4427.3107999999993</v>
      </c>
      <c r="F99" s="76">
        <f>E99*D99</f>
        <v>8854.6215999999986</v>
      </c>
      <c r="G99" s="75">
        <f>'PROPOSTAS LISTA '!K1638</f>
        <v>4427.3107999999993</v>
      </c>
      <c r="H99" s="74">
        <f>G99*D99</f>
        <v>8854.6215999999986</v>
      </c>
      <c r="I99" s="73">
        <v>18</v>
      </c>
      <c r="L99">
        <v>2</v>
      </c>
      <c r="M99" s="67">
        <v>5372.93</v>
      </c>
      <c r="N99" s="67">
        <v>10745.86</v>
      </c>
    </row>
    <row r="100" spans="2:18" x14ac:dyDescent="0.25">
      <c r="B100" s="77" t="s">
        <v>2933</v>
      </c>
      <c r="C100" s="91" t="s">
        <v>2932</v>
      </c>
      <c r="D100" s="77">
        <v>2</v>
      </c>
      <c r="E100" s="75">
        <f>'PROPOSTAS LISTA '!I1674</f>
        <v>2062.4967200000001</v>
      </c>
      <c r="F100" s="76">
        <f>'PROPOSTAS LISTA '!I1674</f>
        <v>2062.4967200000001</v>
      </c>
      <c r="G100" s="75">
        <f>'PROPOSTAS LISTA '!K1674</f>
        <v>2062.4967200000001</v>
      </c>
      <c r="H100" s="74">
        <f>G100*D100</f>
        <v>4124.9934400000002</v>
      </c>
      <c r="I100" s="73">
        <v>18</v>
      </c>
      <c r="L100">
        <v>2</v>
      </c>
      <c r="M100" s="67">
        <v>2503.02</v>
      </c>
      <c r="N100" s="67">
        <v>5006.04</v>
      </c>
    </row>
    <row r="101" spans="2:18" ht="6.95" customHeight="1" x14ac:dyDescent="0.25">
      <c r="L101"/>
      <c r="M101"/>
    </row>
    <row r="102" spans="2:18" x14ac:dyDescent="0.25">
      <c r="B102" s="90">
        <v>17</v>
      </c>
      <c r="C102" s="89" t="s">
        <v>2931</v>
      </c>
      <c r="D102" s="88"/>
      <c r="E102" s="87"/>
      <c r="F102" s="87"/>
      <c r="G102" s="87"/>
      <c r="H102" s="86">
        <f>SUM(H104:H107)</f>
        <v>21821.860159999997</v>
      </c>
      <c r="I102" s="68"/>
      <c r="J102" s="85"/>
      <c r="K102" s="120">
        <f>H102</f>
        <v>21821.860159999997</v>
      </c>
      <c r="L102"/>
      <c r="M102"/>
      <c r="N102" s="67">
        <v>17004.62</v>
      </c>
    </row>
    <row r="103" spans="2:18" ht="60" x14ac:dyDescent="0.25">
      <c r="B103" s="84" t="s">
        <v>2930</v>
      </c>
      <c r="C103" s="84" t="s">
        <v>2929</v>
      </c>
      <c r="D103" s="84" t="s">
        <v>26</v>
      </c>
      <c r="E103" s="83" t="s">
        <v>21</v>
      </c>
      <c r="F103" s="83" t="s">
        <v>23</v>
      </c>
      <c r="G103" s="83" t="s">
        <v>2928</v>
      </c>
      <c r="H103" s="83" t="s">
        <v>2927</v>
      </c>
      <c r="I103" s="83" t="s">
        <v>22</v>
      </c>
    </row>
    <row r="104" spans="2:18" x14ac:dyDescent="0.25">
      <c r="B104" s="81" t="s">
        <v>2926</v>
      </c>
      <c r="C104" s="82" t="s">
        <v>2925</v>
      </c>
      <c r="D104" s="81">
        <v>1</v>
      </c>
      <c r="E104" s="76">
        <f>'PROPOSTAS LISTA '!I1692</f>
        <v>2376.3665599999995</v>
      </c>
      <c r="F104" s="76">
        <f>E104*D104</f>
        <v>2376.3665599999995</v>
      </c>
      <c r="G104" s="76">
        <f>'PROPOSTAS LISTA '!K1692</f>
        <v>2376.3665599999995</v>
      </c>
      <c r="H104" s="74">
        <f>G104*D104</f>
        <v>2376.3665599999995</v>
      </c>
      <c r="I104" s="80">
        <v>18</v>
      </c>
      <c r="L104">
        <v>1</v>
      </c>
      <c r="M104" s="67">
        <v>2573.0500000000002</v>
      </c>
      <c r="N104" s="67">
        <v>2573.0500000000002</v>
      </c>
    </row>
    <row r="105" spans="2:18" x14ac:dyDescent="0.25">
      <c r="B105" s="77" t="s">
        <v>2924</v>
      </c>
      <c r="C105" s="79" t="s">
        <v>2923</v>
      </c>
      <c r="D105" s="77">
        <v>1</v>
      </c>
      <c r="E105" s="75">
        <f>'PROPOSTAS LISTA '!I1698</f>
        <v>7969.1512000000002</v>
      </c>
      <c r="F105" s="76">
        <f>E105*D105</f>
        <v>7969.1512000000002</v>
      </c>
      <c r="G105" s="75">
        <f>'PROPOSTAS LISTA '!K1698</f>
        <v>7969.1512000000002</v>
      </c>
      <c r="H105" s="74">
        <f>G105*D105</f>
        <v>7969.1512000000002</v>
      </c>
      <c r="I105" s="73">
        <v>18</v>
      </c>
      <c r="L105">
        <v>1</v>
      </c>
      <c r="M105" s="67">
        <v>9671.2999999999993</v>
      </c>
      <c r="N105" s="67">
        <v>9671.2999999999993</v>
      </c>
    </row>
    <row r="106" spans="2:18" x14ac:dyDescent="0.25">
      <c r="B106" s="77" t="s">
        <v>2922</v>
      </c>
      <c r="C106" s="78" t="s">
        <v>2921</v>
      </c>
      <c r="D106" s="77">
        <v>1</v>
      </c>
      <c r="E106" s="75">
        <f>'PROPOSTAS LISTA '!I1705</f>
        <v>570.94136000000003</v>
      </c>
      <c r="F106" s="76">
        <f>E106*D106</f>
        <v>570.94136000000003</v>
      </c>
      <c r="G106" s="75">
        <f>'PROPOSTAS LISTA '!K1698</f>
        <v>7969.1512000000002</v>
      </c>
      <c r="H106" s="74">
        <f>G106*D106</f>
        <v>7969.1512000000002</v>
      </c>
      <c r="I106" s="73">
        <v>18</v>
      </c>
      <c r="L106">
        <v>1</v>
      </c>
      <c r="M106" s="67">
        <v>504</v>
      </c>
      <c r="N106" s="67">
        <v>504</v>
      </c>
    </row>
    <row r="107" spans="2:18" x14ac:dyDescent="0.25">
      <c r="B107" s="77" t="s">
        <v>2920</v>
      </c>
      <c r="C107" s="78" t="s">
        <v>2919</v>
      </c>
      <c r="D107" s="77">
        <v>1</v>
      </c>
      <c r="E107" s="75">
        <f>'PROPOSTAS LISTA '!I1716</f>
        <v>3507.1911999999993</v>
      </c>
      <c r="F107" s="76">
        <f>E107*D107</f>
        <v>3507.1911999999993</v>
      </c>
      <c r="G107" s="75">
        <f>'PROPOSTAS LISTA '!K1716</f>
        <v>3507.1911999999993</v>
      </c>
      <c r="H107" s="74">
        <f>G107*D107</f>
        <v>3507.1911999999993</v>
      </c>
      <c r="I107" s="73">
        <v>18</v>
      </c>
      <c r="L107">
        <v>1</v>
      </c>
      <c r="M107" s="67">
        <v>4256.2700000000004</v>
      </c>
      <c r="N107" s="67">
        <v>4256.2700000000004</v>
      </c>
    </row>
    <row r="108" spans="2:18" ht="6.95" customHeight="1" x14ac:dyDescent="0.25">
      <c r="O108"/>
    </row>
    <row r="109" spans="2:18" ht="16.899999999999999" customHeight="1" x14ac:dyDescent="0.25">
      <c r="C109" s="72" t="s">
        <v>2918</v>
      </c>
      <c r="D109" s="71">
        <f>SUM(D20:D107)</f>
        <v>92</v>
      </c>
      <c r="E109" s="70"/>
      <c r="F109" s="70"/>
      <c r="G109" s="70"/>
      <c r="H109" s="69">
        <f>H102+H96+H90+H83+H78+H74+H70+H66+H61+H55+H50+H45+H39+H34+H29+H24+H18</f>
        <v>422997.35107508569</v>
      </c>
      <c r="I109" s="68"/>
      <c r="K109" s="120">
        <f>SUM(K18:K108)</f>
        <v>423373.07968000002</v>
      </c>
      <c r="L109" s="64">
        <v>9773072.8800000008</v>
      </c>
      <c r="N109" s="122">
        <f>N18+N24+N29+N34+N39+N45+N50+N55+N61+N66+N70+N74+N78+N83+N90+N96+N102</f>
        <v>419562.33</v>
      </c>
      <c r="P109"/>
      <c r="Q109"/>
      <c r="R109" s="67"/>
    </row>
    <row r="110" spans="2:18" x14ac:dyDescent="0.25">
      <c r="L110" s="64">
        <v>407211.37000000005</v>
      </c>
    </row>
  </sheetData>
  <mergeCells count="7">
    <mergeCell ref="C18:G18"/>
    <mergeCell ref="C24:G24"/>
    <mergeCell ref="M16:N16"/>
    <mergeCell ref="B1:H1"/>
    <mergeCell ref="B3:G3"/>
    <mergeCell ref="F11:H11"/>
    <mergeCell ref="B14:G14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9EB55-3E09-4554-9339-38B5AB7B775C}">
  <sheetPr>
    <tabColor theme="4"/>
  </sheetPr>
  <dimension ref="A1:O1722"/>
  <sheetViews>
    <sheetView showGridLines="0" tabSelected="1" topLeftCell="A1706" workbookViewId="0">
      <selection activeCell="C1719" sqref="C1719"/>
    </sheetView>
  </sheetViews>
  <sheetFormatPr defaultRowHeight="15" x14ac:dyDescent="0.25"/>
  <cols>
    <col min="1" max="1" width="28.42578125" customWidth="1"/>
    <col min="2" max="2" width="10.7109375" customWidth="1"/>
    <col min="3" max="3" width="5" style="4" bestFit="1" customWidth="1"/>
    <col min="4" max="4" width="93.42578125" customWidth="1"/>
    <col min="5" max="5" width="4.28515625" style="3" bestFit="1" customWidth="1"/>
    <col min="6" max="7" width="11.85546875" customWidth="1"/>
    <col min="8" max="9" width="12.42578125" style="2" bestFit="1" customWidth="1"/>
    <col min="10" max="11" width="12.42578125" style="2" customWidth="1"/>
    <col min="12" max="12" width="10.42578125" style="1" customWidth="1"/>
    <col min="13" max="13" width="4.140625" customWidth="1"/>
    <col min="14" max="14" width="9" style="117"/>
    <col min="15" max="15" width="9.85546875" style="117" bestFit="1" customWidth="1"/>
  </cols>
  <sheetData>
    <row r="1" spans="1:15" x14ac:dyDescent="0.25">
      <c r="D1" t="s">
        <v>0</v>
      </c>
    </row>
    <row r="2" spans="1:15" x14ac:dyDescent="0.25">
      <c r="D2" s="24" t="s">
        <v>2917</v>
      </c>
    </row>
    <row r="3" spans="1:15" s="5" customFormat="1" ht="30" x14ac:dyDescent="0.25">
      <c r="C3" s="24" t="s">
        <v>28</v>
      </c>
      <c r="D3" s="24" t="s">
        <v>27</v>
      </c>
      <c r="E3" s="24" t="s">
        <v>26</v>
      </c>
      <c r="F3" s="24" t="s">
        <v>25</v>
      </c>
      <c r="G3" s="24" t="s">
        <v>24</v>
      </c>
      <c r="H3" s="116" t="s">
        <v>21</v>
      </c>
      <c r="I3" s="24" t="s">
        <v>23</v>
      </c>
      <c r="J3" s="24" t="s">
        <v>2928</v>
      </c>
      <c r="K3" s="24" t="s">
        <v>2927</v>
      </c>
      <c r="L3" s="23" t="s">
        <v>22</v>
      </c>
      <c r="N3" s="130" t="s">
        <v>2916</v>
      </c>
      <c r="O3" s="130"/>
    </row>
    <row r="4" spans="1:15" x14ac:dyDescent="0.25">
      <c r="A4" s="60" t="s">
        <v>2915</v>
      </c>
      <c r="B4" s="32" t="s">
        <v>2913</v>
      </c>
      <c r="C4" s="19">
        <v>1</v>
      </c>
      <c r="D4" s="18" t="s">
        <v>2914</v>
      </c>
      <c r="E4" s="19">
        <v>2</v>
      </c>
      <c r="F4" s="62" t="s">
        <v>3038</v>
      </c>
      <c r="G4" s="62">
        <v>81897719006</v>
      </c>
      <c r="H4" s="11">
        <v>353.99104000000005</v>
      </c>
      <c r="I4" s="11">
        <f t="shared" ref="I4:I35" si="0">H4*E4</f>
        <v>707.98208000000011</v>
      </c>
      <c r="J4" s="11">
        <f>O4</f>
        <v>353.99104000000005</v>
      </c>
      <c r="K4" s="11">
        <f t="shared" ref="K4:K35" si="1">J4*E4</f>
        <v>707.98208000000011</v>
      </c>
      <c r="L4" s="10">
        <v>0</v>
      </c>
      <c r="N4" s="118">
        <f t="shared" ref="N4:N67" si="2">H4*L4</f>
        <v>0</v>
      </c>
      <c r="O4" s="118">
        <f t="shared" ref="O4:O67" si="3">H4-N4</f>
        <v>353.99104000000005</v>
      </c>
    </row>
    <row r="5" spans="1:15" x14ac:dyDescent="0.25">
      <c r="A5" s="60" t="s">
        <v>2912</v>
      </c>
      <c r="B5" s="32" t="s">
        <v>2703</v>
      </c>
      <c r="C5" s="13">
        <v>2</v>
      </c>
      <c r="D5" s="18" t="s">
        <v>2911</v>
      </c>
      <c r="E5" s="19">
        <v>1</v>
      </c>
      <c r="F5" s="62" t="s">
        <v>3039</v>
      </c>
      <c r="G5" s="62">
        <v>81897719006</v>
      </c>
      <c r="H5" s="11">
        <v>270.32</v>
      </c>
      <c r="I5" s="11">
        <f t="shared" si="0"/>
        <v>270.32</v>
      </c>
      <c r="J5" s="11">
        <f t="shared" ref="J5:J55" si="4">O5</f>
        <v>270.32</v>
      </c>
      <c r="K5" s="11">
        <f t="shared" si="1"/>
        <v>270.32</v>
      </c>
      <c r="L5" s="10">
        <v>0</v>
      </c>
      <c r="N5" s="118">
        <f t="shared" si="2"/>
        <v>0</v>
      </c>
      <c r="O5" s="118">
        <f t="shared" si="3"/>
        <v>270.32</v>
      </c>
    </row>
    <row r="6" spans="1:15" x14ac:dyDescent="0.25">
      <c r="A6" s="32" t="s">
        <v>2910</v>
      </c>
      <c r="B6" s="32" t="s">
        <v>2908</v>
      </c>
      <c r="C6" s="19">
        <v>3</v>
      </c>
      <c r="D6" s="18" t="s">
        <v>2909</v>
      </c>
      <c r="E6" s="19">
        <v>2</v>
      </c>
      <c r="F6" s="12" t="s">
        <v>2908</v>
      </c>
      <c r="G6" s="12">
        <v>81897719002</v>
      </c>
      <c r="H6" s="11">
        <v>473.32479999999998</v>
      </c>
      <c r="I6" s="11">
        <f t="shared" si="0"/>
        <v>946.64959999999996</v>
      </c>
      <c r="J6" s="11">
        <f t="shared" si="4"/>
        <v>473.32479999999998</v>
      </c>
      <c r="K6" s="11">
        <f t="shared" si="1"/>
        <v>946.64959999999996</v>
      </c>
      <c r="L6" s="10">
        <v>0</v>
      </c>
      <c r="N6" s="118">
        <f t="shared" si="2"/>
        <v>0</v>
      </c>
      <c r="O6" s="118">
        <f t="shared" si="3"/>
        <v>473.32479999999998</v>
      </c>
    </row>
    <row r="7" spans="1:15" x14ac:dyDescent="0.25">
      <c r="A7" s="32" t="s">
        <v>2907</v>
      </c>
      <c r="B7" s="32" t="s">
        <v>2838</v>
      </c>
      <c r="C7" s="13">
        <v>4</v>
      </c>
      <c r="D7" s="18" t="s">
        <v>2906</v>
      </c>
      <c r="E7" s="19">
        <v>2</v>
      </c>
      <c r="F7" s="12" t="s">
        <v>2838</v>
      </c>
      <c r="G7" s="12">
        <v>81897719002</v>
      </c>
      <c r="H7" s="11">
        <v>121.71328</v>
      </c>
      <c r="I7" s="11">
        <f t="shared" si="0"/>
        <v>243.42655999999999</v>
      </c>
      <c r="J7" s="11">
        <f t="shared" si="4"/>
        <v>121.71328</v>
      </c>
      <c r="K7" s="11">
        <f t="shared" si="1"/>
        <v>243.42655999999999</v>
      </c>
      <c r="L7" s="10">
        <v>0</v>
      </c>
      <c r="N7" s="118">
        <f t="shared" si="2"/>
        <v>0</v>
      </c>
      <c r="O7" s="118">
        <f t="shared" si="3"/>
        <v>121.71328</v>
      </c>
    </row>
    <row r="8" spans="1:15" x14ac:dyDescent="0.25">
      <c r="A8" s="32" t="s">
        <v>2905</v>
      </c>
      <c r="B8" s="32" t="s">
        <v>309</v>
      </c>
      <c r="C8" s="19">
        <v>5</v>
      </c>
      <c r="D8" s="18" t="s">
        <v>310</v>
      </c>
      <c r="E8" s="19">
        <v>2</v>
      </c>
      <c r="F8" s="12" t="s">
        <v>309</v>
      </c>
      <c r="G8" s="12">
        <v>81897719002</v>
      </c>
      <c r="H8" s="11">
        <v>16.914559999999998</v>
      </c>
      <c r="I8" s="11">
        <f t="shared" si="0"/>
        <v>33.829119999999996</v>
      </c>
      <c r="J8" s="11">
        <f t="shared" si="4"/>
        <v>16.914559999999998</v>
      </c>
      <c r="K8" s="11">
        <f t="shared" si="1"/>
        <v>33.829119999999996</v>
      </c>
      <c r="L8" s="10">
        <v>0</v>
      </c>
      <c r="N8" s="118">
        <f t="shared" si="2"/>
        <v>0</v>
      </c>
      <c r="O8" s="118">
        <f t="shared" si="3"/>
        <v>16.914559999999998</v>
      </c>
    </row>
    <row r="9" spans="1:15" x14ac:dyDescent="0.25">
      <c r="A9" s="32" t="s">
        <v>2904</v>
      </c>
      <c r="B9" s="32" t="s">
        <v>2819</v>
      </c>
      <c r="C9" s="19">
        <v>6</v>
      </c>
      <c r="D9" s="18" t="s">
        <v>2820</v>
      </c>
      <c r="E9" s="19">
        <v>2</v>
      </c>
      <c r="F9" s="12" t="s">
        <v>2819</v>
      </c>
      <c r="G9" s="12">
        <v>81897719002</v>
      </c>
      <c r="H9" s="11">
        <v>12.17216</v>
      </c>
      <c r="I9" s="11">
        <f t="shared" si="0"/>
        <v>24.34432</v>
      </c>
      <c r="J9" s="11">
        <f t="shared" si="4"/>
        <v>12.17216</v>
      </c>
      <c r="K9" s="11">
        <f t="shared" si="1"/>
        <v>24.34432</v>
      </c>
      <c r="L9" s="10">
        <v>0</v>
      </c>
      <c r="N9" s="118">
        <f t="shared" si="2"/>
        <v>0</v>
      </c>
      <c r="O9" s="118">
        <f t="shared" si="3"/>
        <v>12.17216</v>
      </c>
    </row>
    <row r="10" spans="1:15" x14ac:dyDescent="0.25">
      <c r="A10" s="32" t="s">
        <v>2903</v>
      </c>
      <c r="B10" s="32" t="s">
        <v>1869</v>
      </c>
      <c r="C10" s="13">
        <v>7</v>
      </c>
      <c r="D10" s="18" t="s">
        <v>410</v>
      </c>
      <c r="E10" s="19">
        <v>2</v>
      </c>
      <c r="F10" s="12" t="s">
        <v>1869</v>
      </c>
      <c r="G10" s="12">
        <v>81897719002</v>
      </c>
      <c r="H10" s="11">
        <v>6.7724800000000007</v>
      </c>
      <c r="I10" s="11">
        <f t="shared" si="0"/>
        <v>13.544960000000001</v>
      </c>
      <c r="J10" s="11">
        <f t="shared" si="4"/>
        <v>6.7724800000000007</v>
      </c>
      <c r="K10" s="11">
        <f t="shared" si="1"/>
        <v>13.544960000000001</v>
      </c>
      <c r="L10" s="10">
        <v>0</v>
      </c>
      <c r="N10" s="118">
        <f t="shared" si="2"/>
        <v>0</v>
      </c>
      <c r="O10" s="118">
        <f t="shared" si="3"/>
        <v>6.7724800000000007</v>
      </c>
    </row>
    <row r="11" spans="1:15" x14ac:dyDescent="0.25">
      <c r="A11" s="32" t="s">
        <v>2902</v>
      </c>
      <c r="B11" s="32" t="s">
        <v>2422</v>
      </c>
      <c r="C11" s="19">
        <v>8</v>
      </c>
      <c r="D11" s="18" t="s">
        <v>2423</v>
      </c>
      <c r="E11" s="19">
        <v>2</v>
      </c>
      <c r="F11" s="12" t="s">
        <v>2422</v>
      </c>
      <c r="G11" s="12">
        <v>81897719002</v>
      </c>
      <c r="H11" s="11">
        <v>8.1120000000000001</v>
      </c>
      <c r="I11" s="11">
        <f t="shared" si="0"/>
        <v>16.224</v>
      </c>
      <c r="J11" s="11">
        <f t="shared" si="4"/>
        <v>8.1120000000000001</v>
      </c>
      <c r="K11" s="11">
        <f t="shared" si="1"/>
        <v>16.224</v>
      </c>
      <c r="L11" s="10">
        <v>0</v>
      </c>
      <c r="N11" s="118">
        <f t="shared" si="2"/>
        <v>0</v>
      </c>
      <c r="O11" s="118">
        <f t="shared" si="3"/>
        <v>8.1120000000000001</v>
      </c>
    </row>
    <row r="12" spans="1:15" x14ac:dyDescent="0.25">
      <c r="A12" s="32" t="s">
        <v>2901</v>
      </c>
      <c r="B12" s="32" t="s">
        <v>2900</v>
      </c>
      <c r="C12" s="13">
        <v>9</v>
      </c>
      <c r="D12" s="18" t="s">
        <v>2809</v>
      </c>
      <c r="E12" s="19">
        <v>2</v>
      </c>
      <c r="F12" s="12" t="s">
        <v>2900</v>
      </c>
      <c r="G12" s="12">
        <v>81897710001</v>
      </c>
      <c r="H12" s="11">
        <v>202.86656000000002</v>
      </c>
      <c r="I12" s="11">
        <f t="shared" si="0"/>
        <v>405.73312000000004</v>
      </c>
      <c r="J12" s="11">
        <f t="shared" si="4"/>
        <v>202.86656000000002</v>
      </c>
      <c r="K12" s="11">
        <f t="shared" si="1"/>
        <v>405.73312000000004</v>
      </c>
      <c r="L12" s="10">
        <v>0</v>
      </c>
      <c r="N12" s="118">
        <f t="shared" si="2"/>
        <v>0</v>
      </c>
      <c r="O12" s="118">
        <f t="shared" si="3"/>
        <v>202.86656000000002</v>
      </c>
    </row>
    <row r="13" spans="1:15" x14ac:dyDescent="0.25">
      <c r="A13" s="32" t="s">
        <v>2899</v>
      </c>
      <c r="B13" s="32" t="s">
        <v>2897</v>
      </c>
      <c r="C13" s="19">
        <v>10</v>
      </c>
      <c r="D13" s="18" t="s">
        <v>2898</v>
      </c>
      <c r="E13" s="19">
        <v>4</v>
      </c>
      <c r="F13" s="12" t="s">
        <v>2897</v>
      </c>
      <c r="G13" s="12">
        <v>81897719002</v>
      </c>
      <c r="H13" s="11">
        <v>74.364159999999984</v>
      </c>
      <c r="I13" s="11">
        <f t="shared" si="0"/>
        <v>297.45663999999994</v>
      </c>
      <c r="J13" s="11">
        <f t="shared" si="4"/>
        <v>74.364159999999984</v>
      </c>
      <c r="K13" s="11">
        <f t="shared" si="1"/>
        <v>297.45663999999994</v>
      </c>
      <c r="L13" s="10">
        <v>0</v>
      </c>
      <c r="N13" s="118">
        <f t="shared" si="2"/>
        <v>0</v>
      </c>
      <c r="O13" s="118">
        <f t="shared" si="3"/>
        <v>74.364159999999984</v>
      </c>
    </row>
    <row r="14" spans="1:15" x14ac:dyDescent="0.25">
      <c r="A14" s="42" t="s">
        <v>2896</v>
      </c>
      <c r="B14" s="42" t="s">
        <v>2797</v>
      </c>
      <c r="C14" s="19">
        <v>11</v>
      </c>
      <c r="D14" s="18" t="s">
        <v>2806</v>
      </c>
      <c r="E14" s="19">
        <v>2</v>
      </c>
      <c r="F14" s="12" t="s">
        <v>1326</v>
      </c>
      <c r="G14" s="12">
        <v>81897719006</v>
      </c>
      <c r="H14" s="11">
        <v>29.735680000000002</v>
      </c>
      <c r="I14" s="11">
        <f t="shared" si="0"/>
        <v>59.471360000000004</v>
      </c>
      <c r="J14" s="11">
        <f t="shared" si="4"/>
        <v>29.735680000000002</v>
      </c>
      <c r="K14" s="11">
        <f t="shared" si="1"/>
        <v>59.471360000000004</v>
      </c>
      <c r="L14" s="10">
        <v>0</v>
      </c>
      <c r="N14" s="118">
        <f t="shared" si="2"/>
        <v>0</v>
      </c>
      <c r="O14" s="118">
        <f t="shared" si="3"/>
        <v>29.735680000000002</v>
      </c>
    </row>
    <row r="15" spans="1:15" x14ac:dyDescent="0.25">
      <c r="A15" s="32" t="s">
        <v>2895</v>
      </c>
      <c r="B15" s="32" t="s">
        <v>2803</v>
      </c>
      <c r="C15" s="13">
        <v>12</v>
      </c>
      <c r="D15" s="18" t="s">
        <v>2894</v>
      </c>
      <c r="E15" s="19">
        <v>2</v>
      </c>
      <c r="F15" s="12" t="s">
        <v>2803</v>
      </c>
      <c r="G15" s="12">
        <v>81897719002</v>
      </c>
      <c r="H15" s="11">
        <v>18.94464</v>
      </c>
      <c r="I15" s="11">
        <f t="shared" si="0"/>
        <v>37.889279999999999</v>
      </c>
      <c r="J15" s="11">
        <f t="shared" si="4"/>
        <v>18.94464</v>
      </c>
      <c r="K15" s="11">
        <f t="shared" si="1"/>
        <v>37.889279999999999</v>
      </c>
      <c r="L15" s="10">
        <v>0</v>
      </c>
      <c r="N15" s="118">
        <f t="shared" si="2"/>
        <v>0</v>
      </c>
      <c r="O15" s="118">
        <f t="shared" si="3"/>
        <v>18.94464</v>
      </c>
    </row>
    <row r="16" spans="1:15" x14ac:dyDescent="0.25">
      <c r="A16" s="42" t="s">
        <v>2893</v>
      </c>
      <c r="B16" s="42" t="s">
        <v>2797</v>
      </c>
      <c r="C16" s="19">
        <v>13</v>
      </c>
      <c r="D16" s="18" t="s">
        <v>2798</v>
      </c>
      <c r="E16" s="19">
        <v>2</v>
      </c>
      <c r="F16" s="12" t="s">
        <v>1323</v>
      </c>
      <c r="G16" s="12">
        <v>81897719006</v>
      </c>
      <c r="H16" s="11">
        <v>33.795839999999998</v>
      </c>
      <c r="I16" s="11">
        <f t="shared" si="0"/>
        <v>67.591679999999997</v>
      </c>
      <c r="J16" s="11">
        <f t="shared" si="4"/>
        <v>33.795839999999998</v>
      </c>
      <c r="K16" s="11">
        <f t="shared" si="1"/>
        <v>67.591679999999997</v>
      </c>
      <c r="L16" s="10">
        <v>0</v>
      </c>
      <c r="N16" s="118">
        <f t="shared" si="2"/>
        <v>0</v>
      </c>
      <c r="O16" s="118">
        <f t="shared" si="3"/>
        <v>33.795839999999998</v>
      </c>
    </row>
    <row r="17" spans="1:15" x14ac:dyDescent="0.25">
      <c r="A17" s="32" t="s">
        <v>2892</v>
      </c>
      <c r="B17" s="32" t="s">
        <v>1834</v>
      </c>
      <c r="C17" s="13">
        <v>14</v>
      </c>
      <c r="D17" s="18" t="s">
        <v>1835</v>
      </c>
      <c r="E17" s="19">
        <v>2</v>
      </c>
      <c r="F17" s="12" t="s">
        <v>1834</v>
      </c>
      <c r="G17" s="12">
        <v>81897719002</v>
      </c>
      <c r="H17" s="11">
        <v>30.42624</v>
      </c>
      <c r="I17" s="11">
        <f t="shared" si="0"/>
        <v>60.85248</v>
      </c>
      <c r="J17" s="11">
        <f t="shared" si="4"/>
        <v>30.42624</v>
      </c>
      <c r="K17" s="11">
        <f t="shared" si="1"/>
        <v>60.85248</v>
      </c>
      <c r="L17" s="10">
        <v>0</v>
      </c>
      <c r="N17" s="118">
        <f t="shared" si="2"/>
        <v>0</v>
      </c>
      <c r="O17" s="118">
        <f t="shared" si="3"/>
        <v>30.42624</v>
      </c>
    </row>
    <row r="18" spans="1:15" x14ac:dyDescent="0.25">
      <c r="A18" s="32" t="s">
        <v>2891</v>
      </c>
      <c r="B18" s="32" t="s">
        <v>996</v>
      </c>
      <c r="C18" s="19">
        <v>15</v>
      </c>
      <c r="D18" s="18" t="s">
        <v>1072</v>
      </c>
      <c r="E18" s="19">
        <v>2</v>
      </c>
      <c r="F18" s="12" t="s">
        <v>996</v>
      </c>
      <c r="G18" s="12">
        <v>81897719002</v>
      </c>
      <c r="H18" s="11">
        <v>16.914559999999998</v>
      </c>
      <c r="I18" s="11">
        <f t="shared" si="0"/>
        <v>33.829119999999996</v>
      </c>
      <c r="J18" s="11">
        <f t="shared" si="4"/>
        <v>16.914559999999998</v>
      </c>
      <c r="K18" s="11">
        <f t="shared" si="1"/>
        <v>33.829119999999996</v>
      </c>
      <c r="L18" s="10">
        <v>0</v>
      </c>
      <c r="N18" s="118">
        <f t="shared" si="2"/>
        <v>0</v>
      </c>
      <c r="O18" s="118">
        <f t="shared" si="3"/>
        <v>16.914559999999998</v>
      </c>
    </row>
    <row r="19" spans="1:15" x14ac:dyDescent="0.25">
      <c r="A19" s="32" t="s">
        <v>2890</v>
      </c>
      <c r="B19" s="32" t="s">
        <v>2888</v>
      </c>
      <c r="C19" s="19">
        <v>16</v>
      </c>
      <c r="D19" s="18" t="s">
        <v>2889</v>
      </c>
      <c r="E19" s="19">
        <v>1</v>
      </c>
      <c r="F19" s="12" t="s">
        <v>2888</v>
      </c>
      <c r="G19" s="12">
        <v>81897719002</v>
      </c>
      <c r="H19" s="11">
        <v>50.710400000000007</v>
      </c>
      <c r="I19" s="11">
        <f t="shared" si="0"/>
        <v>50.710400000000007</v>
      </c>
      <c r="J19" s="11">
        <f t="shared" si="4"/>
        <v>50.710400000000007</v>
      </c>
      <c r="K19" s="11">
        <f t="shared" si="1"/>
        <v>50.710400000000007</v>
      </c>
      <c r="L19" s="10">
        <v>0</v>
      </c>
      <c r="N19" s="118">
        <f t="shared" si="2"/>
        <v>0</v>
      </c>
      <c r="O19" s="118">
        <f t="shared" si="3"/>
        <v>50.710400000000007</v>
      </c>
    </row>
    <row r="20" spans="1:15" x14ac:dyDescent="0.25">
      <c r="A20" s="32" t="s">
        <v>2887</v>
      </c>
      <c r="B20" s="32" t="s">
        <v>2885</v>
      </c>
      <c r="C20" s="13">
        <v>17</v>
      </c>
      <c r="D20" s="18" t="s">
        <v>2886</v>
      </c>
      <c r="E20" s="19">
        <v>1</v>
      </c>
      <c r="F20" s="12" t="s">
        <v>2885</v>
      </c>
      <c r="G20" s="12">
        <v>81897719002</v>
      </c>
      <c r="H20" s="11">
        <v>152.13952</v>
      </c>
      <c r="I20" s="11">
        <f t="shared" si="0"/>
        <v>152.13952</v>
      </c>
      <c r="J20" s="11">
        <f t="shared" si="4"/>
        <v>152.13952</v>
      </c>
      <c r="K20" s="11">
        <f t="shared" si="1"/>
        <v>152.13952</v>
      </c>
      <c r="L20" s="10">
        <v>0</v>
      </c>
      <c r="N20" s="118">
        <f t="shared" si="2"/>
        <v>0</v>
      </c>
      <c r="O20" s="118">
        <f t="shared" si="3"/>
        <v>152.13952</v>
      </c>
    </row>
    <row r="21" spans="1:15" x14ac:dyDescent="0.25">
      <c r="A21" s="32" t="s">
        <v>2884</v>
      </c>
      <c r="B21" s="32" t="s">
        <v>2882</v>
      </c>
      <c r="C21" s="19">
        <v>18</v>
      </c>
      <c r="D21" s="18" t="s">
        <v>2883</v>
      </c>
      <c r="E21" s="19">
        <v>1</v>
      </c>
      <c r="F21" s="12" t="s">
        <v>2882</v>
      </c>
      <c r="G21" s="12">
        <v>81897719002</v>
      </c>
      <c r="H21" s="11">
        <v>152.13952</v>
      </c>
      <c r="I21" s="11">
        <f t="shared" si="0"/>
        <v>152.13952</v>
      </c>
      <c r="J21" s="11">
        <f t="shared" si="4"/>
        <v>152.13952</v>
      </c>
      <c r="K21" s="11">
        <f t="shared" si="1"/>
        <v>152.13952</v>
      </c>
      <c r="L21" s="10">
        <v>0</v>
      </c>
      <c r="N21" s="118">
        <f t="shared" si="2"/>
        <v>0</v>
      </c>
      <c r="O21" s="118">
        <f t="shared" si="3"/>
        <v>152.13952</v>
      </c>
    </row>
    <row r="22" spans="1:15" x14ac:dyDescent="0.25">
      <c r="A22" s="32" t="s">
        <v>2881</v>
      </c>
      <c r="B22" s="32" t="s">
        <v>1124</v>
      </c>
      <c r="C22" s="13">
        <v>19</v>
      </c>
      <c r="D22" s="18" t="s">
        <v>1125</v>
      </c>
      <c r="E22" s="19">
        <v>1</v>
      </c>
      <c r="F22" s="12" t="s">
        <v>1124</v>
      </c>
      <c r="G22" s="12">
        <v>81897719002</v>
      </c>
      <c r="H22" s="11">
        <v>152.13952</v>
      </c>
      <c r="I22" s="11">
        <f t="shared" si="0"/>
        <v>152.13952</v>
      </c>
      <c r="J22" s="11">
        <f t="shared" si="4"/>
        <v>152.13952</v>
      </c>
      <c r="K22" s="11">
        <f t="shared" si="1"/>
        <v>152.13952</v>
      </c>
      <c r="L22" s="10">
        <v>0</v>
      </c>
      <c r="N22" s="118">
        <f t="shared" si="2"/>
        <v>0</v>
      </c>
      <c r="O22" s="118">
        <f t="shared" si="3"/>
        <v>152.13952</v>
      </c>
    </row>
    <row r="23" spans="1:15" x14ac:dyDescent="0.25">
      <c r="A23" s="32" t="s">
        <v>2880</v>
      </c>
      <c r="B23" s="32" t="s">
        <v>2878</v>
      </c>
      <c r="C23" s="19">
        <v>20</v>
      </c>
      <c r="D23" s="18" t="s">
        <v>2879</v>
      </c>
      <c r="E23" s="19">
        <v>1</v>
      </c>
      <c r="F23" s="12" t="s">
        <v>2878</v>
      </c>
      <c r="G23" s="12">
        <v>81897719002</v>
      </c>
      <c r="H23" s="11">
        <v>162.28160000000003</v>
      </c>
      <c r="I23" s="11">
        <f t="shared" si="0"/>
        <v>162.28160000000003</v>
      </c>
      <c r="J23" s="11">
        <f t="shared" si="4"/>
        <v>162.28160000000003</v>
      </c>
      <c r="K23" s="11">
        <f t="shared" si="1"/>
        <v>162.28160000000003</v>
      </c>
      <c r="L23" s="10">
        <v>0</v>
      </c>
      <c r="N23" s="118">
        <f t="shared" si="2"/>
        <v>0</v>
      </c>
      <c r="O23" s="118">
        <f t="shared" si="3"/>
        <v>162.28160000000003</v>
      </c>
    </row>
    <row r="24" spans="1:15" x14ac:dyDescent="0.25">
      <c r="A24" s="32" t="s">
        <v>2877</v>
      </c>
      <c r="B24" s="32" t="s">
        <v>2787</v>
      </c>
      <c r="C24" s="19">
        <v>21</v>
      </c>
      <c r="D24" s="18" t="s">
        <v>2876</v>
      </c>
      <c r="E24" s="19">
        <v>1</v>
      </c>
      <c r="F24" s="18" t="s">
        <v>2787</v>
      </c>
      <c r="G24" s="18">
        <v>81897719002</v>
      </c>
      <c r="H24" s="11">
        <v>783.36127999999997</v>
      </c>
      <c r="I24" s="11">
        <f t="shared" si="0"/>
        <v>783.36127999999997</v>
      </c>
      <c r="J24" s="11">
        <f t="shared" si="4"/>
        <v>783.36127999999997</v>
      </c>
      <c r="K24" s="11">
        <f t="shared" si="1"/>
        <v>783.36127999999997</v>
      </c>
      <c r="L24" s="10">
        <v>0</v>
      </c>
      <c r="N24" s="118">
        <f t="shared" si="2"/>
        <v>0</v>
      </c>
      <c r="O24" s="118">
        <f t="shared" si="3"/>
        <v>783.36127999999997</v>
      </c>
    </row>
    <row r="25" spans="1:15" x14ac:dyDescent="0.25">
      <c r="A25" s="32" t="s">
        <v>2875</v>
      </c>
      <c r="B25" s="32" t="s">
        <v>2773</v>
      </c>
      <c r="C25" s="13">
        <v>22</v>
      </c>
      <c r="D25" s="18" t="s">
        <v>2867</v>
      </c>
      <c r="E25" s="19">
        <v>2</v>
      </c>
      <c r="F25" s="12" t="s">
        <v>2773</v>
      </c>
      <c r="G25" s="12">
        <v>81897719002</v>
      </c>
      <c r="H25" s="11">
        <v>152.13952</v>
      </c>
      <c r="I25" s="11">
        <f t="shared" si="0"/>
        <v>304.27904000000001</v>
      </c>
      <c r="J25" s="11">
        <f t="shared" si="4"/>
        <v>152.13952</v>
      </c>
      <c r="K25" s="11">
        <f t="shared" si="1"/>
        <v>304.27904000000001</v>
      </c>
      <c r="L25" s="10">
        <v>0</v>
      </c>
      <c r="N25" s="118">
        <f t="shared" si="2"/>
        <v>0</v>
      </c>
      <c r="O25" s="118">
        <f t="shared" si="3"/>
        <v>152.13952</v>
      </c>
    </row>
    <row r="26" spans="1:15" x14ac:dyDescent="0.25">
      <c r="A26" s="32" t="s">
        <v>2874</v>
      </c>
      <c r="B26" s="32" t="s">
        <v>2782</v>
      </c>
      <c r="C26" s="19">
        <v>23</v>
      </c>
      <c r="D26" s="18" t="s">
        <v>2873</v>
      </c>
      <c r="E26" s="19">
        <v>2</v>
      </c>
      <c r="F26" s="12" t="s">
        <v>2782</v>
      </c>
      <c r="G26" s="12">
        <v>81897719002</v>
      </c>
      <c r="H26" s="11">
        <v>141.99744000000001</v>
      </c>
      <c r="I26" s="11">
        <f t="shared" si="0"/>
        <v>283.99488000000002</v>
      </c>
      <c r="J26" s="11">
        <f t="shared" si="4"/>
        <v>141.99744000000001</v>
      </c>
      <c r="K26" s="11">
        <f t="shared" si="1"/>
        <v>283.99488000000002</v>
      </c>
      <c r="L26" s="10">
        <v>0</v>
      </c>
      <c r="N26" s="118">
        <f t="shared" si="2"/>
        <v>0</v>
      </c>
      <c r="O26" s="118">
        <f t="shared" si="3"/>
        <v>141.99744000000001</v>
      </c>
    </row>
    <row r="27" spans="1:15" x14ac:dyDescent="0.25">
      <c r="A27" s="35" t="s">
        <v>2872</v>
      </c>
      <c r="B27" s="35" t="s">
        <v>2779</v>
      </c>
      <c r="C27" s="13">
        <v>24</v>
      </c>
      <c r="D27" s="18" t="s">
        <v>2871</v>
      </c>
      <c r="E27" s="19">
        <v>2</v>
      </c>
      <c r="F27" s="12" t="s">
        <v>2779</v>
      </c>
      <c r="G27" s="12">
        <v>10301950026</v>
      </c>
      <c r="H27" s="11">
        <v>202.84992</v>
      </c>
      <c r="I27" s="11">
        <f t="shared" si="0"/>
        <v>405.69983999999999</v>
      </c>
      <c r="J27" s="11">
        <f t="shared" si="4"/>
        <v>202.84992</v>
      </c>
      <c r="K27" s="11">
        <f t="shared" si="1"/>
        <v>405.69983999999999</v>
      </c>
      <c r="L27" s="10">
        <v>0</v>
      </c>
      <c r="N27" s="118">
        <f t="shared" si="2"/>
        <v>0</v>
      </c>
      <c r="O27" s="118">
        <f t="shared" si="3"/>
        <v>202.84992</v>
      </c>
    </row>
    <row r="28" spans="1:15" x14ac:dyDescent="0.25">
      <c r="A28" s="32" t="s">
        <v>2870</v>
      </c>
      <c r="B28" s="32" t="s">
        <v>2776</v>
      </c>
      <c r="C28" s="19">
        <v>25</v>
      </c>
      <c r="D28" s="18" t="s">
        <v>2869</v>
      </c>
      <c r="E28" s="19">
        <v>2</v>
      </c>
      <c r="F28" s="12" t="s">
        <v>2776</v>
      </c>
      <c r="G28" s="12">
        <v>81897719002</v>
      </c>
      <c r="H28" s="11">
        <v>70.994559999999993</v>
      </c>
      <c r="I28" s="11">
        <f t="shared" si="0"/>
        <v>141.98911999999999</v>
      </c>
      <c r="J28" s="11">
        <f t="shared" si="4"/>
        <v>70.994559999999993</v>
      </c>
      <c r="K28" s="11">
        <f t="shared" si="1"/>
        <v>141.98911999999999</v>
      </c>
      <c r="L28" s="10">
        <v>0</v>
      </c>
      <c r="N28" s="118">
        <f t="shared" si="2"/>
        <v>0</v>
      </c>
      <c r="O28" s="118">
        <f t="shared" si="3"/>
        <v>70.994559999999993</v>
      </c>
    </row>
    <row r="29" spans="1:15" x14ac:dyDescent="0.25">
      <c r="A29" s="32" t="s">
        <v>2868</v>
      </c>
      <c r="B29" s="32" t="s">
        <v>2773</v>
      </c>
      <c r="C29" s="19">
        <v>26</v>
      </c>
      <c r="D29" s="18" t="s">
        <v>2867</v>
      </c>
      <c r="E29" s="19">
        <v>2</v>
      </c>
      <c r="F29" s="12" t="s">
        <v>2773</v>
      </c>
      <c r="G29" s="12">
        <v>81897719002</v>
      </c>
      <c r="H29" s="11">
        <v>152.13952</v>
      </c>
      <c r="I29" s="11">
        <f t="shared" si="0"/>
        <v>304.27904000000001</v>
      </c>
      <c r="J29" s="11">
        <f t="shared" si="4"/>
        <v>152.13952</v>
      </c>
      <c r="K29" s="11">
        <f t="shared" si="1"/>
        <v>304.27904000000001</v>
      </c>
      <c r="L29" s="10">
        <v>0</v>
      </c>
      <c r="N29" s="118">
        <f t="shared" si="2"/>
        <v>0</v>
      </c>
      <c r="O29" s="118">
        <f t="shared" si="3"/>
        <v>152.13952</v>
      </c>
    </row>
    <row r="30" spans="1:15" x14ac:dyDescent="0.25">
      <c r="A30" s="35" t="s">
        <v>2866</v>
      </c>
      <c r="B30" s="35" t="s">
        <v>2770</v>
      </c>
      <c r="C30" s="13">
        <v>27</v>
      </c>
      <c r="D30" s="18" t="s">
        <v>2865</v>
      </c>
      <c r="E30" s="19">
        <v>2</v>
      </c>
      <c r="F30" s="12" t="s">
        <v>2770</v>
      </c>
      <c r="G30" s="12">
        <v>10301950027</v>
      </c>
      <c r="H30" s="11">
        <v>33.795839999999998</v>
      </c>
      <c r="I30" s="11">
        <f t="shared" si="0"/>
        <v>67.591679999999997</v>
      </c>
      <c r="J30" s="11">
        <f t="shared" si="4"/>
        <v>33.795839999999998</v>
      </c>
      <c r="K30" s="11">
        <f t="shared" si="1"/>
        <v>67.591679999999997</v>
      </c>
      <c r="L30" s="10">
        <v>0</v>
      </c>
      <c r="N30" s="118">
        <f t="shared" si="2"/>
        <v>0</v>
      </c>
      <c r="O30" s="118">
        <f t="shared" si="3"/>
        <v>33.795839999999998</v>
      </c>
    </row>
    <row r="31" spans="1:15" x14ac:dyDescent="0.25">
      <c r="A31" s="32" t="s">
        <v>2864</v>
      </c>
      <c r="B31" s="32" t="s">
        <v>2767</v>
      </c>
      <c r="C31" s="19">
        <v>28</v>
      </c>
      <c r="D31" s="18" t="s">
        <v>2768</v>
      </c>
      <c r="E31" s="19">
        <v>2</v>
      </c>
      <c r="F31" s="12" t="s">
        <v>2767</v>
      </c>
      <c r="G31" s="12">
        <v>81897719002</v>
      </c>
      <c r="H31" s="11">
        <v>169.05408</v>
      </c>
      <c r="I31" s="11">
        <f t="shared" si="0"/>
        <v>338.10816</v>
      </c>
      <c r="J31" s="11">
        <f t="shared" si="4"/>
        <v>169.05408</v>
      </c>
      <c r="K31" s="11">
        <f t="shared" si="1"/>
        <v>338.10816</v>
      </c>
      <c r="L31" s="10">
        <v>0</v>
      </c>
      <c r="N31" s="118">
        <f t="shared" si="2"/>
        <v>0</v>
      </c>
      <c r="O31" s="118">
        <f t="shared" si="3"/>
        <v>169.05408</v>
      </c>
    </row>
    <row r="32" spans="1:15" x14ac:dyDescent="0.25">
      <c r="A32" s="32" t="s">
        <v>2863</v>
      </c>
      <c r="B32" s="32" t="s">
        <v>611</v>
      </c>
      <c r="C32" s="13">
        <v>29</v>
      </c>
      <c r="D32" s="18" t="s">
        <v>612</v>
      </c>
      <c r="E32" s="19">
        <v>4</v>
      </c>
      <c r="F32" s="12" t="s">
        <v>611</v>
      </c>
      <c r="G32" s="12">
        <v>81897719002</v>
      </c>
      <c r="H32" s="11">
        <v>33.795839999999998</v>
      </c>
      <c r="I32" s="11">
        <f t="shared" si="0"/>
        <v>135.18335999999999</v>
      </c>
      <c r="J32" s="11">
        <f t="shared" si="4"/>
        <v>33.795839999999998</v>
      </c>
      <c r="K32" s="11">
        <f t="shared" si="1"/>
        <v>135.18335999999999</v>
      </c>
      <c r="L32" s="10">
        <v>0</v>
      </c>
      <c r="N32" s="118">
        <f t="shared" si="2"/>
        <v>0</v>
      </c>
      <c r="O32" s="118">
        <f t="shared" si="3"/>
        <v>33.795839999999998</v>
      </c>
    </row>
    <row r="33" spans="1:15" x14ac:dyDescent="0.25">
      <c r="A33" s="32" t="s">
        <v>2862</v>
      </c>
      <c r="B33" s="32" t="s">
        <v>110</v>
      </c>
      <c r="C33" s="19">
        <v>30</v>
      </c>
      <c r="D33" s="18" t="s">
        <v>111</v>
      </c>
      <c r="E33" s="19">
        <v>1</v>
      </c>
      <c r="F33" s="12" t="s">
        <v>110</v>
      </c>
      <c r="G33" s="12">
        <v>81897719002</v>
      </c>
      <c r="H33" s="11">
        <v>37.847680000000004</v>
      </c>
      <c r="I33" s="11">
        <f t="shared" si="0"/>
        <v>37.847680000000004</v>
      </c>
      <c r="J33" s="11">
        <f t="shared" si="4"/>
        <v>37.847680000000004</v>
      </c>
      <c r="K33" s="11">
        <f t="shared" si="1"/>
        <v>37.847680000000004</v>
      </c>
      <c r="L33" s="10">
        <v>0</v>
      </c>
      <c r="N33" s="118">
        <f t="shared" si="2"/>
        <v>0</v>
      </c>
      <c r="O33" s="118">
        <f t="shared" si="3"/>
        <v>37.847680000000004</v>
      </c>
    </row>
    <row r="34" spans="1:15" x14ac:dyDescent="0.25">
      <c r="A34" s="32" t="s">
        <v>2861</v>
      </c>
      <c r="B34" s="32" t="s">
        <v>131</v>
      </c>
      <c r="C34" s="19">
        <v>31</v>
      </c>
      <c r="D34" s="18" t="s">
        <v>132</v>
      </c>
      <c r="E34" s="19">
        <v>15</v>
      </c>
      <c r="F34" s="12" t="s">
        <v>131</v>
      </c>
      <c r="G34" s="12">
        <v>81897719002</v>
      </c>
      <c r="H34" s="11">
        <v>16.224</v>
      </c>
      <c r="I34" s="11">
        <f t="shared" si="0"/>
        <v>243.36</v>
      </c>
      <c r="J34" s="11">
        <f t="shared" si="4"/>
        <v>16.224</v>
      </c>
      <c r="K34" s="11">
        <f t="shared" si="1"/>
        <v>243.36</v>
      </c>
      <c r="L34" s="10">
        <v>0</v>
      </c>
      <c r="N34" s="118">
        <f t="shared" si="2"/>
        <v>0</v>
      </c>
      <c r="O34" s="118">
        <f t="shared" si="3"/>
        <v>16.224</v>
      </c>
    </row>
    <row r="35" spans="1:15" x14ac:dyDescent="0.25">
      <c r="A35" s="32" t="s">
        <v>2860</v>
      </c>
      <c r="B35" s="32" t="s">
        <v>256</v>
      </c>
      <c r="C35" s="13">
        <v>32</v>
      </c>
      <c r="D35" s="18" t="s">
        <v>257</v>
      </c>
      <c r="E35" s="19">
        <v>15</v>
      </c>
      <c r="F35" s="12" t="s">
        <v>256</v>
      </c>
      <c r="G35" s="12">
        <v>81897719002</v>
      </c>
      <c r="H35" s="11">
        <v>16.914559999999998</v>
      </c>
      <c r="I35" s="11">
        <f t="shared" si="0"/>
        <v>253.71839999999997</v>
      </c>
      <c r="J35" s="11">
        <f t="shared" si="4"/>
        <v>16.914559999999998</v>
      </c>
      <c r="K35" s="11">
        <f t="shared" si="1"/>
        <v>253.71839999999997</v>
      </c>
      <c r="L35" s="10">
        <v>0</v>
      </c>
      <c r="N35" s="118">
        <f t="shared" si="2"/>
        <v>0</v>
      </c>
      <c r="O35" s="118">
        <f t="shared" si="3"/>
        <v>16.914559999999998</v>
      </c>
    </row>
    <row r="36" spans="1:15" x14ac:dyDescent="0.25">
      <c r="A36" s="32" t="s">
        <v>2859</v>
      </c>
      <c r="B36" s="32" t="s">
        <v>122</v>
      </c>
      <c r="C36" s="19">
        <v>33</v>
      </c>
      <c r="D36" s="18" t="s">
        <v>123</v>
      </c>
      <c r="E36" s="19">
        <v>10</v>
      </c>
      <c r="F36" s="12" t="s">
        <v>122</v>
      </c>
      <c r="G36" s="12">
        <v>81897719002</v>
      </c>
      <c r="H36" s="11">
        <v>16.224</v>
      </c>
      <c r="I36" s="11">
        <f t="shared" ref="I36:I67" si="5">H36*E36</f>
        <v>162.24</v>
      </c>
      <c r="J36" s="11">
        <f t="shared" si="4"/>
        <v>16.224</v>
      </c>
      <c r="K36" s="11">
        <f t="shared" ref="K36:K67" si="6">J36*E36</f>
        <v>162.24</v>
      </c>
      <c r="L36" s="10">
        <v>0</v>
      </c>
      <c r="N36" s="118">
        <f t="shared" si="2"/>
        <v>0</v>
      </c>
      <c r="O36" s="118">
        <f t="shared" si="3"/>
        <v>16.224</v>
      </c>
    </row>
    <row r="37" spans="1:15" x14ac:dyDescent="0.25">
      <c r="A37" s="32" t="s">
        <v>2858</v>
      </c>
      <c r="B37" s="32" t="s">
        <v>2734</v>
      </c>
      <c r="C37" s="13">
        <v>34</v>
      </c>
      <c r="D37" s="18" t="s">
        <v>2735</v>
      </c>
      <c r="E37" s="19">
        <v>1</v>
      </c>
      <c r="F37" s="12" t="s">
        <v>2734</v>
      </c>
      <c r="G37" s="12">
        <v>81897719002</v>
      </c>
      <c r="H37" s="11">
        <v>25.68384</v>
      </c>
      <c r="I37" s="11">
        <f t="shared" si="5"/>
        <v>25.68384</v>
      </c>
      <c r="J37" s="11">
        <f t="shared" si="4"/>
        <v>25.68384</v>
      </c>
      <c r="K37" s="11">
        <f t="shared" si="6"/>
        <v>25.68384</v>
      </c>
      <c r="L37" s="10">
        <v>0</v>
      </c>
      <c r="N37" s="118">
        <f t="shared" si="2"/>
        <v>0</v>
      </c>
      <c r="O37" s="118">
        <f t="shared" si="3"/>
        <v>25.68384</v>
      </c>
    </row>
    <row r="38" spans="1:15" x14ac:dyDescent="0.25">
      <c r="A38" s="32" t="s">
        <v>2857</v>
      </c>
      <c r="B38" s="32" t="s">
        <v>1074</v>
      </c>
      <c r="C38" s="19">
        <v>35</v>
      </c>
      <c r="D38" s="18" t="s">
        <v>1075</v>
      </c>
      <c r="E38" s="19">
        <v>2</v>
      </c>
      <c r="F38" s="12" t="s">
        <v>1074</v>
      </c>
      <c r="G38" s="12">
        <v>81897719002</v>
      </c>
      <c r="H38" s="11">
        <v>24.34432</v>
      </c>
      <c r="I38" s="11">
        <f t="shared" si="5"/>
        <v>48.688639999999999</v>
      </c>
      <c r="J38" s="11">
        <f t="shared" si="4"/>
        <v>24.34432</v>
      </c>
      <c r="K38" s="11">
        <f t="shared" si="6"/>
        <v>48.688639999999999</v>
      </c>
      <c r="L38" s="10">
        <v>0</v>
      </c>
      <c r="N38" s="118">
        <f t="shared" si="2"/>
        <v>0</v>
      </c>
      <c r="O38" s="118">
        <f t="shared" si="3"/>
        <v>24.34432</v>
      </c>
    </row>
    <row r="39" spans="1:15" x14ac:dyDescent="0.25">
      <c r="A39" s="32" t="s">
        <v>2856</v>
      </c>
      <c r="B39" s="32" t="s">
        <v>152</v>
      </c>
      <c r="C39" s="19">
        <v>36</v>
      </c>
      <c r="D39" s="18" t="s">
        <v>153</v>
      </c>
      <c r="E39" s="19">
        <v>4</v>
      </c>
      <c r="F39" s="12" t="s">
        <v>152</v>
      </c>
      <c r="G39" s="12">
        <v>81897719002</v>
      </c>
      <c r="H39" s="11">
        <v>9.4515199999999986</v>
      </c>
      <c r="I39" s="11">
        <f t="shared" si="5"/>
        <v>37.806079999999994</v>
      </c>
      <c r="J39" s="11">
        <f t="shared" si="4"/>
        <v>9.4515199999999986</v>
      </c>
      <c r="K39" s="11">
        <f t="shared" si="6"/>
        <v>37.806079999999994</v>
      </c>
      <c r="L39" s="10">
        <v>0</v>
      </c>
      <c r="N39" s="118">
        <f t="shared" si="2"/>
        <v>0</v>
      </c>
      <c r="O39" s="118">
        <f t="shared" si="3"/>
        <v>9.4515199999999986</v>
      </c>
    </row>
    <row r="40" spans="1:15" x14ac:dyDescent="0.25">
      <c r="A40" s="32" t="s">
        <v>2855</v>
      </c>
      <c r="B40" s="32" t="s">
        <v>983</v>
      </c>
      <c r="C40" s="13">
        <v>37</v>
      </c>
      <c r="D40" s="18" t="s">
        <v>984</v>
      </c>
      <c r="E40" s="19">
        <v>1</v>
      </c>
      <c r="F40" s="12" t="s">
        <v>983</v>
      </c>
      <c r="G40" s="12">
        <v>81897719002</v>
      </c>
      <c r="H40" s="11">
        <v>94.648320000000012</v>
      </c>
      <c r="I40" s="11">
        <f t="shared" si="5"/>
        <v>94.648320000000012</v>
      </c>
      <c r="J40" s="11">
        <f t="shared" si="4"/>
        <v>94.648320000000012</v>
      </c>
      <c r="K40" s="11">
        <f t="shared" si="6"/>
        <v>94.648320000000012</v>
      </c>
      <c r="L40" s="10">
        <v>0</v>
      </c>
      <c r="N40" s="118">
        <f t="shared" si="2"/>
        <v>0</v>
      </c>
      <c r="O40" s="118">
        <f t="shared" si="3"/>
        <v>94.648320000000012</v>
      </c>
    </row>
    <row r="41" spans="1:15" x14ac:dyDescent="0.25">
      <c r="A41" s="32" t="s">
        <v>2854</v>
      </c>
      <c r="B41" s="32" t="s">
        <v>2745</v>
      </c>
      <c r="C41" s="19">
        <v>38</v>
      </c>
      <c r="D41" s="18" t="s">
        <v>2746</v>
      </c>
      <c r="E41" s="19">
        <v>2</v>
      </c>
      <c r="F41" s="12" t="s">
        <v>2745</v>
      </c>
      <c r="G41" s="12">
        <v>81897719003</v>
      </c>
      <c r="H41" s="11">
        <v>94.648320000000012</v>
      </c>
      <c r="I41" s="11">
        <f t="shared" si="5"/>
        <v>189.29664000000002</v>
      </c>
      <c r="J41" s="11">
        <f t="shared" si="4"/>
        <v>94.648320000000012</v>
      </c>
      <c r="K41" s="11">
        <f t="shared" si="6"/>
        <v>189.29664000000002</v>
      </c>
      <c r="L41" s="10">
        <v>0</v>
      </c>
      <c r="N41" s="118">
        <f t="shared" si="2"/>
        <v>0</v>
      </c>
      <c r="O41" s="118">
        <f t="shared" si="3"/>
        <v>94.648320000000012</v>
      </c>
    </row>
    <row r="42" spans="1:15" x14ac:dyDescent="0.25">
      <c r="A42" s="32" t="s">
        <v>2853</v>
      </c>
      <c r="B42" s="32" t="s">
        <v>2742</v>
      </c>
      <c r="C42" s="13">
        <v>39</v>
      </c>
      <c r="D42" s="18" t="s">
        <v>2852</v>
      </c>
      <c r="E42" s="19">
        <v>2</v>
      </c>
      <c r="F42" s="12" t="s">
        <v>2742</v>
      </c>
      <c r="G42" s="12">
        <v>81897710034</v>
      </c>
      <c r="H42" s="11">
        <v>47.349119999999999</v>
      </c>
      <c r="I42" s="11">
        <f t="shared" si="5"/>
        <v>94.698239999999998</v>
      </c>
      <c r="J42" s="11">
        <f t="shared" si="4"/>
        <v>47.349119999999999</v>
      </c>
      <c r="K42" s="11">
        <f t="shared" si="6"/>
        <v>94.698239999999998</v>
      </c>
      <c r="L42" s="10">
        <v>0</v>
      </c>
      <c r="N42" s="118">
        <f t="shared" si="2"/>
        <v>0</v>
      </c>
      <c r="O42" s="118">
        <f t="shared" si="3"/>
        <v>47.349119999999999</v>
      </c>
    </row>
    <row r="43" spans="1:15" x14ac:dyDescent="0.25">
      <c r="A43" s="32" t="s">
        <v>2851</v>
      </c>
      <c r="B43" s="32" t="s">
        <v>986</v>
      </c>
      <c r="C43" s="19">
        <v>40</v>
      </c>
      <c r="D43" s="18" t="s">
        <v>987</v>
      </c>
      <c r="E43" s="19">
        <v>2</v>
      </c>
      <c r="F43" s="12" t="s">
        <v>986</v>
      </c>
      <c r="G43" s="12">
        <v>81897719003</v>
      </c>
      <c r="H43" s="11">
        <v>70.994559999999993</v>
      </c>
      <c r="I43" s="11">
        <f t="shared" si="5"/>
        <v>141.98911999999999</v>
      </c>
      <c r="J43" s="11">
        <f t="shared" si="4"/>
        <v>70.994559999999993</v>
      </c>
      <c r="K43" s="11">
        <f t="shared" si="6"/>
        <v>141.98911999999999</v>
      </c>
      <c r="L43" s="10">
        <v>0</v>
      </c>
      <c r="N43" s="118">
        <f t="shared" si="2"/>
        <v>0</v>
      </c>
      <c r="O43" s="118">
        <f t="shared" si="3"/>
        <v>70.994559999999993</v>
      </c>
    </row>
    <row r="44" spans="1:15" x14ac:dyDescent="0.25">
      <c r="A44" s="32" t="s">
        <v>2850</v>
      </c>
      <c r="B44" s="32" t="s">
        <v>208</v>
      </c>
      <c r="C44" s="19">
        <v>41</v>
      </c>
      <c r="D44" s="18" t="s">
        <v>987</v>
      </c>
      <c r="E44" s="19">
        <v>2</v>
      </c>
      <c r="F44" s="12" t="s">
        <v>208</v>
      </c>
      <c r="G44" s="12">
        <v>81897719002</v>
      </c>
      <c r="H44" s="11">
        <v>70.994559999999993</v>
      </c>
      <c r="I44" s="11">
        <f t="shared" si="5"/>
        <v>141.98911999999999</v>
      </c>
      <c r="J44" s="11">
        <f t="shared" si="4"/>
        <v>70.994559999999993</v>
      </c>
      <c r="K44" s="11">
        <f t="shared" si="6"/>
        <v>141.98911999999999</v>
      </c>
      <c r="L44" s="10">
        <v>0</v>
      </c>
      <c r="N44" s="118">
        <f t="shared" si="2"/>
        <v>0</v>
      </c>
      <c r="O44" s="118">
        <f t="shared" si="3"/>
        <v>70.994559999999993</v>
      </c>
    </row>
    <row r="45" spans="1:15" x14ac:dyDescent="0.25">
      <c r="A45" s="32" t="s">
        <v>2849</v>
      </c>
      <c r="B45" s="32" t="s">
        <v>454</v>
      </c>
      <c r="C45" s="13">
        <v>42</v>
      </c>
      <c r="D45" s="18" t="s">
        <v>455</v>
      </c>
      <c r="E45" s="19">
        <v>4</v>
      </c>
      <c r="F45" s="12" t="s">
        <v>454</v>
      </c>
      <c r="G45" s="12">
        <v>81897719003</v>
      </c>
      <c r="H45" s="11">
        <v>84.506240000000005</v>
      </c>
      <c r="I45" s="11">
        <f t="shared" si="5"/>
        <v>338.02496000000002</v>
      </c>
      <c r="J45" s="11">
        <f t="shared" si="4"/>
        <v>84.506240000000005</v>
      </c>
      <c r="K45" s="11">
        <f t="shared" si="6"/>
        <v>338.02496000000002</v>
      </c>
      <c r="L45" s="10">
        <v>0</v>
      </c>
      <c r="N45" s="118">
        <f t="shared" si="2"/>
        <v>0</v>
      </c>
      <c r="O45" s="118">
        <f t="shared" si="3"/>
        <v>84.506240000000005</v>
      </c>
    </row>
    <row r="46" spans="1:15" x14ac:dyDescent="0.25">
      <c r="A46" s="32" t="s">
        <v>2848</v>
      </c>
      <c r="B46" s="32" t="s">
        <v>1053</v>
      </c>
      <c r="C46" s="19">
        <v>43</v>
      </c>
      <c r="D46" s="18" t="s">
        <v>1054</v>
      </c>
      <c r="E46" s="19">
        <v>4</v>
      </c>
      <c r="F46" s="12" t="s">
        <v>1053</v>
      </c>
      <c r="G46" s="12">
        <v>81897719003</v>
      </c>
      <c r="H46" s="11">
        <v>101.42080000000001</v>
      </c>
      <c r="I46" s="11">
        <f t="shared" si="5"/>
        <v>405.68320000000006</v>
      </c>
      <c r="J46" s="11">
        <f t="shared" si="4"/>
        <v>101.42080000000001</v>
      </c>
      <c r="K46" s="11">
        <f t="shared" si="6"/>
        <v>405.68320000000006</v>
      </c>
      <c r="L46" s="10">
        <v>0</v>
      </c>
      <c r="N46" s="118">
        <f t="shared" si="2"/>
        <v>0</v>
      </c>
      <c r="O46" s="118">
        <f t="shared" si="3"/>
        <v>101.42080000000001</v>
      </c>
    </row>
    <row r="47" spans="1:15" x14ac:dyDescent="0.25">
      <c r="A47" s="32" t="s">
        <v>2847</v>
      </c>
      <c r="B47" s="32" t="s">
        <v>1753</v>
      </c>
      <c r="C47" s="13">
        <v>44</v>
      </c>
      <c r="D47" s="18" t="s">
        <v>1754</v>
      </c>
      <c r="E47" s="19">
        <v>2</v>
      </c>
      <c r="F47" s="12" t="s">
        <v>1753</v>
      </c>
      <c r="G47" s="12">
        <v>81897719002</v>
      </c>
      <c r="H47" s="11">
        <v>16.065919999999998</v>
      </c>
      <c r="I47" s="11">
        <f t="shared" si="5"/>
        <v>32.131839999999997</v>
      </c>
      <c r="J47" s="11">
        <f t="shared" si="4"/>
        <v>16.065919999999998</v>
      </c>
      <c r="K47" s="11">
        <f t="shared" si="6"/>
        <v>32.131839999999997</v>
      </c>
      <c r="L47" s="10">
        <v>0</v>
      </c>
      <c r="N47" s="118">
        <f t="shared" si="2"/>
        <v>0</v>
      </c>
      <c r="O47" s="118">
        <f t="shared" si="3"/>
        <v>16.065919999999998</v>
      </c>
    </row>
    <row r="48" spans="1:15" x14ac:dyDescent="0.25">
      <c r="A48" s="32" t="s">
        <v>2846</v>
      </c>
      <c r="B48" s="32" t="s">
        <v>511</v>
      </c>
      <c r="C48" s="19">
        <v>45</v>
      </c>
      <c r="D48" s="18" t="s">
        <v>512</v>
      </c>
      <c r="E48" s="19">
        <v>4</v>
      </c>
      <c r="F48" s="12" t="s">
        <v>511</v>
      </c>
      <c r="G48" s="12">
        <v>81897719002</v>
      </c>
      <c r="H48" s="11">
        <v>21.989759999999997</v>
      </c>
      <c r="I48" s="11">
        <f t="shared" si="5"/>
        <v>87.959039999999987</v>
      </c>
      <c r="J48" s="11">
        <f t="shared" si="4"/>
        <v>21.989759999999997</v>
      </c>
      <c r="K48" s="11">
        <f t="shared" si="6"/>
        <v>87.959039999999987</v>
      </c>
      <c r="L48" s="10">
        <v>0</v>
      </c>
      <c r="N48" s="118">
        <f t="shared" si="2"/>
        <v>0</v>
      </c>
      <c r="O48" s="118">
        <f t="shared" si="3"/>
        <v>21.989759999999997</v>
      </c>
    </row>
    <row r="49" spans="1:15" x14ac:dyDescent="0.25">
      <c r="A49" s="32" t="s">
        <v>2845</v>
      </c>
      <c r="B49" s="32" t="s">
        <v>1042</v>
      </c>
      <c r="C49" s="19">
        <v>46</v>
      </c>
      <c r="D49" s="18" t="s">
        <v>1043</v>
      </c>
      <c r="E49" s="19">
        <v>2</v>
      </c>
      <c r="F49" s="12" t="s">
        <v>1042</v>
      </c>
      <c r="G49" s="12">
        <v>81897719002</v>
      </c>
      <c r="H49" s="11">
        <v>26.207999999999998</v>
      </c>
      <c r="I49" s="11">
        <f t="shared" si="5"/>
        <v>52.415999999999997</v>
      </c>
      <c r="J49" s="11">
        <f t="shared" si="4"/>
        <v>26.207999999999998</v>
      </c>
      <c r="K49" s="11">
        <f t="shared" si="6"/>
        <v>52.415999999999997</v>
      </c>
      <c r="L49" s="10">
        <v>0</v>
      </c>
      <c r="N49" s="118">
        <f t="shared" si="2"/>
        <v>0</v>
      </c>
      <c r="O49" s="118">
        <f t="shared" si="3"/>
        <v>26.207999999999998</v>
      </c>
    </row>
    <row r="50" spans="1:15" x14ac:dyDescent="0.25">
      <c r="A50" s="32" t="s">
        <v>2844</v>
      </c>
      <c r="B50" s="32" t="s">
        <v>2734</v>
      </c>
      <c r="C50" s="13">
        <v>47</v>
      </c>
      <c r="D50" s="18" t="s">
        <v>2735</v>
      </c>
      <c r="E50" s="19">
        <v>2</v>
      </c>
      <c r="F50" s="12" t="s">
        <v>2734</v>
      </c>
      <c r="G50" s="12">
        <v>81897719002</v>
      </c>
      <c r="H50" s="11">
        <v>25.68384</v>
      </c>
      <c r="I50" s="11">
        <f t="shared" si="5"/>
        <v>51.36768</v>
      </c>
      <c r="J50" s="11">
        <f t="shared" si="4"/>
        <v>25.68384</v>
      </c>
      <c r="K50" s="11">
        <f t="shared" si="6"/>
        <v>51.36768</v>
      </c>
      <c r="L50" s="10">
        <v>0</v>
      </c>
      <c r="N50" s="118">
        <f t="shared" si="2"/>
        <v>0</v>
      </c>
      <c r="O50" s="118">
        <f t="shared" si="3"/>
        <v>25.68384</v>
      </c>
    </row>
    <row r="51" spans="1:15" x14ac:dyDescent="0.25">
      <c r="A51" s="32" t="s">
        <v>2843</v>
      </c>
      <c r="B51" s="32" t="s">
        <v>98</v>
      </c>
      <c r="C51" s="19">
        <v>48</v>
      </c>
      <c r="D51" s="18" t="s">
        <v>99</v>
      </c>
      <c r="E51" s="19">
        <v>4</v>
      </c>
      <c r="F51" s="12" t="s">
        <v>98</v>
      </c>
      <c r="G51" s="12">
        <v>81897719002</v>
      </c>
      <c r="H51" s="11">
        <v>17.363840000000003</v>
      </c>
      <c r="I51" s="11">
        <f t="shared" si="5"/>
        <v>69.455360000000013</v>
      </c>
      <c r="J51" s="11">
        <f t="shared" si="4"/>
        <v>17.363840000000003</v>
      </c>
      <c r="K51" s="11">
        <f t="shared" si="6"/>
        <v>69.455360000000013</v>
      </c>
      <c r="L51" s="10">
        <v>0</v>
      </c>
      <c r="N51" s="118">
        <f t="shared" si="2"/>
        <v>0</v>
      </c>
      <c r="O51" s="118">
        <f t="shared" si="3"/>
        <v>17.363840000000003</v>
      </c>
    </row>
    <row r="52" spans="1:15" x14ac:dyDescent="0.25">
      <c r="A52" s="32" t="s">
        <v>2842</v>
      </c>
      <c r="B52" s="32" t="s">
        <v>315</v>
      </c>
      <c r="C52" s="13">
        <v>49</v>
      </c>
      <c r="D52" s="18" t="s">
        <v>316</v>
      </c>
      <c r="E52" s="19">
        <v>1</v>
      </c>
      <c r="F52" s="61" t="s">
        <v>315</v>
      </c>
      <c r="G52" s="20" t="s">
        <v>427</v>
      </c>
      <c r="H52" s="11">
        <v>590.62848000000008</v>
      </c>
      <c r="I52" s="11">
        <f t="shared" si="5"/>
        <v>590.62848000000008</v>
      </c>
      <c r="J52" s="11">
        <f t="shared" si="4"/>
        <v>590.62848000000008</v>
      </c>
      <c r="K52" s="11">
        <f t="shared" si="6"/>
        <v>590.62848000000008</v>
      </c>
      <c r="L52" s="10">
        <v>0</v>
      </c>
      <c r="N52" s="118">
        <f t="shared" si="2"/>
        <v>0</v>
      </c>
      <c r="O52" s="118">
        <f t="shared" si="3"/>
        <v>590.62848000000008</v>
      </c>
    </row>
    <row r="53" spans="1:15" x14ac:dyDescent="0.25">
      <c r="B53" t="s">
        <v>2728</v>
      </c>
      <c r="C53" s="19">
        <v>50</v>
      </c>
      <c r="D53" s="18" t="s">
        <v>2729</v>
      </c>
      <c r="E53" s="19">
        <v>1</v>
      </c>
      <c r="F53" s="12" t="s">
        <v>2728</v>
      </c>
      <c r="G53" s="20" t="s">
        <v>427</v>
      </c>
      <c r="H53" s="11">
        <v>681.45791999999994</v>
      </c>
      <c r="I53" s="11">
        <f t="shared" si="5"/>
        <v>681.45791999999994</v>
      </c>
      <c r="J53" s="11">
        <f t="shared" si="4"/>
        <v>681.45791999999994</v>
      </c>
      <c r="K53" s="11">
        <f t="shared" si="6"/>
        <v>681.45791999999994</v>
      </c>
      <c r="L53" s="10">
        <v>0</v>
      </c>
      <c r="N53" s="118">
        <f t="shared" si="2"/>
        <v>0</v>
      </c>
      <c r="O53" s="118">
        <f t="shared" si="3"/>
        <v>681.45791999999994</v>
      </c>
    </row>
    <row r="54" spans="1:15" x14ac:dyDescent="0.25">
      <c r="B54" t="s">
        <v>2726</v>
      </c>
      <c r="C54" s="19">
        <v>51</v>
      </c>
      <c r="D54" s="18" t="s">
        <v>2727</v>
      </c>
      <c r="E54" s="19">
        <v>1</v>
      </c>
      <c r="F54" s="12" t="s">
        <v>2726</v>
      </c>
      <c r="G54" s="20" t="s">
        <v>427</v>
      </c>
      <c r="H54" s="11">
        <v>456.06911999999994</v>
      </c>
      <c r="I54" s="11">
        <f t="shared" si="5"/>
        <v>456.06911999999994</v>
      </c>
      <c r="J54" s="11">
        <f t="shared" si="4"/>
        <v>456.06911999999994</v>
      </c>
      <c r="K54" s="11">
        <f t="shared" si="6"/>
        <v>456.06911999999994</v>
      </c>
      <c r="L54" s="10">
        <v>0</v>
      </c>
      <c r="N54" s="118">
        <f t="shared" si="2"/>
        <v>0</v>
      </c>
      <c r="O54" s="118">
        <f t="shared" si="3"/>
        <v>456.06911999999994</v>
      </c>
    </row>
    <row r="55" spans="1:15" x14ac:dyDescent="0.25">
      <c r="B55" t="s">
        <v>970</v>
      </c>
      <c r="C55" s="13">
        <v>52</v>
      </c>
      <c r="D55" s="18" t="s">
        <v>2694</v>
      </c>
      <c r="E55" s="19">
        <v>2</v>
      </c>
      <c r="F55" s="12" t="s">
        <v>970</v>
      </c>
      <c r="G55" s="20" t="s">
        <v>427</v>
      </c>
      <c r="H55" s="11">
        <v>9.5763200000000008</v>
      </c>
      <c r="I55" s="11">
        <f t="shared" si="5"/>
        <v>19.152640000000002</v>
      </c>
      <c r="J55" s="11">
        <f t="shared" si="4"/>
        <v>9.5763200000000008</v>
      </c>
      <c r="K55" s="11">
        <f t="shared" si="6"/>
        <v>19.152640000000002</v>
      </c>
      <c r="L55" s="10">
        <v>0</v>
      </c>
      <c r="N55" s="118">
        <f t="shared" si="2"/>
        <v>0</v>
      </c>
      <c r="O55" s="118">
        <f t="shared" si="3"/>
        <v>9.5763200000000008</v>
      </c>
    </row>
    <row r="56" spans="1:15" x14ac:dyDescent="0.25">
      <c r="C56" s="9"/>
      <c r="D56" s="8" t="s">
        <v>1</v>
      </c>
      <c r="E56" s="8">
        <f>SUM(E4:E55)</f>
        <v>139</v>
      </c>
      <c r="F56" s="8"/>
      <c r="G56" s="8"/>
      <c r="H56" s="7"/>
      <c r="I56" s="7">
        <f>SUM(I4:I55)</f>
        <v>10909.3536</v>
      </c>
      <c r="J56" s="8"/>
      <c r="K56" s="7">
        <f>SUM(K4:K55)</f>
        <v>10909.3536</v>
      </c>
      <c r="L56" s="6"/>
      <c r="N56" s="118">
        <f t="shared" si="2"/>
        <v>0</v>
      </c>
      <c r="O56" s="118">
        <f t="shared" si="3"/>
        <v>0</v>
      </c>
    </row>
    <row r="57" spans="1:15" x14ac:dyDescent="0.25">
      <c r="D57" t="s">
        <v>0</v>
      </c>
      <c r="N57" s="118">
        <f t="shared" si="2"/>
        <v>0</v>
      </c>
      <c r="O57" s="118">
        <f t="shared" si="3"/>
        <v>0</v>
      </c>
    </row>
    <row r="58" spans="1:15" x14ac:dyDescent="0.25">
      <c r="D58" s="24" t="s">
        <v>2841</v>
      </c>
      <c r="N58" s="118">
        <f t="shared" si="2"/>
        <v>0</v>
      </c>
      <c r="O58" s="118">
        <f t="shared" si="3"/>
        <v>0</v>
      </c>
    </row>
    <row r="59" spans="1:15" s="5" customFormat="1" ht="30" x14ac:dyDescent="0.25">
      <c r="C59" s="24" t="s">
        <v>28</v>
      </c>
      <c r="D59" s="24" t="s">
        <v>27</v>
      </c>
      <c r="E59" s="24" t="s">
        <v>26</v>
      </c>
      <c r="F59" s="24" t="s">
        <v>25</v>
      </c>
      <c r="G59" s="24" t="s">
        <v>24</v>
      </c>
      <c r="H59" s="116" t="s">
        <v>21</v>
      </c>
      <c r="I59" s="24" t="s">
        <v>23</v>
      </c>
      <c r="J59" s="24" t="s">
        <v>2928</v>
      </c>
      <c r="K59" s="24" t="s">
        <v>2927</v>
      </c>
      <c r="L59" s="23" t="s">
        <v>22</v>
      </c>
      <c r="N59" s="118" t="e">
        <f t="shared" si="2"/>
        <v>#VALUE!</v>
      </c>
      <c r="O59" s="118" t="e">
        <f t="shared" si="3"/>
        <v>#VALUE!</v>
      </c>
    </row>
    <row r="60" spans="1:15" x14ac:dyDescent="0.25">
      <c r="A60" s="32" t="s">
        <v>2840</v>
      </c>
      <c r="B60" t="s">
        <v>2838</v>
      </c>
      <c r="C60" s="19">
        <v>1</v>
      </c>
      <c r="D60" s="18" t="s">
        <v>2839</v>
      </c>
      <c r="E60" s="13">
        <v>2</v>
      </c>
      <c r="F60" s="25" t="s">
        <v>2838</v>
      </c>
      <c r="G60" s="25">
        <v>81897719002</v>
      </c>
      <c r="H60" s="11">
        <v>121.71328</v>
      </c>
      <c r="I60" s="11">
        <f t="shared" ref="I60:I91" si="7">H60*E60</f>
        <v>243.42655999999999</v>
      </c>
      <c r="J60" s="11">
        <f>O60</f>
        <v>121.71328</v>
      </c>
      <c r="K60" s="11">
        <f t="shared" ref="K60:K91" si="8">J60*E60</f>
        <v>243.42655999999999</v>
      </c>
      <c r="L60" s="10">
        <v>0</v>
      </c>
      <c r="N60" s="118">
        <f t="shared" si="2"/>
        <v>0</v>
      </c>
      <c r="O60" s="118">
        <f t="shared" si="3"/>
        <v>121.71328</v>
      </c>
    </row>
    <row r="61" spans="1:15" x14ac:dyDescent="0.25">
      <c r="A61" s="32" t="s">
        <v>2837</v>
      </c>
      <c r="B61" t="s">
        <v>2835</v>
      </c>
      <c r="C61" s="19">
        <v>2</v>
      </c>
      <c r="D61" s="18" t="s">
        <v>2836</v>
      </c>
      <c r="E61" s="13">
        <v>2</v>
      </c>
      <c r="F61" s="18" t="s">
        <v>2835</v>
      </c>
      <c r="G61" s="25">
        <v>10301950027</v>
      </c>
      <c r="H61" s="11">
        <v>209.85535999999999</v>
      </c>
      <c r="I61" s="11">
        <f t="shared" si="7"/>
        <v>419.71071999999998</v>
      </c>
      <c r="J61" s="11">
        <f t="shared" ref="J61:J115" si="9">O61</f>
        <v>209.85535999999999</v>
      </c>
      <c r="K61" s="11">
        <f t="shared" si="8"/>
        <v>419.71071999999998</v>
      </c>
      <c r="L61" s="10">
        <v>0</v>
      </c>
      <c r="N61" s="118">
        <f t="shared" si="2"/>
        <v>0</v>
      </c>
      <c r="O61" s="118">
        <f t="shared" si="3"/>
        <v>209.85535999999999</v>
      </c>
    </row>
    <row r="62" spans="1:15" x14ac:dyDescent="0.25">
      <c r="A62" s="32" t="s">
        <v>2834</v>
      </c>
      <c r="B62" t="s">
        <v>2832</v>
      </c>
      <c r="C62" s="19">
        <v>3</v>
      </c>
      <c r="D62" s="18" t="s">
        <v>2833</v>
      </c>
      <c r="E62" s="13">
        <v>2</v>
      </c>
      <c r="F62" s="18" t="s">
        <v>2832</v>
      </c>
      <c r="G62" s="25">
        <v>10301950027</v>
      </c>
      <c r="H62" s="11">
        <v>209.85535999999999</v>
      </c>
      <c r="I62" s="11">
        <f t="shared" si="7"/>
        <v>419.71071999999998</v>
      </c>
      <c r="J62" s="11">
        <f t="shared" si="9"/>
        <v>209.85535999999999</v>
      </c>
      <c r="K62" s="11">
        <f t="shared" si="8"/>
        <v>419.71071999999998</v>
      </c>
      <c r="L62" s="10">
        <v>0</v>
      </c>
      <c r="N62" s="118">
        <f t="shared" si="2"/>
        <v>0</v>
      </c>
      <c r="O62" s="118">
        <f t="shared" si="3"/>
        <v>209.85535999999999</v>
      </c>
    </row>
    <row r="63" spans="1:15" x14ac:dyDescent="0.25">
      <c r="A63" s="32" t="s">
        <v>2831</v>
      </c>
      <c r="B63" t="s">
        <v>2829</v>
      </c>
      <c r="C63" s="19">
        <v>4</v>
      </c>
      <c r="D63" s="18" t="s">
        <v>2830</v>
      </c>
      <c r="E63" s="13">
        <v>1</v>
      </c>
      <c r="F63" s="25" t="s">
        <v>2829</v>
      </c>
      <c r="G63" s="25">
        <v>81897719002</v>
      </c>
      <c r="H63" s="11">
        <v>135.21664000000001</v>
      </c>
      <c r="I63" s="11">
        <f t="shared" si="7"/>
        <v>135.21664000000001</v>
      </c>
      <c r="J63" s="11">
        <f t="shared" si="9"/>
        <v>135.21664000000001</v>
      </c>
      <c r="K63" s="11">
        <f t="shared" si="8"/>
        <v>135.21664000000001</v>
      </c>
      <c r="L63" s="10">
        <v>0</v>
      </c>
      <c r="N63" s="118">
        <f t="shared" si="2"/>
        <v>0</v>
      </c>
      <c r="O63" s="118">
        <f t="shared" si="3"/>
        <v>135.21664000000001</v>
      </c>
    </row>
    <row r="64" spans="1:15" x14ac:dyDescent="0.25">
      <c r="A64" s="32" t="s">
        <v>2828</v>
      </c>
      <c r="B64" t="s">
        <v>2826</v>
      </c>
      <c r="C64" s="19">
        <v>5</v>
      </c>
      <c r="D64" s="18" t="s">
        <v>2827</v>
      </c>
      <c r="E64" s="13">
        <v>1</v>
      </c>
      <c r="F64" s="25" t="s">
        <v>2826</v>
      </c>
      <c r="G64" s="25">
        <v>81897719002</v>
      </c>
      <c r="H64" s="11">
        <v>135.21664000000001</v>
      </c>
      <c r="I64" s="11">
        <f t="shared" si="7"/>
        <v>135.21664000000001</v>
      </c>
      <c r="J64" s="11">
        <f t="shared" si="9"/>
        <v>135.21664000000001</v>
      </c>
      <c r="K64" s="11">
        <f t="shared" si="8"/>
        <v>135.21664000000001</v>
      </c>
      <c r="L64" s="10">
        <v>0</v>
      </c>
      <c r="N64" s="118">
        <f t="shared" si="2"/>
        <v>0</v>
      </c>
      <c r="O64" s="118">
        <f t="shared" si="3"/>
        <v>135.21664000000001</v>
      </c>
    </row>
    <row r="65" spans="1:15" x14ac:dyDescent="0.25">
      <c r="A65" s="35" t="s">
        <v>2825</v>
      </c>
      <c r="B65" t="s">
        <v>2823</v>
      </c>
      <c r="C65" s="19">
        <v>6</v>
      </c>
      <c r="D65" s="35" t="s">
        <v>2824</v>
      </c>
      <c r="E65" s="13">
        <v>2</v>
      </c>
      <c r="F65" s="25" t="s">
        <v>2823</v>
      </c>
      <c r="G65" s="12">
        <v>10301950026</v>
      </c>
      <c r="H65" s="11">
        <v>879.02463999999998</v>
      </c>
      <c r="I65" s="11">
        <f t="shared" si="7"/>
        <v>1758.04928</v>
      </c>
      <c r="J65" s="11">
        <f t="shared" si="9"/>
        <v>879.02463999999998</v>
      </c>
      <c r="K65" s="11">
        <f t="shared" si="8"/>
        <v>1758.04928</v>
      </c>
      <c r="L65" s="10">
        <v>0</v>
      </c>
      <c r="N65" s="118">
        <f t="shared" si="2"/>
        <v>0</v>
      </c>
      <c r="O65" s="118">
        <f t="shared" si="3"/>
        <v>879.02463999999998</v>
      </c>
    </row>
    <row r="66" spans="1:15" x14ac:dyDescent="0.25">
      <c r="A66" s="32" t="s">
        <v>2822</v>
      </c>
      <c r="B66" t="s">
        <v>309</v>
      </c>
      <c r="C66" s="19">
        <v>7</v>
      </c>
      <c r="D66" s="18" t="s">
        <v>310</v>
      </c>
      <c r="E66" s="13">
        <v>2</v>
      </c>
      <c r="F66" s="25" t="s">
        <v>309</v>
      </c>
      <c r="G66" s="25">
        <v>81897719002</v>
      </c>
      <c r="H66" s="11">
        <v>16.914559999999998</v>
      </c>
      <c r="I66" s="11">
        <f t="shared" si="7"/>
        <v>33.829119999999996</v>
      </c>
      <c r="J66" s="11">
        <f t="shared" si="9"/>
        <v>16.914559999999998</v>
      </c>
      <c r="K66" s="11">
        <f t="shared" si="8"/>
        <v>33.829119999999996</v>
      </c>
      <c r="L66" s="10">
        <v>0</v>
      </c>
      <c r="N66" s="118">
        <f t="shared" si="2"/>
        <v>0</v>
      </c>
      <c r="O66" s="118">
        <f t="shared" si="3"/>
        <v>16.914559999999998</v>
      </c>
    </row>
    <row r="67" spans="1:15" x14ac:dyDescent="0.25">
      <c r="A67" s="32" t="s">
        <v>2821</v>
      </c>
      <c r="B67" t="s">
        <v>2819</v>
      </c>
      <c r="C67" s="19">
        <v>8</v>
      </c>
      <c r="D67" s="18" t="s">
        <v>2820</v>
      </c>
      <c r="E67" s="13">
        <v>2</v>
      </c>
      <c r="F67" s="25" t="s">
        <v>2819</v>
      </c>
      <c r="G67" s="25">
        <v>81897719002</v>
      </c>
      <c r="H67" s="11">
        <v>12.17216</v>
      </c>
      <c r="I67" s="11">
        <f t="shared" si="7"/>
        <v>24.34432</v>
      </c>
      <c r="J67" s="11">
        <f t="shared" si="9"/>
        <v>12.17216</v>
      </c>
      <c r="K67" s="11">
        <f t="shared" si="8"/>
        <v>24.34432</v>
      </c>
      <c r="L67" s="10">
        <v>0</v>
      </c>
      <c r="N67" s="118">
        <f t="shared" si="2"/>
        <v>0</v>
      </c>
      <c r="O67" s="118">
        <f t="shared" si="3"/>
        <v>12.17216</v>
      </c>
    </row>
    <row r="68" spans="1:15" x14ac:dyDescent="0.25">
      <c r="A68" s="32" t="s">
        <v>2818</v>
      </c>
      <c r="B68" t="s">
        <v>1869</v>
      </c>
      <c r="C68" s="19">
        <v>9</v>
      </c>
      <c r="D68" s="18" t="s">
        <v>410</v>
      </c>
      <c r="E68" s="13">
        <v>2</v>
      </c>
      <c r="F68" s="25" t="s">
        <v>1869</v>
      </c>
      <c r="G68" s="25">
        <v>81897719002</v>
      </c>
      <c r="H68" s="11">
        <v>6.7724800000000007</v>
      </c>
      <c r="I68" s="11">
        <f t="shared" si="7"/>
        <v>13.544960000000001</v>
      </c>
      <c r="J68" s="11">
        <f t="shared" si="9"/>
        <v>6.7724800000000007</v>
      </c>
      <c r="K68" s="11">
        <f t="shared" si="8"/>
        <v>13.544960000000001</v>
      </c>
      <c r="L68" s="10">
        <v>0</v>
      </c>
      <c r="N68" s="118">
        <f t="shared" ref="N68:N131" si="10">H68*L68</f>
        <v>0</v>
      </c>
      <c r="O68" s="118">
        <f t="shared" ref="O68:O131" si="11">H68-N68</f>
        <v>6.7724800000000007</v>
      </c>
    </row>
    <row r="69" spans="1:15" x14ac:dyDescent="0.25">
      <c r="A69" s="32" t="s">
        <v>2817</v>
      </c>
      <c r="B69" t="s">
        <v>2422</v>
      </c>
      <c r="C69" s="19">
        <v>10</v>
      </c>
      <c r="D69" s="18" t="s">
        <v>2423</v>
      </c>
      <c r="E69" s="13">
        <v>2</v>
      </c>
      <c r="F69" s="25" t="s">
        <v>2422</v>
      </c>
      <c r="G69" s="25">
        <v>81897719002</v>
      </c>
      <c r="H69" s="11">
        <v>8.1120000000000001</v>
      </c>
      <c r="I69" s="11">
        <f t="shared" si="7"/>
        <v>16.224</v>
      </c>
      <c r="J69" s="11">
        <f t="shared" si="9"/>
        <v>8.1120000000000001</v>
      </c>
      <c r="K69" s="11">
        <f t="shared" si="8"/>
        <v>16.224</v>
      </c>
      <c r="L69" s="10">
        <v>0</v>
      </c>
      <c r="N69" s="118">
        <f t="shared" si="10"/>
        <v>0</v>
      </c>
      <c r="O69" s="118">
        <f t="shared" si="11"/>
        <v>8.1120000000000001</v>
      </c>
    </row>
    <row r="70" spans="1:15" x14ac:dyDescent="0.25">
      <c r="A70" s="60" t="s">
        <v>2816</v>
      </c>
      <c r="B70" t="s">
        <v>2814</v>
      </c>
      <c r="C70" s="19">
        <v>11</v>
      </c>
      <c r="D70" s="18" t="s">
        <v>2815</v>
      </c>
      <c r="E70" s="13">
        <v>1</v>
      </c>
      <c r="F70" s="25" t="s">
        <v>3040</v>
      </c>
      <c r="G70" s="25">
        <v>81897710042</v>
      </c>
      <c r="H70" s="11">
        <v>281.73184000000003</v>
      </c>
      <c r="I70" s="11">
        <f t="shared" si="7"/>
        <v>281.73184000000003</v>
      </c>
      <c r="J70" s="11">
        <f t="shared" si="9"/>
        <v>281.73184000000003</v>
      </c>
      <c r="K70" s="11">
        <f t="shared" si="8"/>
        <v>281.73184000000003</v>
      </c>
      <c r="L70" s="10">
        <v>0</v>
      </c>
      <c r="N70" s="118">
        <f t="shared" si="10"/>
        <v>0</v>
      </c>
      <c r="O70" s="118">
        <f t="shared" si="11"/>
        <v>281.73184000000003</v>
      </c>
    </row>
    <row r="71" spans="1:15" x14ac:dyDescent="0.25">
      <c r="A71" s="60" t="s">
        <v>2813</v>
      </c>
      <c r="B71" t="s">
        <v>2811</v>
      </c>
      <c r="C71" s="19">
        <v>12</v>
      </c>
      <c r="D71" s="18" t="s">
        <v>2812</v>
      </c>
      <c r="E71" s="13">
        <v>1</v>
      </c>
      <c r="F71" s="25" t="s">
        <v>3041</v>
      </c>
      <c r="G71" s="25">
        <v>81897710042</v>
      </c>
      <c r="H71" s="11">
        <v>281.73184000000003</v>
      </c>
      <c r="I71" s="11">
        <f t="shared" si="7"/>
        <v>281.73184000000003</v>
      </c>
      <c r="J71" s="11">
        <f t="shared" si="9"/>
        <v>281.73184000000003</v>
      </c>
      <c r="K71" s="11">
        <f t="shared" si="8"/>
        <v>281.73184000000003</v>
      </c>
      <c r="L71" s="10">
        <v>0</v>
      </c>
      <c r="N71" s="118">
        <f t="shared" si="10"/>
        <v>0</v>
      </c>
      <c r="O71" s="118">
        <f t="shared" si="11"/>
        <v>281.73184000000003</v>
      </c>
    </row>
    <row r="72" spans="1:15" x14ac:dyDescent="0.25">
      <c r="A72" s="32" t="s">
        <v>2810</v>
      </c>
      <c r="B72" t="s">
        <v>2808</v>
      </c>
      <c r="C72" s="19">
        <v>13</v>
      </c>
      <c r="D72" s="18" t="s">
        <v>2809</v>
      </c>
      <c r="E72" s="13">
        <v>1</v>
      </c>
      <c r="F72" s="25" t="s">
        <v>2808</v>
      </c>
      <c r="G72" s="25">
        <v>81897719003</v>
      </c>
      <c r="H72" s="11">
        <v>189.33823999999998</v>
      </c>
      <c r="I72" s="11">
        <f t="shared" si="7"/>
        <v>189.33823999999998</v>
      </c>
      <c r="J72" s="11">
        <f t="shared" si="9"/>
        <v>189.33823999999998</v>
      </c>
      <c r="K72" s="11">
        <f t="shared" si="8"/>
        <v>189.33823999999998</v>
      </c>
      <c r="L72" s="10">
        <v>0</v>
      </c>
      <c r="N72" s="118">
        <f t="shared" si="10"/>
        <v>0</v>
      </c>
      <c r="O72" s="118">
        <f t="shared" si="11"/>
        <v>189.33823999999998</v>
      </c>
    </row>
    <row r="73" spans="1:15" x14ac:dyDescent="0.25">
      <c r="A73" s="42" t="s">
        <v>2807</v>
      </c>
      <c r="B73" t="s">
        <v>2797</v>
      </c>
      <c r="C73" s="19">
        <v>14</v>
      </c>
      <c r="D73" s="18" t="s">
        <v>2806</v>
      </c>
      <c r="E73" s="13">
        <v>2</v>
      </c>
      <c r="F73" s="25" t="s">
        <v>1326</v>
      </c>
      <c r="G73" s="25">
        <v>81897719006</v>
      </c>
      <c r="H73" s="11">
        <v>29.735680000000002</v>
      </c>
      <c r="I73" s="11">
        <f t="shared" si="7"/>
        <v>59.471360000000004</v>
      </c>
      <c r="J73" s="11">
        <f t="shared" si="9"/>
        <v>29.735680000000002</v>
      </c>
      <c r="K73" s="11">
        <f t="shared" si="8"/>
        <v>59.471360000000004</v>
      </c>
      <c r="L73" s="10">
        <v>0</v>
      </c>
      <c r="N73" s="118">
        <f t="shared" si="10"/>
        <v>0</v>
      </c>
      <c r="O73" s="118">
        <f t="shared" si="11"/>
        <v>29.735680000000002</v>
      </c>
    </row>
    <row r="74" spans="1:15" x14ac:dyDescent="0.25">
      <c r="A74" s="32" t="s">
        <v>2805</v>
      </c>
      <c r="B74" t="s">
        <v>2803</v>
      </c>
      <c r="C74" s="19">
        <v>15</v>
      </c>
      <c r="D74" s="18" t="s">
        <v>2804</v>
      </c>
      <c r="E74" s="13">
        <v>2</v>
      </c>
      <c r="F74" s="25" t="s">
        <v>2803</v>
      </c>
      <c r="G74" s="25">
        <v>81897719002</v>
      </c>
      <c r="H74" s="11">
        <v>18.94464</v>
      </c>
      <c r="I74" s="11">
        <f t="shared" si="7"/>
        <v>37.889279999999999</v>
      </c>
      <c r="J74" s="11">
        <f t="shared" si="9"/>
        <v>18.94464</v>
      </c>
      <c r="K74" s="11">
        <f t="shared" si="8"/>
        <v>37.889279999999999</v>
      </c>
      <c r="L74" s="10">
        <v>0</v>
      </c>
      <c r="N74" s="118">
        <f t="shared" si="10"/>
        <v>0</v>
      </c>
      <c r="O74" s="118">
        <f t="shared" si="11"/>
        <v>18.94464</v>
      </c>
    </row>
    <row r="75" spans="1:15" x14ac:dyDescent="0.25">
      <c r="A75" s="32" t="s">
        <v>2802</v>
      </c>
      <c r="B75" s="54" t="s">
        <v>2800</v>
      </c>
      <c r="C75" s="19">
        <v>16</v>
      </c>
      <c r="D75" s="18" t="s">
        <v>2801</v>
      </c>
      <c r="E75" s="13">
        <v>2</v>
      </c>
      <c r="F75" s="18" t="s">
        <v>2800</v>
      </c>
      <c r="G75" s="25">
        <v>10301950027</v>
      </c>
      <c r="H75" s="11">
        <v>268.34496000000001</v>
      </c>
      <c r="I75" s="11">
        <f t="shared" si="7"/>
        <v>536.68992000000003</v>
      </c>
      <c r="J75" s="11">
        <f t="shared" si="9"/>
        <v>268.34496000000001</v>
      </c>
      <c r="K75" s="11">
        <f t="shared" si="8"/>
        <v>536.68992000000003</v>
      </c>
      <c r="L75" s="10">
        <v>0</v>
      </c>
      <c r="N75" s="118">
        <f t="shared" si="10"/>
        <v>0</v>
      </c>
      <c r="O75" s="118">
        <f t="shared" si="11"/>
        <v>268.34496000000001</v>
      </c>
    </row>
    <row r="76" spans="1:15" x14ac:dyDescent="0.25">
      <c r="A76" s="42" t="s">
        <v>2799</v>
      </c>
      <c r="B76" t="s">
        <v>2797</v>
      </c>
      <c r="C76" s="19">
        <v>17</v>
      </c>
      <c r="D76" s="18" t="s">
        <v>2798</v>
      </c>
      <c r="E76" s="13">
        <v>2</v>
      </c>
      <c r="F76" s="25" t="s">
        <v>1323</v>
      </c>
      <c r="G76" s="25">
        <v>81897719006</v>
      </c>
      <c r="H76" s="11">
        <v>33.795839999999998</v>
      </c>
      <c r="I76" s="11">
        <f t="shared" si="7"/>
        <v>67.591679999999997</v>
      </c>
      <c r="J76" s="11">
        <f t="shared" si="9"/>
        <v>33.795839999999998</v>
      </c>
      <c r="K76" s="11">
        <f t="shared" si="8"/>
        <v>67.591679999999997</v>
      </c>
      <c r="L76" s="10">
        <v>0</v>
      </c>
      <c r="N76" s="118">
        <f t="shared" si="10"/>
        <v>0</v>
      </c>
      <c r="O76" s="118">
        <f t="shared" si="11"/>
        <v>33.795839999999998</v>
      </c>
    </row>
    <row r="77" spans="1:15" x14ac:dyDescent="0.25">
      <c r="A77" s="32" t="s">
        <v>2796</v>
      </c>
      <c r="B77" t="s">
        <v>1834</v>
      </c>
      <c r="C77" s="19">
        <v>18</v>
      </c>
      <c r="D77" s="18" t="s">
        <v>1835</v>
      </c>
      <c r="E77" s="13">
        <v>2</v>
      </c>
      <c r="F77" s="25" t="s">
        <v>1834</v>
      </c>
      <c r="G77" s="25">
        <v>81897719002</v>
      </c>
      <c r="H77" s="11">
        <v>30.42624</v>
      </c>
      <c r="I77" s="11">
        <f t="shared" si="7"/>
        <v>60.85248</v>
      </c>
      <c r="J77" s="11">
        <f t="shared" si="9"/>
        <v>30.42624</v>
      </c>
      <c r="K77" s="11">
        <f t="shared" si="8"/>
        <v>60.85248</v>
      </c>
      <c r="L77" s="10">
        <v>0</v>
      </c>
      <c r="N77" s="118">
        <f t="shared" si="10"/>
        <v>0</v>
      </c>
      <c r="O77" s="118">
        <f t="shared" si="11"/>
        <v>30.42624</v>
      </c>
    </row>
    <row r="78" spans="1:15" x14ac:dyDescent="0.25">
      <c r="A78" s="32" t="s">
        <v>2795</v>
      </c>
      <c r="B78" t="s">
        <v>996</v>
      </c>
      <c r="C78" s="19">
        <v>19</v>
      </c>
      <c r="D78" s="18" t="s">
        <v>1072</v>
      </c>
      <c r="E78" s="13">
        <v>2</v>
      </c>
      <c r="F78" s="25" t="s">
        <v>996</v>
      </c>
      <c r="G78" s="25">
        <v>81897719002</v>
      </c>
      <c r="H78" s="11">
        <v>16.914559999999998</v>
      </c>
      <c r="I78" s="11">
        <f t="shared" si="7"/>
        <v>33.829119999999996</v>
      </c>
      <c r="J78" s="11">
        <f t="shared" si="9"/>
        <v>16.914559999999998</v>
      </c>
      <c r="K78" s="11">
        <f t="shared" si="8"/>
        <v>33.829119999999996</v>
      </c>
      <c r="L78" s="10">
        <v>0</v>
      </c>
      <c r="N78" s="118">
        <f t="shared" si="10"/>
        <v>0</v>
      </c>
      <c r="O78" s="118">
        <f t="shared" si="11"/>
        <v>16.914559999999998</v>
      </c>
    </row>
    <row r="79" spans="1:15" x14ac:dyDescent="0.25">
      <c r="A79" s="32" t="s">
        <v>2794</v>
      </c>
      <c r="B79" t="s">
        <v>1685</v>
      </c>
      <c r="C79" s="19">
        <v>20</v>
      </c>
      <c r="D79" s="18" t="s">
        <v>2793</v>
      </c>
      <c r="E79" s="13">
        <v>1</v>
      </c>
      <c r="F79" s="25" t="s">
        <v>1685</v>
      </c>
      <c r="G79" s="25">
        <v>81897719002</v>
      </c>
      <c r="H79" s="11">
        <v>39.877760000000002</v>
      </c>
      <c r="I79" s="11">
        <f t="shared" si="7"/>
        <v>39.877760000000002</v>
      </c>
      <c r="J79" s="11">
        <f t="shared" si="9"/>
        <v>39.877760000000002</v>
      </c>
      <c r="K79" s="11">
        <f t="shared" si="8"/>
        <v>39.877760000000002</v>
      </c>
      <c r="L79" s="10">
        <v>0</v>
      </c>
      <c r="N79" s="118">
        <f t="shared" si="10"/>
        <v>0</v>
      </c>
      <c r="O79" s="118">
        <f t="shared" si="11"/>
        <v>39.877760000000002</v>
      </c>
    </row>
    <row r="80" spans="1:15" x14ac:dyDescent="0.25">
      <c r="A80" s="32" t="s">
        <v>2792</v>
      </c>
      <c r="B80" t="s">
        <v>2790</v>
      </c>
      <c r="C80" s="19">
        <v>21</v>
      </c>
      <c r="D80" s="18" t="s">
        <v>2791</v>
      </c>
      <c r="E80" s="13">
        <v>1</v>
      </c>
      <c r="F80" s="18" t="s">
        <v>2790</v>
      </c>
      <c r="G80" s="25">
        <v>10301950026</v>
      </c>
      <c r="H80" s="11">
        <v>151.12447999999998</v>
      </c>
      <c r="I80" s="11">
        <f t="shared" si="7"/>
        <v>151.12447999999998</v>
      </c>
      <c r="J80" s="11">
        <f t="shared" si="9"/>
        <v>151.12447999999998</v>
      </c>
      <c r="K80" s="11">
        <f t="shared" si="8"/>
        <v>151.12447999999998</v>
      </c>
      <c r="L80" s="10">
        <v>0</v>
      </c>
      <c r="N80" s="118">
        <f t="shared" si="10"/>
        <v>0</v>
      </c>
      <c r="O80" s="118">
        <f t="shared" si="11"/>
        <v>151.12447999999998</v>
      </c>
    </row>
    <row r="81" spans="1:15" x14ac:dyDescent="0.25">
      <c r="A81" s="35" t="s">
        <v>2789</v>
      </c>
      <c r="B81" t="s">
        <v>2787</v>
      </c>
      <c r="C81" s="19">
        <v>22</v>
      </c>
      <c r="D81" s="18" t="s">
        <v>2788</v>
      </c>
      <c r="E81" s="13">
        <v>2</v>
      </c>
      <c r="F81" s="25" t="s">
        <v>2787</v>
      </c>
      <c r="G81" s="25">
        <v>81897719002</v>
      </c>
      <c r="H81" s="11">
        <v>202.84992</v>
      </c>
      <c r="I81" s="11">
        <f t="shared" si="7"/>
        <v>405.69983999999999</v>
      </c>
      <c r="J81" s="11">
        <f t="shared" si="9"/>
        <v>202.84992</v>
      </c>
      <c r="K81" s="11">
        <f t="shared" si="8"/>
        <v>405.69983999999999</v>
      </c>
      <c r="L81" s="10">
        <v>0</v>
      </c>
      <c r="N81" s="118">
        <f t="shared" si="10"/>
        <v>0</v>
      </c>
      <c r="O81" s="118">
        <f t="shared" si="11"/>
        <v>202.84992</v>
      </c>
    </row>
    <row r="82" spans="1:15" x14ac:dyDescent="0.25">
      <c r="A82" s="32" t="s">
        <v>2786</v>
      </c>
      <c r="B82" t="s">
        <v>2773</v>
      </c>
      <c r="C82" s="19">
        <v>23</v>
      </c>
      <c r="D82" s="18" t="s">
        <v>2785</v>
      </c>
      <c r="E82" s="13">
        <v>2</v>
      </c>
      <c r="F82" s="25" t="s">
        <v>2773</v>
      </c>
      <c r="G82" s="25">
        <v>81897719002</v>
      </c>
      <c r="H82" s="11">
        <v>152.13952</v>
      </c>
      <c r="I82" s="11">
        <f t="shared" si="7"/>
        <v>304.27904000000001</v>
      </c>
      <c r="J82" s="11">
        <f t="shared" si="9"/>
        <v>152.13952</v>
      </c>
      <c r="K82" s="11">
        <f t="shared" si="8"/>
        <v>304.27904000000001</v>
      </c>
      <c r="L82" s="10">
        <v>0</v>
      </c>
      <c r="N82" s="118">
        <f t="shared" si="10"/>
        <v>0</v>
      </c>
      <c r="O82" s="118">
        <f t="shared" si="11"/>
        <v>152.13952</v>
      </c>
    </row>
    <row r="83" spans="1:15" x14ac:dyDescent="0.25">
      <c r="A83" s="32" t="s">
        <v>2784</v>
      </c>
      <c r="B83" t="s">
        <v>2782</v>
      </c>
      <c r="C83" s="19">
        <v>24</v>
      </c>
      <c r="D83" s="18" t="s">
        <v>2783</v>
      </c>
      <c r="E83" s="13">
        <v>2</v>
      </c>
      <c r="F83" s="25" t="s">
        <v>2782</v>
      </c>
      <c r="G83" s="25">
        <v>81897719002</v>
      </c>
      <c r="H83" s="11">
        <v>141.99744000000001</v>
      </c>
      <c r="I83" s="11">
        <f t="shared" si="7"/>
        <v>283.99488000000002</v>
      </c>
      <c r="J83" s="11">
        <f t="shared" si="9"/>
        <v>141.99744000000001</v>
      </c>
      <c r="K83" s="11">
        <f t="shared" si="8"/>
        <v>283.99488000000002</v>
      </c>
      <c r="L83" s="10">
        <v>0</v>
      </c>
      <c r="N83" s="118">
        <f t="shared" si="10"/>
        <v>0</v>
      </c>
      <c r="O83" s="118">
        <f t="shared" si="11"/>
        <v>141.99744000000001</v>
      </c>
    </row>
    <row r="84" spans="1:15" x14ac:dyDescent="0.25">
      <c r="A84" s="32" t="s">
        <v>2781</v>
      </c>
      <c r="B84" t="s">
        <v>2779</v>
      </c>
      <c r="C84" s="19">
        <v>25</v>
      </c>
      <c r="D84" s="18" t="s">
        <v>2780</v>
      </c>
      <c r="E84" s="13">
        <v>2</v>
      </c>
      <c r="F84" s="18" t="s">
        <v>2779</v>
      </c>
      <c r="G84" s="25">
        <v>10301950026</v>
      </c>
      <c r="H84" s="11">
        <v>195.60319999999999</v>
      </c>
      <c r="I84" s="11">
        <f t="shared" si="7"/>
        <v>391.20639999999997</v>
      </c>
      <c r="J84" s="11">
        <f t="shared" si="9"/>
        <v>195.60319999999999</v>
      </c>
      <c r="K84" s="11">
        <f t="shared" si="8"/>
        <v>391.20639999999997</v>
      </c>
      <c r="L84" s="10">
        <v>0</v>
      </c>
      <c r="N84" s="118">
        <f t="shared" si="10"/>
        <v>0</v>
      </c>
      <c r="O84" s="118">
        <f t="shared" si="11"/>
        <v>195.60319999999999</v>
      </c>
    </row>
    <row r="85" spans="1:15" x14ac:dyDescent="0.25">
      <c r="A85" s="32" t="s">
        <v>2778</v>
      </c>
      <c r="B85" t="s">
        <v>2776</v>
      </c>
      <c r="C85" s="19">
        <v>26</v>
      </c>
      <c r="D85" s="32" t="s">
        <v>2777</v>
      </c>
      <c r="E85" s="13">
        <v>2</v>
      </c>
      <c r="F85" s="25" t="s">
        <v>2776</v>
      </c>
      <c r="G85" s="25">
        <v>81897719002</v>
      </c>
      <c r="H85" s="11">
        <v>70.994559999999993</v>
      </c>
      <c r="I85" s="11">
        <f t="shared" si="7"/>
        <v>141.98911999999999</v>
      </c>
      <c r="J85" s="11">
        <f t="shared" si="9"/>
        <v>70.994559999999993</v>
      </c>
      <c r="K85" s="11">
        <f t="shared" si="8"/>
        <v>141.98911999999999</v>
      </c>
      <c r="L85" s="10">
        <v>0</v>
      </c>
      <c r="N85" s="118">
        <f t="shared" si="10"/>
        <v>0</v>
      </c>
      <c r="O85" s="118">
        <f t="shared" si="11"/>
        <v>70.994559999999993</v>
      </c>
    </row>
    <row r="86" spans="1:15" x14ac:dyDescent="0.25">
      <c r="A86" s="32" t="s">
        <v>2775</v>
      </c>
      <c r="B86" t="s">
        <v>2773</v>
      </c>
      <c r="C86" s="19">
        <v>27</v>
      </c>
      <c r="D86" s="18" t="s">
        <v>2774</v>
      </c>
      <c r="E86" s="13">
        <v>2</v>
      </c>
      <c r="F86" s="25" t="s">
        <v>2773</v>
      </c>
      <c r="G86" s="25">
        <v>81897719002</v>
      </c>
      <c r="H86" s="11">
        <v>152.13952</v>
      </c>
      <c r="I86" s="11">
        <f t="shared" si="7"/>
        <v>304.27904000000001</v>
      </c>
      <c r="J86" s="11">
        <f t="shared" si="9"/>
        <v>152.13952</v>
      </c>
      <c r="K86" s="11">
        <f t="shared" si="8"/>
        <v>304.27904000000001</v>
      </c>
      <c r="L86" s="10">
        <v>0</v>
      </c>
      <c r="N86" s="118">
        <f t="shared" si="10"/>
        <v>0</v>
      </c>
      <c r="O86" s="118">
        <f t="shared" si="11"/>
        <v>152.13952</v>
      </c>
    </row>
    <row r="87" spans="1:15" x14ac:dyDescent="0.25">
      <c r="A87" s="35" t="s">
        <v>2772</v>
      </c>
      <c r="B87" t="s">
        <v>2770</v>
      </c>
      <c r="C87" s="19">
        <v>28</v>
      </c>
      <c r="D87" s="35" t="s">
        <v>2771</v>
      </c>
      <c r="E87" s="13">
        <v>2</v>
      </c>
      <c r="F87" s="25" t="s">
        <v>2770</v>
      </c>
      <c r="G87" s="25">
        <v>10301950027</v>
      </c>
      <c r="H87" s="11">
        <v>33.795839999999998</v>
      </c>
      <c r="I87" s="11">
        <f t="shared" si="7"/>
        <v>67.591679999999997</v>
      </c>
      <c r="J87" s="11">
        <f t="shared" si="9"/>
        <v>33.795839999999998</v>
      </c>
      <c r="K87" s="11">
        <f t="shared" si="8"/>
        <v>67.591679999999997</v>
      </c>
      <c r="L87" s="10">
        <v>0</v>
      </c>
      <c r="N87" s="118">
        <f t="shared" si="10"/>
        <v>0</v>
      </c>
      <c r="O87" s="118">
        <f t="shared" si="11"/>
        <v>33.795839999999998</v>
      </c>
    </row>
    <row r="88" spans="1:15" x14ac:dyDescent="0.25">
      <c r="A88" s="32" t="s">
        <v>2769</v>
      </c>
      <c r="B88" t="s">
        <v>2767</v>
      </c>
      <c r="C88" s="19">
        <v>29</v>
      </c>
      <c r="D88" s="18" t="s">
        <v>2768</v>
      </c>
      <c r="E88" s="13">
        <v>2</v>
      </c>
      <c r="F88" s="25" t="s">
        <v>2767</v>
      </c>
      <c r="G88" s="25">
        <v>81897719002</v>
      </c>
      <c r="H88" s="11">
        <v>169.05408</v>
      </c>
      <c r="I88" s="11">
        <f t="shared" si="7"/>
        <v>338.10816</v>
      </c>
      <c r="J88" s="11">
        <f t="shared" si="9"/>
        <v>169.05408</v>
      </c>
      <c r="K88" s="11">
        <f t="shared" si="8"/>
        <v>338.10816</v>
      </c>
      <c r="L88" s="10">
        <v>0</v>
      </c>
      <c r="N88" s="118">
        <f t="shared" si="10"/>
        <v>0</v>
      </c>
      <c r="O88" s="118">
        <f t="shared" si="11"/>
        <v>169.05408</v>
      </c>
    </row>
    <row r="89" spans="1:15" x14ac:dyDescent="0.25">
      <c r="A89" s="32" t="s">
        <v>2766</v>
      </c>
      <c r="B89" t="s">
        <v>2764</v>
      </c>
      <c r="C89" s="19">
        <v>30</v>
      </c>
      <c r="D89" s="18" t="s">
        <v>2765</v>
      </c>
      <c r="E89" s="13">
        <v>1</v>
      </c>
      <c r="F89" s="18" t="s">
        <v>2764</v>
      </c>
      <c r="G89" s="25">
        <v>10301950025</v>
      </c>
      <c r="H89" s="11">
        <v>853.83168000000001</v>
      </c>
      <c r="I89" s="11">
        <f t="shared" si="7"/>
        <v>853.83168000000001</v>
      </c>
      <c r="J89" s="11">
        <f t="shared" si="9"/>
        <v>853.83168000000001</v>
      </c>
      <c r="K89" s="11">
        <f t="shared" si="8"/>
        <v>853.83168000000001</v>
      </c>
      <c r="L89" s="10">
        <v>0</v>
      </c>
      <c r="N89" s="118">
        <f t="shared" si="10"/>
        <v>0</v>
      </c>
      <c r="O89" s="118">
        <f t="shared" si="11"/>
        <v>853.83168000000001</v>
      </c>
    </row>
    <row r="90" spans="1:15" x14ac:dyDescent="0.25">
      <c r="A90" s="32" t="s">
        <v>2763</v>
      </c>
      <c r="B90" t="s">
        <v>2761</v>
      </c>
      <c r="C90" s="19">
        <v>31</v>
      </c>
      <c r="D90" s="18" t="s">
        <v>2762</v>
      </c>
      <c r="E90" s="13">
        <v>1</v>
      </c>
      <c r="F90" s="18" t="s">
        <v>2761</v>
      </c>
      <c r="G90" s="25">
        <v>10301950025</v>
      </c>
      <c r="H90" s="11">
        <v>853.83168000000001</v>
      </c>
      <c r="I90" s="11">
        <f t="shared" si="7"/>
        <v>853.83168000000001</v>
      </c>
      <c r="J90" s="11">
        <f t="shared" si="9"/>
        <v>853.83168000000001</v>
      </c>
      <c r="K90" s="11">
        <f t="shared" si="8"/>
        <v>853.83168000000001</v>
      </c>
      <c r="L90" s="10">
        <v>0</v>
      </c>
      <c r="N90" s="118">
        <f t="shared" si="10"/>
        <v>0</v>
      </c>
      <c r="O90" s="118">
        <f t="shared" si="11"/>
        <v>853.83168000000001</v>
      </c>
    </row>
    <row r="91" spans="1:15" x14ac:dyDescent="0.25">
      <c r="A91" s="32" t="s">
        <v>2760</v>
      </c>
      <c r="B91" t="s">
        <v>2758</v>
      </c>
      <c r="C91" s="19">
        <v>32</v>
      </c>
      <c r="D91" s="18" t="s">
        <v>2759</v>
      </c>
      <c r="E91" s="13">
        <v>1</v>
      </c>
      <c r="F91" s="18" t="s">
        <v>2758</v>
      </c>
      <c r="G91" s="25">
        <v>10301950025</v>
      </c>
      <c r="H91" s="11">
        <v>853.83168000000001</v>
      </c>
      <c r="I91" s="11">
        <f t="shared" si="7"/>
        <v>853.83168000000001</v>
      </c>
      <c r="J91" s="11">
        <f t="shared" si="9"/>
        <v>853.83168000000001</v>
      </c>
      <c r="K91" s="11">
        <f t="shared" si="8"/>
        <v>853.83168000000001</v>
      </c>
      <c r="L91" s="10">
        <v>0</v>
      </c>
      <c r="N91" s="118">
        <f t="shared" si="10"/>
        <v>0</v>
      </c>
      <c r="O91" s="118">
        <f t="shared" si="11"/>
        <v>853.83168000000001</v>
      </c>
    </row>
    <row r="92" spans="1:15" x14ac:dyDescent="0.25">
      <c r="A92" s="32" t="s">
        <v>2757</v>
      </c>
      <c r="B92" t="s">
        <v>611</v>
      </c>
      <c r="C92" s="19">
        <v>33</v>
      </c>
      <c r="D92" s="18" t="s">
        <v>612</v>
      </c>
      <c r="E92" s="13">
        <v>4</v>
      </c>
      <c r="F92" s="25" t="s">
        <v>611</v>
      </c>
      <c r="G92" s="25">
        <v>81897719002</v>
      </c>
      <c r="H92" s="11">
        <v>33.795839999999998</v>
      </c>
      <c r="I92" s="11">
        <f t="shared" ref="I92:I123" si="12">H92*E92</f>
        <v>135.18335999999999</v>
      </c>
      <c r="J92" s="11">
        <f t="shared" si="9"/>
        <v>33.795839999999998</v>
      </c>
      <c r="K92" s="11">
        <f t="shared" ref="K92:K123" si="13">J92*E92</f>
        <v>135.18335999999999</v>
      </c>
      <c r="L92" s="10">
        <v>0</v>
      </c>
      <c r="N92" s="118">
        <f t="shared" si="10"/>
        <v>0</v>
      </c>
      <c r="O92" s="118">
        <f t="shared" si="11"/>
        <v>33.795839999999998</v>
      </c>
    </row>
    <row r="93" spans="1:15" x14ac:dyDescent="0.25">
      <c r="A93" s="32" t="s">
        <v>2756</v>
      </c>
      <c r="B93" t="s">
        <v>110</v>
      </c>
      <c r="C93" s="19">
        <v>34</v>
      </c>
      <c r="D93" s="18" t="s">
        <v>111</v>
      </c>
      <c r="E93" s="13">
        <v>1</v>
      </c>
      <c r="F93" s="25" t="s">
        <v>110</v>
      </c>
      <c r="G93" s="25">
        <v>81897719002</v>
      </c>
      <c r="H93" s="11">
        <v>37.847680000000004</v>
      </c>
      <c r="I93" s="11">
        <f t="shared" si="12"/>
        <v>37.847680000000004</v>
      </c>
      <c r="J93" s="11">
        <f t="shared" si="9"/>
        <v>37.847680000000004</v>
      </c>
      <c r="K93" s="11">
        <f t="shared" si="13"/>
        <v>37.847680000000004</v>
      </c>
      <c r="L93" s="10">
        <v>0</v>
      </c>
      <c r="N93" s="118">
        <f t="shared" si="10"/>
        <v>0</v>
      </c>
      <c r="O93" s="118">
        <f t="shared" si="11"/>
        <v>37.847680000000004</v>
      </c>
    </row>
    <row r="94" spans="1:15" x14ac:dyDescent="0.25">
      <c r="A94" s="32" t="s">
        <v>2755</v>
      </c>
      <c r="B94" t="s">
        <v>131</v>
      </c>
      <c r="C94" s="19">
        <v>35</v>
      </c>
      <c r="D94" s="18" t="s">
        <v>132</v>
      </c>
      <c r="E94" s="13">
        <v>15</v>
      </c>
      <c r="F94" s="25" t="s">
        <v>131</v>
      </c>
      <c r="G94" s="25">
        <v>81897719002</v>
      </c>
      <c r="H94" s="11">
        <v>16.224</v>
      </c>
      <c r="I94" s="11">
        <f t="shared" si="12"/>
        <v>243.36</v>
      </c>
      <c r="J94" s="11">
        <f t="shared" si="9"/>
        <v>16.224</v>
      </c>
      <c r="K94" s="11">
        <f t="shared" si="13"/>
        <v>243.36</v>
      </c>
      <c r="L94" s="10">
        <v>0</v>
      </c>
      <c r="N94" s="118">
        <f t="shared" si="10"/>
        <v>0</v>
      </c>
      <c r="O94" s="118">
        <f t="shared" si="11"/>
        <v>16.224</v>
      </c>
    </row>
    <row r="95" spans="1:15" x14ac:dyDescent="0.25">
      <c r="A95" s="32" t="s">
        <v>2754</v>
      </c>
      <c r="B95" t="s">
        <v>256</v>
      </c>
      <c r="C95" s="19">
        <v>36</v>
      </c>
      <c r="D95" s="18" t="s">
        <v>257</v>
      </c>
      <c r="E95" s="13">
        <v>15</v>
      </c>
      <c r="F95" s="25" t="s">
        <v>256</v>
      </c>
      <c r="G95" s="25">
        <v>81897719002</v>
      </c>
      <c r="H95" s="11">
        <v>16.914559999999998</v>
      </c>
      <c r="I95" s="11">
        <f t="shared" si="12"/>
        <v>253.71839999999997</v>
      </c>
      <c r="J95" s="11">
        <f t="shared" si="9"/>
        <v>16.914559999999998</v>
      </c>
      <c r="K95" s="11">
        <f t="shared" si="13"/>
        <v>253.71839999999997</v>
      </c>
      <c r="L95" s="10">
        <v>0</v>
      </c>
      <c r="N95" s="118">
        <f t="shared" si="10"/>
        <v>0</v>
      </c>
      <c r="O95" s="118">
        <f t="shared" si="11"/>
        <v>16.914559999999998</v>
      </c>
    </row>
    <row r="96" spans="1:15" x14ac:dyDescent="0.25">
      <c r="A96" s="32" t="s">
        <v>2753</v>
      </c>
      <c r="B96" t="s">
        <v>119</v>
      </c>
      <c r="C96" s="19">
        <v>37</v>
      </c>
      <c r="D96" s="18" t="s">
        <v>120</v>
      </c>
      <c r="E96" s="13">
        <v>10</v>
      </c>
      <c r="F96" s="25" t="s">
        <v>119</v>
      </c>
      <c r="G96" s="25">
        <v>81897719002</v>
      </c>
      <c r="H96" s="11">
        <v>16.914559999999998</v>
      </c>
      <c r="I96" s="11">
        <f t="shared" si="12"/>
        <v>169.14559999999997</v>
      </c>
      <c r="J96" s="11">
        <f t="shared" si="9"/>
        <v>16.914559999999998</v>
      </c>
      <c r="K96" s="11">
        <f t="shared" si="13"/>
        <v>169.14559999999997</v>
      </c>
      <c r="L96" s="10">
        <v>0</v>
      </c>
      <c r="N96" s="118">
        <f t="shared" si="10"/>
        <v>0</v>
      </c>
      <c r="O96" s="118">
        <f t="shared" si="11"/>
        <v>16.914559999999998</v>
      </c>
    </row>
    <row r="97" spans="1:15" x14ac:dyDescent="0.25">
      <c r="A97" s="32" t="s">
        <v>2752</v>
      </c>
      <c r="B97" t="s">
        <v>2734</v>
      </c>
      <c r="C97" s="19">
        <v>38</v>
      </c>
      <c r="D97" s="18" t="s">
        <v>2751</v>
      </c>
      <c r="E97" s="13">
        <v>2</v>
      </c>
      <c r="F97" s="25" t="s">
        <v>2734</v>
      </c>
      <c r="G97" s="25">
        <v>81897719002</v>
      </c>
      <c r="H97" s="11">
        <v>25.68384</v>
      </c>
      <c r="I97" s="11">
        <f t="shared" si="12"/>
        <v>51.36768</v>
      </c>
      <c r="J97" s="11">
        <f t="shared" si="9"/>
        <v>25.68384</v>
      </c>
      <c r="K97" s="11">
        <f t="shared" si="13"/>
        <v>51.36768</v>
      </c>
      <c r="L97" s="10">
        <v>0</v>
      </c>
      <c r="N97" s="118">
        <f t="shared" si="10"/>
        <v>0</v>
      </c>
      <c r="O97" s="118">
        <f t="shared" si="11"/>
        <v>25.68384</v>
      </c>
    </row>
    <row r="98" spans="1:15" x14ac:dyDescent="0.25">
      <c r="A98" s="32" t="s">
        <v>2750</v>
      </c>
      <c r="B98" t="s">
        <v>1074</v>
      </c>
      <c r="C98" s="19">
        <v>39</v>
      </c>
      <c r="D98" s="18" t="s">
        <v>2643</v>
      </c>
      <c r="E98" s="13">
        <v>2</v>
      </c>
      <c r="F98" s="25" t="s">
        <v>1074</v>
      </c>
      <c r="G98" s="25">
        <v>81897719002</v>
      </c>
      <c r="H98" s="11">
        <v>24.34432</v>
      </c>
      <c r="I98" s="11">
        <f t="shared" si="12"/>
        <v>48.688639999999999</v>
      </c>
      <c r="J98" s="11">
        <f t="shared" si="9"/>
        <v>24.34432</v>
      </c>
      <c r="K98" s="11">
        <f t="shared" si="13"/>
        <v>48.688639999999999</v>
      </c>
      <c r="L98" s="10">
        <v>0</v>
      </c>
      <c r="N98" s="118">
        <f t="shared" si="10"/>
        <v>0</v>
      </c>
      <c r="O98" s="118">
        <f t="shared" si="11"/>
        <v>24.34432</v>
      </c>
    </row>
    <row r="99" spans="1:15" x14ac:dyDescent="0.25">
      <c r="A99" s="32" t="s">
        <v>2749</v>
      </c>
      <c r="B99" t="s">
        <v>152</v>
      </c>
      <c r="C99" s="19">
        <v>40</v>
      </c>
      <c r="D99" s="18" t="s">
        <v>153</v>
      </c>
      <c r="E99" s="13">
        <v>4</v>
      </c>
      <c r="F99" s="25" t="s">
        <v>152</v>
      </c>
      <c r="G99" s="25">
        <v>81897719002</v>
      </c>
      <c r="H99" s="11">
        <v>9.4515199999999986</v>
      </c>
      <c r="I99" s="11">
        <f t="shared" si="12"/>
        <v>37.806079999999994</v>
      </c>
      <c r="J99" s="11">
        <f t="shared" si="9"/>
        <v>9.4515199999999986</v>
      </c>
      <c r="K99" s="11">
        <f t="shared" si="13"/>
        <v>37.806079999999994</v>
      </c>
      <c r="L99" s="10">
        <v>0</v>
      </c>
      <c r="N99" s="118">
        <f t="shared" si="10"/>
        <v>0</v>
      </c>
      <c r="O99" s="118">
        <f t="shared" si="11"/>
        <v>9.4515199999999986</v>
      </c>
    </row>
    <row r="100" spans="1:15" x14ac:dyDescent="0.25">
      <c r="A100" s="32" t="s">
        <v>2748</v>
      </c>
      <c r="B100" t="s">
        <v>983</v>
      </c>
      <c r="C100" s="19">
        <v>41</v>
      </c>
      <c r="D100" s="18" t="s">
        <v>984</v>
      </c>
      <c r="E100" s="13">
        <v>1</v>
      </c>
      <c r="F100" s="25" t="s">
        <v>983</v>
      </c>
      <c r="G100" s="25">
        <v>81897719002</v>
      </c>
      <c r="H100" s="11">
        <v>94.648320000000012</v>
      </c>
      <c r="I100" s="11">
        <f t="shared" si="12"/>
        <v>94.648320000000012</v>
      </c>
      <c r="J100" s="11">
        <f t="shared" si="9"/>
        <v>94.648320000000012</v>
      </c>
      <c r="K100" s="11">
        <f t="shared" si="13"/>
        <v>94.648320000000012</v>
      </c>
      <c r="L100" s="10">
        <v>0</v>
      </c>
      <c r="N100" s="118">
        <f t="shared" si="10"/>
        <v>0</v>
      </c>
      <c r="O100" s="118">
        <f t="shared" si="11"/>
        <v>94.648320000000012</v>
      </c>
    </row>
    <row r="101" spans="1:15" x14ac:dyDescent="0.25">
      <c r="A101" s="32" t="s">
        <v>2747</v>
      </c>
      <c r="B101" t="s">
        <v>2745</v>
      </c>
      <c r="C101" s="19">
        <v>42</v>
      </c>
      <c r="D101" s="18" t="s">
        <v>2746</v>
      </c>
      <c r="E101" s="13">
        <v>2</v>
      </c>
      <c r="F101" s="25" t="s">
        <v>2745</v>
      </c>
      <c r="G101" s="25">
        <v>81897719003</v>
      </c>
      <c r="H101" s="11">
        <v>94.648320000000012</v>
      </c>
      <c r="I101" s="11">
        <f t="shared" si="12"/>
        <v>189.29664000000002</v>
      </c>
      <c r="J101" s="11">
        <f t="shared" si="9"/>
        <v>94.648320000000012</v>
      </c>
      <c r="K101" s="11">
        <f t="shared" si="13"/>
        <v>189.29664000000002</v>
      </c>
      <c r="L101" s="10">
        <v>0</v>
      </c>
      <c r="N101" s="118">
        <f t="shared" si="10"/>
        <v>0</v>
      </c>
      <c r="O101" s="118">
        <f t="shared" si="11"/>
        <v>94.648320000000012</v>
      </c>
    </row>
    <row r="102" spans="1:15" x14ac:dyDescent="0.25">
      <c r="A102" s="32" t="s">
        <v>2744</v>
      </c>
      <c r="B102" t="s">
        <v>2742</v>
      </c>
      <c r="C102" s="19">
        <v>43</v>
      </c>
      <c r="D102" s="18" t="s">
        <v>2743</v>
      </c>
      <c r="E102" s="13">
        <v>2</v>
      </c>
      <c r="F102" s="25" t="s">
        <v>2742</v>
      </c>
      <c r="G102" s="25">
        <v>81897710034</v>
      </c>
      <c r="H102" s="11">
        <v>47.349119999999999</v>
      </c>
      <c r="I102" s="11">
        <f t="shared" si="12"/>
        <v>94.698239999999998</v>
      </c>
      <c r="J102" s="11">
        <f t="shared" si="9"/>
        <v>47.349119999999999</v>
      </c>
      <c r="K102" s="11">
        <f t="shared" si="13"/>
        <v>94.698239999999998</v>
      </c>
      <c r="L102" s="10">
        <v>0</v>
      </c>
      <c r="N102" s="118">
        <f t="shared" si="10"/>
        <v>0</v>
      </c>
      <c r="O102" s="118">
        <f t="shared" si="11"/>
        <v>47.349119999999999</v>
      </c>
    </row>
    <row r="103" spans="1:15" x14ac:dyDescent="0.25">
      <c r="A103" s="32" t="s">
        <v>2741</v>
      </c>
      <c r="B103" t="s">
        <v>986</v>
      </c>
      <c r="C103" s="19">
        <v>44</v>
      </c>
      <c r="D103" s="18" t="s">
        <v>987</v>
      </c>
      <c r="E103" s="13">
        <v>2</v>
      </c>
      <c r="F103" s="25" t="s">
        <v>986</v>
      </c>
      <c r="G103" s="25">
        <v>81897719003</v>
      </c>
      <c r="H103" s="11">
        <v>70.994559999999993</v>
      </c>
      <c r="I103" s="11">
        <f t="shared" si="12"/>
        <v>141.98911999999999</v>
      </c>
      <c r="J103" s="11">
        <f t="shared" si="9"/>
        <v>70.994559999999993</v>
      </c>
      <c r="K103" s="11">
        <f t="shared" si="13"/>
        <v>141.98911999999999</v>
      </c>
      <c r="L103" s="10">
        <v>0</v>
      </c>
      <c r="N103" s="118">
        <f t="shared" si="10"/>
        <v>0</v>
      </c>
      <c r="O103" s="118">
        <f t="shared" si="11"/>
        <v>70.994559999999993</v>
      </c>
    </row>
    <row r="104" spans="1:15" x14ac:dyDescent="0.25">
      <c r="A104" s="32" t="s">
        <v>2740</v>
      </c>
      <c r="B104" t="s">
        <v>454</v>
      </c>
      <c r="C104" s="19">
        <v>45</v>
      </c>
      <c r="D104" s="18" t="s">
        <v>455</v>
      </c>
      <c r="E104" s="13">
        <v>1</v>
      </c>
      <c r="F104" s="25" t="s">
        <v>454</v>
      </c>
      <c r="G104" s="25">
        <v>81897719003</v>
      </c>
      <c r="H104" s="11">
        <v>84.506240000000005</v>
      </c>
      <c r="I104" s="11">
        <f t="shared" si="12"/>
        <v>84.506240000000005</v>
      </c>
      <c r="J104" s="11">
        <f t="shared" si="9"/>
        <v>84.506240000000005</v>
      </c>
      <c r="K104" s="11">
        <f t="shared" si="13"/>
        <v>84.506240000000005</v>
      </c>
      <c r="L104" s="10">
        <v>0</v>
      </c>
      <c r="N104" s="118">
        <f t="shared" si="10"/>
        <v>0</v>
      </c>
      <c r="O104" s="118">
        <f t="shared" si="11"/>
        <v>84.506240000000005</v>
      </c>
    </row>
    <row r="105" spans="1:15" x14ac:dyDescent="0.25">
      <c r="A105" s="32" t="s">
        <v>2739</v>
      </c>
      <c r="B105" t="s">
        <v>451</v>
      </c>
      <c r="C105" s="19">
        <v>46</v>
      </c>
      <c r="D105" s="18" t="s">
        <v>452</v>
      </c>
      <c r="E105" s="13">
        <v>4</v>
      </c>
      <c r="F105" s="25" t="s">
        <v>451</v>
      </c>
      <c r="G105" s="25">
        <v>81897719003</v>
      </c>
      <c r="H105" s="11">
        <v>91.278720000000007</v>
      </c>
      <c r="I105" s="11">
        <f t="shared" si="12"/>
        <v>365.11488000000003</v>
      </c>
      <c r="J105" s="11">
        <f t="shared" si="9"/>
        <v>91.278720000000007</v>
      </c>
      <c r="K105" s="11">
        <f t="shared" si="13"/>
        <v>365.11488000000003</v>
      </c>
      <c r="L105" s="10">
        <v>0</v>
      </c>
      <c r="N105" s="118">
        <f t="shared" si="10"/>
        <v>0</v>
      </c>
      <c r="O105" s="118">
        <f t="shared" si="11"/>
        <v>91.278720000000007</v>
      </c>
    </row>
    <row r="106" spans="1:15" x14ac:dyDescent="0.25">
      <c r="A106" s="32" t="s">
        <v>2738</v>
      </c>
      <c r="B106" t="s">
        <v>1053</v>
      </c>
      <c r="C106" s="19">
        <v>47</v>
      </c>
      <c r="D106" s="18" t="s">
        <v>1054</v>
      </c>
      <c r="E106" s="13">
        <v>4</v>
      </c>
      <c r="F106" s="25" t="s">
        <v>1053</v>
      </c>
      <c r="G106" s="25" t="s">
        <v>695</v>
      </c>
      <c r="H106" s="11">
        <v>101.42080000000001</v>
      </c>
      <c r="I106" s="11">
        <f t="shared" si="12"/>
        <v>405.68320000000006</v>
      </c>
      <c r="J106" s="11">
        <f t="shared" si="9"/>
        <v>101.42080000000001</v>
      </c>
      <c r="K106" s="11">
        <f t="shared" si="13"/>
        <v>405.68320000000006</v>
      </c>
      <c r="L106" s="10">
        <v>0</v>
      </c>
      <c r="N106" s="118">
        <f t="shared" si="10"/>
        <v>0</v>
      </c>
      <c r="O106" s="118">
        <f t="shared" si="11"/>
        <v>101.42080000000001</v>
      </c>
    </row>
    <row r="107" spans="1:15" x14ac:dyDescent="0.25">
      <c r="A107" s="32" t="s">
        <v>2737</v>
      </c>
      <c r="B107" t="s">
        <v>98</v>
      </c>
      <c r="C107" s="19">
        <v>48</v>
      </c>
      <c r="D107" s="18" t="s">
        <v>99</v>
      </c>
      <c r="E107" s="13">
        <v>4</v>
      </c>
      <c r="F107" s="25" t="s">
        <v>98</v>
      </c>
      <c r="G107" s="25">
        <v>81897719002</v>
      </c>
      <c r="H107" s="11">
        <v>17.363840000000003</v>
      </c>
      <c r="I107" s="11">
        <f t="shared" si="12"/>
        <v>69.455360000000013</v>
      </c>
      <c r="J107" s="11">
        <f t="shared" si="9"/>
        <v>17.363840000000003</v>
      </c>
      <c r="K107" s="11">
        <f t="shared" si="13"/>
        <v>69.455360000000013</v>
      </c>
      <c r="L107" s="10">
        <v>0</v>
      </c>
      <c r="N107" s="118">
        <f t="shared" si="10"/>
        <v>0</v>
      </c>
      <c r="O107" s="118">
        <f t="shared" si="11"/>
        <v>17.363840000000003</v>
      </c>
    </row>
    <row r="108" spans="1:15" x14ac:dyDescent="0.25">
      <c r="A108" s="32" t="s">
        <v>2736</v>
      </c>
      <c r="B108" t="s">
        <v>2734</v>
      </c>
      <c r="C108" s="19">
        <v>49</v>
      </c>
      <c r="D108" s="18" t="s">
        <v>2735</v>
      </c>
      <c r="E108" s="13">
        <v>2</v>
      </c>
      <c r="F108" s="25" t="s">
        <v>2734</v>
      </c>
      <c r="G108" s="25">
        <v>81897719002</v>
      </c>
      <c r="H108" s="11">
        <v>25.68384</v>
      </c>
      <c r="I108" s="11">
        <f t="shared" si="12"/>
        <v>51.36768</v>
      </c>
      <c r="J108" s="11">
        <f t="shared" si="9"/>
        <v>25.68384</v>
      </c>
      <c r="K108" s="11">
        <f t="shared" si="13"/>
        <v>51.36768</v>
      </c>
      <c r="L108" s="10">
        <v>0</v>
      </c>
      <c r="N108" s="118">
        <f t="shared" si="10"/>
        <v>0</v>
      </c>
      <c r="O108" s="118">
        <f t="shared" si="11"/>
        <v>25.68384</v>
      </c>
    </row>
    <row r="109" spans="1:15" x14ac:dyDescent="0.25">
      <c r="A109" s="32" t="s">
        <v>2733</v>
      </c>
      <c r="B109" t="s">
        <v>1753</v>
      </c>
      <c r="C109" s="19">
        <v>50</v>
      </c>
      <c r="D109" s="18" t="s">
        <v>1754</v>
      </c>
      <c r="E109" s="13">
        <v>2</v>
      </c>
      <c r="F109" s="25" t="s">
        <v>1753</v>
      </c>
      <c r="G109" s="25">
        <v>81897719002</v>
      </c>
      <c r="H109" s="11">
        <v>16.065919999999998</v>
      </c>
      <c r="I109" s="11">
        <f t="shared" si="12"/>
        <v>32.131839999999997</v>
      </c>
      <c r="J109" s="11">
        <f t="shared" si="9"/>
        <v>16.065919999999998</v>
      </c>
      <c r="K109" s="11">
        <f t="shared" si="13"/>
        <v>32.131839999999997</v>
      </c>
      <c r="L109" s="10">
        <v>0</v>
      </c>
      <c r="N109" s="118">
        <f t="shared" si="10"/>
        <v>0</v>
      </c>
      <c r="O109" s="118">
        <f t="shared" si="11"/>
        <v>16.065919999999998</v>
      </c>
    </row>
    <row r="110" spans="1:15" x14ac:dyDescent="0.25">
      <c r="A110" s="32" t="s">
        <v>2732</v>
      </c>
      <c r="B110" t="s">
        <v>511</v>
      </c>
      <c r="C110" s="19">
        <v>51</v>
      </c>
      <c r="D110" s="18" t="s">
        <v>512</v>
      </c>
      <c r="E110" s="13">
        <v>4</v>
      </c>
      <c r="F110" s="25" t="s">
        <v>511</v>
      </c>
      <c r="G110" s="25">
        <v>81897719002</v>
      </c>
      <c r="H110" s="11">
        <v>21.989759999999997</v>
      </c>
      <c r="I110" s="11">
        <f t="shared" si="12"/>
        <v>87.959039999999987</v>
      </c>
      <c r="J110" s="11">
        <f t="shared" si="9"/>
        <v>21.989759999999997</v>
      </c>
      <c r="K110" s="11">
        <f t="shared" si="13"/>
        <v>87.959039999999987</v>
      </c>
      <c r="L110" s="10">
        <v>0</v>
      </c>
      <c r="N110" s="118">
        <f t="shared" si="10"/>
        <v>0</v>
      </c>
      <c r="O110" s="118">
        <f t="shared" si="11"/>
        <v>21.989759999999997</v>
      </c>
    </row>
    <row r="111" spans="1:15" x14ac:dyDescent="0.25">
      <c r="A111" s="32" t="s">
        <v>2731</v>
      </c>
      <c r="B111" t="s">
        <v>1042</v>
      </c>
      <c r="C111" s="19">
        <v>52</v>
      </c>
      <c r="D111" s="18" t="s">
        <v>1043</v>
      </c>
      <c r="E111" s="13">
        <v>2</v>
      </c>
      <c r="F111" s="25" t="s">
        <v>1042</v>
      </c>
      <c r="G111" s="25">
        <v>81897719002</v>
      </c>
      <c r="H111" s="11">
        <v>26.207999999999998</v>
      </c>
      <c r="I111" s="11">
        <f t="shared" si="12"/>
        <v>52.415999999999997</v>
      </c>
      <c r="J111" s="11">
        <f t="shared" si="9"/>
        <v>26.207999999999998</v>
      </c>
      <c r="K111" s="11">
        <f t="shared" si="13"/>
        <v>52.415999999999997</v>
      </c>
      <c r="L111" s="10">
        <v>0</v>
      </c>
      <c r="N111" s="118">
        <f t="shared" si="10"/>
        <v>0</v>
      </c>
      <c r="O111" s="118">
        <f t="shared" si="11"/>
        <v>26.207999999999998</v>
      </c>
    </row>
    <row r="112" spans="1:15" x14ac:dyDescent="0.25">
      <c r="A112" s="32" t="s">
        <v>2730</v>
      </c>
      <c r="B112" t="s">
        <v>315</v>
      </c>
      <c r="C112" s="19">
        <v>53</v>
      </c>
      <c r="D112" s="18" t="s">
        <v>316</v>
      </c>
      <c r="E112" s="13">
        <v>1</v>
      </c>
      <c r="F112" s="25" t="s">
        <v>315</v>
      </c>
      <c r="G112" s="25" t="s">
        <v>427</v>
      </c>
      <c r="H112" s="11">
        <v>590.62848000000008</v>
      </c>
      <c r="I112" s="11">
        <f t="shared" si="12"/>
        <v>590.62848000000008</v>
      </c>
      <c r="J112" s="11">
        <f t="shared" si="9"/>
        <v>590.62848000000008</v>
      </c>
      <c r="K112" s="11">
        <f t="shared" si="13"/>
        <v>590.62848000000008</v>
      </c>
      <c r="L112" s="10">
        <v>0</v>
      </c>
      <c r="N112" s="118">
        <f t="shared" si="10"/>
        <v>0</v>
      </c>
      <c r="O112" s="118">
        <f t="shared" si="11"/>
        <v>590.62848000000008</v>
      </c>
    </row>
    <row r="113" spans="1:15" x14ac:dyDescent="0.25">
      <c r="B113" t="s">
        <v>2728</v>
      </c>
      <c r="C113" s="19">
        <v>54</v>
      </c>
      <c r="D113" s="18" t="s">
        <v>2729</v>
      </c>
      <c r="E113" s="13">
        <v>1</v>
      </c>
      <c r="F113" s="25" t="s">
        <v>2728</v>
      </c>
      <c r="G113" s="25" t="s">
        <v>427</v>
      </c>
      <c r="H113" s="11">
        <v>681.45791999999994</v>
      </c>
      <c r="I113" s="11">
        <f t="shared" si="12"/>
        <v>681.45791999999994</v>
      </c>
      <c r="J113" s="11">
        <f t="shared" si="9"/>
        <v>681.45791999999994</v>
      </c>
      <c r="K113" s="11">
        <f t="shared" si="13"/>
        <v>681.45791999999994</v>
      </c>
      <c r="L113" s="10">
        <v>0</v>
      </c>
      <c r="N113" s="118">
        <f t="shared" si="10"/>
        <v>0</v>
      </c>
      <c r="O113" s="118">
        <f t="shared" si="11"/>
        <v>681.45791999999994</v>
      </c>
    </row>
    <row r="114" spans="1:15" x14ac:dyDescent="0.25">
      <c r="B114" t="s">
        <v>2726</v>
      </c>
      <c r="C114" s="19">
        <v>55</v>
      </c>
      <c r="D114" s="18" t="s">
        <v>2727</v>
      </c>
      <c r="E114" s="13">
        <v>1</v>
      </c>
      <c r="F114" s="25" t="s">
        <v>2726</v>
      </c>
      <c r="G114" s="25" t="s">
        <v>427</v>
      </c>
      <c r="H114" s="11">
        <v>456.06911999999994</v>
      </c>
      <c r="I114" s="11">
        <f t="shared" si="12"/>
        <v>456.06911999999994</v>
      </c>
      <c r="J114" s="11">
        <f t="shared" si="9"/>
        <v>456.06911999999994</v>
      </c>
      <c r="K114" s="11">
        <f t="shared" si="13"/>
        <v>456.06911999999994</v>
      </c>
      <c r="L114" s="10">
        <v>0</v>
      </c>
      <c r="N114" s="118">
        <f t="shared" si="10"/>
        <v>0</v>
      </c>
      <c r="O114" s="118">
        <f t="shared" si="11"/>
        <v>456.06911999999994</v>
      </c>
    </row>
    <row r="115" spans="1:15" x14ac:dyDescent="0.25">
      <c r="B115" t="s">
        <v>970</v>
      </c>
      <c r="C115" s="19">
        <v>56</v>
      </c>
      <c r="D115" s="18" t="s">
        <v>2694</v>
      </c>
      <c r="E115" s="13">
        <v>2</v>
      </c>
      <c r="F115" s="25" t="s">
        <v>970</v>
      </c>
      <c r="G115" s="25" t="s">
        <v>427</v>
      </c>
      <c r="H115" s="11">
        <v>9.5763200000000008</v>
      </c>
      <c r="I115" s="11">
        <f t="shared" si="12"/>
        <v>19.152640000000002</v>
      </c>
      <c r="J115" s="11">
        <f t="shared" si="9"/>
        <v>9.5763200000000008</v>
      </c>
      <c r="K115" s="11">
        <f t="shared" si="13"/>
        <v>19.152640000000002</v>
      </c>
      <c r="L115" s="10">
        <v>0</v>
      </c>
      <c r="N115" s="118">
        <f t="shared" si="10"/>
        <v>0</v>
      </c>
      <c r="O115" s="118">
        <f t="shared" si="11"/>
        <v>9.5763200000000008</v>
      </c>
    </row>
    <row r="116" spans="1:15" x14ac:dyDescent="0.25">
      <c r="C116" s="9"/>
      <c r="D116" s="8" t="s">
        <v>1</v>
      </c>
      <c r="E116" s="8">
        <f>SUM(E60:E115)</f>
        <v>142</v>
      </c>
      <c r="F116" s="8"/>
      <c r="G116" s="8"/>
      <c r="H116" s="7"/>
      <c r="I116" s="7">
        <f>SUM(I60:I115)</f>
        <v>14131.736320000004</v>
      </c>
      <c r="J116" s="8"/>
      <c r="K116" s="7">
        <f>SUM(K60:K115)</f>
        <v>14131.736320000004</v>
      </c>
      <c r="L116" s="6"/>
      <c r="N116" s="118">
        <f t="shared" si="10"/>
        <v>0</v>
      </c>
      <c r="O116" s="118">
        <f t="shared" si="11"/>
        <v>0</v>
      </c>
    </row>
    <row r="117" spans="1:15" x14ac:dyDescent="0.25">
      <c r="D117" t="s">
        <v>0</v>
      </c>
      <c r="N117" s="118">
        <f t="shared" si="10"/>
        <v>0</v>
      </c>
      <c r="O117" s="118">
        <f t="shared" si="11"/>
        <v>0</v>
      </c>
    </row>
    <row r="118" spans="1:15" x14ac:dyDescent="0.25">
      <c r="D118" s="24" t="s">
        <v>2725</v>
      </c>
      <c r="N118" s="118">
        <f t="shared" si="10"/>
        <v>0</v>
      </c>
      <c r="O118" s="118">
        <f t="shared" si="11"/>
        <v>0</v>
      </c>
    </row>
    <row r="119" spans="1:15" s="5" customFormat="1" ht="30" x14ac:dyDescent="0.25">
      <c r="C119" s="24" t="s">
        <v>28</v>
      </c>
      <c r="D119" s="24" t="s">
        <v>27</v>
      </c>
      <c r="E119" s="24" t="s">
        <v>26</v>
      </c>
      <c r="F119" s="24" t="s">
        <v>25</v>
      </c>
      <c r="G119" s="24" t="s">
        <v>24</v>
      </c>
      <c r="H119" s="116" t="s">
        <v>21</v>
      </c>
      <c r="I119" s="24" t="s">
        <v>23</v>
      </c>
      <c r="J119" s="24" t="s">
        <v>2928</v>
      </c>
      <c r="K119" s="24" t="s">
        <v>2927</v>
      </c>
      <c r="L119" s="23" t="s">
        <v>22</v>
      </c>
      <c r="N119" s="118" t="e">
        <f t="shared" si="10"/>
        <v>#VALUE!</v>
      </c>
      <c r="O119" s="118" t="e">
        <f t="shared" si="11"/>
        <v>#VALUE!</v>
      </c>
    </row>
    <row r="120" spans="1:15" x14ac:dyDescent="0.25">
      <c r="A120" s="32" t="s">
        <v>2724</v>
      </c>
      <c r="B120" t="s">
        <v>2722</v>
      </c>
      <c r="C120" s="19">
        <v>1</v>
      </c>
      <c r="D120" s="18" t="s">
        <v>2723</v>
      </c>
      <c r="E120" s="13">
        <v>1</v>
      </c>
      <c r="F120" s="25" t="s">
        <v>2722</v>
      </c>
      <c r="G120" s="25">
        <v>81897719002</v>
      </c>
      <c r="H120" s="11">
        <v>29.735680000000002</v>
      </c>
      <c r="I120" s="11">
        <f t="shared" ref="I120:I137" si="14">H120*E120</f>
        <v>29.735680000000002</v>
      </c>
      <c r="J120" s="11">
        <f>O120</f>
        <v>24.3832576</v>
      </c>
      <c r="K120" s="11">
        <f t="shared" ref="K120:K137" si="15">J120*E120</f>
        <v>24.3832576</v>
      </c>
      <c r="L120" s="10">
        <v>0.18</v>
      </c>
      <c r="N120" s="118">
        <f t="shared" si="10"/>
        <v>5.3524224</v>
      </c>
      <c r="O120" s="118">
        <f t="shared" si="11"/>
        <v>24.3832576</v>
      </c>
    </row>
    <row r="121" spans="1:15" x14ac:dyDescent="0.25">
      <c r="A121" s="32" t="s">
        <v>2721</v>
      </c>
      <c r="B121" t="s">
        <v>2718</v>
      </c>
      <c r="C121" s="19">
        <v>2</v>
      </c>
      <c r="D121" s="18" t="s">
        <v>2719</v>
      </c>
      <c r="E121" s="13">
        <v>1</v>
      </c>
      <c r="F121" s="25" t="s">
        <v>2718</v>
      </c>
      <c r="G121" s="25">
        <v>81897719002</v>
      </c>
      <c r="H121" s="11">
        <v>29.735680000000002</v>
      </c>
      <c r="I121" s="11">
        <f t="shared" si="14"/>
        <v>29.735680000000002</v>
      </c>
      <c r="J121" s="11">
        <f t="shared" ref="J121:J137" si="16">O121</f>
        <v>24.3832576</v>
      </c>
      <c r="K121" s="11">
        <f t="shared" si="15"/>
        <v>24.3832576</v>
      </c>
      <c r="L121" s="10">
        <v>0.18</v>
      </c>
      <c r="N121" s="118">
        <f t="shared" si="10"/>
        <v>5.3524224</v>
      </c>
      <c r="O121" s="118">
        <f t="shared" si="11"/>
        <v>24.3832576</v>
      </c>
    </row>
    <row r="122" spans="1:15" x14ac:dyDescent="0.25">
      <c r="A122" s="32" t="s">
        <v>2720</v>
      </c>
      <c r="B122" t="s">
        <v>2718</v>
      </c>
      <c r="C122" s="19">
        <v>3</v>
      </c>
      <c r="D122" s="18" t="s">
        <v>2719</v>
      </c>
      <c r="E122" s="13">
        <v>1</v>
      </c>
      <c r="F122" s="25" t="s">
        <v>2718</v>
      </c>
      <c r="G122" s="25">
        <v>81897719002</v>
      </c>
      <c r="H122" s="11">
        <v>29.735680000000002</v>
      </c>
      <c r="I122" s="11">
        <f t="shared" si="14"/>
        <v>29.735680000000002</v>
      </c>
      <c r="J122" s="11">
        <f t="shared" si="16"/>
        <v>24.3832576</v>
      </c>
      <c r="K122" s="11">
        <f t="shared" si="15"/>
        <v>24.3832576</v>
      </c>
      <c r="L122" s="10">
        <v>0.18</v>
      </c>
      <c r="N122" s="118">
        <f t="shared" si="10"/>
        <v>5.3524224</v>
      </c>
      <c r="O122" s="118">
        <f t="shared" si="11"/>
        <v>24.3832576</v>
      </c>
    </row>
    <row r="123" spans="1:15" x14ac:dyDescent="0.25">
      <c r="A123" s="32" t="s">
        <v>2717</v>
      </c>
      <c r="B123" t="s">
        <v>2714</v>
      </c>
      <c r="C123" s="19">
        <v>4</v>
      </c>
      <c r="D123" s="18" t="s">
        <v>2715</v>
      </c>
      <c r="E123" s="13">
        <v>1</v>
      </c>
      <c r="F123" s="25" t="s">
        <v>2714</v>
      </c>
      <c r="G123" s="25">
        <v>81897719002</v>
      </c>
      <c r="H123" s="11">
        <v>29.735680000000002</v>
      </c>
      <c r="I123" s="11">
        <f t="shared" si="14"/>
        <v>29.735680000000002</v>
      </c>
      <c r="J123" s="11">
        <f t="shared" si="16"/>
        <v>24.3832576</v>
      </c>
      <c r="K123" s="11">
        <f t="shared" si="15"/>
        <v>24.3832576</v>
      </c>
      <c r="L123" s="10">
        <v>0.18</v>
      </c>
      <c r="N123" s="118">
        <f t="shared" si="10"/>
        <v>5.3524224</v>
      </c>
      <c r="O123" s="118">
        <f t="shared" si="11"/>
        <v>24.3832576</v>
      </c>
    </row>
    <row r="124" spans="1:15" x14ac:dyDescent="0.25">
      <c r="A124" s="32" t="s">
        <v>2716</v>
      </c>
      <c r="B124" t="s">
        <v>2714</v>
      </c>
      <c r="C124" s="19">
        <v>5</v>
      </c>
      <c r="D124" s="18" t="s">
        <v>2715</v>
      </c>
      <c r="E124" s="13">
        <v>1</v>
      </c>
      <c r="F124" s="25" t="s">
        <v>2714</v>
      </c>
      <c r="G124" s="25">
        <v>81897719002</v>
      </c>
      <c r="H124" s="11">
        <v>29.735680000000002</v>
      </c>
      <c r="I124" s="11">
        <f t="shared" si="14"/>
        <v>29.735680000000002</v>
      </c>
      <c r="J124" s="11">
        <f t="shared" si="16"/>
        <v>24.3832576</v>
      </c>
      <c r="K124" s="11">
        <f t="shared" si="15"/>
        <v>24.3832576</v>
      </c>
      <c r="L124" s="10">
        <v>0.18</v>
      </c>
      <c r="N124" s="118">
        <f t="shared" si="10"/>
        <v>5.3524224</v>
      </c>
      <c r="O124" s="118">
        <f t="shared" si="11"/>
        <v>24.3832576</v>
      </c>
    </row>
    <row r="125" spans="1:15" x14ac:dyDescent="0.25">
      <c r="A125" s="32" t="s">
        <v>2713</v>
      </c>
      <c r="B125" t="s">
        <v>2711</v>
      </c>
      <c r="C125" s="19">
        <v>6</v>
      </c>
      <c r="D125" s="18" t="s">
        <v>2712</v>
      </c>
      <c r="E125" s="13">
        <v>4</v>
      </c>
      <c r="F125" s="25" t="s">
        <v>2711</v>
      </c>
      <c r="G125" s="25">
        <v>81897719002</v>
      </c>
      <c r="H125" s="11">
        <v>32.456319999999998</v>
      </c>
      <c r="I125" s="11">
        <f t="shared" si="14"/>
        <v>129.82527999999999</v>
      </c>
      <c r="J125" s="11">
        <f t="shared" si="16"/>
        <v>26.614182399999997</v>
      </c>
      <c r="K125" s="11">
        <f t="shared" si="15"/>
        <v>106.45672959999999</v>
      </c>
      <c r="L125" s="10">
        <v>0.18</v>
      </c>
      <c r="N125" s="118">
        <f t="shared" si="10"/>
        <v>5.8421375999999992</v>
      </c>
      <c r="O125" s="118">
        <f t="shared" si="11"/>
        <v>26.614182399999997</v>
      </c>
    </row>
    <row r="126" spans="1:15" x14ac:dyDescent="0.25">
      <c r="A126" s="32" t="s">
        <v>2710</v>
      </c>
      <c r="B126" t="s">
        <v>195</v>
      </c>
      <c r="C126" s="19">
        <v>7</v>
      </c>
      <c r="D126" s="18" t="s">
        <v>196</v>
      </c>
      <c r="E126" s="13">
        <v>2</v>
      </c>
      <c r="F126" s="25" t="s">
        <v>195</v>
      </c>
      <c r="G126" s="25">
        <v>81897719002</v>
      </c>
      <c r="H126" s="11">
        <v>54.08</v>
      </c>
      <c r="I126" s="11">
        <f t="shared" si="14"/>
        <v>108.16</v>
      </c>
      <c r="J126" s="11">
        <f t="shared" si="16"/>
        <v>44.345599999999997</v>
      </c>
      <c r="K126" s="11">
        <f t="shared" si="15"/>
        <v>88.691199999999995</v>
      </c>
      <c r="L126" s="10">
        <v>0.18</v>
      </c>
      <c r="N126" s="118">
        <f t="shared" si="10"/>
        <v>9.7343999999999991</v>
      </c>
      <c r="O126" s="118">
        <f t="shared" si="11"/>
        <v>44.345599999999997</v>
      </c>
    </row>
    <row r="127" spans="1:15" x14ac:dyDescent="0.25">
      <c r="A127" s="32" t="s">
        <v>2709</v>
      </c>
      <c r="B127" t="s">
        <v>327</v>
      </c>
      <c r="C127" s="19">
        <v>8</v>
      </c>
      <c r="D127" s="18" t="s">
        <v>328</v>
      </c>
      <c r="E127" s="13">
        <v>2</v>
      </c>
      <c r="F127" s="25" t="s">
        <v>327</v>
      </c>
      <c r="G127" s="25">
        <v>81897719002</v>
      </c>
      <c r="H127" s="11">
        <v>54.08</v>
      </c>
      <c r="I127" s="11">
        <f t="shared" si="14"/>
        <v>108.16</v>
      </c>
      <c r="J127" s="11">
        <f t="shared" si="16"/>
        <v>44.345599999999997</v>
      </c>
      <c r="K127" s="11">
        <f t="shared" si="15"/>
        <v>88.691199999999995</v>
      </c>
      <c r="L127" s="10">
        <v>0.18</v>
      </c>
      <c r="N127" s="118">
        <f t="shared" si="10"/>
        <v>9.7343999999999991</v>
      </c>
      <c r="O127" s="118">
        <f t="shared" si="11"/>
        <v>44.345599999999997</v>
      </c>
    </row>
    <row r="128" spans="1:15" x14ac:dyDescent="0.25">
      <c r="A128" s="32" t="s">
        <v>2708</v>
      </c>
      <c r="B128" t="s">
        <v>2706</v>
      </c>
      <c r="C128" s="19">
        <v>9</v>
      </c>
      <c r="D128" s="18" t="s">
        <v>2707</v>
      </c>
      <c r="E128" s="13">
        <v>2</v>
      </c>
      <c r="F128" s="25" t="s">
        <v>2706</v>
      </c>
      <c r="G128" s="25">
        <v>81897710017</v>
      </c>
      <c r="H128" s="11">
        <v>65.927679999999995</v>
      </c>
      <c r="I128" s="11">
        <f t="shared" si="14"/>
        <v>131.85535999999999</v>
      </c>
      <c r="J128" s="11">
        <f t="shared" si="16"/>
        <v>54.060697599999997</v>
      </c>
      <c r="K128" s="11">
        <f t="shared" si="15"/>
        <v>108.12139519999999</v>
      </c>
      <c r="L128" s="10">
        <v>0.18</v>
      </c>
      <c r="N128" s="118">
        <f t="shared" si="10"/>
        <v>11.866982399999999</v>
      </c>
      <c r="O128" s="118">
        <f t="shared" si="11"/>
        <v>54.060697599999997</v>
      </c>
    </row>
    <row r="129" spans="1:15" x14ac:dyDescent="0.25">
      <c r="A129" s="60" t="s">
        <v>2705</v>
      </c>
      <c r="B129" t="s">
        <v>2703</v>
      </c>
      <c r="C129" s="19">
        <v>10</v>
      </c>
      <c r="D129" s="18" t="s">
        <v>2704</v>
      </c>
      <c r="E129" s="13">
        <v>1</v>
      </c>
      <c r="F129" s="18" t="s">
        <v>3042</v>
      </c>
      <c r="G129" s="18">
        <v>81897719006</v>
      </c>
      <c r="H129" s="11">
        <v>150.25919999999999</v>
      </c>
      <c r="I129" s="11">
        <f t="shared" si="14"/>
        <v>150.25919999999999</v>
      </c>
      <c r="J129" s="11">
        <f t="shared" si="16"/>
        <v>123.21254399999999</v>
      </c>
      <c r="K129" s="11">
        <f t="shared" si="15"/>
        <v>123.21254399999999</v>
      </c>
      <c r="L129" s="10">
        <v>0.18</v>
      </c>
      <c r="N129" s="118">
        <f t="shared" si="10"/>
        <v>27.046655999999999</v>
      </c>
      <c r="O129" s="118">
        <f t="shared" si="11"/>
        <v>123.21254399999999</v>
      </c>
    </row>
    <row r="130" spans="1:15" x14ac:dyDescent="0.25">
      <c r="A130" s="32" t="s">
        <v>2702</v>
      </c>
      <c r="B130" t="s">
        <v>983</v>
      </c>
      <c r="C130" s="19">
        <v>11</v>
      </c>
      <c r="D130" s="18" t="s">
        <v>984</v>
      </c>
      <c r="E130" s="13">
        <v>1</v>
      </c>
      <c r="F130" s="25" t="s">
        <v>983</v>
      </c>
      <c r="G130" s="25">
        <v>81897719002</v>
      </c>
      <c r="H130" s="11">
        <v>94.648320000000012</v>
      </c>
      <c r="I130" s="11">
        <f t="shared" si="14"/>
        <v>94.648320000000012</v>
      </c>
      <c r="J130" s="11">
        <f t="shared" si="16"/>
        <v>77.611622400000016</v>
      </c>
      <c r="K130" s="11">
        <f t="shared" si="15"/>
        <v>77.611622400000016</v>
      </c>
      <c r="L130" s="10">
        <v>0.18</v>
      </c>
      <c r="N130" s="118">
        <f t="shared" si="10"/>
        <v>17.0366976</v>
      </c>
      <c r="O130" s="118">
        <f t="shared" si="11"/>
        <v>77.611622400000016</v>
      </c>
    </row>
    <row r="131" spans="1:15" x14ac:dyDescent="0.25">
      <c r="A131" s="32" t="s">
        <v>2701</v>
      </c>
      <c r="B131" t="s">
        <v>983</v>
      </c>
      <c r="C131" s="19">
        <v>12</v>
      </c>
      <c r="D131" s="18" t="s">
        <v>984</v>
      </c>
      <c r="E131" s="13">
        <v>1</v>
      </c>
      <c r="F131" s="25" t="s">
        <v>983</v>
      </c>
      <c r="G131" s="25">
        <v>81897719002</v>
      </c>
      <c r="H131" s="11">
        <v>94.648320000000012</v>
      </c>
      <c r="I131" s="11">
        <f t="shared" si="14"/>
        <v>94.648320000000012</v>
      </c>
      <c r="J131" s="11">
        <f t="shared" si="16"/>
        <v>77.611622400000016</v>
      </c>
      <c r="K131" s="11">
        <f t="shared" si="15"/>
        <v>77.611622400000016</v>
      </c>
      <c r="L131" s="10">
        <v>0.18</v>
      </c>
      <c r="N131" s="118">
        <f t="shared" si="10"/>
        <v>17.0366976</v>
      </c>
      <c r="O131" s="118">
        <f t="shared" si="11"/>
        <v>77.611622400000016</v>
      </c>
    </row>
    <row r="132" spans="1:15" x14ac:dyDescent="0.25">
      <c r="A132" s="32" t="s">
        <v>2700</v>
      </c>
      <c r="B132" t="s">
        <v>2698</v>
      </c>
      <c r="C132" s="19">
        <v>13</v>
      </c>
      <c r="D132" s="18" t="s">
        <v>2699</v>
      </c>
      <c r="E132" s="13">
        <v>1</v>
      </c>
      <c r="F132" s="25" t="s">
        <v>2698</v>
      </c>
      <c r="G132" s="25" t="s">
        <v>695</v>
      </c>
      <c r="H132" s="11">
        <v>91.278720000000007</v>
      </c>
      <c r="I132" s="11">
        <f t="shared" si="14"/>
        <v>91.278720000000007</v>
      </c>
      <c r="J132" s="11">
        <f t="shared" si="16"/>
        <v>74.848550400000008</v>
      </c>
      <c r="K132" s="11">
        <f t="shared" si="15"/>
        <v>74.848550400000008</v>
      </c>
      <c r="L132" s="10">
        <v>0.18</v>
      </c>
      <c r="N132" s="118">
        <f t="shared" ref="N132:N195" si="17">H132*L132</f>
        <v>16.430169599999999</v>
      </c>
      <c r="O132" s="118">
        <f t="shared" ref="O132:O195" si="18">H132-N132</f>
        <v>74.848550400000008</v>
      </c>
    </row>
    <row r="133" spans="1:15" x14ac:dyDescent="0.25">
      <c r="A133" s="32" t="s">
        <v>2697</v>
      </c>
      <c r="B133" t="s">
        <v>183</v>
      </c>
      <c r="C133" s="19">
        <v>14</v>
      </c>
      <c r="D133" s="18" t="s">
        <v>2696</v>
      </c>
      <c r="E133" s="13">
        <v>2</v>
      </c>
      <c r="F133" s="25" t="s">
        <v>183</v>
      </c>
      <c r="G133" s="25">
        <v>81897719002</v>
      </c>
      <c r="H133" s="11">
        <v>19.43552</v>
      </c>
      <c r="I133" s="11">
        <f t="shared" si="14"/>
        <v>38.871040000000001</v>
      </c>
      <c r="J133" s="11">
        <f t="shared" si="16"/>
        <v>15.9371264</v>
      </c>
      <c r="K133" s="11">
        <f t="shared" si="15"/>
        <v>31.874252800000001</v>
      </c>
      <c r="L133" s="10">
        <v>0.18</v>
      </c>
      <c r="N133" s="118">
        <f t="shared" si="17"/>
        <v>3.4983936</v>
      </c>
      <c r="O133" s="118">
        <f t="shared" si="18"/>
        <v>15.9371264</v>
      </c>
    </row>
    <row r="134" spans="1:15" x14ac:dyDescent="0.25">
      <c r="A134" s="32" t="s">
        <v>2695</v>
      </c>
      <c r="B134" t="s">
        <v>433</v>
      </c>
      <c r="C134" s="19">
        <v>15</v>
      </c>
      <c r="D134" s="18" t="s">
        <v>500</v>
      </c>
      <c r="E134" s="13">
        <v>1</v>
      </c>
      <c r="F134" s="25" t="s">
        <v>433</v>
      </c>
      <c r="G134" s="25" t="s">
        <v>427</v>
      </c>
      <c r="H134" s="11">
        <v>405.53344000000004</v>
      </c>
      <c r="I134" s="11">
        <f t="shared" si="14"/>
        <v>405.53344000000004</v>
      </c>
      <c r="J134" s="11">
        <f t="shared" si="16"/>
        <v>332.53742080000006</v>
      </c>
      <c r="K134" s="11">
        <f t="shared" si="15"/>
        <v>332.53742080000006</v>
      </c>
      <c r="L134" s="10">
        <v>0.18</v>
      </c>
      <c r="N134" s="118">
        <f t="shared" si="17"/>
        <v>72.996019200000006</v>
      </c>
      <c r="O134" s="118">
        <f t="shared" si="18"/>
        <v>332.53742080000006</v>
      </c>
    </row>
    <row r="135" spans="1:15" x14ac:dyDescent="0.25">
      <c r="B135" t="s">
        <v>972</v>
      </c>
      <c r="C135" s="19">
        <v>16</v>
      </c>
      <c r="D135" s="18" t="s">
        <v>973</v>
      </c>
      <c r="E135" s="13">
        <v>1</v>
      </c>
      <c r="F135" s="25" t="s">
        <v>972</v>
      </c>
      <c r="G135" s="25" t="s">
        <v>427</v>
      </c>
      <c r="H135" s="11">
        <v>439.27936</v>
      </c>
      <c r="I135" s="11">
        <f t="shared" si="14"/>
        <v>439.27936</v>
      </c>
      <c r="J135" s="11">
        <f t="shared" si="16"/>
        <v>360.20907520000003</v>
      </c>
      <c r="K135" s="11">
        <f t="shared" si="15"/>
        <v>360.20907520000003</v>
      </c>
      <c r="L135" s="10">
        <v>0.18</v>
      </c>
      <c r="N135" s="118">
        <f t="shared" si="17"/>
        <v>79.070284799999996</v>
      </c>
      <c r="O135" s="118">
        <f t="shared" si="18"/>
        <v>360.20907520000003</v>
      </c>
    </row>
    <row r="136" spans="1:15" x14ac:dyDescent="0.25">
      <c r="B136" t="s">
        <v>435</v>
      </c>
      <c r="C136" s="19">
        <v>17</v>
      </c>
      <c r="D136" s="18" t="s">
        <v>502</v>
      </c>
      <c r="E136" s="13">
        <v>1</v>
      </c>
      <c r="F136" s="25" t="s">
        <v>435</v>
      </c>
      <c r="G136" s="25" t="s">
        <v>427</v>
      </c>
      <c r="H136" s="11">
        <v>338.59071999999998</v>
      </c>
      <c r="I136" s="11">
        <f t="shared" si="14"/>
        <v>338.59071999999998</v>
      </c>
      <c r="J136" s="11">
        <f t="shared" si="16"/>
        <v>277.64439039999996</v>
      </c>
      <c r="K136" s="11">
        <f t="shared" si="15"/>
        <v>277.64439039999996</v>
      </c>
      <c r="L136" s="10">
        <v>0.18</v>
      </c>
      <c r="N136" s="118">
        <f t="shared" si="17"/>
        <v>60.946329599999991</v>
      </c>
      <c r="O136" s="118">
        <f t="shared" si="18"/>
        <v>277.64439039999996</v>
      </c>
    </row>
    <row r="137" spans="1:15" x14ac:dyDescent="0.25">
      <c r="B137" t="s">
        <v>970</v>
      </c>
      <c r="C137" s="19">
        <v>18</v>
      </c>
      <c r="D137" s="18" t="s">
        <v>2694</v>
      </c>
      <c r="E137" s="13">
        <v>2</v>
      </c>
      <c r="F137" s="25" t="s">
        <v>970</v>
      </c>
      <c r="G137" s="25" t="s">
        <v>427</v>
      </c>
      <c r="H137" s="11">
        <v>9.5763200000000008</v>
      </c>
      <c r="I137" s="11">
        <f t="shared" si="14"/>
        <v>19.152640000000002</v>
      </c>
      <c r="J137" s="11">
        <f t="shared" si="16"/>
        <v>7.8525824000000011</v>
      </c>
      <c r="K137" s="11">
        <f t="shared" si="15"/>
        <v>15.705164800000002</v>
      </c>
      <c r="L137" s="10">
        <v>0.18</v>
      </c>
      <c r="N137" s="118">
        <f t="shared" si="17"/>
        <v>1.7237376</v>
      </c>
      <c r="O137" s="118">
        <f t="shared" si="18"/>
        <v>7.8525824000000011</v>
      </c>
    </row>
    <row r="138" spans="1:15" x14ac:dyDescent="0.25">
      <c r="C138" s="9"/>
      <c r="D138" s="8" t="s">
        <v>1</v>
      </c>
      <c r="E138" s="8">
        <f>SUM(E120:E137)</f>
        <v>26</v>
      </c>
      <c r="F138" s="8"/>
      <c r="G138" s="8"/>
      <c r="H138" s="7"/>
      <c r="I138" s="7">
        <f>SUM(I120:I137)</f>
        <v>2298.9407999999999</v>
      </c>
      <c r="J138" s="8"/>
      <c r="K138" s="7">
        <f>SUM(K120:K137)</f>
        <v>1885.1314560000001</v>
      </c>
      <c r="L138" s="6"/>
      <c r="N138" s="118">
        <f t="shared" si="17"/>
        <v>0</v>
      </c>
      <c r="O138" s="118">
        <f t="shared" si="18"/>
        <v>0</v>
      </c>
    </row>
    <row r="139" spans="1:15" x14ac:dyDescent="0.25">
      <c r="D139" t="s">
        <v>0</v>
      </c>
      <c r="N139" s="118">
        <f t="shared" si="17"/>
        <v>0</v>
      </c>
      <c r="O139" s="118">
        <f t="shared" si="18"/>
        <v>0</v>
      </c>
    </row>
    <row r="140" spans="1:15" x14ac:dyDescent="0.25">
      <c r="D140" s="24" t="s">
        <v>2693</v>
      </c>
      <c r="N140" s="118">
        <f t="shared" si="17"/>
        <v>0</v>
      </c>
      <c r="O140" s="118">
        <f t="shared" si="18"/>
        <v>0</v>
      </c>
    </row>
    <row r="141" spans="1:15" ht="30" x14ac:dyDescent="0.25">
      <c r="C141" s="24" t="s">
        <v>28</v>
      </c>
      <c r="D141" s="24" t="s">
        <v>27</v>
      </c>
      <c r="E141" s="24" t="s">
        <v>26</v>
      </c>
      <c r="F141" s="24" t="s">
        <v>25</v>
      </c>
      <c r="G141" s="24" t="s">
        <v>24</v>
      </c>
      <c r="H141" s="116" t="s">
        <v>21</v>
      </c>
      <c r="I141" s="24" t="s">
        <v>23</v>
      </c>
      <c r="J141" s="24" t="s">
        <v>2928</v>
      </c>
      <c r="K141" s="24" t="s">
        <v>2927</v>
      </c>
      <c r="L141" s="23" t="s">
        <v>22</v>
      </c>
      <c r="N141" s="118" t="e">
        <f t="shared" si="17"/>
        <v>#VALUE!</v>
      </c>
      <c r="O141" s="118" t="e">
        <f t="shared" si="18"/>
        <v>#VALUE!</v>
      </c>
    </row>
    <row r="142" spans="1:15" x14ac:dyDescent="0.25">
      <c r="A142" s="32" t="s">
        <v>2692</v>
      </c>
      <c r="B142" t="s">
        <v>2615</v>
      </c>
      <c r="C142" s="19">
        <v>1</v>
      </c>
      <c r="D142" s="18" t="s">
        <v>2616</v>
      </c>
      <c r="E142" s="13">
        <v>1</v>
      </c>
      <c r="F142" s="25" t="s">
        <v>2615</v>
      </c>
      <c r="G142" s="25" t="s">
        <v>2614</v>
      </c>
      <c r="H142" s="11">
        <v>47.527200000000001</v>
      </c>
      <c r="I142" s="11">
        <f t="shared" ref="I142:I173" si="19">H142*E142</f>
        <v>47.527200000000001</v>
      </c>
      <c r="J142" s="11">
        <f>O142</f>
        <v>47.527200000000001</v>
      </c>
      <c r="K142" s="11">
        <f t="shared" ref="K142:K173" si="20">J142*E142</f>
        <v>47.527200000000001</v>
      </c>
      <c r="L142" s="10">
        <v>0</v>
      </c>
      <c r="N142" s="118">
        <f t="shared" si="17"/>
        <v>0</v>
      </c>
      <c r="O142" s="118">
        <f t="shared" si="18"/>
        <v>47.527200000000001</v>
      </c>
    </row>
    <row r="143" spans="1:15" x14ac:dyDescent="0.25">
      <c r="A143" s="32" t="s">
        <v>772</v>
      </c>
      <c r="B143" t="s">
        <v>422</v>
      </c>
      <c r="C143" s="19">
        <v>2</v>
      </c>
      <c r="D143" s="18" t="s">
        <v>423</v>
      </c>
      <c r="E143" s="13">
        <v>2</v>
      </c>
      <c r="F143" s="25" t="s">
        <v>422</v>
      </c>
      <c r="G143" s="25">
        <v>81897719002</v>
      </c>
      <c r="H143" s="11">
        <v>17.445960000000003</v>
      </c>
      <c r="I143" s="11">
        <f t="shared" si="19"/>
        <v>34.891920000000006</v>
      </c>
      <c r="J143" s="11">
        <f t="shared" ref="J143:J194" si="21">O143</f>
        <v>17.445960000000003</v>
      </c>
      <c r="K143" s="11">
        <f t="shared" si="20"/>
        <v>34.891920000000006</v>
      </c>
      <c r="L143" s="10">
        <v>0</v>
      </c>
      <c r="N143" s="118">
        <f t="shared" si="17"/>
        <v>0</v>
      </c>
      <c r="O143" s="118">
        <f t="shared" si="18"/>
        <v>17.445960000000003</v>
      </c>
    </row>
    <row r="144" spans="1:15" x14ac:dyDescent="0.25">
      <c r="A144" s="32" t="s">
        <v>2691</v>
      </c>
      <c r="B144" t="s">
        <v>309</v>
      </c>
      <c r="C144" s="19">
        <v>3</v>
      </c>
      <c r="D144" s="18" t="s">
        <v>310</v>
      </c>
      <c r="E144" s="13">
        <v>2</v>
      </c>
      <c r="F144" s="25" t="s">
        <v>309</v>
      </c>
      <c r="G144" s="25">
        <v>81897719002</v>
      </c>
      <c r="H144" s="11">
        <v>19.822320000000001</v>
      </c>
      <c r="I144" s="11">
        <f t="shared" si="19"/>
        <v>39.644640000000003</v>
      </c>
      <c r="J144" s="11">
        <f t="shared" si="21"/>
        <v>19.822320000000001</v>
      </c>
      <c r="K144" s="11">
        <f t="shared" si="20"/>
        <v>39.644640000000003</v>
      </c>
      <c r="L144" s="10">
        <v>0</v>
      </c>
      <c r="N144" s="118">
        <f t="shared" si="17"/>
        <v>0</v>
      </c>
      <c r="O144" s="118">
        <f t="shared" si="18"/>
        <v>19.822320000000001</v>
      </c>
    </row>
    <row r="145" spans="1:15" x14ac:dyDescent="0.25">
      <c r="A145" s="32" t="s">
        <v>2690</v>
      </c>
      <c r="B145" t="s">
        <v>302</v>
      </c>
      <c r="C145" s="19">
        <v>4</v>
      </c>
      <c r="D145" s="18" t="s">
        <v>303</v>
      </c>
      <c r="E145" s="13">
        <v>2</v>
      </c>
      <c r="F145" s="25" t="s">
        <v>302</v>
      </c>
      <c r="G145" s="25">
        <v>81897719002</v>
      </c>
      <c r="H145" s="11">
        <v>57.032640000000001</v>
      </c>
      <c r="I145" s="11">
        <f t="shared" si="19"/>
        <v>114.06528</v>
      </c>
      <c r="J145" s="11">
        <f t="shared" si="21"/>
        <v>57.032640000000001</v>
      </c>
      <c r="K145" s="11">
        <f t="shared" si="20"/>
        <v>114.06528</v>
      </c>
      <c r="L145" s="10">
        <v>0</v>
      </c>
      <c r="N145" s="118">
        <f t="shared" si="17"/>
        <v>0</v>
      </c>
      <c r="O145" s="118">
        <f t="shared" si="18"/>
        <v>57.032640000000001</v>
      </c>
    </row>
    <row r="146" spans="1:15" x14ac:dyDescent="0.25">
      <c r="A146" s="32" t="s">
        <v>2689</v>
      </c>
      <c r="B146" t="s">
        <v>1127</v>
      </c>
      <c r="C146" s="19">
        <v>5</v>
      </c>
      <c r="D146" s="18" t="s">
        <v>1796</v>
      </c>
      <c r="E146" s="13">
        <v>3</v>
      </c>
      <c r="F146" s="25" t="s">
        <v>1127</v>
      </c>
      <c r="G146" s="25">
        <v>81897719002</v>
      </c>
      <c r="H146" s="11">
        <v>63.350280000000005</v>
      </c>
      <c r="I146" s="11">
        <f t="shared" si="19"/>
        <v>190.05084000000002</v>
      </c>
      <c r="J146" s="11">
        <f t="shared" si="21"/>
        <v>63.350280000000005</v>
      </c>
      <c r="K146" s="11">
        <f t="shared" si="20"/>
        <v>190.05084000000002</v>
      </c>
      <c r="L146" s="10">
        <v>0</v>
      </c>
      <c r="N146" s="118">
        <f t="shared" si="17"/>
        <v>0</v>
      </c>
      <c r="O146" s="118">
        <f t="shared" si="18"/>
        <v>63.350280000000005</v>
      </c>
    </row>
    <row r="147" spans="1:15" x14ac:dyDescent="0.25">
      <c r="A147" s="32" t="s">
        <v>2688</v>
      </c>
      <c r="B147" t="s">
        <v>1262</v>
      </c>
      <c r="C147" s="19">
        <v>6</v>
      </c>
      <c r="D147" s="18" t="s">
        <v>1604</v>
      </c>
      <c r="E147" s="13">
        <v>2</v>
      </c>
      <c r="F147" s="25" t="s">
        <v>1262</v>
      </c>
      <c r="G147" s="25">
        <v>81897719002</v>
      </c>
      <c r="H147" s="11">
        <v>57.032640000000001</v>
      </c>
      <c r="I147" s="11">
        <f t="shared" si="19"/>
        <v>114.06528</v>
      </c>
      <c r="J147" s="11">
        <f t="shared" si="21"/>
        <v>57.032640000000001</v>
      </c>
      <c r="K147" s="11">
        <f t="shared" si="20"/>
        <v>114.06528</v>
      </c>
      <c r="L147" s="10">
        <v>0</v>
      </c>
      <c r="N147" s="118">
        <f t="shared" si="17"/>
        <v>0</v>
      </c>
      <c r="O147" s="118">
        <f t="shared" si="18"/>
        <v>57.032640000000001</v>
      </c>
    </row>
    <row r="148" spans="1:15" x14ac:dyDescent="0.25">
      <c r="A148" s="32" t="s">
        <v>2687</v>
      </c>
      <c r="B148" t="s">
        <v>164</v>
      </c>
      <c r="C148" s="19">
        <v>7</v>
      </c>
      <c r="D148" s="18" t="s">
        <v>165</v>
      </c>
      <c r="E148" s="13">
        <v>3</v>
      </c>
      <c r="F148" s="25" t="s">
        <v>164</v>
      </c>
      <c r="G148" s="25">
        <v>81897719002</v>
      </c>
      <c r="H148" s="11">
        <v>8.3628</v>
      </c>
      <c r="I148" s="11">
        <f t="shared" si="19"/>
        <v>25.0884</v>
      </c>
      <c r="J148" s="11">
        <f t="shared" si="21"/>
        <v>8.3628</v>
      </c>
      <c r="K148" s="11">
        <f t="shared" si="20"/>
        <v>25.0884</v>
      </c>
      <c r="L148" s="10">
        <v>0</v>
      </c>
      <c r="N148" s="118">
        <f t="shared" si="17"/>
        <v>0</v>
      </c>
      <c r="O148" s="118">
        <f t="shared" si="18"/>
        <v>8.3628</v>
      </c>
    </row>
    <row r="149" spans="1:15" x14ac:dyDescent="0.25">
      <c r="A149" s="32" t="s">
        <v>2613</v>
      </c>
      <c r="B149" t="s">
        <v>1869</v>
      </c>
      <c r="C149" s="19">
        <v>8</v>
      </c>
      <c r="D149" s="18" t="s">
        <v>410</v>
      </c>
      <c r="E149" s="13">
        <v>1</v>
      </c>
      <c r="F149" s="25" t="s">
        <v>1869</v>
      </c>
      <c r="G149" s="25">
        <v>81897719002</v>
      </c>
      <c r="H149" s="11">
        <v>7.9405199999999994</v>
      </c>
      <c r="I149" s="11">
        <f t="shared" si="19"/>
        <v>7.9405199999999994</v>
      </c>
      <c r="J149" s="11">
        <f t="shared" si="21"/>
        <v>7.9405199999999994</v>
      </c>
      <c r="K149" s="11">
        <f t="shared" si="20"/>
        <v>7.9405199999999994</v>
      </c>
      <c r="L149" s="10">
        <v>0</v>
      </c>
      <c r="N149" s="118">
        <f t="shared" si="17"/>
        <v>0</v>
      </c>
      <c r="O149" s="118">
        <f t="shared" si="18"/>
        <v>7.9405199999999994</v>
      </c>
    </row>
    <row r="150" spans="1:15" x14ac:dyDescent="0.25">
      <c r="A150" s="32" t="s">
        <v>2612</v>
      </c>
      <c r="B150" t="s">
        <v>286</v>
      </c>
      <c r="C150" s="19">
        <v>9</v>
      </c>
      <c r="D150" s="18" t="s">
        <v>287</v>
      </c>
      <c r="E150" s="13">
        <v>1</v>
      </c>
      <c r="F150" s="25" t="s">
        <v>286</v>
      </c>
      <c r="G150" s="25">
        <v>81897719002</v>
      </c>
      <c r="H150" s="11">
        <v>11.8818</v>
      </c>
      <c r="I150" s="11">
        <f t="shared" si="19"/>
        <v>11.8818</v>
      </c>
      <c r="J150" s="11">
        <f t="shared" si="21"/>
        <v>11.8818</v>
      </c>
      <c r="K150" s="11">
        <f t="shared" si="20"/>
        <v>11.8818</v>
      </c>
      <c r="L150" s="10">
        <v>0</v>
      </c>
      <c r="N150" s="118">
        <f t="shared" si="17"/>
        <v>0</v>
      </c>
      <c r="O150" s="118">
        <f t="shared" si="18"/>
        <v>11.8818</v>
      </c>
    </row>
    <row r="151" spans="1:15" x14ac:dyDescent="0.25">
      <c r="A151" s="32" t="s">
        <v>2686</v>
      </c>
      <c r="B151" t="s">
        <v>406</v>
      </c>
      <c r="C151" s="19">
        <v>10</v>
      </c>
      <c r="D151" s="18" t="s">
        <v>407</v>
      </c>
      <c r="E151" s="13">
        <v>1</v>
      </c>
      <c r="F151" s="25" t="s">
        <v>406</v>
      </c>
      <c r="G151" s="25">
        <v>81897719002</v>
      </c>
      <c r="H151" s="11">
        <v>178.22699999999998</v>
      </c>
      <c r="I151" s="11">
        <f t="shared" si="19"/>
        <v>178.22699999999998</v>
      </c>
      <c r="J151" s="11">
        <f t="shared" si="21"/>
        <v>178.22699999999998</v>
      </c>
      <c r="K151" s="11">
        <f t="shared" si="20"/>
        <v>178.22699999999998</v>
      </c>
      <c r="L151" s="10">
        <v>0</v>
      </c>
      <c r="N151" s="118">
        <f t="shared" si="17"/>
        <v>0</v>
      </c>
      <c r="O151" s="118">
        <f t="shared" si="18"/>
        <v>178.22699999999998</v>
      </c>
    </row>
    <row r="152" spans="1:15" x14ac:dyDescent="0.25">
      <c r="A152" s="32" t="s">
        <v>2685</v>
      </c>
      <c r="B152" t="s">
        <v>642</v>
      </c>
      <c r="C152" s="19">
        <v>11</v>
      </c>
      <c r="D152" s="18" t="s">
        <v>2684</v>
      </c>
      <c r="E152" s="13">
        <v>1</v>
      </c>
      <c r="F152" s="25" t="s">
        <v>158</v>
      </c>
      <c r="G152" s="25" t="s">
        <v>427</v>
      </c>
      <c r="H152" s="11">
        <v>6.0692399999999997</v>
      </c>
      <c r="I152" s="11">
        <f t="shared" si="19"/>
        <v>6.0692399999999997</v>
      </c>
      <c r="J152" s="11">
        <f t="shared" si="21"/>
        <v>6.0692399999999997</v>
      </c>
      <c r="K152" s="11">
        <f t="shared" si="20"/>
        <v>6.0692399999999997</v>
      </c>
      <c r="L152" s="10">
        <v>0</v>
      </c>
      <c r="N152" s="118">
        <f t="shared" si="17"/>
        <v>0</v>
      </c>
      <c r="O152" s="118">
        <f t="shared" si="18"/>
        <v>6.0692399999999997</v>
      </c>
    </row>
    <row r="153" spans="1:15" x14ac:dyDescent="0.25">
      <c r="A153" s="32" t="s">
        <v>2683</v>
      </c>
      <c r="B153" t="s">
        <v>2610</v>
      </c>
      <c r="C153" s="19">
        <v>12</v>
      </c>
      <c r="D153" s="18" t="s">
        <v>2609</v>
      </c>
      <c r="E153" s="13">
        <v>1</v>
      </c>
      <c r="F153" s="25" t="s">
        <v>2608</v>
      </c>
      <c r="G153" s="25" t="s">
        <v>427</v>
      </c>
      <c r="H153" s="11">
        <v>9.8366400000000009</v>
      </c>
      <c r="I153" s="11">
        <f t="shared" si="19"/>
        <v>9.8366400000000009</v>
      </c>
      <c r="J153" s="11">
        <f t="shared" si="21"/>
        <v>9.8366400000000009</v>
      </c>
      <c r="K153" s="11">
        <f t="shared" si="20"/>
        <v>9.8366400000000009</v>
      </c>
      <c r="L153" s="10">
        <v>0</v>
      </c>
      <c r="N153" s="118">
        <f t="shared" si="17"/>
        <v>0</v>
      </c>
      <c r="O153" s="118">
        <f t="shared" si="18"/>
        <v>9.8366400000000009</v>
      </c>
    </row>
    <row r="154" spans="1:15" x14ac:dyDescent="0.25">
      <c r="A154" s="32" t="s">
        <v>2682</v>
      </c>
      <c r="B154" t="s">
        <v>2680</v>
      </c>
      <c r="C154" s="19">
        <v>13</v>
      </c>
      <c r="D154" s="18" t="s">
        <v>2681</v>
      </c>
      <c r="E154" s="13">
        <v>1</v>
      </c>
      <c r="F154" s="25" t="s">
        <v>2680</v>
      </c>
      <c r="G154" s="25">
        <v>81897719002</v>
      </c>
      <c r="H154" s="11">
        <v>25.328520000000001</v>
      </c>
      <c r="I154" s="11">
        <f t="shared" si="19"/>
        <v>25.328520000000001</v>
      </c>
      <c r="J154" s="11">
        <f t="shared" si="21"/>
        <v>25.328520000000001</v>
      </c>
      <c r="K154" s="11">
        <f t="shared" si="20"/>
        <v>25.328520000000001</v>
      </c>
      <c r="L154" s="10">
        <v>0</v>
      </c>
      <c r="N154" s="118">
        <f t="shared" si="17"/>
        <v>0</v>
      </c>
      <c r="O154" s="118">
        <f t="shared" si="18"/>
        <v>25.328520000000001</v>
      </c>
    </row>
    <row r="155" spans="1:15" x14ac:dyDescent="0.25">
      <c r="A155" s="32" t="s">
        <v>2679</v>
      </c>
      <c r="B155" t="s">
        <v>1174</v>
      </c>
      <c r="C155" s="19">
        <v>14</v>
      </c>
      <c r="D155" s="18" t="s">
        <v>1175</v>
      </c>
      <c r="E155" s="13">
        <v>2</v>
      </c>
      <c r="F155" s="25" t="s">
        <v>1174</v>
      </c>
      <c r="G155" s="25">
        <v>81897719002</v>
      </c>
      <c r="H155" s="11">
        <v>14.25816</v>
      </c>
      <c r="I155" s="11">
        <f t="shared" si="19"/>
        <v>28.51632</v>
      </c>
      <c r="J155" s="11">
        <f t="shared" si="21"/>
        <v>14.25816</v>
      </c>
      <c r="K155" s="11">
        <f t="shared" si="20"/>
        <v>28.51632</v>
      </c>
      <c r="L155" s="10">
        <v>0</v>
      </c>
      <c r="N155" s="118">
        <f t="shared" si="17"/>
        <v>0</v>
      </c>
      <c r="O155" s="118">
        <f t="shared" si="18"/>
        <v>14.25816</v>
      </c>
    </row>
    <row r="156" spans="1:15" x14ac:dyDescent="0.25">
      <c r="A156" s="32" t="s">
        <v>2678</v>
      </c>
      <c r="B156" t="s">
        <v>2676</v>
      </c>
      <c r="C156" s="19">
        <v>15</v>
      </c>
      <c r="D156" s="18" t="s">
        <v>2677</v>
      </c>
      <c r="E156" s="13">
        <v>1</v>
      </c>
      <c r="F156" s="25" t="s">
        <v>2676</v>
      </c>
      <c r="G156" s="25">
        <v>81897719002</v>
      </c>
      <c r="H156" s="11">
        <v>19.010880000000004</v>
      </c>
      <c r="I156" s="11">
        <f t="shared" si="19"/>
        <v>19.010880000000004</v>
      </c>
      <c r="J156" s="11">
        <f t="shared" si="21"/>
        <v>19.010880000000004</v>
      </c>
      <c r="K156" s="11">
        <f t="shared" si="20"/>
        <v>19.010880000000004</v>
      </c>
      <c r="L156" s="10">
        <v>0</v>
      </c>
      <c r="N156" s="118">
        <f t="shared" si="17"/>
        <v>0</v>
      </c>
      <c r="O156" s="118">
        <f t="shared" si="18"/>
        <v>19.010880000000004</v>
      </c>
    </row>
    <row r="157" spans="1:15" x14ac:dyDescent="0.25">
      <c r="A157" s="32" t="s">
        <v>2675</v>
      </c>
      <c r="B157" t="s">
        <v>1082</v>
      </c>
      <c r="C157" s="19">
        <v>16</v>
      </c>
      <c r="D157" s="18" t="s">
        <v>1083</v>
      </c>
      <c r="E157" s="13">
        <v>1</v>
      </c>
      <c r="F157" s="25" t="s">
        <v>1082</v>
      </c>
      <c r="G157" s="25">
        <v>81897719002</v>
      </c>
      <c r="H157" s="11">
        <v>55.459440000000001</v>
      </c>
      <c r="I157" s="11">
        <f t="shared" si="19"/>
        <v>55.459440000000001</v>
      </c>
      <c r="J157" s="11">
        <f t="shared" si="21"/>
        <v>55.459440000000001</v>
      </c>
      <c r="K157" s="11">
        <f t="shared" si="20"/>
        <v>55.459440000000001</v>
      </c>
      <c r="L157" s="10">
        <v>0</v>
      </c>
      <c r="N157" s="118">
        <f t="shared" si="17"/>
        <v>0</v>
      </c>
      <c r="O157" s="118">
        <f t="shared" si="18"/>
        <v>55.459440000000001</v>
      </c>
    </row>
    <row r="158" spans="1:15" x14ac:dyDescent="0.25">
      <c r="A158" s="32" t="s">
        <v>2674</v>
      </c>
      <c r="B158" t="s">
        <v>276</v>
      </c>
      <c r="C158" s="19">
        <v>17</v>
      </c>
      <c r="D158" s="18" t="s">
        <v>277</v>
      </c>
      <c r="E158" s="13">
        <v>2</v>
      </c>
      <c r="F158" s="25" t="s">
        <v>276</v>
      </c>
      <c r="G158" s="25">
        <v>81897719002</v>
      </c>
      <c r="H158" s="11">
        <v>34.833959999999998</v>
      </c>
      <c r="I158" s="11">
        <f t="shared" si="19"/>
        <v>69.667919999999995</v>
      </c>
      <c r="J158" s="11">
        <f t="shared" si="21"/>
        <v>34.833959999999998</v>
      </c>
      <c r="K158" s="11">
        <f t="shared" si="20"/>
        <v>69.667919999999995</v>
      </c>
      <c r="L158" s="10">
        <v>0</v>
      </c>
      <c r="N158" s="118">
        <f t="shared" si="17"/>
        <v>0</v>
      </c>
      <c r="O158" s="118">
        <f t="shared" si="18"/>
        <v>34.833959999999998</v>
      </c>
    </row>
    <row r="159" spans="1:15" x14ac:dyDescent="0.25">
      <c r="A159" s="32" t="s">
        <v>2673</v>
      </c>
      <c r="B159" t="s">
        <v>2671</v>
      </c>
      <c r="C159" s="19">
        <v>18</v>
      </c>
      <c r="D159" s="18" t="s">
        <v>2672</v>
      </c>
      <c r="E159" s="13">
        <v>2</v>
      </c>
      <c r="F159" s="25" t="s">
        <v>2671</v>
      </c>
      <c r="G159" s="25">
        <v>81897719002</v>
      </c>
      <c r="H159" s="11">
        <v>47.527200000000001</v>
      </c>
      <c r="I159" s="11">
        <f t="shared" si="19"/>
        <v>95.054400000000001</v>
      </c>
      <c r="J159" s="11">
        <f t="shared" si="21"/>
        <v>47.527200000000001</v>
      </c>
      <c r="K159" s="11">
        <f t="shared" si="20"/>
        <v>95.054400000000001</v>
      </c>
      <c r="L159" s="10">
        <v>0</v>
      </c>
      <c r="N159" s="118">
        <f t="shared" si="17"/>
        <v>0</v>
      </c>
      <c r="O159" s="118">
        <f t="shared" si="18"/>
        <v>47.527200000000001</v>
      </c>
    </row>
    <row r="160" spans="1:15" x14ac:dyDescent="0.25">
      <c r="A160" s="32" t="s">
        <v>2670</v>
      </c>
      <c r="B160" t="s">
        <v>131</v>
      </c>
      <c r="C160" s="19">
        <v>19</v>
      </c>
      <c r="D160" s="18" t="s">
        <v>132</v>
      </c>
      <c r="E160" s="13">
        <v>6</v>
      </c>
      <c r="F160" s="25" t="s">
        <v>131</v>
      </c>
      <c r="G160" s="25">
        <v>81897719002</v>
      </c>
      <c r="H160" s="11">
        <v>19.010880000000004</v>
      </c>
      <c r="I160" s="11">
        <f t="shared" si="19"/>
        <v>114.06528000000003</v>
      </c>
      <c r="J160" s="11">
        <f t="shared" si="21"/>
        <v>19.010880000000004</v>
      </c>
      <c r="K160" s="11">
        <f t="shared" si="20"/>
        <v>114.06528000000003</v>
      </c>
      <c r="L160" s="10">
        <v>0</v>
      </c>
      <c r="N160" s="118">
        <f t="shared" si="17"/>
        <v>0</v>
      </c>
      <c r="O160" s="118">
        <f t="shared" si="18"/>
        <v>19.010880000000004</v>
      </c>
    </row>
    <row r="161" spans="1:15" x14ac:dyDescent="0.25">
      <c r="A161" s="32" t="s">
        <v>1776</v>
      </c>
      <c r="B161" t="s">
        <v>110</v>
      </c>
      <c r="C161" s="19">
        <v>20</v>
      </c>
      <c r="D161" s="18" t="s">
        <v>111</v>
      </c>
      <c r="E161" s="13">
        <v>1</v>
      </c>
      <c r="F161" s="25" t="s">
        <v>110</v>
      </c>
      <c r="G161" s="25">
        <v>81897719002</v>
      </c>
      <c r="H161" s="11">
        <v>44.339399999999998</v>
      </c>
      <c r="I161" s="11">
        <f t="shared" si="19"/>
        <v>44.339399999999998</v>
      </c>
      <c r="J161" s="11">
        <f t="shared" si="21"/>
        <v>44.339399999999998</v>
      </c>
      <c r="K161" s="11">
        <f t="shared" si="20"/>
        <v>44.339399999999998</v>
      </c>
      <c r="L161" s="10">
        <v>0</v>
      </c>
      <c r="N161" s="118">
        <f t="shared" si="17"/>
        <v>0</v>
      </c>
      <c r="O161" s="118">
        <f t="shared" si="18"/>
        <v>44.339399999999998</v>
      </c>
    </row>
    <row r="162" spans="1:15" x14ac:dyDescent="0.25">
      <c r="A162" s="32" t="s">
        <v>2669</v>
      </c>
      <c r="B162" t="s">
        <v>271</v>
      </c>
      <c r="C162" s="19">
        <v>21</v>
      </c>
      <c r="D162" s="18" t="s">
        <v>272</v>
      </c>
      <c r="E162" s="13">
        <v>2</v>
      </c>
      <c r="F162" s="25" t="s">
        <v>271</v>
      </c>
      <c r="G162" s="25">
        <v>81897719002</v>
      </c>
      <c r="H162" s="11">
        <v>39.586680000000008</v>
      </c>
      <c r="I162" s="11">
        <f t="shared" si="19"/>
        <v>79.173360000000017</v>
      </c>
      <c r="J162" s="11">
        <f t="shared" si="21"/>
        <v>39.586680000000008</v>
      </c>
      <c r="K162" s="11">
        <f t="shared" si="20"/>
        <v>79.173360000000017</v>
      </c>
      <c r="L162" s="10">
        <v>0</v>
      </c>
      <c r="N162" s="118">
        <f t="shared" si="17"/>
        <v>0</v>
      </c>
      <c r="O162" s="118">
        <f t="shared" si="18"/>
        <v>39.586680000000008</v>
      </c>
    </row>
    <row r="163" spans="1:15" x14ac:dyDescent="0.25">
      <c r="A163" s="32" t="s">
        <v>2668</v>
      </c>
      <c r="B163" t="s">
        <v>2666</v>
      </c>
      <c r="C163" s="19">
        <v>22</v>
      </c>
      <c r="D163" s="18" t="s">
        <v>2667</v>
      </c>
      <c r="E163" s="13">
        <v>2</v>
      </c>
      <c r="F163" s="25" t="s">
        <v>2666</v>
      </c>
      <c r="G163" s="25">
        <v>81897719002</v>
      </c>
      <c r="H163" s="11">
        <v>38.021760000000008</v>
      </c>
      <c r="I163" s="11">
        <f t="shared" si="19"/>
        <v>76.043520000000015</v>
      </c>
      <c r="J163" s="11">
        <f t="shared" si="21"/>
        <v>38.021760000000008</v>
      </c>
      <c r="K163" s="11">
        <f t="shared" si="20"/>
        <v>76.043520000000015</v>
      </c>
      <c r="L163" s="10">
        <v>0</v>
      </c>
      <c r="N163" s="118">
        <f t="shared" si="17"/>
        <v>0</v>
      </c>
      <c r="O163" s="118">
        <f t="shared" si="18"/>
        <v>38.021760000000008</v>
      </c>
    </row>
    <row r="164" spans="1:15" x14ac:dyDescent="0.25">
      <c r="A164" s="32" t="s">
        <v>2665</v>
      </c>
      <c r="B164" t="s">
        <v>113</v>
      </c>
      <c r="C164" s="19">
        <v>23</v>
      </c>
      <c r="D164" s="18" t="s">
        <v>114</v>
      </c>
      <c r="E164" s="13">
        <v>6</v>
      </c>
      <c r="F164" s="25" t="s">
        <v>113</v>
      </c>
      <c r="G164" s="25">
        <v>81897719002</v>
      </c>
      <c r="H164" s="11">
        <v>23.7636</v>
      </c>
      <c r="I164" s="11">
        <f t="shared" si="19"/>
        <v>142.58160000000001</v>
      </c>
      <c r="J164" s="11">
        <f t="shared" si="21"/>
        <v>23.7636</v>
      </c>
      <c r="K164" s="11">
        <f t="shared" si="20"/>
        <v>142.58160000000001</v>
      </c>
      <c r="L164" s="10">
        <v>0</v>
      </c>
      <c r="N164" s="118">
        <f t="shared" si="17"/>
        <v>0</v>
      </c>
      <c r="O164" s="118">
        <f t="shared" si="18"/>
        <v>23.7636</v>
      </c>
    </row>
    <row r="165" spans="1:15" x14ac:dyDescent="0.25">
      <c r="A165" s="32" t="s">
        <v>2664</v>
      </c>
      <c r="B165" t="s">
        <v>1588</v>
      </c>
      <c r="C165" s="19">
        <v>24</v>
      </c>
      <c r="D165" s="18" t="s">
        <v>1589</v>
      </c>
      <c r="E165" s="13">
        <v>2</v>
      </c>
      <c r="F165" s="25" t="s">
        <v>1588</v>
      </c>
      <c r="G165" s="25">
        <v>81897719002</v>
      </c>
      <c r="H165" s="11">
        <v>31.704119999999996</v>
      </c>
      <c r="I165" s="11">
        <f t="shared" si="19"/>
        <v>63.408239999999992</v>
      </c>
      <c r="J165" s="11">
        <f t="shared" si="21"/>
        <v>31.704119999999996</v>
      </c>
      <c r="K165" s="11">
        <f t="shared" si="20"/>
        <v>63.408239999999992</v>
      </c>
      <c r="L165" s="10">
        <v>0</v>
      </c>
      <c r="N165" s="118">
        <f t="shared" si="17"/>
        <v>0</v>
      </c>
      <c r="O165" s="118">
        <f t="shared" si="18"/>
        <v>31.704119999999996</v>
      </c>
    </row>
    <row r="166" spans="1:15" x14ac:dyDescent="0.25">
      <c r="A166" s="32" t="s">
        <v>2663</v>
      </c>
      <c r="B166" t="s">
        <v>146</v>
      </c>
      <c r="C166" s="19">
        <v>25</v>
      </c>
      <c r="D166" s="18" t="s">
        <v>147</v>
      </c>
      <c r="E166" s="13">
        <v>3</v>
      </c>
      <c r="F166" s="25" t="s">
        <v>146</v>
      </c>
      <c r="G166" s="25">
        <v>81897719002</v>
      </c>
      <c r="H166" s="11">
        <v>11.8818</v>
      </c>
      <c r="I166" s="11">
        <f t="shared" si="19"/>
        <v>35.645400000000002</v>
      </c>
      <c r="J166" s="11">
        <f t="shared" si="21"/>
        <v>11.8818</v>
      </c>
      <c r="K166" s="11">
        <f t="shared" si="20"/>
        <v>35.645400000000002</v>
      </c>
      <c r="L166" s="10">
        <v>0</v>
      </c>
      <c r="N166" s="118">
        <f t="shared" si="17"/>
        <v>0</v>
      </c>
      <c r="O166" s="118">
        <f t="shared" si="18"/>
        <v>11.8818</v>
      </c>
    </row>
    <row r="167" spans="1:15" x14ac:dyDescent="0.25">
      <c r="A167" s="32" t="s">
        <v>2662</v>
      </c>
      <c r="B167" t="s">
        <v>1648</v>
      </c>
      <c r="C167" s="19">
        <v>26</v>
      </c>
      <c r="D167" s="18" t="s">
        <v>1649</v>
      </c>
      <c r="E167" s="13">
        <v>2</v>
      </c>
      <c r="F167" s="25" t="s">
        <v>1648</v>
      </c>
      <c r="G167" s="25">
        <v>81897719002</v>
      </c>
      <c r="H167" s="11">
        <v>15.069599999999999</v>
      </c>
      <c r="I167" s="11">
        <f t="shared" si="19"/>
        <v>30.139199999999999</v>
      </c>
      <c r="J167" s="11">
        <f t="shared" si="21"/>
        <v>15.069599999999999</v>
      </c>
      <c r="K167" s="11">
        <f t="shared" si="20"/>
        <v>30.139199999999999</v>
      </c>
      <c r="L167" s="10">
        <v>0</v>
      </c>
      <c r="N167" s="118">
        <f t="shared" si="17"/>
        <v>0</v>
      </c>
      <c r="O167" s="118">
        <f t="shared" si="18"/>
        <v>15.069599999999999</v>
      </c>
    </row>
    <row r="168" spans="1:15" x14ac:dyDescent="0.25">
      <c r="A168" s="32" t="s">
        <v>2661</v>
      </c>
      <c r="B168" t="s">
        <v>220</v>
      </c>
      <c r="C168" s="19">
        <v>27</v>
      </c>
      <c r="D168" s="18" t="s">
        <v>221</v>
      </c>
      <c r="E168" s="13">
        <v>2</v>
      </c>
      <c r="F168" s="25" t="s">
        <v>220</v>
      </c>
      <c r="G168" s="25">
        <v>81897719002</v>
      </c>
      <c r="H168" s="11">
        <v>19.822320000000001</v>
      </c>
      <c r="I168" s="11">
        <f t="shared" si="19"/>
        <v>39.644640000000003</v>
      </c>
      <c r="J168" s="11">
        <f t="shared" si="21"/>
        <v>19.822320000000001</v>
      </c>
      <c r="K168" s="11">
        <f t="shared" si="20"/>
        <v>39.644640000000003</v>
      </c>
      <c r="L168" s="10">
        <v>0</v>
      </c>
      <c r="N168" s="118">
        <f t="shared" si="17"/>
        <v>0</v>
      </c>
      <c r="O168" s="118">
        <f t="shared" si="18"/>
        <v>19.822320000000001</v>
      </c>
    </row>
    <row r="169" spans="1:15" x14ac:dyDescent="0.25">
      <c r="A169" s="32" t="s">
        <v>2660</v>
      </c>
      <c r="B169" t="s">
        <v>152</v>
      </c>
      <c r="C169" s="19">
        <v>28</v>
      </c>
      <c r="D169" s="18" t="s">
        <v>153</v>
      </c>
      <c r="E169" s="13">
        <v>3</v>
      </c>
      <c r="F169" s="25" t="s">
        <v>152</v>
      </c>
      <c r="G169" s="25">
        <v>81897719002</v>
      </c>
      <c r="H169" s="11">
        <v>11.070359999999999</v>
      </c>
      <c r="I169" s="11">
        <f t="shared" si="19"/>
        <v>33.211079999999995</v>
      </c>
      <c r="J169" s="11">
        <f t="shared" si="21"/>
        <v>11.070359999999999</v>
      </c>
      <c r="K169" s="11">
        <f t="shared" si="20"/>
        <v>33.211079999999995</v>
      </c>
      <c r="L169" s="10">
        <v>0</v>
      </c>
      <c r="N169" s="118">
        <f t="shared" si="17"/>
        <v>0</v>
      </c>
      <c r="O169" s="118">
        <f t="shared" si="18"/>
        <v>11.070359999999999</v>
      </c>
    </row>
    <row r="170" spans="1:15" x14ac:dyDescent="0.25">
      <c r="A170" s="32" t="s">
        <v>2659</v>
      </c>
      <c r="B170" t="s">
        <v>1259</v>
      </c>
      <c r="C170" s="19">
        <v>29</v>
      </c>
      <c r="D170" s="18" t="s">
        <v>1840</v>
      </c>
      <c r="E170" s="13">
        <v>2</v>
      </c>
      <c r="F170" s="25" t="s">
        <v>1259</v>
      </c>
      <c r="G170" s="25">
        <v>81897719002</v>
      </c>
      <c r="H170" s="11">
        <v>23.7636</v>
      </c>
      <c r="I170" s="11">
        <f t="shared" si="19"/>
        <v>47.527200000000001</v>
      </c>
      <c r="J170" s="11">
        <f t="shared" si="21"/>
        <v>23.7636</v>
      </c>
      <c r="K170" s="11">
        <f t="shared" si="20"/>
        <v>47.527200000000001</v>
      </c>
      <c r="L170" s="10">
        <v>0</v>
      </c>
      <c r="N170" s="118">
        <f t="shared" si="17"/>
        <v>0</v>
      </c>
      <c r="O170" s="118">
        <f t="shared" si="18"/>
        <v>23.7636</v>
      </c>
    </row>
    <row r="171" spans="1:15" x14ac:dyDescent="0.25">
      <c r="A171" s="32" t="s">
        <v>2658</v>
      </c>
      <c r="B171" t="s">
        <v>1645</v>
      </c>
      <c r="C171" s="19">
        <v>30</v>
      </c>
      <c r="D171" s="18" t="s">
        <v>1646</v>
      </c>
      <c r="E171" s="13">
        <v>2</v>
      </c>
      <c r="F171" s="25" t="s">
        <v>1645</v>
      </c>
      <c r="G171" s="25">
        <v>81897719002</v>
      </c>
      <c r="H171" s="11">
        <v>39.586680000000008</v>
      </c>
      <c r="I171" s="11">
        <f t="shared" si="19"/>
        <v>79.173360000000017</v>
      </c>
      <c r="J171" s="11">
        <f t="shared" si="21"/>
        <v>39.586680000000008</v>
      </c>
      <c r="K171" s="11">
        <f t="shared" si="20"/>
        <v>79.173360000000017</v>
      </c>
      <c r="L171" s="10">
        <v>0</v>
      </c>
      <c r="N171" s="118">
        <f t="shared" si="17"/>
        <v>0</v>
      </c>
      <c r="O171" s="118">
        <f t="shared" si="18"/>
        <v>39.586680000000008</v>
      </c>
    </row>
    <row r="172" spans="1:15" x14ac:dyDescent="0.25">
      <c r="A172" s="32" t="s">
        <v>2657</v>
      </c>
      <c r="B172" t="s">
        <v>140</v>
      </c>
      <c r="C172" s="19">
        <v>31</v>
      </c>
      <c r="D172" s="18" t="s">
        <v>141</v>
      </c>
      <c r="E172" s="13">
        <v>1</v>
      </c>
      <c r="F172" s="25" t="s">
        <v>140</v>
      </c>
      <c r="G172" s="25">
        <v>81897719002</v>
      </c>
      <c r="H172" s="11">
        <v>34.833959999999998</v>
      </c>
      <c r="I172" s="11">
        <f t="shared" si="19"/>
        <v>34.833959999999998</v>
      </c>
      <c r="J172" s="11">
        <f t="shared" si="21"/>
        <v>34.833959999999998</v>
      </c>
      <c r="K172" s="11">
        <f t="shared" si="20"/>
        <v>34.833959999999998</v>
      </c>
      <c r="L172" s="10">
        <v>0</v>
      </c>
      <c r="N172" s="118">
        <f t="shared" si="17"/>
        <v>0</v>
      </c>
      <c r="O172" s="118">
        <f t="shared" si="18"/>
        <v>34.833959999999998</v>
      </c>
    </row>
    <row r="173" spans="1:15" x14ac:dyDescent="0.25">
      <c r="A173" s="32" t="s">
        <v>2656</v>
      </c>
      <c r="B173" t="s">
        <v>256</v>
      </c>
      <c r="C173" s="19">
        <v>32</v>
      </c>
      <c r="D173" s="18" t="s">
        <v>257</v>
      </c>
      <c r="E173" s="13">
        <v>4</v>
      </c>
      <c r="F173" s="25" t="s">
        <v>256</v>
      </c>
      <c r="G173" s="25">
        <v>81897719002</v>
      </c>
      <c r="H173" s="11">
        <v>19.822320000000001</v>
      </c>
      <c r="I173" s="11">
        <f t="shared" si="19"/>
        <v>79.289280000000005</v>
      </c>
      <c r="J173" s="11">
        <f t="shared" si="21"/>
        <v>19.822320000000001</v>
      </c>
      <c r="K173" s="11">
        <f t="shared" si="20"/>
        <v>79.289280000000005</v>
      </c>
      <c r="L173" s="10">
        <v>0</v>
      </c>
      <c r="N173" s="118">
        <f t="shared" si="17"/>
        <v>0</v>
      </c>
      <c r="O173" s="118">
        <f t="shared" si="18"/>
        <v>19.822320000000001</v>
      </c>
    </row>
    <row r="174" spans="1:15" x14ac:dyDescent="0.25">
      <c r="A174" s="32" t="s">
        <v>2655</v>
      </c>
      <c r="B174" t="s">
        <v>2653</v>
      </c>
      <c r="C174" s="19">
        <v>33</v>
      </c>
      <c r="D174" s="18" t="s">
        <v>2654</v>
      </c>
      <c r="E174" s="13">
        <v>4</v>
      </c>
      <c r="F174" s="25" t="s">
        <v>2653</v>
      </c>
      <c r="G174" s="25">
        <v>81897719002</v>
      </c>
      <c r="H174" s="11">
        <v>19.010880000000004</v>
      </c>
      <c r="I174" s="11">
        <f t="shared" ref="I174:I205" si="22">H174*E174</f>
        <v>76.043520000000015</v>
      </c>
      <c r="J174" s="11">
        <f t="shared" si="21"/>
        <v>19.010880000000004</v>
      </c>
      <c r="K174" s="11">
        <f t="shared" ref="K174:K205" si="23">J174*E174</f>
        <v>76.043520000000015</v>
      </c>
      <c r="L174" s="10">
        <v>0</v>
      </c>
      <c r="N174" s="118">
        <f t="shared" si="17"/>
        <v>0</v>
      </c>
      <c r="O174" s="118">
        <f t="shared" si="18"/>
        <v>19.010880000000004</v>
      </c>
    </row>
    <row r="175" spans="1:15" x14ac:dyDescent="0.25">
      <c r="A175" s="32" t="s">
        <v>2652</v>
      </c>
      <c r="B175" t="s">
        <v>599</v>
      </c>
      <c r="C175" s="19">
        <v>34</v>
      </c>
      <c r="D175" s="18" t="s">
        <v>600</v>
      </c>
      <c r="E175" s="13">
        <v>6</v>
      </c>
      <c r="F175" s="25" t="s">
        <v>599</v>
      </c>
      <c r="G175" s="25">
        <v>81897719002</v>
      </c>
      <c r="H175" s="11">
        <v>22.19868</v>
      </c>
      <c r="I175" s="11">
        <f t="shared" si="22"/>
        <v>133.19208</v>
      </c>
      <c r="J175" s="11">
        <f t="shared" si="21"/>
        <v>22.19868</v>
      </c>
      <c r="K175" s="11">
        <f t="shared" si="23"/>
        <v>133.19208</v>
      </c>
      <c r="L175" s="10">
        <v>0</v>
      </c>
      <c r="N175" s="118">
        <f t="shared" si="17"/>
        <v>0</v>
      </c>
      <c r="O175" s="118">
        <f t="shared" si="18"/>
        <v>22.19868</v>
      </c>
    </row>
    <row r="176" spans="1:15" x14ac:dyDescent="0.25">
      <c r="A176" s="32" t="s">
        <v>2651</v>
      </c>
      <c r="B176" t="s">
        <v>116</v>
      </c>
      <c r="C176" s="19">
        <v>35</v>
      </c>
      <c r="D176" s="18" t="s">
        <v>117</v>
      </c>
      <c r="E176" s="13">
        <v>6</v>
      </c>
      <c r="F176" s="25" t="s">
        <v>116</v>
      </c>
      <c r="G176" s="25">
        <v>81897719002</v>
      </c>
      <c r="H176" s="11">
        <v>22.952159999999999</v>
      </c>
      <c r="I176" s="11">
        <f t="shared" si="22"/>
        <v>137.71296000000001</v>
      </c>
      <c r="J176" s="11">
        <f t="shared" si="21"/>
        <v>22.952159999999999</v>
      </c>
      <c r="K176" s="11">
        <f t="shared" si="23"/>
        <v>137.71296000000001</v>
      </c>
      <c r="L176" s="10">
        <v>0</v>
      </c>
      <c r="N176" s="118">
        <f t="shared" si="17"/>
        <v>0</v>
      </c>
      <c r="O176" s="118">
        <f t="shared" si="18"/>
        <v>22.952159999999999</v>
      </c>
    </row>
    <row r="177" spans="1:15" x14ac:dyDescent="0.25">
      <c r="A177" s="32" t="s">
        <v>2650</v>
      </c>
      <c r="B177" t="s">
        <v>2648</v>
      </c>
      <c r="C177" s="19">
        <v>36</v>
      </c>
      <c r="D177" s="18" t="s">
        <v>2649</v>
      </c>
      <c r="E177" s="13">
        <v>2</v>
      </c>
      <c r="F177" s="25" t="s">
        <v>2648</v>
      </c>
      <c r="G177" s="25">
        <v>81897719002</v>
      </c>
      <c r="H177" s="11">
        <v>35.645399999999995</v>
      </c>
      <c r="I177" s="11">
        <f t="shared" si="22"/>
        <v>71.29079999999999</v>
      </c>
      <c r="J177" s="11">
        <f t="shared" si="21"/>
        <v>35.645399999999995</v>
      </c>
      <c r="K177" s="11">
        <f t="shared" si="23"/>
        <v>71.29079999999999</v>
      </c>
      <c r="L177" s="10">
        <v>0</v>
      </c>
      <c r="N177" s="118">
        <f t="shared" si="17"/>
        <v>0</v>
      </c>
      <c r="O177" s="118">
        <f t="shared" si="18"/>
        <v>35.645399999999995</v>
      </c>
    </row>
    <row r="178" spans="1:15" x14ac:dyDescent="0.25">
      <c r="A178" s="32" t="s">
        <v>2647</v>
      </c>
      <c r="B178" t="s">
        <v>2645</v>
      </c>
      <c r="C178" s="19">
        <v>37</v>
      </c>
      <c r="D178" s="18" t="s">
        <v>2646</v>
      </c>
      <c r="E178" s="13">
        <v>2</v>
      </c>
      <c r="F178" s="25" t="s">
        <v>2645</v>
      </c>
      <c r="G178" s="25">
        <v>81897719002</v>
      </c>
      <c r="H178" s="11">
        <v>34.833959999999998</v>
      </c>
      <c r="I178" s="11">
        <f t="shared" si="22"/>
        <v>69.667919999999995</v>
      </c>
      <c r="J178" s="11">
        <f t="shared" si="21"/>
        <v>34.833959999999998</v>
      </c>
      <c r="K178" s="11">
        <f t="shared" si="23"/>
        <v>69.667919999999995</v>
      </c>
      <c r="L178" s="10">
        <v>0</v>
      </c>
      <c r="N178" s="118">
        <f t="shared" si="17"/>
        <v>0</v>
      </c>
      <c r="O178" s="118">
        <f t="shared" si="18"/>
        <v>34.833959999999998</v>
      </c>
    </row>
    <row r="179" spans="1:15" x14ac:dyDescent="0.25">
      <c r="A179" s="32" t="s">
        <v>2644</v>
      </c>
      <c r="B179" t="s">
        <v>1074</v>
      </c>
      <c r="C179" s="19">
        <v>38</v>
      </c>
      <c r="D179" s="18" t="s">
        <v>2643</v>
      </c>
      <c r="E179" s="13">
        <v>2</v>
      </c>
      <c r="F179" s="25" t="s">
        <v>1074</v>
      </c>
      <c r="G179" s="25">
        <v>81897719002</v>
      </c>
      <c r="H179" s="11">
        <v>28.51632</v>
      </c>
      <c r="I179" s="11">
        <f t="shared" si="22"/>
        <v>57.032640000000001</v>
      </c>
      <c r="J179" s="11">
        <f t="shared" si="21"/>
        <v>28.51632</v>
      </c>
      <c r="K179" s="11">
        <f t="shared" si="23"/>
        <v>57.032640000000001</v>
      </c>
      <c r="L179" s="10">
        <v>0</v>
      </c>
      <c r="N179" s="118">
        <f t="shared" si="17"/>
        <v>0</v>
      </c>
      <c r="O179" s="118">
        <f t="shared" si="18"/>
        <v>28.51632</v>
      </c>
    </row>
    <row r="180" spans="1:15" x14ac:dyDescent="0.25">
      <c r="A180" s="32" t="s">
        <v>2642</v>
      </c>
      <c r="B180" t="s">
        <v>128</v>
      </c>
      <c r="C180" s="19">
        <v>39</v>
      </c>
      <c r="D180" s="18" t="s">
        <v>129</v>
      </c>
      <c r="E180" s="13">
        <v>2</v>
      </c>
      <c r="F180" s="25" t="s">
        <v>128</v>
      </c>
      <c r="G180" s="25">
        <v>81897719002</v>
      </c>
      <c r="H180" s="11">
        <v>24.575040000000001</v>
      </c>
      <c r="I180" s="11">
        <f t="shared" si="22"/>
        <v>49.150080000000003</v>
      </c>
      <c r="J180" s="11">
        <f t="shared" si="21"/>
        <v>24.575040000000001</v>
      </c>
      <c r="K180" s="11">
        <f t="shared" si="23"/>
        <v>49.150080000000003</v>
      </c>
      <c r="L180" s="10">
        <v>0</v>
      </c>
      <c r="N180" s="118">
        <f t="shared" si="17"/>
        <v>0</v>
      </c>
      <c r="O180" s="118">
        <f t="shared" si="18"/>
        <v>24.575040000000001</v>
      </c>
    </row>
    <row r="181" spans="1:15" x14ac:dyDescent="0.25">
      <c r="A181" s="32" t="s">
        <v>2641</v>
      </c>
      <c r="B181" t="s">
        <v>125</v>
      </c>
      <c r="C181" s="19">
        <v>40</v>
      </c>
      <c r="D181" s="18" t="s">
        <v>126</v>
      </c>
      <c r="E181" s="13">
        <v>2</v>
      </c>
      <c r="F181" s="25" t="s">
        <v>125</v>
      </c>
      <c r="G181" s="25">
        <v>81897719002</v>
      </c>
      <c r="H181" s="11">
        <v>23.7636</v>
      </c>
      <c r="I181" s="11">
        <f t="shared" si="22"/>
        <v>47.527200000000001</v>
      </c>
      <c r="J181" s="11">
        <f t="shared" si="21"/>
        <v>23.7636</v>
      </c>
      <c r="K181" s="11">
        <f t="shared" si="23"/>
        <v>47.527200000000001</v>
      </c>
      <c r="L181" s="10">
        <v>0</v>
      </c>
      <c r="N181" s="118">
        <f t="shared" si="17"/>
        <v>0</v>
      </c>
      <c r="O181" s="118">
        <f t="shared" si="18"/>
        <v>23.7636</v>
      </c>
    </row>
    <row r="182" spans="1:15" x14ac:dyDescent="0.25">
      <c r="A182" s="32" t="s">
        <v>2640</v>
      </c>
      <c r="B182" t="s">
        <v>1635</v>
      </c>
      <c r="C182" s="19">
        <v>41</v>
      </c>
      <c r="D182" s="18" t="s">
        <v>1636</v>
      </c>
      <c r="E182" s="13">
        <v>8</v>
      </c>
      <c r="F182" s="25" t="s">
        <v>1635</v>
      </c>
      <c r="G182" s="25">
        <v>81897719002</v>
      </c>
      <c r="H182" s="11">
        <v>26.139960000000002</v>
      </c>
      <c r="I182" s="11">
        <f t="shared" si="22"/>
        <v>209.11968000000002</v>
      </c>
      <c r="J182" s="11">
        <f t="shared" si="21"/>
        <v>26.139960000000002</v>
      </c>
      <c r="K182" s="11">
        <f t="shared" si="23"/>
        <v>209.11968000000002</v>
      </c>
      <c r="L182" s="10">
        <v>0</v>
      </c>
      <c r="N182" s="118">
        <f t="shared" si="17"/>
        <v>0</v>
      </c>
      <c r="O182" s="118">
        <f t="shared" si="18"/>
        <v>26.139960000000002</v>
      </c>
    </row>
    <row r="183" spans="1:15" x14ac:dyDescent="0.25">
      <c r="A183" s="32" t="s">
        <v>2639</v>
      </c>
      <c r="B183" t="s">
        <v>525</v>
      </c>
      <c r="C183" s="19">
        <v>42</v>
      </c>
      <c r="D183" s="18" t="s">
        <v>526</v>
      </c>
      <c r="E183" s="13">
        <v>8</v>
      </c>
      <c r="F183" s="25" t="s">
        <v>525</v>
      </c>
      <c r="G183" s="25">
        <v>81897719002</v>
      </c>
      <c r="H183" s="11">
        <v>25.328520000000001</v>
      </c>
      <c r="I183" s="11">
        <f t="shared" si="22"/>
        <v>202.62816000000001</v>
      </c>
      <c r="J183" s="11">
        <f t="shared" si="21"/>
        <v>25.328520000000001</v>
      </c>
      <c r="K183" s="11">
        <f t="shared" si="23"/>
        <v>202.62816000000001</v>
      </c>
      <c r="L183" s="10">
        <v>0</v>
      </c>
      <c r="N183" s="118">
        <f t="shared" si="17"/>
        <v>0</v>
      </c>
      <c r="O183" s="118">
        <f t="shared" si="18"/>
        <v>25.328520000000001</v>
      </c>
    </row>
    <row r="184" spans="1:15" x14ac:dyDescent="0.25">
      <c r="A184" s="35" t="s">
        <v>2638</v>
      </c>
      <c r="B184" t="s">
        <v>2637</v>
      </c>
      <c r="C184" s="19">
        <v>43</v>
      </c>
      <c r="D184" s="18" t="s">
        <v>2636</v>
      </c>
      <c r="E184" s="13">
        <v>1</v>
      </c>
      <c r="F184" s="25" t="s">
        <v>2635</v>
      </c>
      <c r="G184" s="25">
        <v>81897719002</v>
      </c>
      <c r="H184" s="11">
        <v>126.75024000000002</v>
      </c>
      <c r="I184" s="11">
        <f t="shared" si="22"/>
        <v>126.75024000000002</v>
      </c>
      <c r="J184" s="11">
        <f t="shared" si="21"/>
        <v>126.75024000000002</v>
      </c>
      <c r="K184" s="11">
        <f t="shared" si="23"/>
        <v>126.75024000000002</v>
      </c>
      <c r="L184" s="10">
        <v>0</v>
      </c>
      <c r="N184" s="118">
        <f t="shared" si="17"/>
        <v>0</v>
      </c>
      <c r="O184" s="118">
        <f t="shared" si="18"/>
        <v>126.75024000000002</v>
      </c>
    </row>
    <row r="185" spans="1:15" x14ac:dyDescent="0.25">
      <c r="A185" s="35" t="s">
        <v>2634</v>
      </c>
      <c r="B185" t="s">
        <v>840</v>
      </c>
      <c r="C185" s="19">
        <v>44</v>
      </c>
      <c r="D185" s="18" t="s">
        <v>841</v>
      </c>
      <c r="E185" s="13">
        <v>3</v>
      </c>
      <c r="F185" s="25" t="s">
        <v>840</v>
      </c>
      <c r="G185" s="25">
        <v>81897719002</v>
      </c>
      <c r="H185" s="11">
        <v>25.328520000000001</v>
      </c>
      <c r="I185" s="11">
        <f t="shared" si="22"/>
        <v>75.985560000000007</v>
      </c>
      <c r="J185" s="11">
        <f t="shared" si="21"/>
        <v>25.328520000000001</v>
      </c>
      <c r="K185" s="11">
        <f t="shared" si="23"/>
        <v>75.985560000000007</v>
      </c>
      <c r="L185" s="10">
        <v>0</v>
      </c>
      <c r="N185" s="118">
        <f t="shared" si="17"/>
        <v>0</v>
      </c>
      <c r="O185" s="118">
        <f t="shared" si="18"/>
        <v>25.328520000000001</v>
      </c>
    </row>
    <row r="186" spans="1:15" x14ac:dyDescent="0.25">
      <c r="A186" s="35" t="s">
        <v>2633</v>
      </c>
      <c r="B186" t="s">
        <v>1675</v>
      </c>
      <c r="C186" s="19">
        <v>45</v>
      </c>
      <c r="D186" s="18" t="s">
        <v>452</v>
      </c>
      <c r="E186" s="13">
        <v>2</v>
      </c>
      <c r="F186" s="25" t="s">
        <v>451</v>
      </c>
      <c r="G186" s="25">
        <v>81897719002</v>
      </c>
      <c r="H186" s="11">
        <v>106.93620000000001</v>
      </c>
      <c r="I186" s="11">
        <f t="shared" si="22"/>
        <v>213.87240000000003</v>
      </c>
      <c r="J186" s="11">
        <f t="shared" si="21"/>
        <v>106.93620000000001</v>
      </c>
      <c r="K186" s="11">
        <f t="shared" si="23"/>
        <v>213.87240000000003</v>
      </c>
      <c r="L186" s="10">
        <v>0</v>
      </c>
      <c r="N186" s="118">
        <f t="shared" si="17"/>
        <v>0</v>
      </c>
      <c r="O186" s="118">
        <f t="shared" si="18"/>
        <v>106.93620000000001</v>
      </c>
    </row>
    <row r="187" spans="1:15" x14ac:dyDescent="0.25">
      <c r="A187" s="35" t="s">
        <v>2632</v>
      </c>
      <c r="B187" t="s">
        <v>2630</v>
      </c>
      <c r="C187" s="19">
        <v>46</v>
      </c>
      <c r="D187" s="18" t="s">
        <v>2631</v>
      </c>
      <c r="E187" s="13">
        <v>2</v>
      </c>
      <c r="F187" s="25" t="s">
        <v>2630</v>
      </c>
      <c r="G187" s="25">
        <v>81897719002</v>
      </c>
      <c r="H187" s="11">
        <v>39.586680000000008</v>
      </c>
      <c r="I187" s="11">
        <f t="shared" si="22"/>
        <v>79.173360000000017</v>
      </c>
      <c r="J187" s="11">
        <f t="shared" si="21"/>
        <v>39.586680000000008</v>
      </c>
      <c r="K187" s="11">
        <f t="shared" si="23"/>
        <v>79.173360000000017</v>
      </c>
      <c r="L187" s="10">
        <v>0</v>
      </c>
      <c r="N187" s="118">
        <f t="shared" si="17"/>
        <v>0</v>
      </c>
      <c r="O187" s="118">
        <f t="shared" si="18"/>
        <v>39.586680000000008</v>
      </c>
    </row>
    <row r="188" spans="1:15" x14ac:dyDescent="0.25">
      <c r="A188" s="32" t="s">
        <v>2629</v>
      </c>
      <c r="B188" t="s">
        <v>92</v>
      </c>
      <c r="C188" s="19">
        <v>47</v>
      </c>
      <c r="D188" s="18" t="s">
        <v>93</v>
      </c>
      <c r="E188" s="13">
        <v>1</v>
      </c>
      <c r="F188" s="25" t="s">
        <v>92</v>
      </c>
      <c r="G188" s="25">
        <v>81897719002</v>
      </c>
      <c r="H188" s="11">
        <v>26.711279999999999</v>
      </c>
      <c r="I188" s="11">
        <f t="shared" si="22"/>
        <v>26.711279999999999</v>
      </c>
      <c r="J188" s="11">
        <f t="shared" si="21"/>
        <v>26.711279999999999</v>
      </c>
      <c r="K188" s="11">
        <f t="shared" si="23"/>
        <v>26.711279999999999</v>
      </c>
      <c r="L188" s="10">
        <v>0</v>
      </c>
      <c r="N188" s="118">
        <f t="shared" si="17"/>
        <v>0</v>
      </c>
      <c r="O188" s="118">
        <f t="shared" si="18"/>
        <v>26.711279999999999</v>
      </c>
    </row>
    <row r="189" spans="1:15" x14ac:dyDescent="0.25">
      <c r="A189" s="32" t="s">
        <v>2628</v>
      </c>
      <c r="B189" t="s">
        <v>438</v>
      </c>
      <c r="C189" s="19">
        <v>48</v>
      </c>
      <c r="D189" s="18" t="s">
        <v>439</v>
      </c>
      <c r="E189" s="13">
        <v>1</v>
      </c>
      <c r="F189" s="25" t="s">
        <v>438</v>
      </c>
      <c r="G189" s="25">
        <v>81897719002</v>
      </c>
      <c r="H189" s="11">
        <v>25.759079999999997</v>
      </c>
      <c r="I189" s="11">
        <f t="shared" si="22"/>
        <v>25.759079999999997</v>
      </c>
      <c r="J189" s="11">
        <f t="shared" si="21"/>
        <v>25.759079999999997</v>
      </c>
      <c r="K189" s="11">
        <f t="shared" si="23"/>
        <v>25.759079999999997</v>
      </c>
      <c r="L189" s="10">
        <v>0</v>
      </c>
      <c r="N189" s="118">
        <f t="shared" si="17"/>
        <v>0</v>
      </c>
      <c r="O189" s="118">
        <f t="shared" si="18"/>
        <v>25.759079999999997</v>
      </c>
    </row>
    <row r="190" spans="1:15" x14ac:dyDescent="0.25">
      <c r="A190" s="32" t="s">
        <v>2627</v>
      </c>
      <c r="B190" t="s">
        <v>89</v>
      </c>
      <c r="C190" s="19">
        <v>49</v>
      </c>
      <c r="D190" s="18" t="s">
        <v>2626</v>
      </c>
      <c r="E190" s="13">
        <v>1</v>
      </c>
      <c r="F190" s="25" t="s">
        <v>89</v>
      </c>
      <c r="G190" s="25">
        <v>81897719002</v>
      </c>
      <c r="H190" s="11">
        <v>22.761719999999997</v>
      </c>
      <c r="I190" s="11">
        <f t="shared" si="22"/>
        <v>22.761719999999997</v>
      </c>
      <c r="J190" s="11">
        <f t="shared" si="21"/>
        <v>22.761719999999997</v>
      </c>
      <c r="K190" s="11">
        <f t="shared" si="23"/>
        <v>22.761719999999997</v>
      </c>
      <c r="L190" s="10">
        <v>0</v>
      </c>
      <c r="N190" s="118">
        <f t="shared" si="17"/>
        <v>0</v>
      </c>
      <c r="O190" s="118">
        <f t="shared" si="18"/>
        <v>22.761719999999997</v>
      </c>
    </row>
    <row r="191" spans="1:15" x14ac:dyDescent="0.25">
      <c r="A191" s="32" t="s">
        <v>1985</v>
      </c>
      <c r="B191" t="s">
        <v>44</v>
      </c>
      <c r="C191" s="19">
        <v>50</v>
      </c>
      <c r="D191" s="18" t="s">
        <v>45</v>
      </c>
      <c r="E191" s="13">
        <v>1</v>
      </c>
      <c r="F191" s="25" t="s">
        <v>44</v>
      </c>
      <c r="G191" s="25" t="s">
        <v>427</v>
      </c>
      <c r="H191" s="11">
        <v>452.16252000000003</v>
      </c>
      <c r="I191" s="11">
        <f t="shared" si="22"/>
        <v>452.16252000000003</v>
      </c>
      <c r="J191" s="11">
        <f t="shared" si="21"/>
        <v>452.16252000000003</v>
      </c>
      <c r="K191" s="11">
        <f t="shared" si="23"/>
        <v>452.16252000000003</v>
      </c>
      <c r="L191" s="10">
        <v>0</v>
      </c>
      <c r="N191" s="118">
        <f t="shared" si="17"/>
        <v>0</v>
      </c>
      <c r="O191" s="118">
        <f t="shared" si="18"/>
        <v>452.16252000000003</v>
      </c>
    </row>
    <row r="192" spans="1:15" x14ac:dyDescent="0.25">
      <c r="A192" s="32" t="s">
        <v>1982</v>
      </c>
      <c r="B192" t="s">
        <v>86</v>
      </c>
      <c r="C192" s="19">
        <v>51</v>
      </c>
      <c r="D192" s="18" t="s">
        <v>87</v>
      </c>
      <c r="E192" s="13">
        <v>1</v>
      </c>
      <c r="F192" s="25" t="s">
        <v>86</v>
      </c>
      <c r="G192" s="25" t="s">
        <v>427</v>
      </c>
      <c r="H192" s="11">
        <v>640.15991999999994</v>
      </c>
      <c r="I192" s="11">
        <f t="shared" si="22"/>
        <v>640.15991999999994</v>
      </c>
      <c r="J192" s="11">
        <f t="shared" si="21"/>
        <v>640.15991999999994</v>
      </c>
      <c r="K192" s="11">
        <f t="shared" si="23"/>
        <v>640.15991999999994</v>
      </c>
      <c r="L192" s="10">
        <v>0</v>
      </c>
      <c r="N192" s="118">
        <f t="shared" si="17"/>
        <v>0</v>
      </c>
      <c r="O192" s="118">
        <f t="shared" si="18"/>
        <v>640.15991999999994</v>
      </c>
    </row>
    <row r="193" spans="1:15" x14ac:dyDescent="0.25">
      <c r="B193" t="s">
        <v>84</v>
      </c>
      <c r="C193" s="19">
        <v>52</v>
      </c>
      <c r="D193" s="18" t="s">
        <v>85</v>
      </c>
      <c r="E193" s="13">
        <v>1</v>
      </c>
      <c r="F193" s="25" t="s">
        <v>84</v>
      </c>
      <c r="G193" s="25" t="s">
        <v>427</v>
      </c>
      <c r="H193" s="11">
        <v>695.07287999999994</v>
      </c>
      <c r="I193" s="11">
        <f t="shared" si="22"/>
        <v>695.07287999999994</v>
      </c>
      <c r="J193" s="11">
        <f t="shared" si="21"/>
        <v>695.07287999999994</v>
      </c>
      <c r="K193" s="11">
        <f t="shared" si="23"/>
        <v>695.07287999999994</v>
      </c>
      <c r="L193" s="10">
        <v>0</v>
      </c>
      <c r="N193" s="118">
        <f t="shared" si="17"/>
        <v>0</v>
      </c>
      <c r="O193" s="118">
        <f t="shared" si="18"/>
        <v>695.07287999999994</v>
      </c>
    </row>
    <row r="194" spans="1:15" x14ac:dyDescent="0.25">
      <c r="B194" t="s">
        <v>82</v>
      </c>
      <c r="C194" s="19">
        <v>53</v>
      </c>
      <c r="D194" s="18" t="s">
        <v>83</v>
      </c>
      <c r="E194" s="13">
        <v>2</v>
      </c>
      <c r="F194" s="25" t="s">
        <v>82</v>
      </c>
      <c r="G194" s="25" t="s">
        <v>427</v>
      </c>
      <c r="H194" s="11">
        <v>11.2194</v>
      </c>
      <c r="I194" s="11">
        <f t="shared" si="22"/>
        <v>22.438800000000001</v>
      </c>
      <c r="J194" s="11">
        <f t="shared" si="21"/>
        <v>11.2194</v>
      </c>
      <c r="K194" s="11">
        <f t="shared" si="23"/>
        <v>22.438800000000001</v>
      </c>
      <c r="L194" s="10">
        <v>0</v>
      </c>
      <c r="N194" s="118">
        <f t="shared" si="17"/>
        <v>0</v>
      </c>
      <c r="O194" s="118">
        <f t="shared" si="18"/>
        <v>11.2194</v>
      </c>
    </row>
    <row r="195" spans="1:15" x14ac:dyDescent="0.25">
      <c r="C195" s="9"/>
      <c r="D195" s="8" t="s">
        <v>1</v>
      </c>
      <c r="E195" s="8">
        <f>SUM(E142:E194)</f>
        <v>125</v>
      </c>
      <c r="F195" s="8"/>
      <c r="G195" s="8"/>
      <c r="H195" s="7"/>
      <c r="I195" s="7">
        <f>SUM(I142:I194)</f>
        <v>5405.61456</v>
      </c>
      <c r="J195" s="8"/>
      <c r="K195" s="7">
        <f>SUM(K142:K194)</f>
        <v>5405.61456</v>
      </c>
      <c r="L195" s="6"/>
      <c r="N195" s="118">
        <f t="shared" si="17"/>
        <v>0</v>
      </c>
      <c r="O195" s="118">
        <f t="shared" si="18"/>
        <v>0</v>
      </c>
    </row>
    <row r="196" spans="1:15" x14ac:dyDescent="0.25">
      <c r="D196" t="s">
        <v>0</v>
      </c>
      <c r="F196" s="27"/>
      <c r="G196" s="27"/>
      <c r="N196" s="118">
        <f t="shared" ref="N196:N259" si="24">H196*L196</f>
        <v>0</v>
      </c>
      <c r="O196" s="118">
        <f t="shared" ref="O196:O259" si="25">H196-N196</f>
        <v>0</v>
      </c>
    </row>
    <row r="197" spans="1:15" x14ac:dyDescent="0.25">
      <c r="D197" s="24" t="s">
        <v>2625</v>
      </c>
      <c r="F197" s="27"/>
      <c r="G197" s="27"/>
      <c r="N197" s="118">
        <f t="shared" si="24"/>
        <v>0</v>
      </c>
      <c r="O197" s="118">
        <f t="shared" si="25"/>
        <v>0</v>
      </c>
    </row>
    <row r="198" spans="1:15" ht="30" x14ac:dyDescent="0.25">
      <c r="C198" s="24" t="s">
        <v>28</v>
      </c>
      <c r="D198" s="24" t="s">
        <v>27</v>
      </c>
      <c r="E198" s="24" t="s">
        <v>26</v>
      </c>
      <c r="F198" s="24" t="s">
        <v>25</v>
      </c>
      <c r="G198" s="24" t="s">
        <v>24</v>
      </c>
      <c r="H198" s="116" t="s">
        <v>21</v>
      </c>
      <c r="I198" s="24" t="s">
        <v>23</v>
      </c>
      <c r="J198" s="24" t="s">
        <v>2928</v>
      </c>
      <c r="K198" s="24" t="s">
        <v>2927</v>
      </c>
      <c r="L198" s="23" t="s">
        <v>22</v>
      </c>
      <c r="N198" s="118" t="e">
        <f t="shared" si="24"/>
        <v>#VALUE!</v>
      </c>
      <c r="O198" s="118" t="e">
        <f t="shared" si="25"/>
        <v>#VALUE!</v>
      </c>
    </row>
    <row r="199" spans="1:15" x14ac:dyDescent="0.25">
      <c r="A199" s="32" t="s">
        <v>2624</v>
      </c>
      <c r="B199" t="s">
        <v>306</v>
      </c>
      <c r="C199" s="19">
        <v>1</v>
      </c>
      <c r="D199" s="18" t="s">
        <v>307</v>
      </c>
      <c r="E199" s="13">
        <v>2</v>
      </c>
      <c r="F199" s="25" t="s">
        <v>306</v>
      </c>
      <c r="G199" s="25">
        <v>81897719002</v>
      </c>
      <c r="H199" s="11">
        <v>26.792752</v>
      </c>
      <c r="I199" s="11">
        <f t="shared" ref="I199:I230" si="26">H199*E199</f>
        <v>53.585504</v>
      </c>
      <c r="J199" s="11">
        <f>O199</f>
        <v>26.792752</v>
      </c>
      <c r="K199" s="11">
        <f t="shared" ref="K199:K230" si="27">J199*E199</f>
        <v>53.585504</v>
      </c>
      <c r="L199" s="10">
        <v>0</v>
      </c>
      <c r="N199" s="118">
        <f t="shared" si="24"/>
        <v>0</v>
      </c>
      <c r="O199" s="118">
        <f t="shared" si="25"/>
        <v>26.792752</v>
      </c>
    </row>
    <row r="200" spans="1:15" x14ac:dyDescent="0.25">
      <c r="A200" s="42" t="s">
        <v>2623</v>
      </c>
      <c r="C200" s="19">
        <v>2</v>
      </c>
      <c r="D200" s="18" t="s">
        <v>2622</v>
      </c>
      <c r="E200" s="13">
        <v>2</v>
      </c>
      <c r="F200" s="25" t="s">
        <v>3043</v>
      </c>
      <c r="G200" s="25">
        <v>81897719006</v>
      </c>
      <c r="H200" s="11">
        <v>207.48235200000002</v>
      </c>
      <c r="I200" s="11">
        <f t="shared" si="26"/>
        <v>414.96470400000004</v>
      </c>
      <c r="J200" s="11">
        <f t="shared" ref="J200:J248" si="28">O200</f>
        <v>207.48235200000002</v>
      </c>
      <c r="K200" s="11">
        <f t="shared" si="27"/>
        <v>414.96470400000004</v>
      </c>
      <c r="L200" s="10">
        <v>0</v>
      </c>
      <c r="N200" s="118">
        <f t="shared" si="24"/>
        <v>0</v>
      </c>
      <c r="O200" s="118">
        <f t="shared" si="25"/>
        <v>207.48235200000002</v>
      </c>
    </row>
    <row r="201" spans="1:15" x14ac:dyDescent="0.25">
      <c r="A201" s="32" t="s">
        <v>2621</v>
      </c>
      <c r="B201" t="s">
        <v>290</v>
      </c>
      <c r="C201" s="19">
        <v>3</v>
      </c>
      <c r="D201" s="18" t="s">
        <v>291</v>
      </c>
      <c r="E201" s="13">
        <v>1</v>
      </c>
      <c r="F201" s="25" t="s">
        <v>290</v>
      </c>
      <c r="G201" s="25">
        <v>81897719002</v>
      </c>
      <c r="H201" s="11">
        <v>160.67475200000001</v>
      </c>
      <c r="I201" s="11">
        <f t="shared" si="26"/>
        <v>160.67475200000001</v>
      </c>
      <c r="J201" s="11">
        <f t="shared" si="28"/>
        <v>160.67475200000001</v>
      </c>
      <c r="K201" s="11">
        <f t="shared" si="27"/>
        <v>160.67475200000001</v>
      </c>
      <c r="L201" s="10">
        <v>0</v>
      </c>
      <c r="N201" s="118">
        <f t="shared" si="24"/>
        <v>0</v>
      </c>
      <c r="O201" s="118">
        <f t="shared" si="25"/>
        <v>160.67475200000001</v>
      </c>
    </row>
    <row r="202" spans="1:15" x14ac:dyDescent="0.25">
      <c r="A202" s="32" t="s">
        <v>2620</v>
      </c>
      <c r="B202" t="s">
        <v>309</v>
      </c>
      <c r="C202" s="19">
        <v>4</v>
      </c>
      <c r="D202" s="18" t="s">
        <v>310</v>
      </c>
      <c r="E202" s="13">
        <v>2</v>
      </c>
      <c r="F202" s="25" t="s">
        <v>309</v>
      </c>
      <c r="G202" s="25">
        <v>81897719002</v>
      </c>
      <c r="H202" s="11">
        <v>16.752624000000001</v>
      </c>
      <c r="I202" s="11">
        <f t="shared" si="26"/>
        <v>33.505248000000002</v>
      </c>
      <c r="J202" s="11">
        <f t="shared" si="28"/>
        <v>16.752624000000001</v>
      </c>
      <c r="K202" s="11">
        <f t="shared" si="27"/>
        <v>33.505248000000002</v>
      </c>
      <c r="L202" s="10">
        <v>0</v>
      </c>
      <c r="N202" s="118">
        <f t="shared" si="24"/>
        <v>0</v>
      </c>
      <c r="O202" s="118">
        <f t="shared" si="25"/>
        <v>16.752624000000001</v>
      </c>
    </row>
    <row r="203" spans="1:15" x14ac:dyDescent="0.25">
      <c r="A203" s="32" t="s">
        <v>2619</v>
      </c>
      <c r="B203" t="s">
        <v>422</v>
      </c>
      <c r="C203" s="19">
        <v>5</v>
      </c>
      <c r="D203" s="18" t="s">
        <v>423</v>
      </c>
      <c r="E203" s="13">
        <v>2</v>
      </c>
      <c r="F203" s="25" t="s">
        <v>422</v>
      </c>
      <c r="G203" s="25">
        <v>81897719002</v>
      </c>
      <c r="H203" s="11">
        <v>14.741328000000001</v>
      </c>
      <c r="I203" s="11">
        <f t="shared" si="26"/>
        <v>29.482656000000002</v>
      </c>
      <c r="J203" s="11">
        <f t="shared" si="28"/>
        <v>14.741328000000001</v>
      </c>
      <c r="K203" s="11">
        <f t="shared" si="27"/>
        <v>29.482656000000002</v>
      </c>
      <c r="L203" s="10">
        <v>0</v>
      </c>
      <c r="N203" s="118">
        <f t="shared" si="24"/>
        <v>0</v>
      </c>
      <c r="O203" s="118">
        <f t="shared" si="25"/>
        <v>14.741328000000001</v>
      </c>
    </row>
    <row r="204" spans="1:15" x14ac:dyDescent="0.25">
      <c r="A204" s="32" t="s">
        <v>2618</v>
      </c>
      <c r="B204" t="s">
        <v>1127</v>
      </c>
      <c r="C204" s="19">
        <v>6</v>
      </c>
      <c r="D204" s="18" t="s">
        <v>1796</v>
      </c>
      <c r="E204" s="13">
        <v>2</v>
      </c>
      <c r="F204" s="25" t="s">
        <v>1127</v>
      </c>
      <c r="G204" s="25">
        <v>81897719002</v>
      </c>
      <c r="H204" s="11">
        <v>53.544623999999999</v>
      </c>
      <c r="I204" s="11">
        <f t="shared" si="26"/>
        <v>107.089248</v>
      </c>
      <c r="J204" s="11">
        <f t="shared" si="28"/>
        <v>53.544623999999999</v>
      </c>
      <c r="K204" s="11">
        <f t="shared" si="27"/>
        <v>107.089248</v>
      </c>
      <c r="L204" s="10">
        <v>0</v>
      </c>
      <c r="N204" s="118">
        <f t="shared" si="24"/>
        <v>0</v>
      </c>
      <c r="O204" s="118">
        <f t="shared" si="25"/>
        <v>53.544623999999999</v>
      </c>
    </row>
    <row r="205" spans="1:15" x14ac:dyDescent="0.25">
      <c r="A205" s="32" t="s">
        <v>2617</v>
      </c>
      <c r="B205" t="s">
        <v>2615</v>
      </c>
      <c r="C205" s="19">
        <v>7</v>
      </c>
      <c r="D205" s="18" t="s">
        <v>2616</v>
      </c>
      <c r="E205" s="13">
        <v>1</v>
      </c>
      <c r="F205" s="25" t="s">
        <v>2615</v>
      </c>
      <c r="G205" s="25" t="s">
        <v>2614</v>
      </c>
      <c r="H205" s="11">
        <v>40.168688000000003</v>
      </c>
      <c r="I205" s="11">
        <f t="shared" si="26"/>
        <v>40.168688000000003</v>
      </c>
      <c r="J205" s="11">
        <f t="shared" si="28"/>
        <v>40.168688000000003</v>
      </c>
      <c r="K205" s="11">
        <f t="shared" si="27"/>
        <v>40.168688000000003</v>
      </c>
      <c r="L205" s="10">
        <v>0</v>
      </c>
      <c r="N205" s="118">
        <f t="shared" si="24"/>
        <v>0</v>
      </c>
      <c r="O205" s="118">
        <f t="shared" si="25"/>
        <v>40.168688000000003</v>
      </c>
    </row>
    <row r="206" spans="1:15" x14ac:dyDescent="0.25">
      <c r="A206" s="32" t="s">
        <v>2613</v>
      </c>
      <c r="B206" t="s">
        <v>1869</v>
      </c>
      <c r="C206" s="19">
        <v>8</v>
      </c>
      <c r="D206" s="18" t="s">
        <v>410</v>
      </c>
      <c r="E206" s="13">
        <v>1</v>
      </c>
      <c r="F206" s="25" t="s">
        <v>1869</v>
      </c>
      <c r="G206" s="25">
        <v>81897719002</v>
      </c>
      <c r="H206" s="11">
        <v>6.7043199999999992</v>
      </c>
      <c r="I206" s="11">
        <f t="shared" si="26"/>
        <v>6.7043199999999992</v>
      </c>
      <c r="J206" s="11">
        <f t="shared" si="28"/>
        <v>6.7043199999999992</v>
      </c>
      <c r="K206" s="11">
        <f t="shared" si="27"/>
        <v>6.7043199999999992</v>
      </c>
      <c r="L206" s="10">
        <v>0</v>
      </c>
      <c r="N206" s="118">
        <f t="shared" si="24"/>
        <v>0</v>
      </c>
      <c r="O206" s="118">
        <f t="shared" si="25"/>
        <v>6.7043199999999992</v>
      </c>
    </row>
    <row r="207" spans="1:15" x14ac:dyDescent="0.25">
      <c r="A207" s="32" t="s">
        <v>2612</v>
      </c>
      <c r="B207" t="s">
        <v>286</v>
      </c>
      <c r="C207" s="19">
        <v>9</v>
      </c>
      <c r="D207" s="18" t="s">
        <v>287</v>
      </c>
      <c r="E207" s="13">
        <v>1</v>
      </c>
      <c r="F207" s="25" t="s">
        <v>286</v>
      </c>
      <c r="G207" s="25">
        <v>81897719002</v>
      </c>
      <c r="H207" s="11">
        <v>10.040127999999999</v>
      </c>
      <c r="I207" s="11">
        <f t="shared" si="26"/>
        <v>10.040127999999999</v>
      </c>
      <c r="J207" s="11">
        <f t="shared" si="28"/>
        <v>10.040127999999999</v>
      </c>
      <c r="K207" s="11">
        <f t="shared" si="27"/>
        <v>10.040127999999999</v>
      </c>
      <c r="L207" s="10">
        <v>0</v>
      </c>
      <c r="N207" s="118">
        <f t="shared" si="24"/>
        <v>0</v>
      </c>
      <c r="O207" s="118">
        <f t="shared" si="25"/>
        <v>10.040127999999999</v>
      </c>
    </row>
    <row r="208" spans="1:15" x14ac:dyDescent="0.25">
      <c r="A208" s="32" t="s">
        <v>2611</v>
      </c>
      <c r="B208" t="s">
        <v>2610</v>
      </c>
      <c r="C208" s="19">
        <v>10</v>
      </c>
      <c r="D208" s="18" t="s">
        <v>2609</v>
      </c>
      <c r="E208" s="13">
        <v>1</v>
      </c>
      <c r="F208" s="25" t="s">
        <v>2608</v>
      </c>
      <c r="G208" s="25" t="s">
        <v>427</v>
      </c>
      <c r="H208" s="11">
        <v>8.3149919999999984</v>
      </c>
      <c r="I208" s="11">
        <f t="shared" si="26"/>
        <v>8.3149919999999984</v>
      </c>
      <c r="J208" s="11">
        <f t="shared" si="28"/>
        <v>8.3149919999999984</v>
      </c>
      <c r="K208" s="11">
        <f t="shared" si="27"/>
        <v>8.3149919999999984</v>
      </c>
      <c r="L208" s="10">
        <v>0</v>
      </c>
      <c r="N208" s="118">
        <f t="shared" si="24"/>
        <v>0</v>
      </c>
      <c r="O208" s="118">
        <f t="shared" si="25"/>
        <v>8.3149919999999984</v>
      </c>
    </row>
    <row r="209" spans="1:15" x14ac:dyDescent="0.25">
      <c r="A209" s="32" t="s">
        <v>2607</v>
      </c>
      <c r="B209" t="s">
        <v>642</v>
      </c>
      <c r="C209" s="19">
        <v>11</v>
      </c>
      <c r="D209" s="18" t="s">
        <v>159</v>
      </c>
      <c r="E209" s="13">
        <v>1</v>
      </c>
      <c r="F209" s="25" t="s">
        <v>158</v>
      </c>
      <c r="G209" s="25" t="s">
        <v>427</v>
      </c>
      <c r="H209" s="11">
        <v>5.1345280000000004</v>
      </c>
      <c r="I209" s="11">
        <f t="shared" si="26"/>
        <v>5.1345280000000004</v>
      </c>
      <c r="J209" s="11">
        <f t="shared" si="28"/>
        <v>5.1345280000000004</v>
      </c>
      <c r="K209" s="11">
        <f t="shared" si="27"/>
        <v>5.1345280000000004</v>
      </c>
      <c r="L209" s="10">
        <v>0</v>
      </c>
      <c r="N209" s="118">
        <f t="shared" si="24"/>
        <v>0</v>
      </c>
      <c r="O209" s="118">
        <f t="shared" si="25"/>
        <v>5.1345280000000004</v>
      </c>
    </row>
    <row r="210" spans="1:15" x14ac:dyDescent="0.25">
      <c r="A210" s="32" t="s">
        <v>2606</v>
      </c>
      <c r="B210" t="s">
        <v>620</v>
      </c>
      <c r="C210" s="19">
        <v>12</v>
      </c>
      <c r="D210" s="18" t="s">
        <v>2605</v>
      </c>
      <c r="E210" s="13">
        <v>2</v>
      </c>
      <c r="F210" s="25" t="s">
        <v>620</v>
      </c>
      <c r="G210" s="25">
        <v>81897719002</v>
      </c>
      <c r="H210" s="11">
        <v>13.375935999999999</v>
      </c>
      <c r="I210" s="11">
        <f t="shared" si="26"/>
        <v>26.751871999999999</v>
      </c>
      <c r="J210" s="11">
        <f t="shared" si="28"/>
        <v>13.375935999999999</v>
      </c>
      <c r="K210" s="11">
        <f t="shared" si="27"/>
        <v>26.751871999999999</v>
      </c>
      <c r="L210" s="10">
        <v>0</v>
      </c>
      <c r="N210" s="118">
        <f t="shared" si="24"/>
        <v>0</v>
      </c>
      <c r="O210" s="118">
        <f t="shared" si="25"/>
        <v>13.375935999999999</v>
      </c>
    </row>
    <row r="211" spans="1:15" x14ac:dyDescent="0.25">
      <c r="A211" s="32" t="s">
        <v>2604</v>
      </c>
      <c r="B211" t="s">
        <v>276</v>
      </c>
      <c r="C211" s="19">
        <v>13</v>
      </c>
      <c r="D211" s="18" t="s">
        <v>277</v>
      </c>
      <c r="E211" s="13">
        <v>1</v>
      </c>
      <c r="F211" s="25" t="s">
        <v>276</v>
      </c>
      <c r="G211" s="25">
        <v>81897719002</v>
      </c>
      <c r="H211" s="11">
        <v>29.441776000000001</v>
      </c>
      <c r="I211" s="11">
        <f t="shared" si="26"/>
        <v>29.441776000000001</v>
      </c>
      <c r="J211" s="11">
        <f t="shared" si="28"/>
        <v>29.441776000000001</v>
      </c>
      <c r="K211" s="11">
        <f t="shared" si="27"/>
        <v>29.441776000000001</v>
      </c>
      <c r="L211" s="10">
        <v>0</v>
      </c>
      <c r="N211" s="118">
        <f t="shared" si="24"/>
        <v>0</v>
      </c>
      <c r="O211" s="118">
        <f t="shared" si="25"/>
        <v>29.441776000000001</v>
      </c>
    </row>
    <row r="212" spans="1:15" x14ac:dyDescent="0.25">
      <c r="A212" s="32" t="s">
        <v>2603</v>
      </c>
      <c r="B212" t="s">
        <v>279</v>
      </c>
      <c r="C212" s="19">
        <v>14</v>
      </c>
      <c r="D212" s="18" t="s">
        <v>280</v>
      </c>
      <c r="E212" s="13">
        <v>4</v>
      </c>
      <c r="F212" s="25" t="s">
        <v>279</v>
      </c>
      <c r="G212" s="25">
        <v>81897719002</v>
      </c>
      <c r="H212" s="11">
        <v>24.102847999999998</v>
      </c>
      <c r="I212" s="11">
        <f t="shared" si="26"/>
        <v>96.411391999999992</v>
      </c>
      <c r="J212" s="11">
        <f t="shared" si="28"/>
        <v>24.102847999999998</v>
      </c>
      <c r="K212" s="11">
        <f t="shared" si="27"/>
        <v>96.411391999999992</v>
      </c>
      <c r="L212" s="10">
        <v>0</v>
      </c>
      <c r="N212" s="118">
        <f t="shared" si="24"/>
        <v>0</v>
      </c>
      <c r="O212" s="118">
        <f t="shared" si="25"/>
        <v>24.102847999999998</v>
      </c>
    </row>
    <row r="213" spans="1:15" x14ac:dyDescent="0.25">
      <c r="A213" s="42" t="s">
        <v>2602</v>
      </c>
      <c r="C213" s="19">
        <v>15</v>
      </c>
      <c r="D213" s="18" t="s">
        <v>2601</v>
      </c>
      <c r="E213" s="13">
        <v>1</v>
      </c>
      <c r="F213" s="25" t="s">
        <v>2526</v>
      </c>
      <c r="G213" s="25">
        <v>81897719006</v>
      </c>
      <c r="H213" s="11">
        <v>0</v>
      </c>
      <c r="I213" s="11">
        <f t="shared" si="26"/>
        <v>0</v>
      </c>
      <c r="J213" s="11">
        <f t="shared" si="28"/>
        <v>0</v>
      </c>
      <c r="K213" s="11">
        <f t="shared" si="27"/>
        <v>0</v>
      </c>
      <c r="L213" s="10">
        <v>0</v>
      </c>
      <c r="N213" s="118">
        <f t="shared" si="24"/>
        <v>0</v>
      </c>
      <c r="O213" s="118">
        <f t="shared" si="25"/>
        <v>0</v>
      </c>
    </row>
    <row r="214" spans="1:15" x14ac:dyDescent="0.25">
      <c r="A214" s="32" t="s">
        <v>2600</v>
      </c>
      <c r="B214" t="s">
        <v>2598</v>
      </c>
      <c r="C214" s="19">
        <v>16</v>
      </c>
      <c r="D214" s="18" t="s">
        <v>2599</v>
      </c>
      <c r="E214" s="13">
        <v>1</v>
      </c>
      <c r="F214" s="25" t="s">
        <v>2598</v>
      </c>
      <c r="G214" s="25">
        <v>81897719002</v>
      </c>
      <c r="H214" s="11">
        <v>28.117263999999999</v>
      </c>
      <c r="I214" s="11">
        <f t="shared" si="26"/>
        <v>28.117263999999999</v>
      </c>
      <c r="J214" s="11">
        <f t="shared" si="28"/>
        <v>28.117263999999999</v>
      </c>
      <c r="K214" s="11">
        <f t="shared" si="27"/>
        <v>28.117263999999999</v>
      </c>
      <c r="L214" s="10">
        <v>0</v>
      </c>
      <c r="N214" s="118">
        <f t="shared" si="24"/>
        <v>0</v>
      </c>
      <c r="O214" s="118">
        <f t="shared" si="25"/>
        <v>28.117263999999999</v>
      </c>
    </row>
    <row r="215" spans="1:15" x14ac:dyDescent="0.25">
      <c r="A215" s="32" t="s">
        <v>2597</v>
      </c>
      <c r="B215" t="s">
        <v>2595</v>
      </c>
      <c r="C215" s="19">
        <v>17</v>
      </c>
      <c r="D215" s="18" t="s">
        <v>2596</v>
      </c>
      <c r="E215" s="13">
        <v>1</v>
      </c>
      <c r="F215" s="25" t="s">
        <v>2595</v>
      </c>
      <c r="G215" s="25">
        <v>81897719002</v>
      </c>
      <c r="H215" s="11">
        <v>27.438656000000002</v>
      </c>
      <c r="I215" s="11">
        <f t="shared" si="26"/>
        <v>27.438656000000002</v>
      </c>
      <c r="J215" s="11">
        <f t="shared" si="28"/>
        <v>27.438656000000002</v>
      </c>
      <c r="K215" s="11">
        <f t="shared" si="27"/>
        <v>27.438656000000002</v>
      </c>
      <c r="L215" s="10">
        <v>0</v>
      </c>
      <c r="N215" s="118">
        <f t="shared" si="24"/>
        <v>0</v>
      </c>
      <c r="O215" s="118">
        <f t="shared" si="25"/>
        <v>27.438656000000002</v>
      </c>
    </row>
    <row r="216" spans="1:15" x14ac:dyDescent="0.25">
      <c r="A216" s="32" t="s">
        <v>2594</v>
      </c>
      <c r="B216" t="s">
        <v>230</v>
      </c>
      <c r="C216" s="19">
        <v>18</v>
      </c>
      <c r="D216" s="18" t="s">
        <v>231</v>
      </c>
      <c r="E216" s="13">
        <v>1</v>
      </c>
      <c r="F216" s="25" t="s">
        <v>230</v>
      </c>
      <c r="G216" s="25">
        <v>81897719002</v>
      </c>
      <c r="H216" s="11">
        <v>9.3615200000000005</v>
      </c>
      <c r="I216" s="11">
        <f t="shared" si="26"/>
        <v>9.3615200000000005</v>
      </c>
      <c r="J216" s="11">
        <f t="shared" si="28"/>
        <v>9.3615200000000005</v>
      </c>
      <c r="K216" s="11">
        <f t="shared" si="27"/>
        <v>9.3615200000000005</v>
      </c>
      <c r="L216" s="10">
        <v>0</v>
      </c>
      <c r="N216" s="118">
        <f t="shared" si="24"/>
        <v>0</v>
      </c>
      <c r="O216" s="118">
        <f t="shared" si="25"/>
        <v>9.3615200000000005</v>
      </c>
    </row>
    <row r="217" spans="1:15" x14ac:dyDescent="0.25">
      <c r="A217" s="32" t="s">
        <v>2593</v>
      </c>
      <c r="B217" t="s">
        <v>233</v>
      </c>
      <c r="C217" s="19">
        <v>19</v>
      </c>
      <c r="D217" s="18" t="s">
        <v>234</v>
      </c>
      <c r="E217" s="13">
        <v>1</v>
      </c>
      <c r="F217" s="25" t="s">
        <v>233</v>
      </c>
      <c r="G217" s="25">
        <v>81897719002</v>
      </c>
      <c r="H217" s="11">
        <v>8.7156160000000007</v>
      </c>
      <c r="I217" s="11">
        <f t="shared" si="26"/>
        <v>8.7156160000000007</v>
      </c>
      <c r="J217" s="11">
        <f t="shared" si="28"/>
        <v>8.7156160000000007</v>
      </c>
      <c r="K217" s="11">
        <f t="shared" si="27"/>
        <v>8.7156160000000007</v>
      </c>
      <c r="L217" s="10">
        <v>0</v>
      </c>
      <c r="N217" s="118">
        <f t="shared" si="24"/>
        <v>0</v>
      </c>
      <c r="O217" s="118">
        <f t="shared" si="25"/>
        <v>8.7156160000000007</v>
      </c>
    </row>
    <row r="218" spans="1:15" x14ac:dyDescent="0.25">
      <c r="A218" s="32" t="s">
        <v>2592</v>
      </c>
      <c r="B218" t="s">
        <v>113</v>
      </c>
      <c r="C218" s="19">
        <v>20</v>
      </c>
      <c r="D218" s="18" t="s">
        <v>114</v>
      </c>
      <c r="E218" s="13">
        <v>4</v>
      </c>
      <c r="F218" s="25" t="s">
        <v>113</v>
      </c>
      <c r="G218" s="25">
        <v>81897719002</v>
      </c>
      <c r="H218" s="11">
        <v>20.080255999999999</v>
      </c>
      <c r="I218" s="11">
        <f t="shared" si="26"/>
        <v>80.321023999999994</v>
      </c>
      <c r="J218" s="11">
        <f t="shared" si="28"/>
        <v>20.080255999999999</v>
      </c>
      <c r="K218" s="11">
        <f t="shared" si="27"/>
        <v>80.321023999999994</v>
      </c>
      <c r="L218" s="10">
        <v>0</v>
      </c>
      <c r="N218" s="118">
        <f t="shared" si="24"/>
        <v>0</v>
      </c>
      <c r="O218" s="118">
        <f t="shared" si="25"/>
        <v>20.080255999999999</v>
      </c>
    </row>
    <row r="219" spans="1:15" x14ac:dyDescent="0.25">
      <c r="A219" s="32" t="s">
        <v>2591</v>
      </c>
      <c r="B219" t="s">
        <v>2589</v>
      </c>
      <c r="C219" s="19">
        <v>21</v>
      </c>
      <c r="D219" s="18" t="s">
        <v>2590</v>
      </c>
      <c r="E219" s="13">
        <v>1</v>
      </c>
      <c r="F219" s="25" t="s">
        <v>2589</v>
      </c>
      <c r="G219" s="25">
        <v>81897719002</v>
      </c>
      <c r="H219" s="11">
        <v>6.0257119999999995</v>
      </c>
      <c r="I219" s="11">
        <f t="shared" si="26"/>
        <v>6.0257119999999995</v>
      </c>
      <c r="J219" s="11">
        <f t="shared" si="28"/>
        <v>6.0257119999999995</v>
      </c>
      <c r="K219" s="11">
        <f t="shared" si="27"/>
        <v>6.0257119999999995</v>
      </c>
      <c r="L219" s="10">
        <v>0</v>
      </c>
      <c r="N219" s="118">
        <f t="shared" si="24"/>
        <v>0</v>
      </c>
      <c r="O219" s="118">
        <f t="shared" si="25"/>
        <v>6.0257119999999995</v>
      </c>
    </row>
    <row r="220" spans="1:15" x14ac:dyDescent="0.25">
      <c r="A220" s="32" t="s">
        <v>2588</v>
      </c>
      <c r="B220" t="s">
        <v>469</v>
      </c>
      <c r="C220" s="19">
        <v>22</v>
      </c>
      <c r="D220" s="18" t="s">
        <v>470</v>
      </c>
      <c r="E220" s="13">
        <v>1</v>
      </c>
      <c r="F220" s="25" t="s">
        <v>469</v>
      </c>
      <c r="G220" s="25">
        <v>81897719002</v>
      </c>
      <c r="H220" s="11">
        <v>6.7043199999999992</v>
      </c>
      <c r="I220" s="11">
        <f t="shared" si="26"/>
        <v>6.7043199999999992</v>
      </c>
      <c r="J220" s="11">
        <f t="shared" si="28"/>
        <v>6.7043199999999992</v>
      </c>
      <c r="K220" s="11">
        <f t="shared" si="27"/>
        <v>6.7043199999999992</v>
      </c>
      <c r="L220" s="10">
        <v>0</v>
      </c>
      <c r="N220" s="118">
        <f t="shared" si="24"/>
        <v>0</v>
      </c>
      <c r="O220" s="118">
        <f t="shared" si="25"/>
        <v>6.7043199999999992</v>
      </c>
    </row>
    <row r="221" spans="1:15" x14ac:dyDescent="0.25">
      <c r="A221" s="32" t="s">
        <v>2587</v>
      </c>
      <c r="B221" t="s">
        <v>1004</v>
      </c>
      <c r="C221" s="19">
        <v>23</v>
      </c>
      <c r="D221" s="18" t="s">
        <v>1005</v>
      </c>
      <c r="E221" s="13">
        <v>1</v>
      </c>
      <c r="F221" s="25" t="s">
        <v>1004</v>
      </c>
      <c r="G221" s="25">
        <v>81897719002</v>
      </c>
      <c r="H221" s="11">
        <v>5.3389280000000001</v>
      </c>
      <c r="I221" s="11">
        <f t="shared" si="26"/>
        <v>5.3389280000000001</v>
      </c>
      <c r="J221" s="11">
        <f t="shared" si="28"/>
        <v>5.3389280000000001</v>
      </c>
      <c r="K221" s="11">
        <f t="shared" si="27"/>
        <v>5.3389280000000001</v>
      </c>
      <c r="L221" s="10">
        <v>0</v>
      </c>
      <c r="N221" s="118">
        <f t="shared" si="24"/>
        <v>0</v>
      </c>
      <c r="O221" s="118">
        <f t="shared" si="25"/>
        <v>5.3389280000000001</v>
      </c>
    </row>
    <row r="222" spans="1:15" x14ac:dyDescent="0.25">
      <c r="A222" s="32" t="s">
        <v>2586</v>
      </c>
      <c r="B222" t="s">
        <v>227</v>
      </c>
      <c r="C222" s="19">
        <v>24</v>
      </c>
      <c r="D222" s="18" t="s">
        <v>228</v>
      </c>
      <c r="E222" s="13">
        <v>1</v>
      </c>
      <c r="F222" s="25" t="s">
        <v>227</v>
      </c>
      <c r="G222" s="25">
        <v>81897719002</v>
      </c>
      <c r="H222" s="11">
        <v>6.0257119999999995</v>
      </c>
      <c r="I222" s="11">
        <f t="shared" si="26"/>
        <v>6.0257119999999995</v>
      </c>
      <c r="J222" s="11">
        <f t="shared" si="28"/>
        <v>6.0257119999999995</v>
      </c>
      <c r="K222" s="11">
        <f t="shared" si="27"/>
        <v>6.0257119999999995</v>
      </c>
      <c r="L222" s="10">
        <v>0</v>
      </c>
      <c r="N222" s="118">
        <f t="shared" si="24"/>
        <v>0</v>
      </c>
      <c r="O222" s="118">
        <f t="shared" si="25"/>
        <v>6.0257119999999995</v>
      </c>
    </row>
    <row r="223" spans="1:15" x14ac:dyDescent="0.25">
      <c r="A223" s="32" t="s">
        <v>2585</v>
      </c>
      <c r="B223" t="s">
        <v>854</v>
      </c>
      <c r="C223" s="19">
        <v>25</v>
      </c>
      <c r="D223" s="18" t="s">
        <v>855</v>
      </c>
      <c r="E223" s="13">
        <v>6</v>
      </c>
      <c r="F223" s="25" t="s">
        <v>854</v>
      </c>
      <c r="G223" s="25">
        <v>81897719002</v>
      </c>
      <c r="H223" s="11">
        <v>16.065839999999998</v>
      </c>
      <c r="I223" s="11">
        <f t="shared" si="26"/>
        <v>96.395039999999995</v>
      </c>
      <c r="J223" s="11">
        <f t="shared" si="28"/>
        <v>16.065839999999998</v>
      </c>
      <c r="K223" s="11">
        <f t="shared" si="27"/>
        <v>96.395039999999995</v>
      </c>
      <c r="L223" s="10">
        <v>0</v>
      </c>
      <c r="N223" s="118">
        <f t="shared" si="24"/>
        <v>0</v>
      </c>
      <c r="O223" s="118">
        <f t="shared" si="25"/>
        <v>16.065839999999998</v>
      </c>
    </row>
    <row r="224" spans="1:15" x14ac:dyDescent="0.25">
      <c r="A224" s="32" t="s">
        <v>2584</v>
      </c>
      <c r="B224" t="s">
        <v>110</v>
      </c>
      <c r="C224" s="19">
        <v>26</v>
      </c>
      <c r="D224" s="18" t="s">
        <v>111</v>
      </c>
      <c r="E224" s="13">
        <v>1</v>
      </c>
      <c r="F224" s="25" t="s">
        <v>110</v>
      </c>
      <c r="G224" s="25">
        <v>81897719002</v>
      </c>
      <c r="H224" s="11">
        <v>37.478784000000005</v>
      </c>
      <c r="I224" s="11">
        <f t="shared" si="26"/>
        <v>37.478784000000005</v>
      </c>
      <c r="J224" s="11">
        <f t="shared" si="28"/>
        <v>37.478784000000005</v>
      </c>
      <c r="K224" s="11">
        <f t="shared" si="27"/>
        <v>37.478784000000005</v>
      </c>
      <c r="L224" s="10">
        <v>0</v>
      </c>
      <c r="N224" s="118">
        <f t="shared" si="24"/>
        <v>0</v>
      </c>
      <c r="O224" s="118">
        <f t="shared" si="25"/>
        <v>37.478784000000005</v>
      </c>
    </row>
    <row r="225" spans="1:15" x14ac:dyDescent="0.25">
      <c r="A225" s="32" t="s">
        <v>2583</v>
      </c>
      <c r="B225" t="s">
        <v>271</v>
      </c>
      <c r="C225" s="19">
        <v>27</v>
      </c>
      <c r="D225" s="18" t="s">
        <v>272</v>
      </c>
      <c r="E225" s="13">
        <v>1</v>
      </c>
      <c r="F225" s="25" t="s">
        <v>271</v>
      </c>
      <c r="G225" s="25">
        <v>81897719002</v>
      </c>
      <c r="H225" s="11">
        <v>33.464368</v>
      </c>
      <c r="I225" s="11">
        <f t="shared" si="26"/>
        <v>33.464368</v>
      </c>
      <c r="J225" s="11">
        <f t="shared" si="28"/>
        <v>33.464368</v>
      </c>
      <c r="K225" s="11">
        <f t="shared" si="27"/>
        <v>33.464368</v>
      </c>
      <c r="L225" s="10">
        <v>0</v>
      </c>
      <c r="N225" s="118">
        <f t="shared" si="24"/>
        <v>0</v>
      </c>
      <c r="O225" s="118">
        <f t="shared" si="25"/>
        <v>33.464368</v>
      </c>
    </row>
    <row r="226" spans="1:15" x14ac:dyDescent="0.25">
      <c r="A226" s="32" t="s">
        <v>2582</v>
      </c>
      <c r="B226" t="s">
        <v>2580</v>
      </c>
      <c r="C226" s="19">
        <v>28</v>
      </c>
      <c r="D226" s="18" t="s">
        <v>2581</v>
      </c>
      <c r="E226" s="13">
        <v>3</v>
      </c>
      <c r="F226" s="25" t="s">
        <v>2580</v>
      </c>
      <c r="G226" s="25">
        <v>81897719002</v>
      </c>
      <c r="H226" s="11">
        <v>71.981504000000001</v>
      </c>
      <c r="I226" s="11">
        <f t="shared" si="26"/>
        <v>215.944512</v>
      </c>
      <c r="J226" s="11">
        <f t="shared" si="28"/>
        <v>71.981504000000001</v>
      </c>
      <c r="K226" s="11">
        <f t="shared" si="27"/>
        <v>215.944512</v>
      </c>
      <c r="L226" s="10">
        <v>0</v>
      </c>
      <c r="N226" s="118">
        <f t="shared" si="24"/>
        <v>0</v>
      </c>
      <c r="O226" s="118">
        <f t="shared" si="25"/>
        <v>71.981504000000001</v>
      </c>
    </row>
    <row r="227" spans="1:15" x14ac:dyDescent="0.25">
      <c r="A227" s="32" t="s">
        <v>2579</v>
      </c>
      <c r="B227" t="s">
        <v>2577</v>
      </c>
      <c r="C227" s="19">
        <v>29</v>
      </c>
      <c r="D227" s="18" t="s">
        <v>2578</v>
      </c>
      <c r="E227" s="13">
        <v>3</v>
      </c>
      <c r="F227" s="25" t="s">
        <v>2577</v>
      </c>
      <c r="G227" s="25">
        <v>81897719002</v>
      </c>
      <c r="H227" s="11">
        <v>77.001568000000006</v>
      </c>
      <c r="I227" s="11">
        <f t="shared" si="26"/>
        <v>231.004704</v>
      </c>
      <c r="J227" s="11">
        <f t="shared" si="28"/>
        <v>77.001568000000006</v>
      </c>
      <c r="K227" s="11">
        <f t="shared" si="27"/>
        <v>231.004704</v>
      </c>
      <c r="L227" s="10">
        <v>0</v>
      </c>
      <c r="N227" s="118">
        <f t="shared" si="24"/>
        <v>0</v>
      </c>
      <c r="O227" s="118">
        <f t="shared" si="25"/>
        <v>77.001568000000006</v>
      </c>
    </row>
    <row r="228" spans="1:15" x14ac:dyDescent="0.25">
      <c r="A228" s="32" t="s">
        <v>2576</v>
      </c>
      <c r="B228" t="s">
        <v>119</v>
      </c>
      <c r="C228" s="19">
        <v>30</v>
      </c>
      <c r="D228" s="18" t="s">
        <v>120</v>
      </c>
      <c r="E228" s="13">
        <v>6</v>
      </c>
      <c r="F228" s="25" t="s">
        <v>119</v>
      </c>
      <c r="G228" s="25">
        <v>81897719002</v>
      </c>
      <c r="H228" s="11">
        <v>16.752624000000001</v>
      </c>
      <c r="I228" s="11">
        <f t="shared" si="26"/>
        <v>100.51574400000001</v>
      </c>
      <c r="J228" s="11">
        <f t="shared" si="28"/>
        <v>16.752624000000001</v>
      </c>
      <c r="K228" s="11">
        <f t="shared" si="27"/>
        <v>100.51574400000001</v>
      </c>
      <c r="L228" s="10">
        <v>0</v>
      </c>
      <c r="N228" s="118">
        <f t="shared" si="24"/>
        <v>0</v>
      </c>
      <c r="O228" s="118">
        <f t="shared" si="25"/>
        <v>16.752624000000001</v>
      </c>
    </row>
    <row r="229" spans="1:15" x14ac:dyDescent="0.25">
      <c r="A229" s="32" t="s">
        <v>2575</v>
      </c>
      <c r="B229" t="s">
        <v>122</v>
      </c>
      <c r="C229" s="19">
        <v>31</v>
      </c>
      <c r="D229" s="18" t="s">
        <v>123</v>
      </c>
      <c r="E229" s="13">
        <v>6</v>
      </c>
      <c r="F229" s="25" t="s">
        <v>122</v>
      </c>
      <c r="G229" s="25">
        <v>81897719002</v>
      </c>
      <c r="H229" s="11">
        <v>16.065839999999998</v>
      </c>
      <c r="I229" s="11">
        <f t="shared" si="26"/>
        <v>96.395039999999995</v>
      </c>
      <c r="J229" s="11">
        <f t="shared" si="28"/>
        <v>16.065839999999998</v>
      </c>
      <c r="K229" s="11">
        <f t="shared" si="27"/>
        <v>96.395039999999995</v>
      </c>
      <c r="L229" s="10">
        <v>0</v>
      </c>
      <c r="N229" s="118">
        <f t="shared" si="24"/>
        <v>0</v>
      </c>
      <c r="O229" s="118">
        <f t="shared" si="25"/>
        <v>16.065839999999998</v>
      </c>
    </row>
    <row r="230" spans="1:15" x14ac:dyDescent="0.25">
      <c r="A230" s="32" t="s">
        <v>2574</v>
      </c>
      <c r="B230" t="s">
        <v>1635</v>
      </c>
      <c r="C230" s="19">
        <v>32</v>
      </c>
      <c r="D230" s="18" t="s">
        <v>1636</v>
      </c>
      <c r="E230" s="13">
        <v>2</v>
      </c>
      <c r="F230" s="25" t="s">
        <v>1635</v>
      </c>
      <c r="G230" s="25">
        <v>81897719002</v>
      </c>
      <c r="H230" s="11">
        <v>22.091552</v>
      </c>
      <c r="I230" s="11">
        <f t="shared" si="26"/>
        <v>44.183104</v>
      </c>
      <c r="J230" s="11">
        <f t="shared" si="28"/>
        <v>22.091552</v>
      </c>
      <c r="K230" s="11">
        <f t="shared" si="27"/>
        <v>44.183104</v>
      </c>
      <c r="L230" s="10">
        <v>0</v>
      </c>
      <c r="N230" s="118">
        <f t="shared" si="24"/>
        <v>0</v>
      </c>
      <c r="O230" s="118">
        <f t="shared" si="25"/>
        <v>22.091552</v>
      </c>
    </row>
    <row r="231" spans="1:15" x14ac:dyDescent="0.25">
      <c r="A231" s="32" t="s">
        <v>2573</v>
      </c>
      <c r="B231" t="s">
        <v>525</v>
      </c>
      <c r="C231" s="19">
        <v>33</v>
      </c>
      <c r="D231" s="18" t="s">
        <v>526</v>
      </c>
      <c r="E231" s="13">
        <v>2</v>
      </c>
      <c r="F231" s="25" t="s">
        <v>525</v>
      </c>
      <c r="G231" s="25">
        <v>81897719002</v>
      </c>
      <c r="H231" s="11">
        <v>21.412944000000003</v>
      </c>
      <c r="I231" s="11">
        <f t="shared" ref="I231:I262" si="29">H231*E231</f>
        <v>42.825888000000006</v>
      </c>
      <c r="J231" s="11">
        <f t="shared" si="28"/>
        <v>21.412944000000003</v>
      </c>
      <c r="K231" s="11">
        <f t="shared" ref="K231:K262" si="30">J231*E231</f>
        <v>42.825888000000006</v>
      </c>
      <c r="L231" s="10">
        <v>0</v>
      </c>
      <c r="N231" s="118">
        <f t="shared" si="24"/>
        <v>0</v>
      </c>
      <c r="O231" s="118">
        <f t="shared" si="25"/>
        <v>21.412944000000003</v>
      </c>
    </row>
    <row r="232" spans="1:15" x14ac:dyDescent="0.25">
      <c r="A232" s="32" t="s">
        <v>2572</v>
      </c>
      <c r="B232" t="s">
        <v>1171</v>
      </c>
      <c r="C232" s="19">
        <v>34</v>
      </c>
      <c r="D232" s="18" t="s">
        <v>1172</v>
      </c>
      <c r="E232" s="13">
        <v>4</v>
      </c>
      <c r="F232" s="25" t="s">
        <v>1171</v>
      </c>
      <c r="G232" s="25">
        <v>81897719002</v>
      </c>
      <c r="H232" s="11">
        <v>16.752624000000001</v>
      </c>
      <c r="I232" s="11">
        <f t="shared" si="29"/>
        <v>67.010496000000003</v>
      </c>
      <c r="J232" s="11">
        <f t="shared" si="28"/>
        <v>16.752624000000001</v>
      </c>
      <c r="K232" s="11">
        <f t="shared" si="30"/>
        <v>67.010496000000003</v>
      </c>
      <c r="L232" s="10">
        <v>0</v>
      </c>
      <c r="N232" s="118">
        <f t="shared" si="24"/>
        <v>0</v>
      </c>
      <c r="O232" s="118">
        <f t="shared" si="25"/>
        <v>16.752624000000001</v>
      </c>
    </row>
    <row r="233" spans="1:15" x14ac:dyDescent="0.25">
      <c r="A233" s="32" t="s">
        <v>2571</v>
      </c>
      <c r="B233" t="s">
        <v>2569</v>
      </c>
      <c r="C233" s="19">
        <v>35</v>
      </c>
      <c r="D233" s="18" t="s">
        <v>2570</v>
      </c>
      <c r="E233" s="13">
        <v>1</v>
      </c>
      <c r="F233" s="25" t="s">
        <v>2569</v>
      </c>
      <c r="G233" s="25">
        <v>81897719002</v>
      </c>
      <c r="H233" s="11">
        <v>43.504495999999996</v>
      </c>
      <c r="I233" s="11">
        <f t="shared" si="29"/>
        <v>43.504495999999996</v>
      </c>
      <c r="J233" s="11">
        <f t="shared" si="28"/>
        <v>43.504495999999996</v>
      </c>
      <c r="K233" s="11">
        <f t="shared" si="30"/>
        <v>43.504495999999996</v>
      </c>
      <c r="L233" s="10">
        <v>0</v>
      </c>
      <c r="N233" s="118">
        <f t="shared" si="24"/>
        <v>0</v>
      </c>
      <c r="O233" s="118">
        <f t="shared" si="25"/>
        <v>43.504495999999996</v>
      </c>
    </row>
    <row r="234" spans="1:15" x14ac:dyDescent="0.25">
      <c r="A234" s="32" t="s">
        <v>2568</v>
      </c>
      <c r="B234" t="s">
        <v>256</v>
      </c>
      <c r="C234" s="19">
        <v>36</v>
      </c>
      <c r="D234" s="18" t="s">
        <v>257</v>
      </c>
      <c r="E234" s="13">
        <v>6</v>
      </c>
      <c r="F234" s="25" t="s">
        <v>256</v>
      </c>
      <c r="G234" s="25">
        <v>81897719002</v>
      </c>
      <c r="H234" s="11">
        <v>16.752624000000001</v>
      </c>
      <c r="I234" s="11">
        <f t="shared" si="29"/>
        <v>100.51574400000001</v>
      </c>
      <c r="J234" s="11">
        <f t="shared" si="28"/>
        <v>16.752624000000001</v>
      </c>
      <c r="K234" s="11">
        <f t="shared" si="30"/>
        <v>100.51574400000001</v>
      </c>
      <c r="L234" s="10">
        <v>0</v>
      </c>
      <c r="N234" s="118">
        <f t="shared" si="24"/>
        <v>0</v>
      </c>
      <c r="O234" s="118">
        <f t="shared" si="25"/>
        <v>16.752624000000001</v>
      </c>
    </row>
    <row r="235" spans="1:15" x14ac:dyDescent="0.25">
      <c r="A235" s="32" t="s">
        <v>2567</v>
      </c>
      <c r="B235" t="s">
        <v>259</v>
      </c>
      <c r="C235" s="19">
        <v>37</v>
      </c>
      <c r="D235" s="18" t="s">
        <v>260</v>
      </c>
      <c r="E235" s="13">
        <v>6</v>
      </c>
      <c r="F235" s="25" t="s">
        <v>259</v>
      </c>
      <c r="G235" s="25">
        <v>81897719002</v>
      </c>
      <c r="H235" s="11">
        <v>16.065839999999998</v>
      </c>
      <c r="I235" s="11">
        <f t="shared" si="29"/>
        <v>96.395039999999995</v>
      </c>
      <c r="J235" s="11">
        <f t="shared" si="28"/>
        <v>16.065839999999998</v>
      </c>
      <c r="K235" s="11">
        <f t="shared" si="30"/>
        <v>96.395039999999995</v>
      </c>
      <c r="L235" s="10">
        <v>0</v>
      </c>
      <c r="N235" s="118">
        <f t="shared" si="24"/>
        <v>0</v>
      </c>
      <c r="O235" s="118">
        <f t="shared" si="25"/>
        <v>16.065839999999998</v>
      </c>
    </row>
    <row r="236" spans="1:15" x14ac:dyDescent="0.25">
      <c r="A236" s="32" t="s">
        <v>2566</v>
      </c>
      <c r="B236" t="s">
        <v>208</v>
      </c>
      <c r="C236" s="19">
        <v>38</v>
      </c>
      <c r="D236" s="18" t="s">
        <v>209</v>
      </c>
      <c r="E236" s="13">
        <v>1</v>
      </c>
      <c r="F236" s="25" t="s">
        <v>208</v>
      </c>
      <c r="G236" s="25">
        <v>81897719002</v>
      </c>
      <c r="H236" s="11">
        <v>18.077135999999999</v>
      </c>
      <c r="I236" s="11">
        <f t="shared" si="29"/>
        <v>18.077135999999999</v>
      </c>
      <c r="J236" s="11">
        <f t="shared" si="28"/>
        <v>18.077135999999999</v>
      </c>
      <c r="K236" s="11">
        <f t="shared" si="30"/>
        <v>18.077135999999999</v>
      </c>
      <c r="L236" s="10">
        <v>0</v>
      </c>
      <c r="N236" s="118">
        <f t="shared" si="24"/>
        <v>0</v>
      </c>
      <c r="O236" s="118">
        <f t="shared" si="25"/>
        <v>18.077135999999999</v>
      </c>
    </row>
    <row r="237" spans="1:15" x14ac:dyDescent="0.25">
      <c r="A237" s="32" t="s">
        <v>2565</v>
      </c>
      <c r="B237" t="s">
        <v>840</v>
      </c>
      <c r="C237" s="19">
        <v>39</v>
      </c>
      <c r="D237" s="18" t="s">
        <v>841</v>
      </c>
      <c r="E237" s="13">
        <v>1</v>
      </c>
      <c r="F237" s="25" t="s">
        <v>840</v>
      </c>
      <c r="G237" s="25">
        <v>81897719002</v>
      </c>
      <c r="H237" s="11">
        <v>21.412944000000003</v>
      </c>
      <c r="I237" s="11">
        <f t="shared" si="29"/>
        <v>21.412944000000003</v>
      </c>
      <c r="J237" s="11">
        <f t="shared" si="28"/>
        <v>21.412944000000003</v>
      </c>
      <c r="K237" s="11">
        <f t="shared" si="30"/>
        <v>21.412944000000003</v>
      </c>
      <c r="L237" s="10">
        <v>0</v>
      </c>
      <c r="N237" s="118">
        <f t="shared" si="24"/>
        <v>0</v>
      </c>
      <c r="O237" s="118">
        <f t="shared" si="25"/>
        <v>21.412944000000003</v>
      </c>
    </row>
    <row r="238" spans="1:15" x14ac:dyDescent="0.25">
      <c r="A238" s="32" t="s">
        <v>2564</v>
      </c>
      <c r="B238" t="s">
        <v>107</v>
      </c>
      <c r="C238" s="19">
        <v>40</v>
      </c>
      <c r="D238" s="18" t="s">
        <v>2563</v>
      </c>
      <c r="E238" s="13">
        <v>1</v>
      </c>
      <c r="F238" s="25" t="s">
        <v>107</v>
      </c>
      <c r="G238" s="25">
        <v>81897719002</v>
      </c>
      <c r="H238" s="11">
        <v>23.416063999999999</v>
      </c>
      <c r="I238" s="11">
        <f t="shared" si="29"/>
        <v>23.416063999999999</v>
      </c>
      <c r="J238" s="11">
        <f t="shared" si="28"/>
        <v>23.416063999999999</v>
      </c>
      <c r="K238" s="11">
        <f t="shared" si="30"/>
        <v>23.416063999999999</v>
      </c>
      <c r="L238" s="10">
        <v>0</v>
      </c>
      <c r="N238" s="118">
        <f t="shared" si="24"/>
        <v>0</v>
      </c>
      <c r="O238" s="118">
        <f t="shared" si="25"/>
        <v>23.416063999999999</v>
      </c>
    </row>
    <row r="239" spans="1:15" x14ac:dyDescent="0.25">
      <c r="A239" s="32" t="s">
        <v>2562</v>
      </c>
      <c r="B239" t="s">
        <v>442</v>
      </c>
      <c r="C239" s="19">
        <v>41</v>
      </c>
      <c r="D239" s="18" t="s">
        <v>443</v>
      </c>
      <c r="E239" s="13">
        <v>1</v>
      </c>
      <c r="F239" s="25" t="s">
        <v>442</v>
      </c>
      <c r="G239" s="25">
        <v>81897719002</v>
      </c>
      <c r="H239" s="11">
        <v>12.533807999999999</v>
      </c>
      <c r="I239" s="11">
        <f t="shared" si="29"/>
        <v>12.533807999999999</v>
      </c>
      <c r="J239" s="11">
        <f t="shared" si="28"/>
        <v>12.533807999999999</v>
      </c>
      <c r="K239" s="11">
        <f t="shared" si="30"/>
        <v>12.533807999999999</v>
      </c>
      <c r="L239" s="10">
        <v>0</v>
      </c>
      <c r="N239" s="118">
        <f t="shared" si="24"/>
        <v>0</v>
      </c>
      <c r="O239" s="118">
        <f t="shared" si="25"/>
        <v>12.533807999999999</v>
      </c>
    </row>
    <row r="240" spans="1:15" x14ac:dyDescent="0.25">
      <c r="A240" s="32" t="s">
        <v>2561</v>
      </c>
      <c r="B240" t="s">
        <v>98</v>
      </c>
      <c r="C240" s="19">
        <v>42</v>
      </c>
      <c r="D240" s="18" t="s">
        <v>99</v>
      </c>
      <c r="E240" s="13">
        <v>1</v>
      </c>
      <c r="F240" s="25" t="s">
        <v>98</v>
      </c>
      <c r="G240" s="25">
        <v>81897719002</v>
      </c>
      <c r="H240" s="11">
        <v>17.194128000000003</v>
      </c>
      <c r="I240" s="11">
        <f t="shared" si="29"/>
        <v>17.194128000000003</v>
      </c>
      <c r="J240" s="11">
        <f t="shared" si="28"/>
        <v>17.194128000000003</v>
      </c>
      <c r="K240" s="11">
        <f t="shared" si="30"/>
        <v>17.194128000000003</v>
      </c>
      <c r="L240" s="10">
        <v>0</v>
      </c>
      <c r="N240" s="118">
        <f t="shared" si="24"/>
        <v>0</v>
      </c>
      <c r="O240" s="118">
        <f t="shared" si="25"/>
        <v>17.194128000000003</v>
      </c>
    </row>
    <row r="241" spans="1:15" x14ac:dyDescent="0.25">
      <c r="A241" s="32" t="s">
        <v>2560</v>
      </c>
      <c r="B241" t="s">
        <v>183</v>
      </c>
      <c r="C241" s="19">
        <v>43</v>
      </c>
      <c r="D241" s="18" t="s">
        <v>184</v>
      </c>
      <c r="E241" s="13">
        <v>1</v>
      </c>
      <c r="F241" s="25" t="s">
        <v>183</v>
      </c>
      <c r="G241" s="25">
        <v>81897719002</v>
      </c>
      <c r="H241" s="11">
        <v>19.238128000000003</v>
      </c>
      <c r="I241" s="11">
        <f t="shared" si="29"/>
        <v>19.238128000000003</v>
      </c>
      <c r="J241" s="11">
        <f t="shared" si="28"/>
        <v>19.238128000000003</v>
      </c>
      <c r="K241" s="11">
        <f t="shared" si="30"/>
        <v>19.238128000000003</v>
      </c>
      <c r="L241" s="10">
        <v>0</v>
      </c>
      <c r="N241" s="118">
        <f t="shared" si="24"/>
        <v>0</v>
      </c>
      <c r="O241" s="118">
        <f t="shared" si="25"/>
        <v>19.238128000000003</v>
      </c>
    </row>
    <row r="242" spans="1:15" x14ac:dyDescent="0.25">
      <c r="A242" s="32" t="s">
        <v>2559</v>
      </c>
      <c r="B242" t="s">
        <v>803</v>
      </c>
      <c r="C242" s="19">
        <v>44</v>
      </c>
      <c r="D242" s="18" t="s">
        <v>804</v>
      </c>
      <c r="E242" s="13">
        <v>1</v>
      </c>
      <c r="F242" s="25" t="s">
        <v>803</v>
      </c>
      <c r="G242" s="25">
        <v>81897719002</v>
      </c>
      <c r="H242" s="11">
        <v>13.375935999999999</v>
      </c>
      <c r="I242" s="11">
        <f t="shared" si="29"/>
        <v>13.375935999999999</v>
      </c>
      <c r="J242" s="11">
        <f t="shared" si="28"/>
        <v>13.375935999999999</v>
      </c>
      <c r="K242" s="11">
        <f t="shared" si="30"/>
        <v>13.375935999999999</v>
      </c>
      <c r="L242" s="10">
        <v>0</v>
      </c>
      <c r="N242" s="118">
        <f t="shared" si="24"/>
        <v>0</v>
      </c>
      <c r="O242" s="118">
        <f t="shared" si="25"/>
        <v>13.375935999999999</v>
      </c>
    </row>
    <row r="243" spans="1:15" x14ac:dyDescent="0.25">
      <c r="A243" s="32" t="s">
        <v>2558</v>
      </c>
      <c r="B243" t="s">
        <v>1143</v>
      </c>
      <c r="C243" s="19">
        <v>45</v>
      </c>
      <c r="D243" s="18" t="s">
        <v>1144</v>
      </c>
      <c r="E243" s="13">
        <v>1</v>
      </c>
      <c r="F243" s="25" t="s">
        <v>1143</v>
      </c>
      <c r="G243" s="25">
        <v>81897719002</v>
      </c>
      <c r="H243" s="11">
        <v>18.436879999999999</v>
      </c>
      <c r="I243" s="11">
        <f t="shared" si="29"/>
        <v>18.436879999999999</v>
      </c>
      <c r="J243" s="11">
        <f t="shared" si="28"/>
        <v>18.436879999999999</v>
      </c>
      <c r="K243" s="11">
        <f t="shared" si="30"/>
        <v>18.436879999999999</v>
      </c>
      <c r="L243" s="10">
        <v>0</v>
      </c>
      <c r="N243" s="118">
        <f t="shared" si="24"/>
        <v>0</v>
      </c>
      <c r="O243" s="118">
        <f t="shared" si="25"/>
        <v>18.436879999999999</v>
      </c>
    </row>
    <row r="244" spans="1:15" x14ac:dyDescent="0.25">
      <c r="A244" s="32" t="s">
        <v>2557</v>
      </c>
      <c r="B244" t="s">
        <v>1746</v>
      </c>
      <c r="C244" s="19">
        <v>46</v>
      </c>
      <c r="D244" s="18" t="s">
        <v>1747</v>
      </c>
      <c r="E244" s="13">
        <v>1</v>
      </c>
      <c r="F244" s="25" t="s">
        <v>1746</v>
      </c>
      <c r="G244" s="25">
        <v>81897719002</v>
      </c>
      <c r="H244" s="11">
        <v>12.533807999999999</v>
      </c>
      <c r="I244" s="11">
        <f t="shared" si="29"/>
        <v>12.533807999999999</v>
      </c>
      <c r="J244" s="11">
        <f t="shared" si="28"/>
        <v>12.533807999999999</v>
      </c>
      <c r="K244" s="11">
        <f t="shared" si="30"/>
        <v>12.533807999999999</v>
      </c>
      <c r="L244" s="10">
        <v>0</v>
      </c>
      <c r="N244" s="118">
        <f t="shared" si="24"/>
        <v>0</v>
      </c>
      <c r="O244" s="118">
        <f t="shared" si="25"/>
        <v>12.533807999999999</v>
      </c>
    </row>
    <row r="245" spans="1:15" x14ac:dyDescent="0.25">
      <c r="A245" s="32" t="s">
        <v>2556</v>
      </c>
      <c r="B245" t="s">
        <v>317</v>
      </c>
      <c r="C245" s="19">
        <v>47</v>
      </c>
      <c r="D245" s="18" t="s">
        <v>318</v>
      </c>
      <c r="E245" s="13">
        <v>1</v>
      </c>
      <c r="F245" s="25" t="s">
        <v>317</v>
      </c>
      <c r="G245" s="25" t="s">
        <v>427</v>
      </c>
      <c r="H245" s="11">
        <v>414.17980800000004</v>
      </c>
      <c r="I245" s="11">
        <f t="shared" si="29"/>
        <v>414.17980800000004</v>
      </c>
      <c r="J245" s="11">
        <f t="shared" si="28"/>
        <v>414.17980800000004</v>
      </c>
      <c r="K245" s="11">
        <f t="shared" si="30"/>
        <v>414.17980800000004</v>
      </c>
      <c r="L245" s="10">
        <v>0</v>
      </c>
      <c r="N245" s="118">
        <f t="shared" si="24"/>
        <v>0</v>
      </c>
      <c r="O245" s="118">
        <f t="shared" si="25"/>
        <v>414.17980800000004</v>
      </c>
    </row>
    <row r="246" spans="1:15" x14ac:dyDescent="0.25">
      <c r="A246" s="32" t="s">
        <v>2555</v>
      </c>
      <c r="B246" t="s">
        <v>315</v>
      </c>
      <c r="C246" s="19">
        <v>48</v>
      </c>
      <c r="D246" s="18" t="s">
        <v>316</v>
      </c>
      <c r="E246" s="13">
        <v>1</v>
      </c>
      <c r="F246" s="25" t="s">
        <v>315</v>
      </c>
      <c r="G246" s="25" t="s">
        <v>427</v>
      </c>
      <c r="H246" s="11">
        <v>584.78840000000002</v>
      </c>
      <c r="I246" s="11">
        <f t="shared" si="29"/>
        <v>584.78840000000002</v>
      </c>
      <c r="J246" s="11">
        <f t="shared" si="28"/>
        <v>584.78840000000002</v>
      </c>
      <c r="K246" s="11">
        <f t="shared" si="30"/>
        <v>584.78840000000002</v>
      </c>
      <c r="L246" s="10">
        <v>0</v>
      </c>
      <c r="N246" s="118">
        <f t="shared" si="24"/>
        <v>0</v>
      </c>
      <c r="O246" s="118">
        <f t="shared" si="25"/>
        <v>584.78840000000002</v>
      </c>
    </row>
    <row r="247" spans="1:15" x14ac:dyDescent="0.25">
      <c r="B247" t="s">
        <v>313</v>
      </c>
      <c r="C247" s="19">
        <v>49</v>
      </c>
      <c r="D247" s="18" t="s">
        <v>314</v>
      </c>
      <c r="E247" s="13">
        <v>1</v>
      </c>
      <c r="F247" s="25" t="s">
        <v>313</v>
      </c>
      <c r="G247" s="25" t="s">
        <v>427</v>
      </c>
      <c r="H247" s="11">
        <v>674.71622400000001</v>
      </c>
      <c r="I247" s="11">
        <f t="shared" si="29"/>
        <v>674.71622400000001</v>
      </c>
      <c r="J247" s="11">
        <f t="shared" si="28"/>
        <v>674.71622400000001</v>
      </c>
      <c r="K247" s="11">
        <f t="shared" si="30"/>
        <v>674.71622400000001</v>
      </c>
      <c r="L247" s="10">
        <v>0</v>
      </c>
      <c r="N247" s="118">
        <f t="shared" si="24"/>
        <v>0</v>
      </c>
      <c r="O247" s="118">
        <f t="shared" si="25"/>
        <v>674.71622400000001</v>
      </c>
    </row>
    <row r="248" spans="1:15" x14ac:dyDescent="0.25">
      <c r="B248" t="s">
        <v>82</v>
      </c>
      <c r="C248" s="19">
        <v>50</v>
      </c>
      <c r="D248" s="18" t="s">
        <v>83</v>
      </c>
      <c r="E248" s="13">
        <v>2</v>
      </c>
      <c r="F248" s="25" t="s">
        <v>82</v>
      </c>
      <c r="G248" s="25" t="s">
        <v>427</v>
      </c>
      <c r="H248" s="11">
        <v>9.4841599999999993</v>
      </c>
      <c r="I248" s="11">
        <f t="shared" si="29"/>
        <v>18.968319999999999</v>
      </c>
      <c r="J248" s="11">
        <f t="shared" si="28"/>
        <v>9.4841599999999993</v>
      </c>
      <c r="K248" s="11">
        <f t="shared" si="30"/>
        <v>18.968319999999999</v>
      </c>
      <c r="L248" s="10">
        <v>0</v>
      </c>
      <c r="N248" s="118">
        <f t="shared" si="24"/>
        <v>0</v>
      </c>
      <c r="O248" s="118">
        <f t="shared" si="25"/>
        <v>9.4841599999999993</v>
      </c>
    </row>
    <row r="249" spans="1:15" x14ac:dyDescent="0.25">
      <c r="C249" s="9"/>
      <c r="D249" s="8" t="s">
        <v>1</v>
      </c>
      <c r="E249" s="8">
        <f>SUM(E199:E248)</f>
        <v>97</v>
      </c>
      <c r="F249" s="8"/>
      <c r="G249" s="8"/>
      <c r="H249" s="7"/>
      <c r="I249" s="7">
        <f>SUM(I199:I248)</f>
        <v>4254.8231040000001</v>
      </c>
      <c r="J249" s="8"/>
      <c r="K249" s="7">
        <f>SUM(K199:K248)</f>
        <v>4254.8231040000001</v>
      </c>
      <c r="L249" s="6"/>
      <c r="N249" s="118">
        <f t="shared" si="24"/>
        <v>0</v>
      </c>
      <c r="O249" s="118">
        <f t="shared" si="25"/>
        <v>0</v>
      </c>
    </row>
    <row r="250" spans="1:15" x14ac:dyDescent="0.25">
      <c r="C250" s="3"/>
      <c r="D250" t="s">
        <v>0</v>
      </c>
      <c r="F250" s="27"/>
      <c r="G250" s="27"/>
      <c r="N250" s="118">
        <f t="shared" si="24"/>
        <v>0</v>
      </c>
      <c r="O250" s="118">
        <f t="shared" si="25"/>
        <v>0</v>
      </c>
    </row>
    <row r="251" spans="1:15" x14ac:dyDescent="0.25">
      <c r="D251" s="24" t="s">
        <v>2554</v>
      </c>
      <c r="N251" s="118">
        <f t="shared" si="24"/>
        <v>0</v>
      </c>
      <c r="O251" s="118">
        <f t="shared" si="25"/>
        <v>0</v>
      </c>
    </row>
    <row r="252" spans="1:15" ht="30" x14ac:dyDescent="0.25">
      <c r="C252" s="24" t="s">
        <v>28</v>
      </c>
      <c r="D252" s="24" t="s">
        <v>27</v>
      </c>
      <c r="E252" s="24" t="s">
        <v>26</v>
      </c>
      <c r="F252" s="24" t="s">
        <v>25</v>
      </c>
      <c r="G252" s="24" t="s">
        <v>24</v>
      </c>
      <c r="H252" s="116" t="s">
        <v>21</v>
      </c>
      <c r="I252" s="24" t="s">
        <v>23</v>
      </c>
      <c r="J252" s="24" t="s">
        <v>2928</v>
      </c>
      <c r="K252" s="24" t="s">
        <v>2927</v>
      </c>
      <c r="L252" s="23" t="s">
        <v>22</v>
      </c>
      <c r="N252" s="118" t="e">
        <f t="shared" si="24"/>
        <v>#VALUE!</v>
      </c>
      <c r="O252" s="118" t="e">
        <f t="shared" si="25"/>
        <v>#VALUE!</v>
      </c>
    </row>
    <row r="253" spans="1:15" s="5" customFormat="1" x14ac:dyDescent="0.25">
      <c r="A253" s="32" t="s">
        <v>2553</v>
      </c>
      <c r="B253" s="5" t="s">
        <v>422</v>
      </c>
      <c r="C253" s="13">
        <v>1</v>
      </c>
      <c r="D253" s="18" t="s">
        <v>423</v>
      </c>
      <c r="E253" s="13">
        <v>1</v>
      </c>
      <c r="F253" s="25" t="s">
        <v>422</v>
      </c>
      <c r="G253" s="25">
        <v>81897719002</v>
      </c>
      <c r="H253" s="11">
        <v>13.744639999999999</v>
      </c>
      <c r="I253" s="11">
        <f t="shared" ref="I253:I289" si="31">H253*E253</f>
        <v>13.744639999999999</v>
      </c>
      <c r="J253" s="11">
        <f>O253</f>
        <v>13.744639999999999</v>
      </c>
      <c r="K253" s="11">
        <f t="shared" ref="K253:K289" si="32">J253*E253</f>
        <v>13.744639999999999</v>
      </c>
      <c r="L253" s="10">
        <v>0</v>
      </c>
      <c r="N253" s="118">
        <f t="shared" si="24"/>
        <v>0</v>
      </c>
      <c r="O253" s="118">
        <f t="shared" si="25"/>
        <v>13.744639999999999</v>
      </c>
    </row>
    <row r="254" spans="1:15" x14ac:dyDescent="0.25">
      <c r="A254" s="32" t="s">
        <v>2552</v>
      </c>
      <c r="B254" t="s">
        <v>309</v>
      </c>
      <c r="C254" s="13">
        <v>2</v>
      </c>
      <c r="D254" s="18" t="s">
        <v>310</v>
      </c>
      <c r="E254" s="13">
        <v>1</v>
      </c>
      <c r="F254" s="25" t="s">
        <v>309</v>
      </c>
      <c r="G254" s="25">
        <v>81897719002</v>
      </c>
      <c r="H254" s="11">
        <v>15.233919999999999</v>
      </c>
      <c r="I254" s="11">
        <f t="shared" si="31"/>
        <v>15.233919999999999</v>
      </c>
      <c r="J254" s="11">
        <f t="shared" ref="J254:J289" si="33">O254</f>
        <v>15.233919999999999</v>
      </c>
      <c r="K254" s="11">
        <f t="shared" si="32"/>
        <v>15.233919999999999</v>
      </c>
      <c r="L254" s="10">
        <v>0</v>
      </c>
      <c r="N254" s="118">
        <f t="shared" si="24"/>
        <v>0</v>
      </c>
      <c r="O254" s="118">
        <f t="shared" si="25"/>
        <v>15.233919999999999</v>
      </c>
    </row>
    <row r="255" spans="1:15" x14ac:dyDescent="0.25">
      <c r="A255" s="32" t="s">
        <v>2551</v>
      </c>
      <c r="B255" t="s">
        <v>2550</v>
      </c>
      <c r="C255" s="13">
        <v>3</v>
      </c>
      <c r="D255" s="18" t="s">
        <v>417</v>
      </c>
      <c r="E255" s="13">
        <v>1</v>
      </c>
      <c r="F255" s="25" t="s">
        <v>2550</v>
      </c>
      <c r="G255" s="25">
        <v>81897719002</v>
      </c>
      <c r="H255" s="11">
        <v>24.36928</v>
      </c>
      <c r="I255" s="11">
        <f t="shared" si="31"/>
        <v>24.36928</v>
      </c>
      <c r="J255" s="11">
        <f t="shared" si="33"/>
        <v>24.36928</v>
      </c>
      <c r="K255" s="11">
        <f t="shared" si="32"/>
        <v>24.36928</v>
      </c>
      <c r="L255" s="10">
        <v>0</v>
      </c>
      <c r="N255" s="118">
        <f t="shared" si="24"/>
        <v>0</v>
      </c>
      <c r="O255" s="118">
        <f t="shared" si="25"/>
        <v>24.36928</v>
      </c>
    </row>
    <row r="256" spans="1:15" x14ac:dyDescent="0.25">
      <c r="A256" s="32" t="s">
        <v>2549</v>
      </c>
      <c r="C256" s="13">
        <v>4</v>
      </c>
      <c r="D256" s="18" t="s">
        <v>2548</v>
      </c>
      <c r="E256" s="13">
        <v>1</v>
      </c>
      <c r="F256" s="59">
        <v>10450</v>
      </c>
      <c r="G256" s="25">
        <v>81087610003</v>
      </c>
      <c r="H256" s="11">
        <v>36.541440000000001</v>
      </c>
      <c r="I256" s="11">
        <f t="shared" si="31"/>
        <v>36.541440000000001</v>
      </c>
      <c r="J256" s="11">
        <f t="shared" si="33"/>
        <v>36.541440000000001</v>
      </c>
      <c r="K256" s="11">
        <f t="shared" si="32"/>
        <v>36.541440000000001</v>
      </c>
      <c r="L256" s="10">
        <v>0</v>
      </c>
      <c r="N256" s="118">
        <f t="shared" si="24"/>
        <v>0</v>
      </c>
      <c r="O256" s="118">
        <f t="shared" si="25"/>
        <v>36.541440000000001</v>
      </c>
    </row>
    <row r="257" spans="1:15" x14ac:dyDescent="0.25">
      <c r="A257" s="32" t="s">
        <v>2547</v>
      </c>
      <c r="B257" t="s">
        <v>286</v>
      </c>
      <c r="C257" s="13">
        <v>5</v>
      </c>
      <c r="D257" s="18" t="s">
        <v>287</v>
      </c>
      <c r="E257" s="13">
        <v>1</v>
      </c>
      <c r="F257" s="25" t="s">
        <v>286</v>
      </c>
      <c r="G257" s="25">
        <v>81897719002</v>
      </c>
      <c r="H257" s="11">
        <v>9.1353600000000004</v>
      </c>
      <c r="I257" s="11">
        <f t="shared" si="31"/>
        <v>9.1353600000000004</v>
      </c>
      <c r="J257" s="11">
        <f t="shared" si="33"/>
        <v>9.1353600000000004</v>
      </c>
      <c r="K257" s="11">
        <f t="shared" si="32"/>
        <v>9.1353600000000004</v>
      </c>
      <c r="L257" s="10">
        <v>0</v>
      </c>
      <c r="N257" s="118">
        <f t="shared" si="24"/>
        <v>0</v>
      </c>
      <c r="O257" s="118">
        <f t="shared" si="25"/>
        <v>9.1353600000000004</v>
      </c>
    </row>
    <row r="258" spans="1:15" x14ac:dyDescent="0.25">
      <c r="A258" s="32" t="s">
        <v>2546</v>
      </c>
      <c r="B258" t="s">
        <v>1869</v>
      </c>
      <c r="C258" s="13">
        <v>6</v>
      </c>
      <c r="D258" s="18" t="s">
        <v>410</v>
      </c>
      <c r="E258" s="13">
        <v>1</v>
      </c>
      <c r="F258" s="25" t="s">
        <v>1869</v>
      </c>
      <c r="G258" s="25">
        <v>81897719002</v>
      </c>
      <c r="H258" s="11">
        <v>6.09856</v>
      </c>
      <c r="I258" s="11">
        <f t="shared" si="31"/>
        <v>6.09856</v>
      </c>
      <c r="J258" s="11">
        <f t="shared" si="33"/>
        <v>6.09856</v>
      </c>
      <c r="K258" s="11">
        <f t="shared" si="32"/>
        <v>6.09856</v>
      </c>
      <c r="L258" s="10">
        <v>0</v>
      </c>
      <c r="N258" s="118">
        <f t="shared" si="24"/>
        <v>0</v>
      </c>
      <c r="O258" s="118">
        <f t="shared" si="25"/>
        <v>6.09856</v>
      </c>
    </row>
    <row r="259" spans="1:15" x14ac:dyDescent="0.25">
      <c r="A259" s="32" t="s">
        <v>2545</v>
      </c>
      <c r="B259" t="s">
        <v>642</v>
      </c>
      <c r="C259" s="13">
        <v>7</v>
      </c>
      <c r="D259" s="18" t="s">
        <v>1909</v>
      </c>
      <c r="E259" s="13">
        <v>1</v>
      </c>
      <c r="F259" s="25" t="s">
        <v>158</v>
      </c>
      <c r="G259" s="25" t="s">
        <v>427</v>
      </c>
      <c r="H259" s="11">
        <v>4.6675200000000006</v>
      </c>
      <c r="I259" s="11">
        <f t="shared" si="31"/>
        <v>4.6675200000000006</v>
      </c>
      <c r="J259" s="11">
        <f t="shared" si="33"/>
        <v>4.6675200000000006</v>
      </c>
      <c r="K259" s="11">
        <f t="shared" si="32"/>
        <v>4.6675200000000006</v>
      </c>
      <c r="L259" s="10">
        <v>0</v>
      </c>
      <c r="N259" s="118">
        <f t="shared" si="24"/>
        <v>0</v>
      </c>
      <c r="O259" s="118">
        <f t="shared" si="25"/>
        <v>4.6675200000000006</v>
      </c>
    </row>
    <row r="260" spans="1:15" x14ac:dyDescent="0.25">
      <c r="A260" s="32" t="s">
        <v>2544</v>
      </c>
      <c r="B260" t="s">
        <v>113</v>
      </c>
      <c r="C260" s="13">
        <v>8</v>
      </c>
      <c r="D260" s="18" t="s">
        <v>114</v>
      </c>
      <c r="E260" s="13">
        <v>2</v>
      </c>
      <c r="F260" s="25" t="s">
        <v>113</v>
      </c>
      <c r="G260" s="25">
        <v>81897719002</v>
      </c>
      <c r="H260" s="11">
        <v>18.270720000000001</v>
      </c>
      <c r="I260" s="11">
        <f t="shared" si="31"/>
        <v>36.541440000000001</v>
      </c>
      <c r="J260" s="11">
        <f t="shared" si="33"/>
        <v>18.270720000000001</v>
      </c>
      <c r="K260" s="11">
        <f t="shared" si="32"/>
        <v>36.541440000000001</v>
      </c>
      <c r="L260" s="10">
        <v>0</v>
      </c>
      <c r="N260" s="118">
        <f t="shared" ref="N260:N323" si="34">H260*L260</f>
        <v>0</v>
      </c>
      <c r="O260" s="118">
        <f t="shared" ref="O260:O323" si="35">H260-N260</f>
        <v>18.270720000000001</v>
      </c>
    </row>
    <row r="261" spans="1:15" x14ac:dyDescent="0.25">
      <c r="A261" s="32" t="s">
        <v>2543</v>
      </c>
      <c r="B261" t="s">
        <v>131</v>
      </c>
      <c r="C261" s="13">
        <v>9</v>
      </c>
      <c r="D261" s="18" t="s">
        <v>132</v>
      </c>
      <c r="E261" s="13">
        <v>6</v>
      </c>
      <c r="F261" s="25" t="s">
        <v>131</v>
      </c>
      <c r="G261" s="25">
        <v>81897719002</v>
      </c>
      <c r="H261" s="11">
        <v>14.61824</v>
      </c>
      <c r="I261" s="11">
        <f t="shared" si="31"/>
        <v>87.709440000000001</v>
      </c>
      <c r="J261" s="11">
        <f t="shared" si="33"/>
        <v>14.61824</v>
      </c>
      <c r="K261" s="11">
        <f t="shared" si="32"/>
        <v>87.709440000000001</v>
      </c>
      <c r="L261" s="10">
        <v>0</v>
      </c>
      <c r="N261" s="118">
        <f t="shared" si="34"/>
        <v>0</v>
      </c>
      <c r="O261" s="118">
        <f t="shared" si="35"/>
        <v>14.61824</v>
      </c>
    </row>
    <row r="262" spans="1:15" x14ac:dyDescent="0.25">
      <c r="A262" s="32" t="s">
        <v>2542</v>
      </c>
      <c r="B262" t="s">
        <v>110</v>
      </c>
      <c r="C262" s="13">
        <v>10</v>
      </c>
      <c r="D262" s="18" t="s">
        <v>111</v>
      </c>
      <c r="E262" s="13">
        <v>1</v>
      </c>
      <c r="F262" s="25" t="s">
        <v>110</v>
      </c>
      <c r="G262" s="25">
        <v>81897719002</v>
      </c>
      <c r="H262" s="11">
        <v>34.095359999999999</v>
      </c>
      <c r="I262" s="11">
        <f t="shared" si="31"/>
        <v>34.095359999999999</v>
      </c>
      <c r="J262" s="11">
        <f t="shared" si="33"/>
        <v>34.095359999999999</v>
      </c>
      <c r="K262" s="11">
        <f t="shared" si="32"/>
        <v>34.095359999999999</v>
      </c>
      <c r="L262" s="10">
        <v>0</v>
      </c>
      <c r="N262" s="118">
        <f t="shared" si="34"/>
        <v>0</v>
      </c>
      <c r="O262" s="118">
        <f t="shared" si="35"/>
        <v>34.095359999999999</v>
      </c>
    </row>
    <row r="263" spans="1:15" x14ac:dyDescent="0.25">
      <c r="A263" s="32" t="s">
        <v>2541</v>
      </c>
      <c r="B263" t="s">
        <v>271</v>
      </c>
      <c r="C263" s="13">
        <v>11</v>
      </c>
      <c r="D263" s="18" t="s">
        <v>272</v>
      </c>
      <c r="E263" s="13">
        <v>2</v>
      </c>
      <c r="F263" s="25" t="s">
        <v>271</v>
      </c>
      <c r="G263" s="25">
        <v>81897719002</v>
      </c>
      <c r="H263" s="11">
        <v>30.442880000000002</v>
      </c>
      <c r="I263" s="11">
        <f t="shared" si="31"/>
        <v>60.885760000000005</v>
      </c>
      <c r="J263" s="11">
        <f t="shared" si="33"/>
        <v>30.442880000000002</v>
      </c>
      <c r="K263" s="11">
        <f t="shared" si="32"/>
        <v>60.885760000000005</v>
      </c>
      <c r="L263" s="10">
        <v>0</v>
      </c>
      <c r="N263" s="118">
        <f t="shared" si="34"/>
        <v>0</v>
      </c>
      <c r="O263" s="118">
        <f t="shared" si="35"/>
        <v>30.442880000000002</v>
      </c>
    </row>
    <row r="264" spans="1:15" x14ac:dyDescent="0.25">
      <c r="A264" s="32" t="s">
        <v>2540</v>
      </c>
      <c r="B264" t="s">
        <v>230</v>
      </c>
      <c r="C264" s="13">
        <v>12</v>
      </c>
      <c r="D264" s="18" t="s">
        <v>231</v>
      </c>
      <c r="E264" s="13">
        <v>1</v>
      </c>
      <c r="F264" s="25" t="s">
        <v>230</v>
      </c>
      <c r="G264" s="25">
        <v>81897719002</v>
      </c>
      <c r="H264" s="11">
        <v>8.5113600000000016</v>
      </c>
      <c r="I264" s="11">
        <f t="shared" si="31"/>
        <v>8.5113600000000016</v>
      </c>
      <c r="J264" s="11">
        <f t="shared" si="33"/>
        <v>8.5113600000000016</v>
      </c>
      <c r="K264" s="11">
        <f t="shared" si="32"/>
        <v>8.5113600000000016</v>
      </c>
      <c r="L264" s="10">
        <v>0</v>
      </c>
      <c r="N264" s="118">
        <f t="shared" si="34"/>
        <v>0</v>
      </c>
      <c r="O264" s="118">
        <f t="shared" si="35"/>
        <v>8.5113600000000016</v>
      </c>
    </row>
    <row r="265" spans="1:15" x14ac:dyDescent="0.25">
      <c r="A265" s="32" t="s">
        <v>2539</v>
      </c>
      <c r="B265" t="s">
        <v>146</v>
      </c>
      <c r="C265" s="13">
        <v>13</v>
      </c>
      <c r="D265" s="18" t="s">
        <v>147</v>
      </c>
      <c r="E265" s="13">
        <v>2</v>
      </c>
      <c r="F265" s="25" t="s">
        <v>146</v>
      </c>
      <c r="G265" s="25">
        <v>81897719002</v>
      </c>
      <c r="H265" s="11">
        <v>9.1353600000000004</v>
      </c>
      <c r="I265" s="11">
        <f t="shared" si="31"/>
        <v>18.270720000000001</v>
      </c>
      <c r="J265" s="11">
        <f t="shared" si="33"/>
        <v>9.1353600000000004</v>
      </c>
      <c r="K265" s="11">
        <f t="shared" si="32"/>
        <v>18.270720000000001</v>
      </c>
      <c r="L265" s="10">
        <v>0</v>
      </c>
      <c r="N265" s="118">
        <f t="shared" si="34"/>
        <v>0</v>
      </c>
      <c r="O265" s="118">
        <f t="shared" si="35"/>
        <v>9.1353600000000004</v>
      </c>
    </row>
    <row r="266" spans="1:15" x14ac:dyDescent="0.25">
      <c r="A266" s="32" t="s">
        <v>2538</v>
      </c>
      <c r="B266" t="s">
        <v>152</v>
      </c>
      <c r="C266" s="13">
        <v>14</v>
      </c>
      <c r="D266" s="18" t="s">
        <v>153</v>
      </c>
      <c r="E266" s="13">
        <v>2</v>
      </c>
      <c r="F266" s="25" t="s">
        <v>152</v>
      </c>
      <c r="G266" s="25">
        <v>81897719002</v>
      </c>
      <c r="H266" s="11">
        <v>8.5113600000000016</v>
      </c>
      <c r="I266" s="11">
        <f t="shared" si="31"/>
        <v>17.022720000000003</v>
      </c>
      <c r="J266" s="11">
        <f t="shared" si="33"/>
        <v>8.5113600000000016</v>
      </c>
      <c r="K266" s="11">
        <f t="shared" si="32"/>
        <v>17.022720000000003</v>
      </c>
      <c r="L266" s="10">
        <v>0</v>
      </c>
      <c r="N266" s="118">
        <f t="shared" si="34"/>
        <v>0</v>
      </c>
      <c r="O266" s="118">
        <f t="shared" si="35"/>
        <v>8.5113600000000016</v>
      </c>
    </row>
    <row r="267" spans="1:15" x14ac:dyDescent="0.25">
      <c r="A267" s="32" t="s">
        <v>2537</v>
      </c>
      <c r="B267" t="s">
        <v>2535</v>
      </c>
      <c r="C267" s="13">
        <v>15</v>
      </c>
      <c r="D267" s="18" t="s">
        <v>2536</v>
      </c>
      <c r="E267" s="13">
        <v>1</v>
      </c>
      <c r="F267" s="25" t="s">
        <v>2535</v>
      </c>
      <c r="G267" s="25">
        <v>81897719002</v>
      </c>
      <c r="H267" s="11">
        <v>17.646719999999998</v>
      </c>
      <c r="I267" s="11">
        <f t="shared" si="31"/>
        <v>17.646719999999998</v>
      </c>
      <c r="J267" s="11">
        <f t="shared" si="33"/>
        <v>17.646719999999998</v>
      </c>
      <c r="K267" s="11">
        <f t="shared" si="32"/>
        <v>17.646719999999998</v>
      </c>
      <c r="L267" s="10">
        <v>0</v>
      </c>
      <c r="N267" s="118">
        <f t="shared" si="34"/>
        <v>0</v>
      </c>
      <c r="O267" s="118">
        <f t="shared" si="35"/>
        <v>17.646719999999998</v>
      </c>
    </row>
    <row r="268" spans="1:15" x14ac:dyDescent="0.25">
      <c r="A268" s="32" t="s">
        <v>2534</v>
      </c>
      <c r="B268" t="s">
        <v>116</v>
      </c>
      <c r="C268" s="13">
        <v>16</v>
      </c>
      <c r="D268" s="18" t="s">
        <v>117</v>
      </c>
      <c r="E268" s="13">
        <v>2</v>
      </c>
      <c r="F268" s="25" t="s">
        <v>116</v>
      </c>
      <c r="G268" s="25">
        <v>81897719002</v>
      </c>
      <c r="H268" s="11">
        <v>17.646719999999998</v>
      </c>
      <c r="I268" s="11">
        <f t="shared" si="31"/>
        <v>35.293439999999997</v>
      </c>
      <c r="J268" s="11">
        <f t="shared" si="33"/>
        <v>17.646719999999998</v>
      </c>
      <c r="K268" s="11">
        <f t="shared" si="32"/>
        <v>35.293439999999997</v>
      </c>
      <c r="L268" s="10">
        <v>0</v>
      </c>
      <c r="N268" s="118">
        <f t="shared" si="34"/>
        <v>0</v>
      </c>
      <c r="O268" s="118">
        <f t="shared" si="35"/>
        <v>17.646719999999998</v>
      </c>
    </row>
    <row r="269" spans="1:15" x14ac:dyDescent="0.25">
      <c r="A269" s="32" t="s">
        <v>2533</v>
      </c>
      <c r="B269" t="s">
        <v>599</v>
      </c>
      <c r="C269" s="13">
        <v>17</v>
      </c>
      <c r="D269" s="18" t="s">
        <v>600</v>
      </c>
      <c r="E269" s="13">
        <v>2</v>
      </c>
      <c r="F269" s="25" t="s">
        <v>599</v>
      </c>
      <c r="G269" s="25">
        <v>81897719002</v>
      </c>
      <c r="H269" s="11">
        <v>17.064320000000002</v>
      </c>
      <c r="I269" s="11">
        <f t="shared" si="31"/>
        <v>34.128640000000004</v>
      </c>
      <c r="J269" s="11">
        <f t="shared" si="33"/>
        <v>17.064320000000002</v>
      </c>
      <c r="K269" s="11">
        <f t="shared" si="32"/>
        <v>34.128640000000004</v>
      </c>
      <c r="L269" s="10">
        <v>0</v>
      </c>
      <c r="N269" s="118">
        <f t="shared" si="34"/>
        <v>0</v>
      </c>
      <c r="O269" s="118">
        <f t="shared" si="35"/>
        <v>17.064320000000002</v>
      </c>
    </row>
    <row r="270" spans="1:15" x14ac:dyDescent="0.25">
      <c r="A270" s="32" t="s">
        <v>2532</v>
      </c>
      <c r="B270" t="s">
        <v>2530</v>
      </c>
      <c r="C270" s="13">
        <v>18</v>
      </c>
      <c r="D270" s="18" t="s">
        <v>2531</v>
      </c>
      <c r="E270" s="13">
        <v>4</v>
      </c>
      <c r="F270" s="25" t="s">
        <v>2530</v>
      </c>
      <c r="G270" s="25">
        <v>81897719002</v>
      </c>
      <c r="H270" s="11">
        <v>21.30752</v>
      </c>
      <c r="I270" s="11">
        <f t="shared" si="31"/>
        <v>85.230080000000001</v>
      </c>
      <c r="J270" s="11">
        <f t="shared" si="33"/>
        <v>21.30752</v>
      </c>
      <c r="K270" s="11">
        <f t="shared" si="32"/>
        <v>85.230080000000001</v>
      </c>
      <c r="L270" s="10">
        <v>0</v>
      </c>
      <c r="N270" s="118">
        <f t="shared" si="34"/>
        <v>0</v>
      </c>
      <c r="O270" s="118">
        <f t="shared" si="35"/>
        <v>21.30752</v>
      </c>
    </row>
    <row r="271" spans="1:15" x14ac:dyDescent="0.25">
      <c r="A271" s="32" t="s">
        <v>2529</v>
      </c>
      <c r="B271" t="s">
        <v>2528</v>
      </c>
      <c r="C271" s="13">
        <v>19</v>
      </c>
      <c r="D271" s="18" t="s">
        <v>2527</v>
      </c>
      <c r="E271" s="13">
        <v>2</v>
      </c>
      <c r="F271" s="25" t="s">
        <v>2526</v>
      </c>
      <c r="G271" s="25">
        <v>81897710022</v>
      </c>
      <c r="H271" s="11">
        <v>25.44256</v>
      </c>
      <c r="I271" s="11">
        <f t="shared" si="31"/>
        <v>50.885120000000001</v>
      </c>
      <c r="J271" s="11">
        <f t="shared" si="33"/>
        <v>25.44256</v>
      </c>
      <c r="K271" s="11">
        <f t="shared" si="32"/>
        <v>50.885120000000001</v>
      </c>
      <c r="L271" s="10">
        <v>0</v>
      </c>
      <c r="N271" s="118">
        <f t="shared" si="34"/>
        <v>0</v>
      </c>
      <c r="O271" s="118">
        <f t="shared" si="35"/>
        <v>25.44256</v>
      </c>
    </row>
    <row r="272" spans="1:15" x14ac:dyDescent="0.25">
      <c r="A272" s="32" t="s">
        <v>1684</v>
      </c>
      <c r="B272" t="s">
        <v>140</v>
      </c>
      <c r="C272" s="13">
        <v>20</v>
      </c>
      <c r="D272" s="18" t="s">
        <v>141</v>
      </c>
      <c r="E272" s="13">
        <v>1</v>
      </c>
      <c r="F272" s="25" t="s">
        <v>140</v>
      </c>
      <c r="G272" s="25">
        <v>81897719002</v>
      </c>
      <c r="H272" s="11">
        <v>26.782080000000001</v>
      </c>
      <c r="I272" s="11">
        <f t="shared" si="31"/>
        <v>26.782080000000001</v>
      </c>
      <c r="J272" s="11">
        <f t="shared" si="33"/>
        <v>26.782080000000001</v>
      </c>
      <c r="K272" s="11">
        <f t="shared" si="32"/>
        <v>26.782080000000001</v>
      </c>
      <c r="L272" s="10">
        <v>0</v>
      </c>
      <c r="N272" s="118">
        <f t="shared" si="34"/>
        <v>0</v>
      </c>
      <c r="O272" s="118">
        <f t="shared" si="35"/>
        <v>26.782080000000001</v>
      </c>
    </row>
    <row r="273" spans="1:15" x14ac:dyDescent="0.25">
      <c r="A273" s="32" t="s">
        <v>2525</v>
      </c>
      <c r="B273" t="s">
        <v>256</v>
      </c>
      <c r="C273" s="13">
        <v>21</v>
      </c>
      <c r="D273" s="18" t="s">
        <v>257</v>
      </c>
      <c r="E273" s="13">
        <v>6</v>
      </c>
      <c r="F273" s="25" t="s">
        <v>256</v>
      </c>
      <c r="G273" s="25">
        <v>81897719002</v>
      </c>
      <c r="H273" s="11">
        <v>15.233919999999999</v>
      </c>
      <c r="I273" s="11">
        <f t="shared" si="31"/>
        <v>91.40352</v>
      </c>
      <c r="J273" s="11">
        <f t="shared" si="33"/>
        <v>15.233919999999999</v>
      </c>
      <c r="K273" s="11">
        <f t="shared" si="32"/>
        <v>91.40352</v>
      </c>
      <c r="L273" s="10">
        <v>0</v>
      </c>
      <c r="N273" s="118">
        <f t="shared" si="34"/>
        <v>0</v>
      </c>
      <c r="O273" s="118">
        <f t="shared" si="35"/>
        <v>15.233919999999999</v>
      </c>
    </row>
    <row r="274" spans="1:15" x14ac:dyDescent="0.25">
      <c r="A274" s="32" t="s">
        <v>2524</v>
      </c>
      <c r="B274" t="s">
        <v>276</v>
      </c>
      <c r="C274" s="13">
        <v>22</v>
      </c>
      <c r="D274" s="18" t="s">
        <v>277</v>
      </c>
      <c r="E274" s="13">
        <v>2</v>
      </c>
      <c r="F274" s="25" t="s">
        <v>276</v>
      </c>
      <c r="G274" s="25">
        <v>81897719002</v>
      </c>
      <c r="H274" s="11">
        <v>26.782080000000001</v>
      </c>
      <c r="I274" s="11">
        <f t="shared" si="31"/>
        <v>53.564160000000001</v>
      </c>
      <c r="J274" s="11">
        <f t="shared" si="33"/>
        <v>26.782080000000001</v>
      </c>
      <c r="K274" s="11">
        <f t="shared" si="32"/>
        <v>53.564160000000001</v>
      </c>
      <c r="L274" s="10">
        <v>0</v>
      </c>
      <c r="N274" s="118">
        <f t="shared" si="34"/>
        <v>0</v>
      </c>
      <c r="O274" s="118">
        <f t="shared" si="35"/>
        <v>26.782080000000001</v>
      </c>
    </row>
    <row r="275" spans="1:15" x14ac:dyDescent="0.25">
      <c r="A275" s="32" t="s">
        <v>2523</v>
      </c>
      <c r="B275" t="s">
        <v>1834</v>
      </c>
      <c r="C275" s="13">
        <v>23</v>
      </c>
      <c r="D275" s="18" t="s">
        <v>1835</v>
      </c>
      <c r="E275" s="13">
        <v>1</v>
      </c>
      <c r="F275" s="25" t="s">
        <v>1834</v>
      </c>
      <c r="G275" s="25">
        <v>81897719002</v>
      </c>
      <c r="H275" s="11">
        <v>27.406079999999996</v>
      </c>
      <c r="I275" s="11">
        <f t="shared" si="31"/>
        <v>27.406079999999996</v>
      </c>
      <c r="J275" s="11">
        <f t="shared" si="33"/>
        <v>27.406079999999996</v>
      </c>
      <c r="K275" s="11">
        <f t="shared" si="32"/>
        <v>27.406079999999996</v>
      </c>
      <c r="L275" s="10">
        <v>0</v>
      </c>
      <c r="N275" s="118">
        <f t="shared" si="34"/>
        <v>0</v>
      </c>
      <c r="O275" s="118">
        <f t="shared" si="35"/>
        <v>27.406079999999996</v>
      </c>
    </row>
    <row r="276" spans="1:15" x14ac:dyDescent="0.25">
      <c r="A276" s="42" t="s">
        <v>2522</v>
      </c>
      <c r="B276" s="131"/>
      <c r="C276" s="13">
        <v>24</v>
      </c>
      <c r="D276" s="18" t="s">
        <v>2521</v>
      </c>
      <c r="E276" s="13">
        <v>1</v>
      </c>
      <c r="F276" s="25" t="s">
        <v>1335</v>
      </c>
      <c r="G276" s="25">
        <v>81897719006</v>
      </c>
      <c r="H276" s="11">
        <v>36.541440000000001</v>
      </c>
      <c r="I276" s="11">
        <f t="shared" si="31"/>
        <v>36.541440000000001</v>
      </c>
      <c r="J276" s="11">
        <f t="shared" si="33"/>
        <v>36.541440000000001</v>
      </c>
      <c r="K276" s="11">
        <f t="shared" si="32"/>
        <v>36.541440000000001</v>
      </c>
      <c r="L276" s="10">
        <v>0</v>
      </c>
      <c r="N276" s="118">
        <f t="shared" si="34"/>
        <v>0</v>
      </c>
      <c r="O276" s="118">
        <f t="shared" si="35"/>
        <v>36.541440000000001</v>
      </c>
    </row>
    <row r="277" spans="1:15" x14ac:dyDescent="0.25">
      <c r="A277" s="32" t="s">
        <v>1769</v>
      </c>
      <c r="B277" t="s">
        <v>259</v>
      </c>
      <c r="C277" s="13">
        <v>25</v>
      </c>
      <c r="D277" s="18" t="s">
        <v>260</v>
      </c>
      <c r="E277" s="13">
        <v>6</v>
      </c>
      <c r="F277" s="25" t="s">
        <v>259</v>
      </c>
      <c r="G277" s="25">
        <v>81897719002</v>
      </c>
      <c r="H277" s="11">
        <v>14.61824</v>
      </c>
      <c r="I277" s="11">
        <f t="shared" si="31"/>
        <v>87.709440000000001</v>
      </c>
      <c r="J277" s="11">
        <f t="shared" si="33"/>
        <v>14.61824</v>
      </c>
      <c r="K277" s="11">
        <f t="shared" si="32"/>
        <v>87.709440000000001</v>
      </c>
      <c r="L277" s="10">
        <v>0</v>
      </c>
      <c r="N277" s="118">
        <f t="shared" si="34"/>
        <v>0</v>
      </c>
      <c r="O277" s="118">
        <f t="shared" si="35"/>
        <v>14.61824</v>
      </c>
    </row>
    <row r="278" spans="1:15" x14ac:dyDescent="0.25">
      <c r="A278" s="32" t="s">
        <v>2520</v>
      </c>
      <c r="B278" t="s">
        <v>128</v>
      </c>
      <c r="C278" s="13">
        <v>26</v>
      </c>
      <c r="D278" s="18" t="s">
        <v>129</v>
      </c>
      <c r="E278" s="13">
        <v>2</v>
      </c>
      <c r="F278" s="25" t="s">
        <v>128</v>
      </c>
      <c r="G278" s="25">
        <v>81897719002</v>
      </c>
      <c r="H278" s="11">
        <v>18.89472</v>
      </c>
      <c r="I278" s="11">
        <f t="shared" si="31"/>
        <v>37.789439999999999</v>
      </c>
      <c r="J278" s="11">
        <f t="shared" si="33"/>
        <v>18.89472</v>
      </c>
      <c r="K278" s="11">
        <f t="shared" si="32"/>
        <v>37.789439999999999</v>
      </c>
      <c r="L278" s="10">
        <v>0</v>
      </c>
      <c r="N278" s="118">
        <f t="shared" si="34"/>
        <v>0</v>
      </c>
      <c r="O278" s="118">
        <f t="shared" si="35"/>
        <v>18.89472</v>
      </c>
    </row>
    <row r="279" spans="1:15" x14ac:dyDescent="0.25">
      <c r="A279" s="32" t="s">
        <v>2519</v>
      </c>
      <c r="B279" t="s">
        <v>125</v>
      </c>
      <c r="C279" s="13">
        <v>27</v>
      </c>
      <c r="D279" s="18" t="s">
        <v>126</v>
      </c>
      <c r="E279" s="13">
        <v>2</v>
      </c>
      <c r="F279" s="25" t="s">
        <v>125</v>
      </c>
      <c r="G279" s="25">
        <v>81897719002</v>
      </c>
      <c r="H279" s="11">
        <v>18.270720000000001</v>
      </c>
      <c r="I279" s="11">
        <f t="shared" si="31"/>
        <v>36.541440000000001</v>
      </c>
      <c r="J279" s="11">
        <f t="shared" si="33"/>
        <v>18.270720000000001</v>
      </c>
      <c r="K279" s="11">
        <f t="shared" si="32"/>
        <v>36.541440000000001</v>
      </c>
      <c r="L279" s="10">
        <v>0</v>
      </c>
      <c r="N279" s="118">
        <f t="shared" si="34"/>
        <v>0</v>
      </c>
      <c r="O279" s="118">
        <f t="shared" si="35"/>
        <v>18.270720000000001</v>
      </c>
    </row>
    <row r="280" spans="1:15" x14ac:dyDescent="0.25">
      <c r="A280" s="32" t="s">
        <v>2518</v>
      </c>
      <c r="B280" t="s">
        <v>107</v>
      </c>
      <c r="C280" s="13">
        <v>28</v>
      </c>
      <c r="D280" s="18" t="s">
        <v>108</v>
      </c>
      <c r="E280" s="13">
        <v>1</v>
      </c>
      <c r="F280" s="25" t="s">
        <v>107</v>
      </c>
      <c r="G280" s="25">
        <v>81897719002</v>
      </c>
      <c r="H280" s="11">
        <v>21.30752</v>
      </c>
      <c r="I280" s="11">
        <f t="shared" si="31"/>
        <v>21.30752</v>
      </c>
      <c r="J280" s="11">
        <f t="shared" si="33"/>
        <v>21.30752</v>
      </c>
      <c r="K280" s="11">
        <f t="shared" si="32"/>
        <v>21.30752</v>
      </c>
      <c r="L280" s="10">
        <v>0</v>
      </c>
      <c r="N280" s="118">
        <f t="shared" si="34"/>
        <v>0</v>
      </c>
      <c r="O280" s="118">
        <f t="shared" si="35"/>
        <v>21.30752</v>
      </c>
    </row>
    <row r="281" spans="1:15" x14ac:dyDescent="0.25">
      <c r="A281" s="32" t="s">
        <v>2517</v>
      </c>
      <c r="B281" t="s">
        <v>1675</v>
      </c>
      <c r="C281" s="13">
        <v>29</v>
      </c>
      <c r="D281" s="18" t="s">
        <v>1676</v>
      </c>
      <c r="E281" s="13">
        <v>1</v>
      </c>
      <c r="F281" s="25" t="s">
        <v>1675</v>
      </c>
      <c r="G281" s="25">
        <v>81897719002</v>
      </c>
      <c r="H281" s="11">
        <v>22.5472</v>
      </c>
      <c r="I281" s="11">
        <f t="shared" si="31"/>
        <v>22.5472</v>
      </c>
      <c r="J281" s="11">
        <f t="shared" si="33"/>
        <v>22.5472</v>
      </c>
      <c r="K281" s="11">
        <f t="shared" si="32"/>
        <v>22.5472</v>
      </c>
      <c r="L281" s="10">
        <v>0</v>
      </c>
      <c r="N281" s="118">
        <f t="shared" si="34"/>
        <v>0</v>
      </c>
      <c r="O281" s="118">
        <f t="shared" si="35"/>
        <v>22.5472</v>
      </c>
    </row>
    <row r="282" spans="1:15" x14ac:dyDescent="0.25">
      <c r="A282" s="32" t="s">
        <v>2516</v>
      </c>
      <c r="B282" t="s">
        <v>92</v>
      </c>
      <c r="C282" s="13">
        <v>30</v>
      </c>
      <c r="D282" s="18" t="s">
        <v>93</v>
      </c>
      <c r="E282" s="13">
        <v>1</v>
      </c>
      <c r="F282" s="25" t="s">
        <v>92</v>
      </c>
      <c r="G282" s="25">
        <v>81897719002</v>
      </c>
      <c r="H282" s="11">
        <v>20.533760000000001</v>
      </c>
      <c r="I282" s="11">
        <f t="shared" si="31"/>
        <v>20.533760000000001</v>
      </c>
      <c r="J282" s="11">
        <f t="shared" si="33"/>
        <v>20.533760000000001</v>
      </c>
      <c r="K282" s="11">
        <f t="shared" si="32"/>
        <v>20.533760000000001</v>
      </c>
      <c r="L282" s="10">
        <v>0</v>
      </c>
      <c r="N282" s="118">
        <f t="shared" si="34"/>
        <v>0</v>
      </c>
      <c r="O282" s="118">
        <f t="shared" si="35"/>
        <v>20.533760000000001</v>
      </c>
    </row>
    <row r="283" spans="1:15" x14ac:dyDescent="0.25">
      <c r="A283" s="32" t="s">
        <v>2515</v>
      </c>
      <c r="B283" t="s">
        <v>438</v>
      </c>
      <c r="C283" s="13">
        <v>31</v>
      </c>
      <c r="D283" s="18" t="s">
        <v>439</v>
      </c>
      <c r="E283" s="13">
        <v>1</v>
      </c>
      <c r="F283" s="25" t="s">
        <v>438</v>
      </c>
      <c r="G283" s="25">
        <v>81897719002</v>
      </c>
      <c r="H283" s="11">
        <v>19.801600000000001</v>
      </c>
      <c r="I283" s="11">
        <f t="shared" si="31"/>
        <v>19.801600000000001</v>
      </c>
      <c r="J283" s="11">
        <f t="shared" si="33"/>
        <v>19.801600000000001</v>
      </c>
      <c r="K283" s="11">
        <f t="shared" si="32"/>
        <v>19.801600000000001</v>
      </c>
      <c r="L283" s="10">
        <v>0</v>
      </c>
      <c r="N283" s="118">
        <f t="shared" si="34"/>
        <v>0</v>
      </c>
      <c r="O283" s="118">
        <f t="shared" si="35"/>
        <v>19.801600000000001</v>
      </c>
    </row>
    <row r="284" spans="1:15" x14ac:dyDescent="0.25">
      <c r="A284" s="32" t="s">
        <v>2514</v>
      </c>
      <c r="B284" t="s">
        <v>89</v>
      </c>
      <c r="C284" s="13">
        <v>32</v>
      </c>
      <c r="D284" s="18" t="s">
        <v>90</v>
      </c>
      <c r="E284" s="13">
        <v>1</v>
      </c>
      <c r="F284" s="25" t="s">
        <v>89</v>
      </c>
      <c r="G284" s="25">
        <v>81897719002</v>
      </c>
      <c r="H284" s="11">
        <v>17.505279999999999</v>
      </c>
      <c r="I284" s="11">
        <f t="shared" si="31"/>
        <v>17.505279999999999</v>
      </c>
      <c r="J284" s="11">
        <f t="shared" si="33"/>
        <v>17.505279999999999</v>
      </c>
      <c r="K284" s="11">
        <f t="shared" si="32"/>
        <v>17.505279999999999</v>
      </c>
      <c r="L284" s="10">
        <v>0</v>
      </c>
      <c r="N284" s="118">
        <f t="shared" si="34"/>
        <v>0</v>
      </c>
      <c r="O284" s="118">
        <f t="shared" si="35"/>
        <v>17.505279999999999</v>
      </c>
    </row>
    <row r="285" spans="1:15" x14ac:dyDescent="0.25">
      <c r="A285" s="32" t="s">
        <v>2513</v>
      </c>
      <c r="B285" t="s">
        <v>678</v>
      </c>
      <c r="C285" s="13">
        <v>33</v>
      </c>
      <c r="D285" s="18" t="s">
        <v>679</v>
      </c>
      <c r="E285" s="13">
        <v>1</v>
      </c>
      <c r="F285" s="25" t="s">
        <v>678</v>
      </c>
      <c r="G285" s="25">
        <v>81897719002</v>
      </c>
      <c r="H285" s="11">
        <v>16.773119999999999</v>
      </c>
      <c r="I285" s="11">
        <f t="shared" si="31"/>
        <v>16.773119999999999</v>
      </c>
      <c r="J285" s="11">
        <f t="shared" si="33"/>
        <v>16.773119999999999</v>
      </c>
      <c r="K285" s="11">
        <f t="shared" si="32"/>
        <v>16.773119999999999</v>
      </c>
      <c r="L285" s="10">
        <v>0</v>
      </c>
      <c r="N285" s="118">
        <f t="shared" si="34"/>
        <v>0</v>
      </c>
      <c r="O285" s="118">
        <f t="shared" si="35"/>
        <v>16.773119999999999</v>
      </c>
    </row>
    <row r="286" spans="1:15" x14ac:dyDescent="0.25">
      <c r="A286" s="32" t="s">
        <v>2512</v>
      </c>
      <c r="B286" t="s">
        <v>44</v>
      </c>
      <c r="C286" s="13">
        <v>34</v>
      </c>
      <c r="D286" s="18" t="s">
        <v>45</v>
      </c>
      <c r="E286" s="13">
        <v>1</v>
      </c>
      <c r="F286" s="25" t="s">
        <v>44</v>
      </c>
      <c r="G286" s="25" t="s">
        <v>427</v>
      </c>
      <c r="H286" s="11">
        <v>347.65120000000002</v>
      </c>
      <c r="I286" s="11">
        <f t="shared" si="31"/>
        <v>347.65120000000002</v>
      </c>
      <c r="J286" s="11">
        <f t="shared" si="33"/>
        <v>347.65120000000002</v>
      </c>
      <c r="K286" s="11">
        <f t="shared" si="32"/>
        <v>347.65120000000002</v>
      </c>
      <c r="L286" s="10">
        <v>0</v>
      </c>
      <c r="N286" s="118">
        <f t="shared" si="34"/>
        <v>0</v>
      </c>
      <c r="O286" s="118">
        <f t="shared" si="35"/>
        <v>347.65120000000002</v>
      </c>
    </row>
    <row r="287" spans="1:15" x14ac:dyDescent="0.25">
      <c r="A287" s="32" t="s">
        <v>2511</v>
      </c>
      <c r="B287" t="s">
        <v>86</v>
      </c>
      <c r="C287" s="13">
        <v>35</v>
      </c>
      <c r="D287" s="18" t="s">
        <v>87</v>
      </c>
      <c r="E287" s="13">
        <v>1</v>
      </c>
      <c r="F287" s="25" t="s">
        <v>86</v>
      </c>
      <c r="G287" s="25" t="s">
        <v>427</v>
      </c>
      <c r="H287" s="11">
        <v>492.19456000000002</v>
      </c>
      <c r="I287" s="11">
        <f t="shared" si="31"/>
        <v>492.19456000000002</v>
      </c>
      <c r="J287" s="11">
        <f t="shared" si="33"/>
        <v>492.19456000000002</v>
      </c>
      <c r="K287" s="11">
        <f t="shared" si="32"/>
        <v>492.19456000000002</v>
      </c>
      <c r="L287" s="10">
        <v>0</v>
      </c>
      <c r="N287" s="118">
        <f t="shared" si="34"/>
        <v>0</v>
      </c>
      <c r="O287" s="118">
        <f t="shared" si="35"/>
        <v>492.19456000000002</v>
      </c>
    </row>
    <row r="288" spans="1:15" x14ac:dyDescent="0.25">
      <c r="B288" t="s">
        <v>84</v>
      </c>
      <c r="C288" s="13">
        <v>36</v>
      </c>
      <c r="D288" s="18" t="s">
        <v>85</v>
      </c>
      <c r="E288" s="13">
        <v>1</v>
      </c>
      <c r="F288" s="25" t="s">
        <v>84</v>
      </c>
      <c r="G288" s="25" t="s">
        <v>427</v>
      </c>
      <c r="H288" s="11">
        <v>534.41856000000007</v>
      </c>
      <c r="I288" s="11">
        <f t="shared" si="31"/>
        <v>534.41856000000007</v>
      </c>
      <c r="J288" s="11">
        <f t="shared" si="33"/>
        <v>534.41856000000007</v>
      </c>
      <c r="K288" s="11">
        <f t="shared" si="32"/>
        <v>534.41856000000007</v>
      </c>
      <c r="L288" s="10">
        <v>0</v>
      </c>
      <c r="N288" s="118">
        <f t="shared" si="34"/>
        <v>0</v>
      </c>
      <c r="O288" s="118">
        <f t="shared" si="35"/>
        <v>534.41856000000007</v>
      </c>
    </row>
    <row r="289" spans="1:15" x14ac:dyDescent="0.25">
      <c r="B289" t="s">
        <v>82</v>
      </c>
      <c r="C289" s="13">
        <v>37</v>
      </c>
      <c r="D289" s="18" t="s">
        <v>83</v>
      </c>
      <c r="E289" s="13">
        <v>2</v>
      </c>
      <c r="F289" s="25" t="s">
        <v>82</v>
      </c>
      <c r="G289" s="25" t="s">
        <v>427</v>
      </c>
      <c r="H289" s="11">
        <v>8.6278399999999991</v>
      </c>
      <c r="I289" s="11">
        <f t="shared" si="31"/>
        <v>17.255679999999998</v>
      </c>
      <c r="J289" s="11">
        <f t="shared" si="33"/>
        <v>8.6278399999999991</v>
      </c>
      <c r="K289" s="11">
        <f t="shared" si="32"/>
        <v>17.255679999999998</v>
      </c>
      <c r="L289" s="10">
        <v>0</v>
      </c>
      <c r="N289" s="118">
        <f t="shared" si="34"/>
        <v>0</v>
      </c>
      <c r="O289" s="118">
        <f t="shared" si="35"/>
        <v>8.6278399999999991</v>
      </c>
    </row>
    <row r="290" spans="1:15" x14ac:dyDescent="0.25">
      <c r="C290" s="9"/>
      <c r="D290" s="8" t="s">
        <v>1</v>
      </c>
      <c r="E290" s="8">
        <f>SUM(E253:E289)</f>
        <v>66</v>
      </c>
      <c r="F290" s="8"/>
      <c r="G290" s="8"/>
      <c r="H290" s="7"/>
      <c r="I290" s="7">
        <f>SUM(I253:I289)</f>
        <v>2503.7376000000004</v>
      </c>
      <c r="J290" s="8"/>
      <c r="K290" s="7">
        <f>SUM(K253:K289)</f>
        <v>2503.7376000000004</v>
      </c>
      <c r="L290" s="6"/>
      <c r="N290" s="118">
        <f t="shared" si="34"/>
        <v>0</v>
      </c>
      <c r="O290" s="118">
        <f t="shared" si="35"/>
        <v>0</v>
      </c>
    </row>
    <row r="291" spans="1:15" x14ac:dyDescent="0.25">
      <c r="D291" t="s">
        <v>0</v>
      </c>
      <c r="F291" s="27"/>
      <c r="G291" s="27"/>
      <c r="N291" s="118">
        <f t="shared" si="34"/>
        <v>0</v>
      </c>
      <c r="O291" s="118">
        <f t="shared" si="35"/>
        <v>0</v>
      </c>
    </row>
    <row r="292" spans="1:15" x14ac:dyDescent="0.25">
      <c r="D292" s="24" t="s">
        <v>2510</v>
      </c>
      <c r="N292" s="118">
        <f t="shared" si="34"/>
        <v>0</v>
      </c>
      <c r="O292" s="118">
        <f t="shared" si="35"/>
        <v>0</v>
      </c>
    </row>
    <row r="293" spans="1:15" ht="30" x14ac:dyDescent="0.25">
      <c r="C293" s="24" t="s">
        <v>28</v>
      </c>
      <c r="D293" s="24" t="s">
        <v>27</v>
      </c>
      <c r="E293" s="24" t="s">
        <v>26</v>
      </c>
      <c r="F293" s="24" t="s">
        <v>25</v>
      </c>
      <c r="G293" s="24" t="s">
        <v>24</v>
      </c>
      <c r="H293" s="116" t="s">
        <v>21</v>
      </c>
      <c r="I293" s="24" t="s">
        <v>23</v>
      </c>
      <c r="J293" s="24" t="s">
        <v>2928</v>
      </c>
      <c r="K293" s="24" t="s">
        <v>2927</v>
      </c>
      <c r="L293" s="23" t="s">
        <v>22</v>
      </c>
      <c r="N293" s="118" t="e">
        <f t="shared" si="34"/>
        <v>#VALUE!</v>
      </c>
      <c r="O293" s="118" t="e">
        <f t="shared" si="35"/>
        <v>#VALUE!</v>
      </c>
    </row>
    <row r="294" spans="1:15" x14ac:dyDescent="0.25">
      <c r="A294" s="32" t="s">
        <v>2509</v>
      </c>
      <c r="B294" s="5" t="s">
        <v>422</v>
      </c>
      <c r="C294" s="13">
        <v>1</v>
      </c>
      <c r="D294" s="18" t="s">
        <v>423</v>
      </c>
      <c r="E294" s="13">
        <v>2</v>
      </c>
      <c r="F294" s="25" t="s">
        <v>422</v>
      </c>
      <c r="G294" s="25">
        <v>81897719002</v>
      </c>
      <c r="H294" s="11">
        <v>13.411840000000002</v>
      </c>
      <c r="I294" s="11">
        <f t="shared" ref="I294:I323" si="36">H294*E294</f>
        <v>26.823680000000003</v>
      </c>
      <c r="J294" s="11">
        <f>O294</f>
        <v>13.411840000000002</v>
      </c>
      <c r="K294" s="11">
        <f t="shared" ref="K294:K323" si="37">J294*E294</f>
        <v>26.823680000000003</v>
      </c>
      <c r="L294" s="10">
        <v>0</v>
      </c>
      <c r="N294" s="118">
        <f t="shared" si="34"/>
        <v>0</v>
      </c>
      <c r="O294" s="118">
        <f t="shared" si="35"/>
        <v>13.411840000000002</v>
      </c>
    </row>
    <row r="295" spans="1:15" s="5" customFormat="1" x14ac:dyDescent="0.25">
      <c r="A295" s="32" t="s">
        <v>2508</v>
      </c>
      <c r="B295" t="s">
        <v>642</v>
      </c>
      <c r="C295" s="13">
        <v>2</v>
      </c>
      <c r="D295" s="18" t="s">
        <v>641</v>
      </c>
      <c r="E295" s="13">
        <v>1</v>
      </c>
      <c r="F295" s="25" t="s">
        <v>158</v>
      </c>
      <c r="G295" s="25" t="s">
        <v>427</v>
      </c>
      <c r="H295" s="11">
        <v>4.6675200000000006</v>
      </c>
      <c r="I295" s="11">
        <f t="shared" si="36"/>
        <v>4.6675200000000006</v>
      </c>
      <c r="J295" s="11">
        <f t="shared" ref="J295:J323" si="38">O295</f>
        <v>4.6675200000000006</v>
      </c>
      <c r="K295" s="11">
        <f t="shared" si="37"/>
        <v>4.6675200000000006</v>
      </c>
      <c r="L295" s="10">
        <v>0</v>
      </c>
      <c r="N295" s="118">
        <f t="shared" si="34"/>
        <v>0</v>
      </c>
      <c r="O295" s="118">
        <f t="shared" si="35"/>
        <v>4.6675200000000006</v>
      </c>
    </row>
    <row r="296" spans="1:15" x14ac:dyDescent="0.25">
      <c r="A296" s="32" t="s">
        <v>2507</v>
      </c>
      <c r="B296" t="s">
        <v>286</v>
      </c>
      <c r="C296" s="19">
        <v>3</v>
      </c>
      <c r="D296" s="18" t="s">
        <v>287</v>
      </c>
      <c r="E296" s="13">
        <v>1</v>
      </c>
      <c r="F296" s="25" t="s">
        <v>286</v>
      </c>
      <c r="G296" s="25">
        <v>81897719002</v>
      </c>
      <c r="H296" s="11">
        <v>9.1353600000000004</v>
      </c>
      <c r="I296" s="11">
        <f t="shared" si="36"/>
        <v>9.1353600000000004</v>
      </c>
      <c r="J296" s="11">
        <f t="shared" si="38"/>
        <v>9.1353600000000004</v>
      </c>
      <c r="K296" s="11">
        <f t="shared" si="37"/>
        <v>9.1353600000000004</v>
      </c>
      <c r="L296" s="10">
        <v>0</v>
      </c>
      <c r="N296" s="118">
        <f t="shared" si="34"/>
        <v>0</v>
      </c>
      <c r="O296" s="118">
        <f t="shared" si="35"/>
        <v>9.1353600000000004</v>
      </c>
    </row>
    <row r="297" spans="1:15" x14ac:dyDescent="0.25">
      <c r="A297" s="35" t="s">
        <v>2506</v>
      </c>
      <c r="B297" t="s">
        <v>409</v>
      </c>
      <c r="C297" s="13">
        <v>4</v>
      </c>
      <c r="D297" s="18" t="s">
        <v>410</v>
      </c>
      <c r="E297" s="13">
        <v>1</v>
      </c>
      <c r="F297" t="s">
        <v>409</v>
      </c>
      <c r="G297" s="25">
        <v>81897710021</v>
      </c>
      <c r="H297" s="11">
        <v>6.09856</v>
      </c>
      <c r="I297" s="11">
        <f t="shared" si="36"/>
        <v>6.09856</v>
      </c>
      <c r="J297" s="11">
        <f t="shared" si="38"/>
        <v>6.09856</v>
      </c>
      <c r="K297" s="11">
        <f t="shared" si="37"/>
        <v>6.09856</v>
      </c>
      <c r="L297" s="10">
        <v>0</v>
      </c>
      <c r="N297" s="118">
        <f t="shared" si="34"/>
        <v>0</v>
      </c>
      <c r="O297" s="118">
        <f t="shared" si="35"/>
        <v>6.09856</v>
      </c>
    </row>
    <row r="298" spans="1:15" x14ac:dyDescent="0.25">
      <c r="A298" s="32" t="s">
        <v>2505</v>
      </c>
      <c r="B298" t="s">
        <v>131</v>
      </c>
      <c r="C298" s="13">
        <v>5</v>
      </c>
      <c r="D298" s="18" t="s">
        <v>132</v>
      </c>
      <c r="E298" s="13">
        <v>4</v>
      </c>
      <c r="F298" s="25" t="s">
        <v>131</v>
      </c>
      <c r="G298" s="25">
        <v>81897719002</v>
      </c>
      <c r="H298" s="11">
        <v>14.61824</v>
      </c>
      <c r="I298" s="11">
        <f t="shared" si="36"/>
        <v>58.47296</v>
      </c>
      <c r="J298" s="11">
        <f t="shared" si="38"/>
        <v>14.61824</v>
      </c>
      <c r="K298" s="11">
        <f t="shared" si="37"/>
        <v>58.47296</v>
      </c>
      <c r="L298" s="10">
        <v>0</v>
      </c>
      <c r="N298" s="118">
        <f t="shared" si="34"/>
        <v>0</v>
      </c>
      <c r="O298" s="118">
        <f t="shared" si="35"/>
        <v>14.61824</v>
      </c>
    </row>
    <row r="299" spans="1:15" x14ac:dyDescent="0.25">
      <c r="A299" s="32" t="s">
        <v>2504</v>
      </c>
      <c r="B299" t="s">
        <v>110</v>
      </c>
      <c r="C299" s="19">
        <v>6</v>
      </c>
      <c r="D299" s="18" t="s">
        <v>111</v>
      </c>
      <c r="E299" s="13">
        <v>1</v>
      </c>
      <c r="F299" s="25" t="s">
        <v>110</v>
      </c>
      <c r="G299" s="25">
        <v>81897719002</v>
      </c>
      <c r="H299" s="11">
        <v>34.095359999999999</v>
      </c>
      <c r="I299" s="11">
        <f t="shared" si="36"/>
        <v>34.095359999999999</v>
      </c>
      <c r="J299" s="11">
        <f t="shared" si="38"/>
        <v>34.095359999999999</v>
      </c>
      <c r="K299" s="11">
        <f t="shared" si="37"/>
        <v>34.095359999999999</v>
      </c>
      <c r="L299" s="10">
        <v>0</v>
      </c>
      <c r="N299" s="118">
        <f t="shared" si="34"/>
        <v>0</v>
      </c>
      <c r="O299" s="118">
        <f t="shared" si="35"/>
        <v>34.095359999999999</v>
      </c>
    </row>
    <row r="300" spans="1:15" x14ac:dyDescent="0.25">
      <c r="A300" s="32" t="s">
        <v>2503</v>
      </c>
      <c r="B300" t="s">
        <v>113</v>
      </c>
      <c r="C300" s="13">
        <v>7</v>
      </c>
      <c r="D300" s="18" t="s">
        <v>114</v>
      </c>
      <c r="E300" s="13">
        <v>2</v>
      </c>
      <c r="F300" s="25" t="s">
        <v>113</v>
      </c>
      <c r="G300" s="25">
        <v>81897719002</v>
      </c>
      <c r="H300" s="11">
        <v>18.270720000000001</v>
      </c>
      <c r="I300" s="11">
        <f t="shared" si="36"/>
        <v>36.541440000000001</v>
      </c>
      <c r="J300" s="11">
        <f t="shared" si="38"/>
        <v>18.270720000000001</v>
      </c>
      <c r="K300" s="11">
        <f t="shared" si="37"/>
        <v>36.541440000000001</v>
      </c>
      <c r="L300" s="10">
        <v>0</v>
      </c>
      <c r="N300" s="118">
        <f t="shared" si="34"/>
        <v>0</v>
      </c>
      <c r="O300" s="118">
        <f t="shared" si="35"/>
        <v>18.270720000000001</v>
      </c>
    </row>
    <row r="301" spans="1:15" x14ac:dyDescent="0.25">
      <c r="A301" s="32" t="s">
        <v>2502</v>
      </c>
      <c r="B301" t="s">
        <v>230</v>
      </c>
      <c r="C301" s="13">
        <v>8</v>
      </c>
      <c r="D301" s="18" t="s">
        <v>231</v>
      </c>
      <c r="E301" s="13">
        <v>1</v>
      </c>
      <c r="F301" s="25" t="s">
        <v>230</v>
      </c>
      <c r="G301" s="25">
        <v>81897719002</v>
      </c>
      <c r="H301" s="11">
        <v>8.5113600000000016</v>
      </c>
      <c r="I301" s="11">
        <f t="shared" si="36"/>
        <v>8.5113600000000016</v>
      </c>
      <c r="J301" s="11">
        <f t="shared" si="38"/>
        <v>8.5113600000000016</v>
      </c>
      <c r="K301" s="11">
        <f t="shared" si="37"/>
        <v>8.5113600000000016</v>
      </c>
      <c r="L301" s="10">
        <v>0</v>
      </c>
      <c r="N301" s="118">
        <f t="shared" si="34"/>
        <v>0</v>
      </c>
      <c r="O301" s="118">
        <f t="shared" si="35"/>
        <v>8.5113600000000016</v>
      </c>
    </row>
    <row r="302" spans="1:15" x14ac:dyDescent="0.25">
      <c r="A302" s="32" t="s">
        <v>2501</v>
      </c>
      <c r="B302" t="s">
        <v>871</v>
      </c>
      <c r="C302" s="19">
        <v>9</v>
      </c>
      <c r="D302" s="18" t="s">
        <v>872</v>
      </c>
      <c r="E302" s="13">
        <v>3</v>
      </c>
      <c r="F302" s="25" t="s">
        <v>871</v>
      </c>
      <c r="G302" s="25">
        <v>81897719002</v>
      </c>
      <c r="H302" s="11">
        <v>4.8588800000000001</v>
      </c>
      <c r="I302" s="11">
        <f t="shared" si="36"/>
        <v>14.576640000000001</v>
      </c>
      <c r="J302" s="11">
        <f t="shared" si="38"/>
        <v>4.8588800000000001</v>
      </c>
      <c r="K302" s="11">
        <f t="shared" si="37"/>
        <v>14.576640000000001</v>
      </c>
      <c r="L302" s="10">
        <v>0</v>
      </c>
      <c r="N302" s="118">
        <f t="shared" si="34"/>
        <v>0</v>
      </c>
      <c r="O302" s="118">
        <f t="shared" si="35"/>
        <v>4.8588800000000001</v>
      </c>
    </row>
    <row r="303" spans="1:15" x14ac:dyDescent="0.25">
      <c r="A303" s="32" t="s">
        <v>2500</v>
      </c>
      <c r="B303" t="s">
        <v>149</v>
      </c>
      <c r="C303" s="13">
        <v>10</v>
      </c>
      <c r="D303" s="58" t="s">
        <v>150</v>
      </c>
      <c r="E303" s="13">
        <v>1</v>
      </c>
      <c r="F303" t="s">
        <v>149</v>
      </c>
      <c r="G303" s="25">
        <v>81897719002</v>
      </c>
      <c r="H303" s="11">
        <v>4.8588800000000001</v>
      </c>
      <c r="I303" s="11">
        <f t="shared" si="36"/>
        <v>4.8588800000000001</v>
      </c>
      <c r="J303" s="11">
        <f t="shared" si="38"/>
        <v>4.8588800000000001</v>
      </c>
      <c r="K303" s="11">
        <f t="shared" si="37"/>
        <v>4.8588800000000001</v>
      </c>
      <c r="L303" s="10">
        <v>0</v>
      </c>
      <c r="N303" s="118">
        <f t="shared" si="34"/>
        <v>0</v>
      </c>
      <c r="O303" s="118">
        <f t="shared" si="35"/>
        <v>4.8588800000000001</v>
      </c>
    </row>
    <row r="304" spans="1:15" x14ac:dyDescent="0.25">
      <c r="A304" s="32" t="s">
        <v>2499</v>
      </c>
      <c r="B304" t="s">
        <v>233</v>
      </c>
      <c r="C304" s="13">
        <v>11</v>
      </c>
      <c r="D304" s="18" t="s">
        <v>234</v>
      </c>
      <c r="E304" s="13">
        <v>1</v>
      </c>
      <c r="F304" s="25" t="s">
        <v>233</v>
      </c>
      <c r="G304" s="25">
        <v>81897719002</v>
      </c>
      <c r="H304" s="11">
        <v>7.92896</v>
      </c>
      <c r="I304" s="11">
        <f t="shared" si="36"/>
        <v>7.92896</v>
      </c>
      <c r="J304" s="11">
        <f t="shared" si="38"/>
        <v>7.92896</v>
      </c>
      <c r="K304" s="11">
        <f t="shared" si="37"/>
        <v>7.92896</v>
      </c>
      <c r="L304" s="10">
        <v>0</v>
      </c>
      <c r="N304" s="118">
        <f t="shared" si="34"/>
        <v>0</v>
      </c>
      <c r="O304" s="118">
        <f t="shared" si="35"/>
        <v>7.92896</v>
      </c>
    </row>
    <row r="305" spans="1:15" x14ac:dyDescent="0.25">
      <c r="A305" s="32" t="s">
        <v>2498</v>
      </c>
      <c r="B305" t="s">
        <v>1004</v>
      </c>
      <c r="C305" s="19">
        <v>12</v>
      </c>
      <c r="D305" s="18" t="s">
        <v>1005</v>
      </c>
      <c r="E305" s="13">
        <v>3</v>
      </c>
      <c r="F305" s="25" t="s">
        <v>1004</v>
      </c>
      <c r="G305" s="25">
        <v>81897719002</v>
      </c>
      <c r="H305" s="11">
        <v>4.8588800000000001</v>
      </c>
      <c r="I305" s="11">
        <f t="shared" si="36"/>
        <v>14.576640000000001</v>
      </c>
      <c r="J305" s="11">
        <f t="shared" si="38"/>
        <v>4.8588800000000001</v>
      </c>
      <c r="K305" s="11">
        <f t="shared" si="37"/>
        <v>14.576640000000001</v>
      </c>
      <c r="L305" s="10">
        <v>0</v>
      </c>
      <c r="N305" s="118">
        <f t="shared" si="34"/>
        <v>0</v>
      </c>
      <c r="O305" s="118">
        <f t="shared" si="35"/>
        <v>4.8588800000000001</v>
      </c>
    </row>
    <row r="306" spans="1:15" x14ac:dyDescent="0.25">
      <c r="A306" s="32" t="s">
        <v>2497</v>
      </c>
      <c r="B306" t="s">
        <v>256</v>
      </c>
      <c r="C306" s="13">
        <v>13</v>
      </c>
      <c r="D306" s="18" t="s">
        <v>257</v>
      </c>
      <c r="E306" s="13">
        <v>6</v>
      </c>
      <c r="F306" s="25" t="s">
        <v>256</v>
      </c>
      <c r="G306" s="25">
        <v>81897719002</v>
      </c>
      <c r="H306" s="11">
        <v>15.233919999999999</v>
      </c>
      <c r="I306" s="11">
        <f t="shared" si="36"/>
        <v>91.40352</v>
      </c>
      <c r="J306" s="11">
        <f t="shared" si="38"/>
        <v>15.233919999999999</v>
      </c>
      <c r="K306" s="11">
        <f t="shared" si="37"/>
        <v>91.40352</v>
      </c>
      <c r="L306" s="10">
        <v>0</v>
      </c>
      <c r="N306" s="118">
        <f t="shared" si="34"/>
        <v>0</v>
      </c>
      <c r="O306" s="118">
        <f t="shared" si="35"/>
        <v>15.233919999999999</v>
      </c>
    </row>
    <row r="307" spans="1:15" x14ac:dyDescent="0.25">
      <c r="A307" s="32" t="s">
        <v>2496</v>
      </c>
      <c r="B307" t="s">
        <v>259</v>
      </c>
      <c r="C307" s="13">
        <v>14</v>
      </c>
      <c r="D307" s="18" t="s">
        <v>260</v>
      </c>
      <c r="E307" s="13">
        <v>4</v>
      </c>
      <c r="F307" s="25" t="s">
        <v>259</v>
      </c>
      <c r="G307" s="25">
        <v>81897719002</v>
      </c>
      <c r="H307" s="11">
        <v>14.61824</v>
      </c>
      <c r="I307" s="11">
        <f t="shared" si="36"/>
        <v>58.47296</v>
      </c>
      <c r="J307" s="11">
        <f t="shared" si="38"/>
        <v>14.61824</v>
      </c>
      <c r="K307" s="11">
        <f t="shared" si="37"/>
        <v>58.47296</v>
      </c>
      <c r="L307" s="10">
        <v>0</v>
      </c>
      <c r="N307" s="118">
        <f t="shared" si="34"/>
        <v>0</v>
      </c>
      <c r="O307" s="118">
        <f t="shared" si="35"/>
        <v>14.61824</v>
      </c>
    </row>
    <row r="308" spans="1:15" x14ac:dyDescent="0.25">
      <c r="A308" s="32" t="s">
        <v>2495</v>
      </c>
      <c r="B308" t="s">
        <v>116</v>
      </c>
      <c r="C308" s="19">
        <v>15</v>
      </c>
      <c r="D308" s="18" t="s">
        <v>117</v>
      </c>
      <c r="E308" s="13">
        <v>2</v>
      </c>
      <c r="F308" s="25" t="s">
        <v>116</v>
      </c>
      <c r="G308" s="25">
        <v>81897719002</v>
      </c>
      <c r="H308" s="11">
        <v>17.646719999999998</v>
      </c>
      <c r="I308" s="11">
        <f t="shared" si="36"/>
        <v>35.293439999999997</v>
      </c>
      <c r="J308" s="11">
        <f t="shared" si="38"/>
        <v>17.646719999999998</v>
      </c>
      <c r="K308" s="11">
        <f t="shared" si="37"/>
        <v>35.293439999999997</v>
      </c>
      <c r="L308" s="10">
        <v>0</v>
      </c>
      <c r="N308" s="118">
        <f t="shared" si="34"/>
        <v>0</v>
      </c>
      <c r="O308" s="118">
        <f t="shared" si="35"/>
        <v>17.646719999999998</v>
      </c>
    </row>
    <row r="309" spans="1:15" x14ac:dyDescent="0.25">
      <c r="A309" s="32" t="s">
        <v>2494</v>
      </c>
      <c r="B309" t="s">
        <v>119</v>
      </c>
      <c r="C309" s="13">
        <v>16</v>
      </c>
      <c r="D309" s="18" t="s">
        <v>120</v>
      </c>
      <c r="E309" s="13">
        <v>4</v>
      </c>
      <c r="F309" s="25" t="s">
        <v>119</v>
      </c>
      <c r="G309" s="25">
        <v>81897719002</v>
      </c>
      <c r="H309" s="11">
        <v>15.233919999999999</v>
      </c>
      <c r="I309" s="11">
        <f t="shared" si="36"/>
        <v>60.935679999999998</v>
      </c>
      <c r="J309" s="11">
        <f t="shared" si="38"/>
        <v>15.233919999999999</v>
      </c>
      <c r="K309" s="11">
        <f t="shared" si="37"/>
        <v>60.935679999999998</v>
      </c>
      <c r="L309" s="10">
        <v>0</v>
      </c>
      <c r="N309" s="118">
        <f t="shared" si="34"/>
        <v>0</v>
      </c>
      <c r="O309" s="118">
        <f t="shared" si="35"/>
        <v>15.233919999999999</v>
      </c>
    </row>
    <row r="310" spans="1:15" x14ac:dyDescent="0.25">
      <c r="A310" s="32" t="s">
        <v>2493</v>
      </c>
      <c r="B310" t="s">
        <v>122</v>
      </c>
      <c r="C310" s="13">
        <v>17</v>
      </c>
      <c r="D310" s="18" t="s">
        <v>123</v>
      </c>
      <c r="E310" s="13">
        <v>2</v>
      </c>
      <c r="F310" s="25" t="s">
        <v>122</v>
      </c>
      <c r="G310" s="25">
        <v>81897719002</v>
      </c>
      <c r="H310" s="11">
        <v>14.61824</v>
      </c>
      <c r="I310" s="11">
        <f t="shared" si="36"/>
        <v>29.23648</v>
      </c>
      <c r="J310" s="11">
        <f t="shared" si="38"/>
        <v>14.61824</v>
      </c>
      <c r="K310" s="11">
        <f t="shared" si="37"/>
        <v>29.23648</v>
      </c>
      <c r="L310" s="10">
        <v>0</v>
      </c>
      <c r="N310" s="118">
        <f t="shared" si="34"/>
        <v>0</v>
      </c>
      <c r="O310" s="118">
        <f t="shared" si="35"/>
        <v>14.61824</v>
      </c>
    </row>
    <row r="311" spans="1:15" x14ac:dyDescent="0.25">
      <c r="A311" s="32" t="s">
        <v>2492</v>
      </c>
      <c r="B311" t="s">
        <v>599</v>
      </c>
      <c r="C311" s="19">
        <v>18</v>
      </c>
      <c r="D311" s="18" t="s">
        <v>600</v>
      </c>
      <c r="E311" s="13">
        <v>2</v>
      </c>
      <c r="F311" s="25" t="s">
        <v>599</v>
      </c>
      <c r="G311" s="25">
        <v>81897719002</v>
      </c>
      <c r="H311" s="11">
        <v>17.064320000000002</v>
      </c>
      <c r="I311" s="11">
        <f t="shared" si="36"/>
        <v>34.128640000000004</v>
      </c>
      <c r="J311" s="11">
        <f t="shared" si="38"/>
        <v>17.064320000000002</v>
      </c>
      <c r="K311" s="11">
        <f t="shared" si="37"/>
        <v>34.128640000000004</v>
      </c>
      <c r="L311" s="10">
        <v>0</v>
      </c>
      <c r="N311" s="118">
        <f t="shared" si="34"/>
        <v>0</v>
      </c>
      <c r="O311" s="118">
        <f t="shared" si="35"/>
        <v>17.064320000000002</v>
      </c>
    </row>
    <row r="312" spans="1:15" x14ac:dyDescent="0.25">
      <c r="A312" s="32" t="s">
        <v>2491</v>
      </c>
      <c r="B312" t="s">
        <v>251</v>
      </c>
      <c r="C312" s="13">
        <v>19</v>
      </c>
      <c r="D312" s="18" t="s">
        <v>252</v>
      </c>
      <c r="E312" s="13">
        <v>2</v>
      </c>
      <c r="F312" s="25" t="s">
        <v>251</v>
      </c>
      <c r="G312" s="25">
        <v>81897719002</v>
      </c>
      <c r="H312" s="11">
        <v>15.824639999999999</v>
      </c>
      <c r="I312" s="11">
        <f t="shared" si="36"/>
        <v>31.649279999999997</v>
      </c>
      <c r="J312" s="11">
        <f t="shared" si="38"/>
        <v>15.824639999999999</v>
      </c>
      <c r="K312" s="11">
        <f t="shared" si="37"/>
        <v>31.649279999999997</v>
      </c>
      <c r="L312" s="10">
        <v>0</v>
      </c>
      <c r="N312" s="118">
        <f t="shared" si="34"/>
        <v>0</v>
      </c>
      <c r="O312" s="118">
        <f t="shared" si="35"/>
        <v>15.824639999999999</v>
      </c>
    </row>
    <row r="313" spans="1:15" x14ac:dyDescent="0.25">
      <c r="A313" s="32" t="s">
        <v>2490</v>
      </c>
      <c r="B313" t="s">
        <v>125</v>
      </c>
      <c r="C313" s="13">
        <v>20</v>
      </c>
      <c r="D313" s="18" t="s">
        <v>126</v>
      </c>
      <c r="E313" s="13">
        <v>2</v>
      </c>
      <c r="F313" s="25" t="s">
        <v>125</v>
      </c>
      <c r="G313" s="25">
        <v>81897719002</v>
      </c>
      <c r="H313" s="11">
        <v>18.270720000000001</v>
      </c>
      <c r="I313" s="11">
        <f t="shared" si="36"/>
        <v>36.541440000000001</v>
      </c>
      <c r="J313" s="11">
        <f t="shared" si="38"/>
        <v>18.270720000000001</v>
      </c>
      <c r="K313" s="11">
        <f t="shared" si="37"/>
        <v>36.541440000000001</v>
      </c>
      <c r="L313" s="10">
        <v>0</v>
      </c>
      <c r="N313" s="118">
        <f t="shared" si="34"/>
        <v>0</v>
      </c>
      <c r="O313" s="118">
        <f t="shared" si="35"/>
        <v>18.270720000000001</v>
      </c>
    </row>
    <row r="314" spans="1:15" x14ac:dyDescent="0.25">
      <c r="A314" s="32" t="s">
        <v>2489</v>
      </c>
      <c r="B314" t="s">
        <v>208</v>
      </c>
      <c r="C314" s="19">
        <v>21</v>
      </c>
      <c r="D314" s="18" t="s">
        <v>209</v>
      </c>
      <c r="E314" s="13">
        <v>4</v>
      </c>
      <c r="F314" s="25" t="s">
        <v>208</v>
      </c>
      <c r="G314" s="25">
        <v>81897719002</v>
      </c>
      <c r="H314" s="11">
        <v>16.440320000000003</v>
      </c>
      <c r="I314" s="11">
        <f t="shared" si="36"/>
        <v>65.761280000000014</v>
      </c>
      <c r="J314" s="11">
        <f t="shared" si="38"/>
        <v>16.440320000000003</v>
      </c>
      <c r="K314" s="11">
        <f t="shared" si="37"/>
        <v>65.761280000000014</v>
      </c>
      <c r="L314" s="10">
        <v>0</v>
      </c>
      <c r="N314" s="118">
        <f t="shared" si="34"/>
        <v>0</v>
      </c>
      <c r="O314" s="118">
        <f t="shared" si="35"/>
        <v>16.440320000000003</v>
      </c>
    </row>
    <row r="315" spans="1:15" x14ac:dyDescent="0.25">
      <c r="A315" s="32" t="s">
        <v>2488</v>
      </c>
      <c r="B315" t="s">
        <v>840</v>
      </c>
      <c r="C315" s="13">
        <v>22</v>
      </c>
      <c r="D315" s="18" t="s">
        <v>841</v>
      </c>
      <c r="E315" s="13">
        <v>1</v>
      </c>
      <c r="F315" s="25" t="s">
        <v>840</v>
      </c>
      <c r="G315" s="25">
        <v>81897719002</v>
      </c>
      <c r="H315" s="11">
        <v>19.477120000000003</v>
      </c>
      <c r="I315" s="11">
        <f t="shared" si="36"/>
        <v>19.477120000000003</v>
      </c>
      <c r="J315" s="11">
        <f t="shared" si="38"/>
        <v>19.477120000000003</v>
      </c>
      <c r="K315" s="11">
        <f t="shared" si="37"/>
        <v>19.477120000000003</v>
      </c>
      <c r="L315" s="10">
        <v>0</v>
      </c>
      <c r="N315" s="118">
        <f t="shared" si="34"/>
        <v>0</v>
      </c>
      <c r="O315" s="118">
        <f t="shared" si="35"/>
        <v>19.477120000000003</v>
      </c>
    </row>
    <row r="316" spans="1:15" x14ac:dyDescent="0.25">
      <c r="A316" s="32" t="s">
        <v>2487</v>
      </c>
      <c r="B316" t="s">
        <v>684</v>
      </c>
      <c r="C316" s="13">
        <v>23</v>
      </c>
      <c r="D316" s="18" t="s">
        <v>685</v>
      </c>
      <c r="E316" s="13">
        <v>1</v>
      </c>
      <c r="F316" s="25" t="s">
        <v>684</v>
      </c>
      <c r="G316" s="25">
        <v>81897719002</v>
      </c>
      <c r="H316" s="11">
        <v>12.17216</v>
      </c>
      <c r="I316" s="11">
        <f t="shared" si="36"/>
        <v>12.17216</v>
      </c>
      <c r="J316" s="11">
        <f t="shared" si="38"/>
        <v>12.17216</v>
      </c>
      <c r="K316" s="11">
        <f t="shared" si="37"/>
        <v>12.17216</v>
      </c>
      <c r="L316" s="10">
        <v>0</v>
      </c>
      <c r="N316" s="118">
        <f t="shared" si="34"/>
        <v>0</v>
      </c>
      <c r="O316" s="118">
        <f t="shared" si="35"/>
        <v>12.17216</v>
      </c>
    </row>
    <row r="317" spans="1:15" x14ac:dyDescent="0.25">
      <c r="A317" s="32" t="s">
        <v>2486</v>
      </c>
      <c r="B317" t="s">
        <v>1143</v>
      </c>
      <c r="C317" s="19">
        <v>24</v>
      </c>
      <c r="D317" s="18" t="s">
        <v>1144</v>
      </c>
      <c r="E317" s="13">
        <v>1</v>
      </c>
      <c r="F317" s="25" t="s">
        <v>1143</v>
      </c>
      <c r="G317" s="25">
        <v>81897719002</v>
      </c>
      <c r="H317" s="11">
        <v>16.773119999999999</v>
      </c>
      <c r="I317" s="11">
        <f t="shared" si="36"/>
        <v>16.773119999999999</v>
      </c>
      <c r="J317" s="11">
        <f t="shared" si="38"/>
        <v>16.773119999999999</v>
      </c>
      <c r="K317" s="11">
        <f t="shared" si="37"/>
        <v>16.773119999999999</v>
      </c>
      <c r="L317" s="10">
        <v>0</v>
      </c>
      <c r="N317" s="118">
        <f t="shared" si="34"/>
        <v>0</v>
      </c>
      <c r="O317" s="118">
        <f t="shared" si="35"/>
        <v>16.773119999999999</v>
      </c>
    </row>
    <row r="318" spans="1:15" x14ac:dyDescent="0.25">
      <c r="A318" s="32" t="s">
        <v>2485</v>
      </c>
      <c r="B318" t="s">
        <v>89</v>
      </c>
      <c r="C318" s="13">
        <v>25</v>
      </c>
      <c r="D318" s="18" t="s">
        <v>90</v>
      </c>
      <c r="E318" s="13">
        <v>1</v>
      </c>
      <c r="F318" s="25" t="s">
        <v>89</v>
      </c>
      <c r="G318" s="25">
        <v>81897719002</v>
      </c>
      <c r="H318" s="11">
        <v>17.505279999999999</v>
      </c>
      <c r="I318" s="11">
        <f t="shared" si="36"/>
        <v>17.505279999999999</v>
      </c>
      <c r="J318" s="11">
        <f t="shared" si="38"/>
        <v>17.505279999999999</v>
      </c>
      <c r="K318" s="11">
        <f t="shared" si="37"/>
        <v>17.505279999999999</v>
      </c>
      <c r="L318" s="10">
        <v>0</v>
      </c>
      <c r="N318" s="118">
        <f t="shared" si="34"/>
        <v>0</v>
      </c>
      <c r="O318" s="118">
        <f t="shared" si="35"/>
        <v>17.505279999999999</v>
      </c>
    </row>
    <row r="319" spans="1:15" x14ac:dyDescent="0.25">
      <c r="A319" s="32" t="s">
        <v>2484</v>
      </c>
      <c r="B319" t="s">
        <v>678</v>
      </c>
      <c r="C319" s="13">
        <v>26</v>
      </c>
      <c r="D319" s="18" t="s">
        <v>679</v>
      </c>
      <c r="E319" s="13">
        <v>1</v>
      </c>
      <c r="F319" s="25" t="s">
        <v>678</v>
      </c>
      <c r="G319" s="25">
        <v>81897719002</v>
      </c>
      <c r="H319" s="11">
        <v>16.773119999999999</v>
      </c>
      <c r="I319" s="11">
        <f t="shared" si="36"/>
        <v>16.773119999999999</v>
      </c>
      <c r="J319" s="11">
        <f t="shared" si="38"/>
        <v>16.773119999999999</v>
      </c>
      <c r="K319" s="11">
        <f t="shared" si="37"/>
        <v>16.773119999999999</v>
      </c>
      <c r="L319" s="10">
        <v>0</v>
      </c>
      <c r="N319" s="118">
        <f t="shared" si="34"/>
        <v>0</v>
      </c>
      <c r="O319" s="118">
        <f t="shared" si="35"/>
        <v>16.773119999999999</v>
      </c>
    </row>
    <row r="320" spans="1:15" x14ac:dyDescent="0.25">
      <c r="A320" s="32" t="s">
        <v>2483</v>
      </c>
      <c r="B320" t="s">
        <v>44</v>
      </c>
      <c r="C320" s="19">
        <v>27</v>
      </c>
      <c r="D320" s="18" t="s">
        <v>45</v>
      </c>
      <c r="E320" s="13">
        <v>1</v>
      </c>
      <c r="F320" s="25" t="s">
        <v>44</v>
      </c>
      <c r="G320" s="25" t="s">
        <v>427</v>
      </c>
      <c r="H320" s="11">
        <v>347.65120000000002</v>
      </c>
      <c r="I320" s="11">
        <f t="shared" si="36"/>
        <v>347.65120000000002</v>
      </c>
      <c r="J320" s="11">
        <f t="shared" si="38"/>
        <v>347.65120000000002</v>
      </c>
      <c r="K320" s="11">
        <f t="shared" si="37"/>
        <v>347.65120000000002</v>
      </c>
      <c r="L320" s="10">
        <v>0</v>
      </c>
      <c r="N320" s="118">
        <f t="shared" si="34"/>
        <v>0</v>
      </c>
      <c r="O320" s="118">
        <f t="shared" si="35"/>
        <v>347.65120000000002</v>
      </c>
    </row>
    <row r="321" spans="1:15" x14ac:dyDescent="0.25">
      <c r="A321" s="32" t="s">
        <v>2482</v>
      </c>
      <c r="B321" t="s">
        <v>86</v>
      </c>
      <c r="C321" s="13">
        <v>28</v>
      </c>
      <c r="D321" s="18" t="s">
        <v>87</v>
      </c>
      <c r="E321" s="13">
        <v>1</v>
      </c>
      <c r="F321" s="25" t="s">
        <v>86</v>
      </c>
      <c r="G321" s="25" t="s">
        <v>427</v>
      </c>
      <c r="H321" s="11">
        <v>492.19456000000002</v>
      </c>
      <c r="I321" s="11">
        <f t="shared" si="36"/>
        <v>492.19456000000002</v>
      </c>
      <c r="J321" s="11">
        <f t="shared" si="38"/>
        <v>492.19456000000002</v>
      </c>
      <c r="K321" s="11">
        <f t="shared" si="37"/>
        <v>492.19456000000002</v>
      </c>
      <c r="L321" s="10">
        <v>0</v>
      </c>
      <c r="N321" s="118">
        <f t="shared" si="34"/>
        <v>0</v>
      </c>
      <c r="O321" s="118">
        <f t="shared" si="35"/>
        <v>492.19456000000002</v>
      </c>
    </row>
    <row r="322" spans="1:15" x14ac:dyDescent="0.25">
      <c r="B322" t="s">
        <v>84</v>
      </c>
      <c r="C322" s="13">
        <v>29</v>
      </c>
      <c r="D322" s="18" t="s">
        <v>85</v>
      </c>
      <c r="E322" s="13">
        <v>1</v>
      </c>
      <c r="F322" s="25" t="s">
        <v>84</v>
      </c>
      <c r="G322" s="25" t="s">
        <v>427</v>
      </c>
      <c r="H322" s="11">
        <v>534.41856000000007</v>
      </c>
      <c r="I322" s="11">
        <f t="shared" si="36"/>
        <v>534.41856000000007</v>
      </c>
      <c r="J322" s="11">
        <f t="shared" si="38"/>
        <v>534.41856000000007</v>
      </c>
      <c r="K322" s="11">
        <f t="shared" si="37"/>
        <v>534.41856000000007</v>
      </c>
      <c r="L322" s="10">
        <v>0</v>
      </c>
      <c r="N322" s="118">
        <f t="shared" si="34"/>
        <v>0</v>
      </c>
      <c r="O322" s="118">
        <f t="shared" si="35"/>
        <v>534.41856000000007</v>
      </c>
    </row>
    <row r="323" spans="1:15" x14ac:dyDescent="0.25">
      <c r="B323" t="s">
        <v>82</v>
      </c>
      <c r="C323" s="19">
        <v>30</v>
      </c>
      <c r="D323" s="18" t="s">
        <v>83</v>
      </c>
      <c r="E323" s="13">
        <v>2</v>
      </c>
      <c r="F323" s="25" t="s">
        <v>82</v>
      </c>
      <c r="G323" s="25" t="s">
        <v>427</v>
      </c>
      <c r="H323" s="11">
        <v>8.6278399999999991</v>
      </c>
      <c r="I323" s="11">
        <f t="shared" si="36"/>
        <v>17.255679999999998</v>
      </c>
      <c r="J323" s="11">
        <f t="shared" si="38"/>
        <v>8.6278399999999991</v>
      </c>
      <c r="K323" s="11">
        <f t="shared" si="37"/>
        <v>17.255679999999998</v>
      </c>
      <c r="L323" s="10">
        <v>0</v>
      </c>
      <c r="N323" s="118">
        <f t="shared" si="34"/>
        <v>0</v>
      </c>
      <c r="O323" s="118">
        <f t="shared" si="35"/>
        <v>8.6278399999999991</v>
      </c>
    </row>
    <row r="324" spans="1:15" x14ac:dyDescent="0.25">
      <c r="C324" s="9"/>
      <c r="D324" s="8" t="s">
        <v>1</v>
      </c>
      <c r="E324" s="8">
        <f>SUM(E294:E323)</f>
        <v>59</v>
      </c>
      <c r="F324" s="8"/>
      <c r="G324" s="8"/>
      <c r="H324" s="7"/>
      <c r="I324" s="7">
        <f>SUM(I294:I323)</f>
        <v>2143.9308799999999</v>
      </c>
      <c r="J324" s="8"/>
      <c r="K324" s="7">
        <f>SUM(K294:K323)</f>
        <v>2143.9308799999999</v>
      </c>
      <c r="L324" s="6"/>
      <c r="N324" s="118">
        <f t="shared" ref="N324:N387" si="39">H324*L324</f>
        <v>0</v>
      </c>
      <c r="O324" s="118">
        <f t="shared" ref="O324:O387" si="40">H324-N324</f>
        <v>0</v>
      </c>
    </row>
    <row r="325" spans="1:15" x14ac:dyDescent="0.25">
      <c r="D325" t="s">
        <v>0</v>
      </c>
      <c r="F325" s="27"/>
      <c r="G325" s="27"/>
      <c r="N325" s="118">
        <f t="shared" si="39"/>
        <v>0</v>
      </c>
      <c r="O325" s="118">
        <f t="shared" si="40"/>
        <v>0</v>
      </c>
    </row>
    <row r="326" spans="1:15" x14ac:dyDescent="0.25">
      <c r="C326" s="57"/>
      <c r="D326" s="24" t="s">
        <v>2481</v>
      </c>
      <c r="F326" s="27"/>
      <c r="G326" s="27"/>
      <c r="N326" s="118">
        <f t="shared" si="39"/>
        <v>0</v>
      </c>
      <c r="O326" s="118">
        <f t="shared" si="40"/>
        <v>0</v>
      </c>
    </row>
    <row r="327" spans="1:15" ht="30" x14ac:dyDescent="0.25">
      <c r="C327" s="24" t="s">
        <v>28</v>
      </c>
      <c r="D327" s="24" t="s">
        <v>27</v>
      </c>
      <c r="E327" s="24" t="s">
        <v>26</v>
      </c>
      <c r="F327" s="24" t="s">
        <v>25</v>
      </c>
      <c r="G327" s="24" t="s">
        <v>24</v>
      </c>
      <c r="H327" s="116" t="s">
        <v>21</v>
      </c>
      <c r="I327" s="24" t="s">
        <v>23</v>
      </c>
      <c r="J327" s="24" t="s">
        <v>2928</v>
      </c>
      <c r="K327" s="24" t="s">
        <v>2927</v>
      </c>
      <c r="L327" s="23" t="s">
        <v>22</v>
      </c>
      <c r="N327" s="118" t="e">
        <f t="shared" si="39"/>
        <v>#VALUE!</v>
      </c>
      <c r="O327" s="118" t="e">
        <f t="shared" si="40"/>
        <v>#VALUE!</v>
      </c>
    </row>
    <row r="328" spans="1:15" x14ac:dyDescent="0.25">
      <c r="A328" s="32" t="s">
        <v>2480</v>
      </c>
      <c r="B328" s="5" t="s">
        <v>2478</v>
      </c>
      <c r="C328" s="19">
        <v>1</v>
      </c>
      <c r="D328" s="18" t="s">
        <v>2479</v>
      </c>
      <c r="E328" s="13">
        <v>6</v>
      </c>
      <c r="F328" s="25" t="s">
        <v>2478</v>
      </c>
      <c r="G328" s="25">
        <v>81897710023</v>
      </c>
      <c r="H328" s="11">
        <v>366.35863999999998</v>
      </c>
      <c r="I328" s="11">
        <f t="shared" ref="I328:I348" si="41">H328*E328</f>
        <v>2198.15184</v>
      </c>
      <c r="J328" s="11">
        <f>O328</f>
        <v>366.35863999999998</v>
      </c>
      <c r="K328" s="11">
        <f t="shared" ref="K328:K348" si="42">J328*E328</f>
        <v>2198.15184</v>
      </c>
      <c r="L328" s="10">
        <v>0</v>
      </c>
      <c r="N328" s="118">
        <f t="shared" si="39"/>
        <v>0</v>
      </c>
      <c r="O328" s="118">
        <f t="shared" si="40"/>
        <v>366.35863999999998</v>
      </c>
    </row>
    <row r="329" spans="1:15" x14ac:dyDescent="0.25">
      <c r="A329" s="35" t="s">
        <v>2477</v>
      </c>
      <c r="B329" t="s">
        <v>2474</v>
      </c>
      <c r="C329" s="19">
        <v>2</v>
      </c>
      <c r="D329" s="18" t="s">
        <v>2475</v>
      </c>
      <c r="E329" s="13">
        <v>6</v>
      </c>
      <c r="F329" s="25" t="s">
        <v>2474</v>
      </c>
      <c r="G329" s="25">
        <v>81897710018</v>
      </c>
      <c r="H329" s="11">
        <v>53.807199999999995</v>
      </c>
      <c r="I329" s="11">
        <f t="shared" si="41"/>
        <v>322.84319999999997</v>
      </c>
      <c r="J329" s="11">
        <f t="shared" ref="J329:J348" si="43">O329</f>
        <v>53.807199999999995</v>
      </c>
      <c r="K329" s="11">
        <f t="shared" si="42"/>
        <v>322.84319999999997</v>
      </c>
      <c r="L329" s="10">
        <v>0</v>
      </c>
      <c r="N329" s="118">
        <f t="shared" si="39"/>
        <v>0</v>
      </c>
      <c r="O329" s="118">
        <f t="shared" si="40"/>
        <v>53.807199999999995</v>
      </c>
    </row>
    <row r="330" spans="1:15" s="5" customFormat="1" x14ac:dyDescent="0.25">
      <c r="A330" s="35" t="s">
        <v>2476</v>
      </c>
      <c r="B330" t="s">
        <v>2474</v>
      </c>
      <c r="C330" s="19">
        <v>3</v>
      </c>
      <c r="D330" s="18" t="s">
        <v>2475</v>
      </c>
      <c r="E330" s="13">
        <v>6</v>
      </c>
      <c r="F330" s="25" t="s">
        <v>2474</v>
      </c>
      <c r="G330" s="25">
        <v>81897710018</v>
      </c>
      <c r="H330" s="11">
        <v>53.807199999999995</v>
      </c>
      <c r="I330" s="11">
        <f t="shared" si="41"/>
        <v>322.84319999999997</v>
      </c>
      <c r="J330" s="11">
        <f t="shared" si="43"/>
        <v>53.807199999999995</v>
      </c>
      <c r="K330" s="11">
        <f t="shared" si="42"/>
        <v>322.84319999999997</v>
      </c>
      <c r="L330" s="10">
        <v>0</v>
      </c>
      <c r="N330" s="118">
        <f t="shared" si="39"/>
        <v>0</v>
      </c>
      <c r="O330" s="118">
        <f t="shared" si="40"/>
        <v>53.807199999999995</v>
      </c>
    </row>
    <row r="331" spans="1:15" x14ac:dyDescent="0.25">
      <c r="A331" s="32" t="s">
        <v>2473</v>
      </c>
      <c r="B331" t="s">
        <v>2471</v>
      </c>
      <c r="C331" s="19">
        <v>4</v>
      </c>
      <c r="D331" s="18" t="s">
        <v>2472</v>
      </c>
      <c r="E331" s="13">
        <v>12</v>
      </c>
      <c r="F331" s="25" t="s">
        <v>2471</v>
      </c>
      <c r="G331" s="25">
        <v>81897719002</v>
      </c>
      <c r="H331" s="11">
        <v>27.77704</v>
      </c>
      <c r="I331" s="11">
        <f t="shared" si="41"/>
        <v>333.32447999999999</v>
      </c>
      <c r="J331" s="11">
        <f t="shared" si="43"/>
        <v>27.77704</v>
      </c>
      <c r="K331" s="11">
        <f t="shared" si="42"/>
        <v>333.32447999999999</v>
      </c>
      <c r="L331" s="10">
        <v>0</v>
      </c>
      <c r="N331" s="118">
        <f t="shared" si="39"/>
        <v>0</v>
      </c>
      <c r="O331" s="118">
        <f t="shared" si="40"/>
        <v>27.77704</v>
      </c>
    </row>
    <row r="332" spans="1:15" x14ac:dyDescent="0.25">
      <c r="A332" s="32" t="s">
        <v>2470</v>
      </c>
      <c r="B332" t="s">
        <v>623</v>
      </c>
      <c r="C332" s="19">
        <v>5</v>
      </c>
      <c r="D332" s="18" t="s">
        <v>910</v>
      </c>
      <c r="E332" s="13">
        <v>12</v>
      </c>
      <c r="F332" s="25" t="s">
        <v>623</v>
      </c>
      <c r="G332" s="25">
        <v>81897719002</v>
      </c>
      <c r="H332" s="11">
        <v>33.932320000000004</v>
      </c>
      <c r="I332" s="11">
        <f t="shared" si="41"/>
        <v>407.18784000000005</v>
      </c>
      <c r="J332" s="11">
        <f t="shared" si="43"/>
        <v>33.932320000000004</v>
      </c>
      <c r="K332" s="11">
        <f t="shared" si="42"/>
        <v>407.18784000000005</v>
      </c>
      <c r="L332" s="10">
        <v>0</v>
      </c>
      <c r="N332" s="118">
        <f t="shared" si="39"/>
        <v>0</v>
      </c>
      <c r="O332" s="118">
        <f t="shared" si="40"/>
        <v>33.932320000000004</v>
      </c>
    </row>
    <row r="333" spans="1:15" x14ac:dyDescent="0.25">
      <c r="A333" s="32" t="s">
        <v>2469</v>
      </c>
      <c r="B333" t="s">
        <v>2467</v>
      </c>
      <c r="C333" s="19">
        <v>6</v>
      </c>
      <c r="D333" s="18" t="s">
        <v>2468</v>
      </c>
      <c r="E333" s="13">
        <v>6</v>
      </c>
      <c r="F333" s="25" t="s">
        <v>2467</v>
      </c>
      <c r="G333" s="25">
        <v>81897719002</v>
      </c>
      <c r="H333" s="11">
        <v>33.932320000000004</v>
      </c>
      <c r="I333" s="11">
        <f t="shared" si="41"/>
        <v>203.59392000000003</v>
      </c>
      <c r="J333" s="11">
        <f t="shared" si="43"/>
        <v>33.932320000000004</v>
      </c>
      <c r="K333" s="11">
        <f t="shared" si="42"/>
        <v>203.59392000000003</v>
      </c>
      <c r="L333" s="10">
        <v>0</v>
      </c>
      <c r="N333" s="118">
        <f t="shared" si="39"/>
        <v>0</v>
      </c>
      <c r="O333" s="118">
        <f t="shared" si="40"/>
        <v>33.932320000000004</v>
      </c>
    </row>
    <row r="334" spans="1:15" x14ac:dyDescent="0.25">
      <c r="A334" s="32" t="s">
        <v>2466</v>
      </c>
      <c r="B334" t="s">
        <v>2464</v>
      </c>
      <c r="C334" s="19">
        <v>7</v>
      </c>
      <c r="D334" s="18" t="s">
        <v>2465</v>
      </c>
      <c r="E334" s="13">
        <v>12</v>
      </c>
      <c r="F334" s="25" t="s">
        <v>2464</v>
      </c>
      <c r="G334" s="25">
        <v>81897719002</v>
      </c>
      <c r="H334" s="11">
        <v>33.932320000000004</v>
      </c>
      <c r="I334" s="11">
        <f t="shared" si="41"/>
        <v>407.18784000000005</v>
      </c>
      <c r="J334" s="11">
        <f t="shared" si="43"/>
        <v>33.932320000000004</v>
      </c>
      <c r="K334" s="11">
        <f t="shared" si="42"/>
        <v>407.18784000000005</v>
      </c>
      <c r="L334" s="10">
        <v>0</v>
      </c>
      <c r="N334" s="118">
        <f t="shared" si="39"/>
        <v>0</v>
      </c>
      <c r="O334" s="118">
        <f t="shared" si="40"/>
        <v>33.932320000000004</v>
      </c>
    </row>
    <row r="335" spans="1:15" x14ac:dyDescent="0.25">
      <c r="A335" s="32" t="s">
        <v>2463</v>
      </c>
      <c r="B335" t="s">
        <v>482</v>
      </c>
      <c r="C335" s="19">
        <v>8</v>
      </c>
      <c r="D335" s="18" t="s">
        <v>483</v>
      </c>
      <c r="E335" s="13">
        <v>6</v>
      </c>
      <c r="F335" s="25" t="s">
        <v>482</v>
      </c>
      <c r="G335" s="25">
        <v>81897719002</v>
      </c>
      <c r="H335" s="11">
        <v>23.146160000000002</v>
      </c>
      <c r="I335" s="11">
        <f t="shared" si="41"/>
        <v>138.87696</v>
      </c>
      <c r="J335" s="11">
        <f t="shared" si="43"/>
        <v>23.146160000000002</v>
      </c>
      <c r="K335" s="11">
        <f t="shared" si="42"/>
        <v>138.87696</v>
      </c>
      <c r="L335" s="10">
        <v>0</v>
      </c>
      <c r="N335" s="118">
        <f t="shared" si="39"/>
        <v>0</v>
      </c>
      <c r="O335" s="118">
        <f t="shared" si="40"/>
        <v>23.146160000000002</v>
      </c>
    </row>
    <row r="336" spans="1:15" x14ac:dyDescent="0.25">
      <c r="A336" s="32" t="s">
        <v>2462</v>
      </c>
      <c r="B336" t="s">
        <v>542</v>
      </c>
      <c r="C336" s="19">
        <v>9</v>
      </c>
      <c r="D336" s="18" t="s">
        <v>2461</v>
      </c>
      <c r="E336" s="13">
        <v>6</v>
      </c>
      <c r="F336" s="25" t="s">
        <v>542</v>
      </c>
      <c r="G336" s="25">
        <v>81897710018</v>
      </c>
      <c r="H336" s="11">
        <v>30.87528</v>
      </c>
      <c r="I336" s="11">
        <f t="shared" si="41"/>
        <v>185.25167999999999</v>
      </c>
      <c r="J336" s="11">
        <f t="shared" si="43"/>
        <v>30.87528</v>
      </c>
      <c r="K336" s="11">
        <f t="shared" si="42"/>
        <v>185.25167999999999</v>
      </c>
      <c r="L336" s="10">
        <v>0</v>
      </c>
      <c r="N336" s="118">
        <f t="shared" si="39"/>
        <v>0</v>
      </c>
      <c r="O336" s="118">
        <f t="shared" si="40"/>
        <v>30.87528</v>
      </c>
    </row>
    <row r="337" spans="1:15" x14ac:dyDescent="0.25">
      <c r="A337" s="32" t="s">
        <v>2460</v>
      </c>
      <c r="B337" t="s">
        <v>2458</v>
      </c>
      <c r="C337" s="19">
        <v>10</v>
      </c>
      <c r="D337" s="18" t="s">
        <v>2459</v>
      </c>
      <c r="E337" s="13">
        <v>6</v>
      </c>
      <c r="F337" s="25" t="s">
        <v>2458</v>
      </c>
      <c r="G337" s="25">
        <v>81897710018</v>
      </c>
      <c r="H337" s="11">
        <v>30.87528</v>
      </c>
      <c r="I337" s="11">
        <f t="shared" si="41"/>
        <v>185.25167999999999</v>
      </c>
      <c r="J337" s="11">
        <f t="shared" si="43"/>
        <v>30.87528</v>
      </c>
      <c r="K337" s="11">
        <f t="shared" si="42"/>
        <v>185.25167999999999</v>
      </c>
      <c r="L337" s="10">
        <v>0</v>
      </c>
      <c r="N337" s="118">
        <f t="shared" si="39"/>
        <v>0</v>
      </c>
      <c r="O337" s="118">
        <f t="shared" si="40"/>
        <v>30.87528</v>
      </c>
    </row>
    <row r="338" spans="1:15" x14ac:dyDescent="0.25">
      <c r="A338" s="32" t="s">
        <v>2457</v>
      </c>
      <c r="B338" t="s">
        <v>476</v>
      </c>
      <c r="C338" s="19">
        <v>11</v>
      </c>
      <c r="D338" s="18" t="s">
        <v>477</v>
      </c>
      <c r="E338" s="13">
        <v>12</v>
      </c>
      <c r="F338" s="25" t="s">
        <v>476</v>
      </c>
      <c r="G338" s="25">
        <v>81897719002</v>
      </c>
      <c r="H338" s="11">
        <v>13.884400000000001</v>
      </c>
      <c r="I338" s="11">
        <f t="shared" si="41"/>
        <v>166.61280000000002</v>
      </c>
      <c r="J338" s="11">
        <f t="shared" si="43"/>
        <v>13.884400000000001</v>
      </c>
      <c r="K338" s="11">
        <f t="shared" si="42"/>
        <v>166.61280000000002</v>
      </c>
      <c r="L338" s="10">
        <v>0</v>
      </c>
      <c r="N338" s="118">
        <f t="shared" si="39"/>
        <v>0</v>
      </c>
      <c r="O338" s="118">
        <f t="shared" si="40"/>
        <v>13.884400000000001</v>
      </c>
    </row>
    <row r="339" spans="1:15" x14ac:dyDescent="0.25">
      <c r="A339" s="32" t="s">
        <v>2456</v>
      </c>
      <c r="B339" t="s">
        <v>230</v>
      </c>
      <c r="C339" s="19">
        <v>12</v>
      </c>
      <c r="D339" s="18" t="s">
        <v>231</v>
      </c>
      <c r="E339" s="13">
        <v>6</v>
      </c>
      <c r="F339" s="18" t="s">
        <v>230</v>
      </c>
      <c r="G339" s="25">
        <v>81897719002</v>
      </c>
      <c r="H339" s="11">
        <v>10.786159999999999</v>
      </c>
      <c r="I339" s="11">
        <f t="shared" si="41"/>
        <v>64.71696</v>
      </c>
      <c r="J339" s="11">
        <f t="shared" si="43"/>
        <v>10.786159999999999</v>
      </c>
      <c r="K339" s="11">
        <f t="shared" si="42"/>
        <v>64.71696</v>
      </c>
      <c r="L339" s="10">
        <v>0</v>
      </c>
      <c r="N339" s="118">
        <f t="shared" si="39"/>
        <v>0</v>
      </c>
      <c r="O339" s="118">
        <f t="shared" si="40"/>
        <v>10.786159999999999</v>
      </c>
    </row>
    <row r="340" spans="1:15" x14ac:dyDescent="0.25">
      <c r="A340" s="32" t="s">
        <v>2455</v>
      </c>
      <c r="B340" t="s">
        <v>233</v>
      </c>
      <c r="C340" s="19">
        <v>13</v>
      </c>
      <c r="D340" s="18" t="s">
        <v>234</v>
      </c>
      <c r="E340" s="13">
        <v>6</v>
      </c>
      <c r="F340" s="18" t="s">
        <v>233</v>
      </c>
      <c r="G340" s="25">
        <v>81897719002</v>
      </c>
      <c r="H340" s="11">
        <v>10.044559999999999</v>
      </c>
      <c r="I340" s="11">
        <f t="shared" si="41"/>
        <v>60.267359999999996</v>
      </c>
      <c r="J340" s="11">
        <f t="shared" si="43"/>
        <v>10.044559999999999</v>
      </c>
      <c r="K340" s="11">
        <f t="shared" si="42"/>
        <v>60.267359999999996</v>
      </c>
      <c r="L340" s="10">
        <v>0</v>
      </c>
      <c r="N340" s="118">
        <f t="shared" si="39"/>
        <v>0</v>
      </c>
      <c r="O340" s="118">
        <f t="shared" si="40"/>
        <v>10.044559999999999</v>
      </c>
    </row>
    <row r="341" spans="1:15" x14ac:dyDescent="0.25">
      <c r="A341" s="32" t="s">
        <v>2454</v>
      </c>
      <c r="B341" t="s">
        <v>2452</v>
      </c>
      <c r="C341" s="19">
        <v>14</v>
      </c>
      <c r="D341" s="18" t="s">
        <v>2453</v>
      </c>
      <c r="E341" s="13">
        <v>6</v>
      </c>
      <c r="F341" s="18" t="s">
        <v>2452</v>
      </c>
      <c r="G341" s="25">
        <v>81897719002</v>
      </c>
      <c r="H341" s="11">
        <v>35.506160000000001</v>
      </c>
      <c r="I341" s="11">
        <f t="shared" si="41"/>
        <v>213.03696000000002</v>
      </c>
      <c r="J341" s="11">
        <f t="shared" si="43"/>
        <v>35.506160000000001</v>
      </c>
      <c r="K341" s="11">
        <f t="shared" si="42"/>
        <v>213.03696000000002</v>
      </c>
      <c r="L341" s="10">
        <v>0</v>
      </c>
      <c r="N341" s="118">
        <f t="shared" si="39"/>
        <v>0</v>
      </c>
      <c r="O341" s="118">
        <f t="shared" si="40"/>
        <v>35.506160000000001</v>
      </c>
    </row>
    <row r="342" spans="1:15" x14ac:dyDescent="0.25">
      <c r="A342" s="32" t="s">
        <v>2451</v>
      </c>
      <c r="B342" t="s">
        <v>2449</v>
      </c>
      <c r="C342" s="19">
        <v>15</v>
      </c>
      <c r="D342" s="18" t="s">
        <v>2450</v>
      </c>
      <c r="E342" s="13">
        <v>6</v>
      </c>
      <c r="F342" s="25" t="s">
        <v>2449</v>
      </c>
      <c r="G342" s="25">
        <v>81897719002</v>
      </c>
      <c r="H342" s="11">
        <v>46.292320000000004</v>
      </c>
      <c r="I342" s="11">
        <f t="shared" si="41"/>
        <v>277.75391999999999</v>
      </c>
      <c r="J342" s="11">
        <f t="shared" si="43"/>
        <v>46.292320000000004</v>
      </c>
      <c r="K342" s="11">
        <f t="shared" si="42"/>
        <v>277.75391999999999</v>
      </c>
      <c r="L342" s="10">
        <v>0</v>
      </c>
      <c r="N342" s="118">
        <f t="shared" si="39"/>
        <v>0</v>
      </c>
      <c r="O342" s="118">
        <f t="shared" si="40"/>
        <v>46.292320000000004</v>
      </c>
    </row>
    <row r="343" spans="1:15" x14ac:dyDescent="0.25">
      <c r="A343" s="32" t="s">
        <v>2448</v>
      </c>
      <c r="B343" t="s">
        <v>980</v>
      </c>
      <c r="C343" s="19">
        <v>16</v>
      </c>
      <c r="D343" s="18" t="s">
        <v>981</v>
      </c>
      <c r="E343" s="13">
        <v>12</v>
      </c>
      <c r="F343" s="18" t="s">
        <v>980</v>
      </c>
      <c r="G343" s="25">
        <v>81897719002</v>
      </c>
      <c r="H343" s="11">
        <v>14.44472</v>
      </c>
      <c r="I343" s="11">
        <f t="shared" si="41"/>
        <v>173.33663999999999</v>
      </c>
      <c r="J343" s="11">
        <f t="shared" si="43"/>
        <v>14.44472</v>
      </c>
      <c r="K343" s="11">
        <f t="shared" si="42"/>
        <v>173.33663999999999</v>
      </c>
      <c r="L343" s="10">
        <v>0</v>
      </c>
      <c r="N343" s="118">
        <f t="shared" si="39"/>
        <v>0</v>
      </c>
      <c r="O343" s="118">
        <f t="shared" si="40"/>
        <v>14.44472</v>
      </c>
    </row>
    <row r="344" spans="1:15" x14ac:dyDescent="0.25">
      <c r="A344" s="32" t="s">
        <v>2447</v>
      </c>
      <c r="B344" t="s">
        <v>445</v>
      </c>
      <c r="C344" s="19">
        <v>17</v>
      </c>
      <c r="D344" s="18" t="s">
        <v>446</v>
      </c>
      <c r="E344" s="13">
        <v>6</v>
      </c>
      <c r="F344" s="18" t="s">
        <v>445</v>
      </c>
      <c r="G344" s="25">
        <v>81897719002</v>
      </c>
      <c r="H344" s="11">
        <v>15.41704</v>
      </c>
      <c r="I344" s="11">
        <f t="shared" si="41"/>
        <v>92.50224</v>
      </c>
      <c r="J344" s="11">
        <f t="shared" si="43"/>
        <v>15.41704</v>
      </c>
      <c r="K344" s="11">
        <f t="shared" si="42"/>
        <v>92.50224</v>
      </c>
      <c r="L344" s="10">
        <v>0</v>
      </c>
      <c r="N344" s="118">
        <f t="shared" si="39"/>
        <v>0</v>
      </c>
      <c r="O344" s="118">
        <f t="shared" si="40"/>
        <v>15.41704</v>
      </c>
    </row>
    <row r="345" spans="1:15" x14ac:dyDescent="0.25">
      <c r="A345" s="32" t="s">
        <v>1276</v>
      </c>
      <c r="B345" t="s">
        <v>2445</v>
      </c>
      <c r="C345" s="19">
        <v>18</v>
      </c>
      <c r="D345" s="18" t="s">
        <v>2446</v>
      </c>
      <c r="E345" s="13">
        <v>1</v>
      </c>
      <c r="F345" s="25" t="s">
        <v>2445</v>
      </c>
      <c r="G345" s="25" t="s">
        <v>427</v>
      </c>
      <c r="H345" s="11">
        <v>333.28328000000005</v>
      </c>
      <c r="I345" s="11">
        <f t="shared" si="41"/>
        <v>333.28328000000005</v>
      </c>
      <c r="J345" s="11">
        <f t="shared" si="43"/>
        <v>333.28328000000005</v>
      </c>
      <c r="K345" s="11">
        <f t="shared" si="42"/>
        <v>333.28328000000005</v>
      </c>
      <c r="L345" s="10">
        <v>0</v>
      </c>
      <c r="N345" s="118">
        <f t="shared" si="39"/>
        <v>0</v>
      </c>
      <c r="O345" s="118">
        <f t="shared" si="40"/>
        <v>333.28328000000005</v>
      </c>
    </row>
    <row r="346" spans="1:15" x14ac:dyDescent="0.25">
      <c r="A346" s="32" t="s">
        <v>2444</v>
      </c>
      <c r="B346" t="s">
        <v>2442</v>
      </c>
      <c r="C346" s="19">
        <v>19</v>
      </c>
      <c r="D346" s="18" t="s">
        <v>2443</v>
      </c>
      <c r="E346" s="13">
        <v>1</v>
      </c>
      <c r="F346" s="25" t="s">
        <v>2442</v>
      </c>
      <c r="G346" s="25" t="s">
        <v>427</v>
      </c>
      <c r="H346" s="11">
        <v>456.26528000000002</v>
      </c>
      <c r="I346" s="11">
        <f t="shared" si="41"/>
        <v>456.26528000000002</v>
      </c>
      <c r="J346" s="11">
        <f t="shared" si="43"/>
        <v>456.26528000000002</v>
      </c>
      <c r="K346" s="11">
        <f t="shared" si="42"/>
        <v>456.26528000000002</v>
      </c>
      <c r="L346" s="10">
        <v>0</v>
      </c>
      <c r="N346" s="118">
        <f t="shared" si="39"/>
        <v>0</v>
      </c>
      <c r="O346" s="118">
        <f t="shared" si="40"/>
        <v>456.26528000000002</v>
      </c>
    </row>
    <row r="347" spans="1:15" x14ac:dyDescent="0.25">
      <c r="B347" t="s">
        <v>2388</v>
      </c>
      <c r="C347" s="19">
        <v>20</v>
      </c>
      <c r="D347" s="18" t="s">
        <v>499</v>
      </c>
      <c r="E347" s="13">
        <v>1</v>
      </c>
      <c r="F347" s="25" t="s">
        <v>2388</v>
      </c>
      <c r="G347" s="25" t="s">
        <v>427</v>
      </c>
      <c r="H347" s="11">
        <v>501.20623999999998</v>
      </c>
      <c r="I347" s="11">
        <f t="shared" si="41"/>
        <v>501.20623999999998</v>
      </c>
      <c r="J347" s="11">
        <f t="shared" si="43"/>
        <v>501.20623999999998</v>
      </c>
      <c r="K347" s="11">
        <f t="shared" si="42"/>
        <v>501.20623999999998</v>
      </c>
      <c r="L347" s="10">
        <v>0</v>
      </c>
      <c r="N347" s="118">
        <f t="shared" si="39"/>
        <v>0</v>
      </c>
      <c r="O347" s="118">
        <f t="shared" si="40"/>
        <v>501.20623999999998</v>
      </c>
    </row>
    <row r="348" spans="1:15" x14ac:dyDescent="0.25">
      <c r="B348" t="s">
        <v>2386</v>
      </c>
      <c r="C348" s="19">
        <v>21</v>
      </c>
      <c r="D348" s="18" t="s">
        <v>2387</v>
      </c>
      <c r="E348" s="13">
        <v>2</v>
      </c>
      <c r="F348" s="25" t="s">
        <v>2386</v>
      </c>
      <c r="G348" s="25" t="s">
        <v>427</v>
      </c>
      <c r="H348" s="11">
        <v>10.92624</v>
      </c>
      <c r="I348" s="11">
        <f t="shared" si="41"/>
        <v>21.85248</v>
      </c>
      <c r="J348" s="11">
        <f t="shared" si="43"/>
        <v>10.92624</v>
      </c>
      <c r="K348" s="11">
        <f t="shared" si="42"/>
        <v>21.85248</v>
      </c>
      <c r="L348" s="10">
        <v>0</v>
      </c>
      <c r="N348" s="118">
        <f t="shared" si="39"/>
        <v>0</v>
      </c>
      <c r="O348" s="118">
        <f t="shared" si="40"/>
        <v>10.92624</v>
      </c>
    </row>
    <row r="349" spans="1:15" x14ac:dyDescent="0.25">
      <c r="C349" s="9"/>
      <c r="D349" s="8" t="s">
        <v>1</v>
      </c>
      <c r="E349" s="8">
        <f>SUM(E328:E348)</f>
        <v>137</v>
      </c>
      <c r="F349" s="8"/>
      <c r="G349" s="8"/>
      <c r="H349" s="7"/>
      <c r="I349" s="7">
        <f>SUM(I328:I348)</f>
        <v>7065.3467999999975</v>
      </c>
      <c r="J349" s="8"/>
      <c r="K349" s="7">
        <f>SUM(K328:K348)</f>
        <v>7065.3467999999975</v>
      </c>
      <c r="L349" s="6"/>
      <c r="N349" s="118">
        <f t="shared" si="39"/>
        <v>0</v>
      </c>
      <c r="O349" s="118">
        <f t="shared" si="40"/>
        <v>0</v>
      </c>
    </row>
    <row r="350" spans="1:15" x14ac:dyDescent="0.25">
      <c r="D350" t="s">
        <v>0</v>
      </c>
      <c r="F350" s="27"/>
      <c r="G350" s="27"/>
      <c r="N350" s="118">
        <f t="shared" si="39"/>
        <v>0</v>
      </c>
      <c r="O350" s="118">
        <f t="shared" si="40"/>
        <v>0</v>
      </c>
    </row>
    <row r="351" spans="1:15" x14ac:dyDescent="0.25">
      <c r="D351" s="24" t="s">
        <v>2441</v>
      </c>
      <c r="N351" s="118">
        <f t="shared" si="39"/>
        <v>0</v>
      </c>
      <c r="O351" s="118">
        <f t="shared" si="40"/>
        <v>0</v>
      </c>
    </row>
    <row r="352" spans="1:15" ht="30" x14ac:dyDescent="0.25">
      <c r="B352" s="5"/>
      <c r="C352" s="24" t="s">
        <v>28</v>
      </c>
      <c r="D352" s="24" t="s">
        <v>27</v>
      </c>
      <c r="E352" s="24" t="s">
        <v>26</v>
      </c>
      <c r="F352" s="24" t="s">
        <v>25</v>
      </c>
      <c r="G352" s="24" t="s">
        <v>24</v>
      </c>
      <c r="H352" s="116" t="s">
        <v>21</v>
      </c>
      <c r="I352" s="24" t="s">
        <v>23</v>
      </c>
      <c r="J352" s="24" t="s">
        <v>2928</v>
      </c>
      <c r="K352" s="24" t="s">
        <v>2927</v>
      </c>
      <c r="L352" s="23" t="s">
        <v>22</v>
      </c>
      <c r="N352" s="118" t="e">
        <f t="shared" si="39"/>
        <v>#VALUE!</v>
      </c>
      <c r="O352" s="118" t="e">
        <f t="shared" si="40"/>
        <v>#VALUE!</v>
      </c>
    </row>
    <row r="353" spans="1:15" s="5" customFormat="1" x14ac:dyDescent="0.25">
      <c r="A353" s="43" t="s">
        <v>2440</v>
      </c>
      <c r="B353"/>
      <c r="C353" s="19">
        <v>1</v>
      </c>
      <c r="D353" s="18" t="s">
        <v>2439</v>
      </c>
      <c r="E353" s="13">
        <v>4</v>
      </c>
      <c r="F353" s="18" t="s">
        <v>3044</v>
      </c>
      <c r="G353" s="56">
        <v>81897710029</v>
      </c>
      <c r="H353" s="11">
        <v>162.87183999999999</v>
      </c>
      <c r="I353" s="11">
        <f t="shared" ref="I353:I376" si="44">H353*E353</f>
        <v>651.48735999999997</v>
      </c>
      <c r="J353" s="11">
        <f>O353</f>
        <v>162.87183999999999</v>
      </c>
      <c r="K353" s="11">
        <f t="shared" ref="K353:K376" si="45">J353*E353</f>
        <v>651.48735999999997</v>
      </c>
      <c r="L353" s="10">
        <v>0</v>
      </c>
      <c r="N353" s="118">
        <f t="shared" si="39"/>
        <v>0</v>
      </c>
      <c r="O353" s="118">
        <f t="shared" si="40"/>
        <v>162.87183999999999</v>
      </c>
    </row>
    <row r="354" spans="1:15" x14ac:dyDescent="0.25">
      <c r="A354" t="s">
        <v>2438</v>
      </c>
      <c r="B354" t="s">
        <v>2436</v>
      </c>
      <c r="C354" s="19">
        <v>2</v>
      </c>
      <c r="D354" s="18" t="s">
        <v>2437</v>
      </c>
      <c r="E354" s="13">
        <v>2</v>
      </c>
      <c r="F354" s="18" t="s">
        <v>2436</v>
      </c>
      <c r="G354" s="56">
        <v>81897719001</v>
      </c>
      <c r="H354" s="11">
        <v>139.40431999999998</v>
      </c>
      <c r="I354" s="11">
        <f t="shared" si="44"/>
        <v>278.80863999999997</v>
      </c>
      <c r="J354" s="11">
        <f t="shared" ref="J354:J376" si="46">O354</f>
        <v>139.40431999999998</v>
      </c>
      <c r="K354" s="11">
        <f t="shared" si="45"/>
        <v>278.80863999999997</v>
      </c>
      <c r="L354" s="10">
        <v>0</v>
      </c>
      <c r="N354" s="118">
        <f t="shared" si="39"/>
        <v>0</v>
      </c>
      <c r="O354" s="118">
        <f t="shared" si="40"/>
        <v>139.40431999999998</v>
      </c>
    </row>
    <row r="355" spans="1:15" x14ac:dyDescent="0.25">
      <c r="A355" t="s">
        <v>2435</v>
      </c>
      <c r="B355" t="s">
        <v>2433</v>
      </c>
      <c r="C355" s="19">
        <v>3</v>
      </c>
      <c r="D355" s="18" t="s">
        <v>2434</v>
      </c>
      <c r="E355" s="13">
        <v>2</v>
      </c>
      <c r="F355" s="18" t="s">
        <v>2433</v>
      </c>
      <c r="G355" s="56">
        <v>81897719001</v>
      </c>
      <c r="H355" s="11">
        <v>139.40431999999998</v>
      </c>
      <c r="I355" s="11">
        <f t="shared" si="44"/>
        <v>278.80863999999997</v>
      </c>
      <c r="J355" s="11">
        <f t="shared" si="46"/>
        <v>139.40431999999998</v>
      </c>
      <c r="K355" s="11">
        <f t="shared" si="45"/>
        <v>278.80863999999997</v>
      </c>
      <c r="L355" s="10">
        <v>0</v>
      </c>
      <c r="N355" s="118">
        <f t="shared" si="39"/>
        <v>0</v>
      </c>
      <c r="O355" s="118">
        <f t="shared" si="40"/>
        <v>139.40431999999998</v>
      </c>
    </row>
    <row r="356" spans="1:15" x14ac:dyDescent="0.25">
      <c r="A356" t="s">
        <v>2432</v>
      </c>
      <c r="B356" t="s">
        <v>2430</v>
      </c>
      <c r="C356" s="19">
        <v>4</v>
      </c>
      <c r="D356" s="18" t="s">
        <v>2431</v>
      </c>
      <c r="E356" s="13">
        <v>4</v>
      </c>
      <c r="F356" s="18" t="s">
        <v>2430</v>
      </c>
      <c r="G356" s="56">
        <v>81897719001</v>
      </c>
      <c r="H356" s="11">
        <v>98.451520000000002</v>
      </c>
      <c r="I356" s="11">
        <f t="shared" si="44"/>
        <v>393.80608000000001</v>
      </c>
      <c r="J356" s="11">
        <f t="shared" si="46"/>
        <v>98.451520000000002</v>
      </c>
      <c r="K356" s="11">
        <f t="shared" si="45"/>
        <v>393.80608000000001</v>
      </c>
      <c r="L356" s="10">
        <v>0</v>
      </c>
      <c r="N356" s="118">
        <f t="shared" si="39"/>
        <v>0</v>
      </c>
      <c r="O356" s="118">
        <f t="shared" si="40"/>
        <v>98.451520000000002</v>
      </c>
    </row>
    <row r="357" spans="1:15" x14ac:dyDescent="0.25">
      <c r="A357" t="s">
        <v>2429</v>
      </c>
      <c r="B357" t="s">
        <v>1530</v>
      </c>
      <c r="C357" s="19">
        <v>5</v>
      </c>
      <c r="D357" s="18" t="s">
        <v>2428</v>
      </c>
      <c r="E357" s="13">
        <v>4</v>
      </c>
      <c r="F357" s="18" t="s">
        <v>1530</v>
      </c>
      <c r="G357" s="56">
        <v>81897710034</v>
      </c>
      <c r="H357" s="11">
        <v>139.40431999999998</v>
      </c>
      <c r="I357" s="11">
        <f t="shared" si="44"/>
        <v>557.61727999999994</v>
      </c>
      <c r="J357" s="11">
        <f t="shared" si="46"/>
        <v>139.40431999999998</v>
      </c>
      <c r="K357" s="11">
        <f t="shared" si="45"/>
        <v>557.61727999999994</v>
      </c>
      <c r="L357" s="10">
        <v>0</v>
      </c>
      <c r="N357" s="118">
        <f t="shared" si="39"/>
        <v>0</v>
      </c>
      <c r="O357" s="118">
        <f t="shared" si="40"/>
        <v>139.40431999999998</v>
      </c>
    </row>
    <row r="358" spans="1:15" x14ac:dyDescent="0.25">
      <c r="A358" t="s">
        <v>2427</v>
      </c>
      <c r="B358" t="s">
        <v>2425</v>
      </c>
      <c r="C358" s="19">
        <v>6</v>
      </c>
      <c r="D358" s="18" t="s">
        <v>2426</v>
      </c>
      <c r="E358" s="13">
        <v>5</v>
      </c>
      <c r="F358" s="25" t="s">
        <v>2425</v>
      </c>
      <c r="G358" s="56">
        <v>81897719002</v>
      </c>
      <c r="H358" s="11">
        <v>16.990880000000001</v>
      </c>
      <c r="I358" s="11">
        <f t="shared" si="44"/>
        <v>84.954400000000007</v>
      </c>
      <c r="J358" s="11">
        <f t="shared" si="46"/>
        <v>16.990880000000001</v>
      </c>
      <c r="K358" s="11">
        <f t="shared" si="45"/>
        <v>84.954400000000007</v>
      </c>
      <c r="L358" s="10">
        <v>0</v>
      </c>
      <c r="N358" s="118">
        <f t="shared" si="39"/>
        <v>0</v>
      </c>
      <c r="O358" s="118">
        <f t="shared" si="40"/>
        <v>16.990880000000001</v>
      </c>
    </row>
    <row r="359" spans="1:15" x14ac:dyDescent="0.25">
      <c r="A359" t="s">
        <v>2424</v>
      </c>
      <c r="B359" t="s">
        <v>2422</v>
      </c>
      <c r="C359" s="19">
        <v>7</v>
      </c>
      <c r="D359" s="18" t="s">
        <v>2423</v>
      </c>
      <c r="E359" s="13">
        <v>2</v>
      </c>
      <c r="F359" s="25" t="s">
        <v>2422</v>
      </c>
      <c r="G359" s="56">
        <v>81897719002</v>
      </c>
      <c r="H359" s="11">
        <v>9.2617600000000007</v>
      </c>
      <c r="I359" s="11">
        <f t="shared" si="44"/>
        <v>18.523520000000001</v>
      </c>
      <c r="J359" s="11">
        <f t="shared" si="46"/>
        <v>9.2617600000000007</v>
      </c>
      <c r="K359" s="11">
        <f t="shared" si="45"/>
        <v>18.523520000000001</v>
      </c>
      <c r="L359" s="10">
        <v>0</v>
      </c>
      <c r="N359" s="118">
        <f t="shared" si="39"/>
        <v>0</v>
      </c>
      <c r="O359" s="118">
        <f t="shared" si="40"/>
        <v>9.2617600000000007</v>
      </c>
    </row>
    <row r="360" spans="1:15" x14ac:dyDescent="0.25">
      <c r="A360" s="132" t="s">
        <v>2421</v>
      </c>
      <c r="B360" t="s">
        <v>2419</v>
      </c>
      <c r="C360" s="19">
        <v>8</v>
      </c>
      <c r="D360" s="18" t="s">
        <v>2420</v>
      </c>
      <c r="E360" s="13">
        <v>4</v>
      </c>
      <c r="F360" s="25" t="s">
        <v>2419</v>
      </c>
      <c r="G360" s="56">
        <v>81897719002</v>
      </c>
      <c r="H360" s="11">
        <v>65.590399999999988</v>
      </c>
      <c r="I360" s="11">
        <f t="shared" si="44"/>
        <v>262.36159999999995</v>
      </c>
      <c r="J360" s="11">
        <f t="shared" si="46"/>
        <v>65.590399999999988</v>
      </c>
      <c r="K360" s="11">
        <f t="shared" si="45"/>
        <v>262.36159999999995</v>
      </c>
      <c r="L360" s="10">
        <v>0</v>
      </c>
      <c r="N360" s="118">
        <f t="shared" si="39"/>
        <v>0</v>
      </c>
      <c r="O360" s="118">
        <f t="shared" si="40"/>
        <v>65.590399999999988</v>
      </c>
    </row>
    <row r="361" spans="1:15" x14ac:dyDescent="0.25">
      <c r="A361" s="132" t="s">
        <v>2418</v>
      </c>
      <c r="B361" t="s">
        <v>2416</v>
      </c>
      <c r="C361" s="19">
        <v>9</v>
      </c>
      <c r="D361" s="18" t="s">
        <v>2417</v>
      </c>
      <c r="E361" s="13">
        <v>2</v>
      </c>
      <c r="F361" s="25" t="s">
        <v>2416</v>
      </c>
      <c r="G361" s="56">
        <v>81897719002</v>
      </c>
      <c r="H361" s="11">
        <v>65.590399999999988</v>
      </c>
      <c r="I361" s="11">
        <f t="shared" si="44"/>
        <v>131.18079999999998</v>
      </c>
      <c r="J361" s="11">
        <f t="shared" si="46"/>
        <v>65.590399999999988</v>
      </c>
      <c r="K361" s="11">
        <f t="shared" si="45"/>
        <v>131.18079999999998</v>
      </c>
      <c r="L361" s="10">
        <v>0</v>
      </c>
      <c r="N361" s="118">
        <f t="shared" si="39"/>
        <v>0</v>
      </c>
      <c r="O361" s="118">
        <f t="shared" si="40"/>
        <v>65.590399999999988</v>
      </c>
    </row>
    <row r="362" spans="1:15" x14ac:dyDescent="0.25">
      <c r="A362" t="s">
        <v>2415</v>
      </c>
      <c r="B362" t="s">
        <v>2413</v>
      </c>
      <c r="C362" s="19">
        <v>10</v>
      </c>
      <c r="D362" s="18" t="s">
        <v>2414</v>
      </c>
      <c r="E362" s="13">
        <v>1</v>
      </c>
      <c r="F362" s="25" t="s">
        <v>2413</v>
      </c>
      <c r="G362" s="56">
        <v>81897719002</v>
      </c>
      <c r="H362" s="11">
        <v>69.430239999999998</v>
      </c>
      <c r="I362" s="11">
        <f t="shared" si="44"/>
        <v>69.430239999999998</v>
      </c>
      <c r="J362" s="11">
        <f t="shared" si="46"/>
        <v>69.430239999999998</v>
      </c>
      <c r="K362" s="11">
        <f t="shared" si="45"/>
        <v>69.430239999999998</v>
      </c>
      <c r="L362" s="10">
        <v>0</v>
      </c>
      <c r="N362" s="118">
        <f t="shared" si="39"/>
        <v>0</v>
      </c>
      <c r="O362" s="118">
        <f t="shared" si="40"/>
        <v>69.430239999999998</v>
      </c>
    </row>
    <row r="363" spans="1:15" x14ac:dyDescent="0.25">
      <c r="A363" t="s">
        <v>2412</v>
      </c>
      <c r="B363" t="s">
        <v>2410</v>
      </c>
      <c r="C363" s="19">
        <v>11</v>
      </c>
      <c r="D363" s="18" t="s">
        <v>2411</v>
      </c>
      <c r="E363" s="13">
        <v>4</v>
      </c>
      <c r="F363" s="25" t="s">
        <v>2410</v>
      </c>
      <c r="G363" s="56">
        <v>81897719002</v>
      </c>
      <c r="H363" s="11">
        <v>12.36</v>
      </c>
      <c r="I363" s="11">
        <f t="shared" si="44"/>
        <v>49.44</v>
      </c>
      <c r="J363" s="11">
        <f t="shared" si="46"/>
        <v>12.36</v>
      </c>
      <c r="K363" s="11">
        <f t="shared" si="45"/>
        <v>49.44</v>
      </c>
      <c r="L363" s="10">
        <v>0</v>
      </c>
      <c r="N363" s="118">
        <f t="shared" si="39"/>
        <v>0</v>
      </c>
      <c r="O363" s="118">
        <f t="shared" si="40"/>
        <v>12.36</v>
      </c>
    </row>
    <row r="364" spans="1:15" x14ac:dyDescent="0.25">
      <c r="A364" t="s">
        <v>2409</v>
      </c>
      <c r="B364" t="s">
        <v>230</v>
      </c>
      <c r="C364" s="19">
        <v>12</v>
      </c>
      <c r="D364" s="18" t="s">
        <v>231</v>
      </c>
      <c r="E364" s="13">
        <v>2</v>
      </c>
      <c r="F364" s="25" t="s">
        <v>230</v>
      </c>
      <c r="G364" s="56">
        <v>81897719002</v>
      </c>
      <c r="H364" s="11">
        <v>10.786159999999999</v>
      </c>
      <c r="I364" s="11">
        <f t="shared" si="44"/>
        <v>21.572319999999998</v>
      </c>
      <c r="J364" s="11">
        <f t="shared" si="46"/>
        <v>10.786159999999999</v>
      </c>
      <c r="K364" s="11">
        <f t="shared" si="45"/>
        <v>21.572319999999998</v>
      </c>
      <c r="L364" s="10">
        <v>0</v>
      </c>
      <c r="N364" s="118">
        <f t="shared" si="39"/>
        <v>0</v>
      </c>
      <c r="O364" s="118">
        <f t="shared" si="40"/>
        <v>10.786159999999999</v>
      </c>
    </row>
    <row r="365" spans="1:15" x14ac:dyDescent="0.25">
      <c r="A365" s="131" t="s">
        <v>2408</v>
      </c>
      <c r="B365" s="131"/>
      <c r="C365" s="19">
        <v>13</v>
      </c>
      <c r="D365" s="18" t="s">
        <v>2407</v>
      </c>
      <c r="E365" s="13">
        <v>2</v>
      </c>
      <c r="F365" s="18" t="s">
        <v>1329</v>
      </c>
      <c r="G365" s="56">
        <v>81897719006</v>
      </c>
      <c r="H365" s="11">
        <v>38.554960000000001</v>
      </c>
      <c r="I365" s="11">
        <f t="shared" si="44"/>
        <v>77.109920000000002</v>
      </c>
      <c r="J365" s="11">
        <f t="shared" si="46"/>
        <v>38.554960000000001</v>
      </c>
      <c r="K365" s="11">
        <f t="shared" si="45"/>
        <v>77.109920000000002</v>
      </c>
      <c r="L365" s="10">
        <v>0</v>
      </c>
      <c r="N365" s="118">
        <f t="shared" si="39"/>
        <v>0</v>
      </c>
      <c r="O365" s="118">
        <f t="shared" si="40"/>
        <v>38.554960000000001</v>
      </c>
    </row>
    <row r="366" spans="1:15" x14ac:dyDescent="0.25">
      <c r="A366" s="39" t="s">
        <v>2406</v>
      </c>
      <c r="B366" t="s">
        <v>2405</v>
      </c>
      <c r="C366" s="19">
        <v>14</v>
      </c>
      <c r="D366" s="18" t="s">
        <v>2404</v>
      </c>
      <c r="E366" s="13">
        <v>1</v>
      </c>
      <c r="F366" s="18" t="s">
        <v>3045</v>
      </c>
      <c r="G366" s="56">
        <v>81897719006</v>
      </c>
      <c r="H366" s="11">
        <v>342.88288</v>
      </c>
      <c r="I366" s="11">
        <f t="shared" si="44"/>
        <v>342.88288</v>
      </c>
      <c r="J366" s="11">
        <f t="shared" si="46"/>
        <v>342.88288</v>
      </c>
      <c r="K366" s="11">
        <f t="shared" si="45"/>
        <v>342.88288</v>
      </c>
      <c r="L366" s="10">
        <v>0</v>
      </c>
      <c r="N366" s="118">
        <f t="shared" si="39"/>
        <v>0</v>
      </c>
      <c r="O366" s="118">
        <f t="shared" si="40"/>
        <v>342.88288</v>
      </c>
    </row>
    <row r="367" spans="1:15" x14ac:dyDescent="0.25">
      <c r="A367" t="s">
        <v>2403</v>
      </c>
      <c r="B367" t="s">
        <v>2401</v>
      </c>
      <c r="C367" s="19">
        <v>15</v>
      </c>
      <c r="D367" s="18" t="s">
        <v>2402</v>
      </c>
      <c r="E367" s="13">
        <v>2</v>
      </c>
      <c r="F367" s="25" t="s">
        <v>2401</v>
      </c>
      <c r="G367" s="56">
        <v>81897719002</v>
      </c>
      <c r="H367" s="11">
        <v>61.701119999999996</v>
      </c>
      <c r="I367" s="11">
        <f t="shared" si="44"/>
        <v>123.40223999999999</v>
      </c>
      <c r="J367" s="11">
        <f t="shared" si="46"/>
        <v>61.701119999999996</v>
      </c>
      <c r="K367" s="11">
        <f t="shared" si="45"/>
        <v>123.40223999999999</v>
      </c>
      <c r="L367" s="10">
        <v>0</v>
      </c>
      <c r="N367" s="118">
        <f t="shared" si="39"/>
        <v>0</v>
      </c>
      <c r="O367" s="118">
        <f t="shared" si="40"/>
        <v>61.701119999999996</v>
      </c>
    </row>
    <row r="368" spans="1:15" x14ac:dyDescent="0.25">
      <c r="A368" t="s">
        <v>2400</v>
      </c>
      <c r="B368" t="s">
        <v>2398</v>
      </c>
      <c r="C368" s="19">
        <v>16</v>
      </c>
      <c r="D368" s="18" t="s">
        <v>2399</v>
      </c>
      <c r="E368" s="13">
        <v>1</v>
      </c>
      <c r="F368" s="25" t="s">
        <v>2398</v>
      </c>
      <c r="G368" s="56">
        <v>81897719002</v>
      </c>
      <c r="H368" s="11">
        <v>81.007440000000003</v>
      </c>
      <c r="I368" s="11">
        <f t="shared" si="44"/>
        <v>81.007440000000003</v>
      </c>
      <c r="J368" s="11">
        <f t="shared" si="46"/>
        <v>81.007440000000003</v>
      </c>
      <c r="K368" s="11">
        <f t="shared" si="45"/>
        <v>81.007440000000003</v>
      </c>
      <c r="L368" s="10">
        <v>0</v>
      </c>
      <c r="N368" s="118">
        <f t="shared" si="39"/>
        <v>0</v>
      </c>
      <c r="O368" s="118">
        <f t="shared" si="40"/>
        <v>81.007440000000003</v>
      </c>
    </row>
    <row r="369" spans="1:15" x14ac:dyDescent="0.25">
      <c r="A369" t="s">
        <v>2397</v>
      </c>
      <c r="B369" t="s">
        <v>2395</v>
      </c>
      <c r="C369" s="19">
        <v>17</v>
      </c>
      <c r="D369" s="18" t="s">
        <v>2396</v>
      </c>
      <c r="E369" s="13">
        <v>2</v>
      </c>
      <c r="F369" s="25" t="s">
        <v>2395</v>
      </c>
      <c r="G369" s="56">
        <v>81897719002</v>
      </c>
      <c r="H369" s="11">
        <v>6.9463200000000001</v>
      </c>
      <c r="I369" s="11">
        <f t="shared" si="44"/>
        <v>13.89264</v>
      </c>
      <c r="J369" s="11">
        <f t="shared" si="46"/>
        <v>6.9463200000000001</v>
      </c>
      <c r="K369" s="11">
        <f t="shared" si="45"/>
        <v>13.89264</v>
      </c>
      <c r="L369" s="10">
        <v>0</v>
      </c>
      <c r="N369" s="118">
        <f t="shared" si="39"/>
        <v>0</v>
      </c>
      <c r="O369" s="118">
        <f t="shared" si="40"/>
        <v>6.9463200000000001</v>
      </c>
    </row>
    <row r="370" spans="1:15" x14ac:dyDescent="0.25">
      <c r="A370" t="s">
        <v>2394</v>
      </c>
      <c r="B370" t="s">
        <v>2392</v>
      </c>
      <c r="C370" s="19">
        <v>18</v>
      </c>
      <c r="D370" s="18" t="s">
        <v>2393</v>
      </c>
      <c r="E370" s="13">
        <v>3</v>
      </c>
      <c r="F370" s="25" t="s">
        <v>2392</v>
      </c>
      <c r="G370" s="56">
        <v>81897719002</v>
      </c>
      <c r="H370" s="11">
        <v>20.039680000000001</v>
      </c>
      <c r="I370" s="11">
        <f t="shared" si="44"/>
        <v>60.119039999999998</v>
      </c>
      <c r="J370" s="11">
        <f t="shared" si="46"/>
        <v>20.039680000000001</v>
      </c>
      <c r="K370" s="11">
        <f t="shared" si="45"/>
        <v>60.119039999999998</v>
      </c>
      <c r="L370" s="10">
        <v>0</v>
      </c>
      <c r="N370" s="118">
        <f t="shared" si="39"/>
        <v>0</v>
      </c>
      <c r="O370" s="118">
        <f t="shared" si="40"/>
        <v>20.039680000000001</v>
      </c>
    </row>
    <row r="371" spans="1:15" x14ac:dyDescent="0.25">
      <c r="A371" t="s">
        <v>2391</v>
      </c>
      <c r="B371" t="s">
        <v>684</v>
      </c>
      <c r="C371" s="19">
        <v>19</v>
      </c>
      <c r="D371" s="18" t="s">
        <v>685</v>
      </c>
      <c r="E371" s="13">
        <v>3</v>
      </c>
      <c r="F371" s="25" t="s">
        <v>684</v>
      </c>
      <c r="G371" s="56">
        <v>81897719002</v>
      </c>
      <c r="H371" s="11">
        <v>15.41704</v>
      </c>
      <c r="I371" s="11">
        <f t="shared" si="44"/>
        <v>46.25112</v>
      </c>
      <c r="J371" s="11">
        <f t="shared" si="46"/>
        <v>15.41704</v>
      </c>
      <c r="K371" s="11">
        <f t="shared" si="45"/>
        <v>46.25112</v>
      </c>
      <c r="L371" s="10">
        <v>0</v>
      </c>
      <c r="N371" s="118">
        <f t="shared" si="39"/>
        <v>0</v>
      </c>
      <c r="O371" s="118">
        <f t="shared" si="40"/>
        <v>15.41704</v>
      </c>
    </row>
    <row r="372" spans="1:15" x14ac:dyDescent="0.25">
      <c r="A372" t="s">
        <v>2390</v>
      </c>
      <c r="B372" t="s">
        <v>975</v>
      </c>
      <c r="C372" s="19">
        <v>20</v>
      </c>
      <c r="D372" s="18" t="s">
        <v>976</v>
      </c>
      <c r="E372" s="13">
        <v>2</v>
      </c>
      <c r="F372" s="25" t="s">
        <v>975</v>
      </c>
      <c r="G372" s="56">
        <v>81897719002</v>
      </c>
      <c r="H372" s="11">
        <v>18.334</v>
      </c>
      <c r="I372" s="11">
        <f t="shared" si="44"/>
        <v>36.667999999999999</v>
      </c>
      <c r="J372" s="11">
        <f t="shared" si="46"/>
        <v>18.334</v>
      </c>
      <c r="K372" s="11">
        <f t="shared" si="45"/>
        <v>36.667999999999999</v>
      </c>
      <c r="L372" s="10">
        <v>0</v>
      </c>
      <c r="N372" s="118">
        <f t="shared" si="39"/>
        <v>0</v>
      </c>
      <c r="O372" s="118">
        <f t="shared" si="40"/>
        <v>18.334</v>
      </c>
    </row>
    <row r="373" spans="1:15" x14ac:dyDescent="0.25">
      <c r="A373" t="s">
        <v>2389</v>
      </c>
      <c r="B373" t="s">
        <v>433</v>
      </c>
      <c r="C373" s="19">
        <v>21</v>
      </c>
      <c r="D373" s="18" t="s">
        <v>500</v>
      </c>
      <c r="E373" s="13">
        <v>1</v>
      </c>
      <c r="F373" s="25" t="s">
        <v>433</v>
      </c>
      <c r="G373" s="56" t="s">
        <v>427</v>
      </c>
      <c r="H373" s="11">
        <v>462.69247999999999</v>
      </c>
      <c r="I373" s="11">
        <f t="shared" si="44"/>
        <v>462.69247999999999</v>
      </c>
      <c r="J373" s="11">
        <f t="shared" si="46"/>
        <v>462.69247999999999</v>
      </c>
      <c r="K373" s="11">
        <f t="shared" si="45"/>
        <v>462.69247999999999</v>
      </c>
      <c r="L373" s="10">
        <v>0</v>
      </c>
      <c r="N373" s="118">
        <f t="shared" si="39"/>
        <v>0</v>
      </c>
      <c r="O373" s="118">
        <f t="shared" si="40"/>
        <v>462.69247999999999</v>
      </c>
    </row>
    <row r="374" spans="1:15" x14ac:dyDescent="0.25">
      <c r="B374" t="s">
        <v>2388</v>
      </c>
      <c r="C374" s="19">
        <v>22</v>
      </c>
      <c r="D374" s="18" t="s">
        <v>499</v>
      </c>
      <c r="E374" s="13">
        <v>1</v>
      </c>
      <c r="F374" s="25" t="s">
        <v>2388</v>
      </c>
      <c r="G374" s="56" t="s">
        <v>427</v>
      </c>
      <c r="H374" s="11">
        <v>501.20623999999998</v>
      </c>
      <c r="I374" s="11">
        <f t="shared" si="44"/>
        <v>501.20623999999998</v>
      </c>
      <c r="J374" s="11">
        <f t="shared" si="46"/>
        <v>501.20623999999998</v>
      </c>
      <c r="K374" s="11">
        <f t="shared" si="45"/>
        <v>501.20623999999998</v>
      </c>
      <c r="L374" s="10">
        <v>0</v>
      </c>
      <c r="N374" s="118">
        <f t="shared" si="39"/>
        <v>0</v>
      </c>
      <c r="O374" s="118">
        <f t="shared" si="40"/>
        <v>501.20623999999998</v>
      </c>
    </row>
    <row r="375" spans="1:15" x14ac:dyDescent="0.25">
      <c r="B375" t="s">
        <v>435</v>
      </c>
      <c r="C375" s="19">
        <v>23</v>
      </c>
      <c r="D375" s="18" t="s">
        <v>502</v>
      </c>
      <c r="E375" s="13">
        <v>1</v>
      </c>
      <c r="F375" s="25" t="s">
        <v>435</v>
      </c>
      <c r="G375" s="56" t="s">
        <v>427</v>
      </c>
      <c r="H375" s="11">
        <v>386.31591999999995</v>
      </c>
      <c r="I375" s="11">
        <f t="shared" si="44"/>
        <v>386.31591999999995</v>
      </c>
      <c r="J375" s="11">
        <f t="shared" si="46"/>
        <v>386.31591999999995</v>
      </c>
      <c r="K375" s="11">
        <f t="shared" si="45"/>
        <v>386.31591999999995</v>
      </c>
      <c r="L375" s="10">
        <v>0</v>
      </c>
      <c r="N375" s="118">
        <f t="shared" si="39"/>
        <v>0</v>
      </c>
      <c r="O375" s="118">
        <f t="shared" si="40"/>
        <v>386.31591999999995</v>
      </c>
    </row>
    <row r="376" spans="1:15" x14ac:dyDescent="0.25">
      <c r="B376" t="s">
        <v>2386</v>
      </c>
      <c r="C376" s="19">
        <v>24</v>
      </c>
      <c r="D376" s="18" t="s">
        <v>2387</v>
      </c>
      <c r="E376" s="13">
        <v>2</v>
      </c>
      <c r="F376" s="25" t="s">
        <v>2386</v>
      </c>
      <c r="G376" s="56" t="s">
        <v>427</v>
      </c>
      <c r="H376" s="11">
        <v>10.92624</v>
      </c>
      <c r="I376" s="11">
        <f t="shared" si="44"/>
        <v>21.85248</v>
      </c>
      <c r="J376" s="11">
        <f t="shared" si="46"/>
        <v>10.92624</v>
      </c>
      <c r="K376" s="11">
        <f t="shared" si="45"/>
        <v>21.85248</v>
      </c>
      <c r="L376" s="10">
        <v>0</v>
      </c>
      <c r="N376" s="118">
        <f t="shared" si="39"/>
        <v>0</v>
      </c>
      <c r="O376" s="118">
        <f t="shared" si="40"/>
        <v>10.92624</v>
      </c>
    </row>
    <row r="377" spans="1:15" x14ac:dyDescent="0.25">
      <c r="C377" s="9"/>
      <c r="D377" s="8" t="s">
        <v>1</v>
      </c>
      <c r="E377" s="8">
        <f>SUM(E353:E376)</f>
        <v>57</v>
      </c>
      <c r="F377" s="8"/>
      <c r="G377" s="8"/>
      <c r="H377" s="7"/>
      <c r="I377" s="7">
        <f>SUM(I353:I376)</f>
        <v>4951.3912800000007</v>
      </c>
      <c r="J377" s="8"/>
      <c r="K377" s="7">
        <f>SUM(K353:K376)</f>
        <v>4951.3912800000007</v>
      </c>
      <c r="L377" s="6"/>
      <c r="N377" s="118">
        <f t="shared" si="39"/>
        <v>0</v>
      </c>
      <c r="O377" s="118">
        <f t="shared" si="40"/>
        <v>0</v>
      </c>
    </row>
    <row r="378" spans="1:15" x14ac:dyDescent="0.25">
      <c r="D378" t="s">
        <v>0</v>
      </c>
      <c r="N378" s="118">
        <f t="shared" si="39"/>
        <v>0</v>
      </c>
      <c r="O378" s="118">
        <f t="shared" si="40"/>
        <v>0</v>
      </c>
    </row>
    <row r="379" spans="1:15" x14ac:dyDescent="0.25">
      <c r="D379" s="24" t="s">
        <v>2385</v>
      </c>
      <c r="N379" s="118">
        <f t="shared" si="39"/>
        <v>0</v>
      </c>
      <c r="O379" s="118">
        <f t="shared" si="40"/>
        <v>0</v>
      </c>
    </row>
    <row r="380" spans="1:15" ht="30" x14ac:dyDescent="0.25">
      <c r="B380" s="5"/>
      <c r="C380" s="24" t="s">
        <v>28</v>
      </c>
      <c r="D380" s="24" t="s">
        <v>27</v>
      </c>
      <c r="E380" s="24" t="s">
        <v>26</v>
      </c>
      <c r="F380" s="24" t="s">
        <v>25</v>
      </c>
      <c r="G380" s="24" t="s">
        <v>24</v>
      </c>
      <c r="H380" s="116" t="s">
        <v>21</v>
      </c>
      <c r="I380" s="24" t="s">
        <v>23</v>
      </c>
      <c r="J380" s="24" t="s">
        <v>2928</v>
      </c>
      <c r="K380" s="24" t="s">
        <v>2927</v>
      </c>
      <c r="L380" s="23" t="s">
        <v>22</v>
      </c>
      <c r="N380" s="118" t="e">
        <f t="shared" si="39"/>
        <v>#VALUE!</v>
      </c>
      <c r="O380" s="118" t="e">
        <f t="shared" si="40"/>
        <v>#VALUE!</v>
      </c>
    </row>
    <row r="381" spans="1:15" s="5" customFormat="1" x14ac:dyDescent="0.25">
      <c r="A381" s="5" t="s">
        <v>2384</v>
      </c>
      <c r="B381" s="55" t="s">
        <v>2382</v>
      </c>
      <c r="C381" s="19">
        <v>1</v>
      </c>
      <c r="D381" s="18" t="s">
        <v>2383</v>
      </c>
      <c r="E381" s="13">
        <v>2</v>
      </c>
      <c r="F381" s="25" t="s">
        <v>2382</v>
      </c>
      <c r="G381" s="25">
        <v>81897710009</v>
      </c>
      <c r="H381" s="11">
        <v>791.48496</v>
      </c>
      <c r="I381" s="11">
        <f t="shared" ref="I381:I412" si="47">H381*E381</f>
        <v>1582.96992</v>
      </c>
      <c r="J381" s="11">
        <f>O381</f>
        <v>791.48496</v>
      </c>
      <c r="K381" s="11">
        <f t="shared" ref="K381:K412" si="48">J381*E381</f>
        <v>1582.96992</v>
      </c>
      <c r="L381" s="10">
        <v>0</v>
      </c>
      <c r="N381" s="118">
        <f t="shared" si="39"/>
        <v>0</v>
      </c>
      <c r="O381" s="118">
        <f t="shared" si="40"/>
        <v>791.48496</v>
      </c>
    </row>
    <row r="382" spans="1:15" x14ac:dyDescent="0.25">
      <c r="A382" t="s">
        <v>2381</v>
      </c>
      <c r="B382" s="55" t="s">
        <v>2379</v>
      </c>
      <c r="C382" s="19">
        <v>2</v>
      </c>
      <c r="D382" s="18" t="s">
        <v>2380</v>
      </c>
      <c r="E382" s="13">
        <v>2</v>
      </c>
      <c r="F382" s="25" t="s">
        <v>2379</v>
      </c>
      <c r="G382" s="25">
        <v>81897710009</v>
      </c>
      <c r="H382" s="11">
        <v>709.08496000000002</v>
      </c>
      <c r="I382" s="11">
        <f t="shared" si="47"/>
        <v>1418.16992</v>
      </c>
      <c r="J382" s="11">
        <f t="shared" ref="J382:J445" si="49">O382</f>
        <v>709.08496000000002</v>
      </c>
      <c r="K382" s="11">
        <f t="shared" si="48"/>
        <v>1418.16992</v>
      </c>
      <c r="L382" s="10">
        <v>0</v>
      </c>
      <c r="N382" s="118">
        <f t="shared" si="39"/>
        <v>0</v>
      </c>
      <c r="O382" s="118">
        <f t="shared" si="40"/>
        <v>709.08496000000002</v>
      </c>
    </row>
    <row r="383" spans="1:15" x14ac:dyDescent="0.25">
      <c r="A383" t="s">
        <v>2378</v>
      </c>
      <c r="B383" s="16" t="s">
        <v>2376</v>
      </c>
      <c r="C383" s="19">
        <v>3</v>
      </c>
      <c r="D383" s="18" t="s">
        <v>2377</v>
      </c>
      <c r="E383" s="13">
        <v>1</v>
      </c>
      <c r="F383" s="25" t="s">
        <v>2376</v>
      </c>
      <c r="G383" s="25">
        <v>81897719002</v>
      </c>
      <c r="H383" s="11">
        <v>266.71232000000003</v>
      </c>
      <c r="I383" s="11">
        <f t="shared" si="47"/>
        <v>266.71232000000003</v>
      </c>
      <c r="J383" s="11">
        <f t="shared" si="49"/>
        <v>266.71232000000003</v>
      </c>
      <c r="K383" s="11">
        <f t="shared" si="48"/>
        <v>266.71232000000003</v>
      </c>
      <c r="L383" s="10">
        <v>0</v>
      </c>
      <c r="N383" s="118">
        <f t="shared" si="39"/>
        <v>0</v>
      </c>
      <c r="O383" s="118">
        <f t="shared" si="40"/>
        <v>266.71232000000003</v>
      </c>
    </row>
    <row r="384" spans="1:15" x14ac:dyDescent="0.25">
      <c r="A384" t="s">
        <v>2375</v>
      </c>
      <c r="B384" s="16" t="s">
        <v>2373</v>
      </c>
      <c r="C384" s="19">
        <v>4</v>
      </c>
      <c r="D384" s="18" t="s">
        <v>2374</v>
      </c>
      <c r="E384" s="13">
        <v>1</v>
      </c>
      <c r="F384" s="25" t="s">
        <v>2373</v>
      </c>
      <c r="G384" s="25">
        <v>81897719002</v>
      </c>
      <c r="H384" s="11">
        <v>29.64752</v>
      </c>
      <c r="I384" s="11">
        <f t="shared" si="47"/>
        <v>29.64752</v>
      </c>
      <c r="J384" s="11">
        <f t="shared" si="49"/>
        <v>29.64752</v>
      </c>
      <c r="K384" s="11">
        <f t="shared" si="48"/>
        <v>29.64752</v>
      </c>
      <c r="L384" s="10">
        <v>0</v>
      </c>
      <c r="N384" s="118">
        <f t="shared" si="39"/>
        <v>0</v>
      </c>
      <c r="O384" s="118">
        <f t="shared" si="40"/>
        <v>29.64752</v>
      </c>
    </row>
    <row r="385" spans="1:15" x14ac:dyDescent="0.25">
      <c r="A385" t="s">
        <v>2372</v>
      </c>
      <c r="B385" s="16" t="s">
        <v>422</v>
      </c>
      <c r="C385" s="19">
        <v>5</v>
      </c>
      <c r="D385" s="18" t="s">
        <v>423</v>
      </c>
      <c r="E385" s="13">
        <v>1</v>
      </c>
      <c r="F385" s="25" t="s">
        <v>422</v>
      </c>
      <c r="G385" s="25">
        <v>81897719002</v>
      </c>
      <c r="H385" s="11">
        <v>16.315200000000001</v>
      </c>
      <c r="I385" s="11">
        <f t="shared" si="47"/>
        <v>16.315200000000001</v>
      </c>
      <c r="J385" s="11">
        <f t="shared" si="49"/>
        <v>16.315200000000001</v>
      </c>
      <c r="K385" s="11">
        <f t="shared" si="48"/>
        <v>16.315200000000001</v>
      </c>
      <c r="L385" s="10">
        <v>0</v>
      </c>
      <c r="N385" s="118">
        <f t="shared" si="39"/>
        <v>0</v>
      </c>
      <c r="O385" s="118">
        <f t="shared" si="40"/>
        <v>16.315200000000001</v>
      </c>
    </row>
    <row r="386" spans="1:15" x14ac:dyDescent="0.25">
      <c r="A386" t="s">
        <v>2371</v>
      </c>
      <c r="B386" s="16" t="s">
        <v>309</v>
      </c>
      <c r="C386" s="19">
        <v>6</v>
      </c>
      <c r="D386" s="18" t="s">
        <v>310</v>
      </c>
      <c r="E386" s="13">
        <v>1</v>
      </c>
      <c r="F386" s="25" t="s">
        <v>309</v>
      </c>
      <c r="G386" s="25">
        <v>81897719002</v>
      </c>
      <c r="H386" s="11">
        <v>18.54</v>
      </c>
      <c r="I386" s="11">
        <f t="shared" si="47"/>
        <v>18.54</v>
      </c>
      <c r="J386" s="11">
        <f t="shared" si="49"/>
        <v>18.54</v>
      </c>
      <c r="K386" s="11">
        <f t="shared" si="48"/>
        <v>18.54</v>
      </c>
      <c r="L386" s="10">
        <v>0</v>
      </c>
      <c r="N386" s="118">
        <f t="shared" si="39"/>
        <v>0</v>
      </c>
      <c r="O386" s="118">
        <f t="shared" si="40"/>
        <v>18.54</v>
      </c>
    </row>
    <row r="387" spans="1:15" x14ac:dyDescent="0.25">
      <c r="A387" t="s">
        <v>2370</v>
      </c>
      <c r="B387" s="16" t="s">
        <v>672</v>
      </c>
      <c r="C387" s="19">
        <v>7</v>
      </c>
      <c r="D387" s="18" t="s">
        <v>673</v>
      </c>
      <c r="E387" s="13">
        <v>1</v>
      </c>
      <c r="F387" s="25" t="s">
        <v>672</v>
      </c>
      <c r="G387" s="25">
        <v>81897719002</v>
      </c>
      <c r="H387" s="11">
        <v>122.24039999999999</v>
      </c>
      <c r="I387" s="11">
        <f t="shared" si="47"/>
        <v>122.24039999999999</v>
      </c>
      <c r="J387" s="11">
        <f t="shared" si="49"/>
        <v>122.24039999999999</v>
      </c>
      <c r="K387" s="11">
        <f t="shared" si="48"/>
        <v>122.24039999999999</v>
      </c>
      <c r="L387" s="10">
        <v>0</v>
      </c>
      <c r="N387" s="118">
        <f t="shared" si="39"/>
        <v>0</v>
      </c>
      <c r="O387" s="118">
        <f t="shared" si="40"/>
        <v>122.24039999999999</v>
      </c>
    </row>
    <row r="388" spans="1:15" x14ac:dyDescent="0.25">
      <c r="A388" t="s">
        <v>2369</v>
      </c>
      <c r="B388" s="16" t="s">
        <v>2367</v>
      </c>
      <c r="C388" s="19">
        <v>8</v>
      </c>
      <c r="D388" s="18" t="s">
        <v>2368</v>
      </c>
      <c r="E388" s="13">
        <v>1</v>
      </c>
      <c r="F388" s="25" t="s">
        <v>2367</v>
      </c>
      <c r="G388" s="25">
        <v>81897719002</v>
      </c>
      <c r="H388" s="11">
        <v>122.24039999999999</v>
      </c>
      <c r="I388" s="11">
        <f t="shared" si="47"/>
        <v>122.24039999999999</v>
      </c>
      <c r="J388" s="11">
        <f t="shared" si="49"/>
        <v>122.24039999999999</v>
      </c>
      <c r="K388" s="11">
        <f t="shared" si="48"/>
        <v>122.24039999999999</v>
      </c>
      <c r="L388" s="10">
        <v>0</v>
      </c>
      <c r="N388" s="118">
        <f t="shared" ref="N388:N451" si="50">H388*L388</f>
        <v>0</v>
      </c>
      <c r="O388" s="118">
        <f t="shared" ref="O388:O451" si="51">H388-N388</f>
        <v>122.24039999999999</v>
      </c>
    </row>
    <row r="389" spans="1:15" x14ac:dyDescent="0.25">
      <c r="A389" t="s">
        <v>2366</v>
      </c>
      <c r="B389" s="16" t="s">
        <v>958</v>
      </c>
      <c r="C389" s="19">
        <v>9</v>
      </c>
      <c r="D389" s="18" t="s">
        <v>959</v>
      </c>
      <c r="E389" s="13">
        <v>2</v>
      </c>
      <c r="F389" s="25" t="s">
        <v>958</v>
      </c>
      <c r="G389" s="25">
        <v>81897719002</v>
      </c>
      <c r="H389" s="11">
        <v>133.35616000000002</v>
      </c>
      <c r="I389" s="11">
        <f t="shared" si="47"/>
        <v>266.71232000000003</v>
      </c>
      <c r="J389" s="11">
        <f t="shared" si="49"/>
        <v>133.35616000000002</v>
      </c>
      <c r="K389" s="11">
        <f t="shared" si="48"/>
        <v>266.71232000000003</v>
      </c>
      <c r="L389" s="10">
        <v>0</v>
      </c>
      <c r="N389" s="118">
        <f t="shared" si="50"/>
        <v>0</v>
      </c>
      <c r="O389" s="118">
        <f t="shared" si="51"/>
        <v>133.35616000000002</v>
      </c>
    </row>
    <row r="390" spans="1:15" x14ac:dyDescent="0.25">
      <c r="A390" t="s">
        <v>2365</v>
      </c>
      <c r="B390" s="16" t="s">
        <v>2363</v>
      </c>
      <c r="C390" s="19">
        <v>10</v>
      </c>
      <c r="D390" s="18" t="s">
        <v>2364</v>
      </c>
      <c r="E390" s="13">
        <v>2</v>
      </c>
      <c r="F390" s="25" t="s">
        <v>2363</v>
      </c>
      <c r="G390" s="25">
        <v>81897719002</v>
      </c>
      <c r="H390" s="11">
        <v>29.64752</v>
      </c>
      <c r="I390" s="11">
        <f t="shared" si="47"/>
        <v>59.29504</v>
      </c>
      <c r="J390" s="11">
        <f t="shared" si="49"/>
        <v>29.64752</v>
      </c>
      <c r="K390" s="11">
        <f t="shared" si="48"/>
        <v>59.29504</v>
      </c>
      <c r="L390" s="10">
        <v>0</v>
      </c>
      <c r="N390" s="118">
        <f t="shared" si="50"/>
        <v>0</v>
      </c>
      <c r="O390" s="118">
        <f t="shared" si="51"/>
        <v>29.64752</v>
      </c>
    </row>
    <row r="391" spans="1:15" x14ac:dyDescent="0.25">
      <c r="A391" t="s">
        <v>2362</v>
      </c>
      <c r="B391" s="16" t="s">
        <v>306</v>
      </c>
      <c r="C391" s="19">
        <v>11</v>
      </c>
      <c r="D391" s="18" t="s">
        <v>307</v>
      </c>
      <c r="E391" s="13">
        <v>2</v>
      </c>
      <c r="F391" s="25" t="s">
        <v>306</v>
      </c>
      <c r="G391" s="25">
        <v>81897719002</v>
      </c>
      <c r="H391" s="11">
        <v>29.64752</v>
      </c>
      <c r="I391" s="11">
        <f t="shared" si="47"/>
        <v>59.29504</v>
      </c>
      <c r="J391" s="11">
        <f t="shared" si="49"/>
        <v>29.64752</v>
      </c>
      <c r="K391" s="11">
        <f t="shared" si="48"/>
        <v>59.29504</v>
      </c>
      <c r="L391" s="10">
        <v>0</v>
      </c>
      <c r="N391" s="118">
        <f t="shared" si="50"/>
        <v>0</v>
      </c>
      <c r="O391" s="118">
        <f t="shared" si="51"/>
        <v>29.64752</v>
      </c>
    </row>
    <row r="392" spans="1:15" x14ac:dyDescent="0.25">
      <c r="A392" t="s">
        <v>2361</v>
      </c>
      <c r="B392" s="16" t="s">
        <v>2359</v>
      </c>
      <c r="C392" s="19">
        <v>12</v>
      </c>
      <c r="D392" s="18" t="s">
        <v>2360</v>
      </c>
      <c r="E392" s="13">
        <v>2</v>
      </c>
      <c r="F392" s="25" t="s">
        <v>2359</v>
      </c>
      <c r="G392" s="25">
        <v>81897719002</v>
      </c>
      <c r="H392" s="11">
        <v>24.448080000000001</v>
      </c>
      <c r="I392" s="11">
        <f t="shared" si="47"/>
        <v>48.896160000000002</v>
      </c>
      <c r="J392" s="11">
        <f t="shared" si="49"/>
        <v>24.448080000000001</v>
      </c>
      <c r="K392" s="11">
        <f t="shared" si="48"/>
        <v>48.896160000000002</v>
      </c>
      <c r="L392" s="10">
        <v>0</v>
      </c>
      <c r="N392" s="118">
        <f t="shared" si="50"/>
        <v>0</v>
      </c>
      <c r="O392" s="118">
        <f t="shared" si="51"/>
        <v>24.448080000000001</v>
      </c>
    </row>
    <row r="393" spans="1:15" x14ac:dyDescent="0.25">
      <c r="A393" t="s">
        <v>2358</v>
      </c>
      <c r="B393" s="16" t="s">
        <v>2356</v>
      </c>
      <c r="C393" s="19">
        <v>13</v>
      </c>
      <c r="D393" s="18" t="s">
        <v>2357</v>
      </c>
      <c r="E393" s="13">
        <v>1</v>
      </c>
      <c r="F393" s="25" t="s">
        <v>2356</v>
      </c>
      <c r="G393" s="25">
        <v>81897719002</v>
      </c>
      <c r="H393" s="11">
        <v>65.211359999999999</v>
      </c>
      <c r="I393" s="11">
        <f t="shared" si="47"/>
        <v>65.211359999999999</v>
      </c>
      <c r="J393" s="11">
        <f t="shared" si="49"/>
        <v>65.211359999999999</v>
      </c>
      <c r="K393" s="11">
        <f t="shared" si="48"/>
        <v>65.211359999999999</v>
      </c>
      <c r="L393" s="10">
        <v>0</v>
      </c>
      <c r="N393" s="118">
        <f t="shared" si="50"/>
        <v>0</v>
      </c>
      <c r="O393" s="118">
        <f t="shared" si="51"/>
        <v>65.211359999999999</v>
      </c>
    </row>
    <row r="394" spans="1:15" x14ac:dyDescent="0.25">
      <c r="A394" t="s">
        <v>2355</v>
      </c>
      <c r="B394" s="16" t="s">
        <v>2353</v>
      </c>
      <c r="C394" s="19">
        <v>14</v>
      </c>
      <c r="D394" s="18" t="s">
        <v>2354</v>
      </c>
      <c r="E394" s="13">
        <v>1</v>
      </c>
      <c r="F394" s="25" t="s">
        <v>2353</v>
      </c>
      <c r="G394" s="25">
        <v>81897719002</v>
      </c>
      <c r="H394" s="11">
        <v>59.253839999999997</v>
      </c>
      <c r="I394" s="11">
        <f t="shared" si="47"/>
        <v>59.253839999999997</v>
      </c>
      <c r="J394" s="11">
        <f t="shared" si="49"/>
        <v>59.253839999999997</v>
      </c>
      <c r="K394" s="11">
        <f t="shared" si="48"/>
        <v>59.253839999999997</v>
      </c>
      <c r="L394" s="10">
        <v>0</v>
      </c>
      <c r="N394" s="118">
        <f t="shared" si="50"/>
        <v>0</v>
      </c>
      <c r="O394" s="118">
        <f t="shared" si="51"/>
        <v>59.253839999999997</v>
      </c>
    </row>
    <row r="395" spans="1:15" x14ac:dyDescent="0.25">
      <c r="A395" t="s">
        <v>2229</v>
      </c>
      <c r="B395" s="16" t="s">
        <v>1871</v>
      </c>
      <c r="C395" s="19">
        <v>15</v>
      </c>
      <c r="D395" s="18" t="s">
        <v>1872</v>
      </c>
      <c r="E395" s="13">
        <v>1</v>
      </c>
      <c r="F395" s="25" t="s">
        <v>1871</v>
      </c>
      <c r="G395" s="25">
        <v>81897719002</v>
      </c>
      <c r="H395" s="11">
        <v>296.35984000000002</v>
      </c>
      <c r="I395" s="11">
        <f t="shared" si="47"/>
        <v>296.35984000000002</v>
      </c>
      <c r="J395" s="11">
        <f t="shared" si="49"/>
        <v>296.35984000000002</v>
      </c>
      <c r="K395" s="11">
        <f t="shared" si="48"/>
        <v>296.35984000000002</v>
      </c>
      <c r="L395" s="10">
        <v>0</v>
      </c>
      <c r="N395" s="118">
        <f t="shared" si="50"/>
        <v>0</v>
      </c>
      <c r="O395" s="118">
        <f t="shared" si="51"/>
        <v>296.35984000000002</v>
      </c>
    </row>
    <row r="396" spans="1:15" x14ac:dyDescent="0.25">
      <c r="A396" t="s">
        <v>2352</v>
      </c>
      <c r="B396" s="16" t="s">
        <v>488</v>
      </c>
      <c r="C396" s="19">
        <v>16</v>
      </c>
      <c r="D396" s="18" t="s">
        <v>489</v>
      </c>
      <c r="E396" s="13">
        <v>1</v>
      </c>
      <c r="F396" s="25" t="s">
        <v>488</v>
      </c>
      <c r="G396" s="25">
        <v>81897719002</v>
      </c>
      <c r="H396" s="11">
        <v>13.332319999999999</v>
      </c>
      <c r="I396" s="11">
        <f t="shared" si="47"/>
        <v>13.332319999999999</v>
      </c>
      <c r="J396" s="11">
        <f t="shared" si="49"/>
        <v>13.332319999999999</v>
      </c>
      <c r="K396" s="11">
        <f t="shared" si="48"/>
        <v>13.332319999999999</v>
      </c>
      <c r="L396" s="10">
        <v>0</v>
      </c>
      <c r="N396" s="118">
        <f t="shared" si="50"/>
        <v>0</v>
      </c>
      <c r="O396" s="118">
        <f t="shared" si="51"/>
        <v>13.332319999999999</v>
      </c>
    </row>
    <row r="397" spans="1:15" x14ac:dyDescent="0.25">
      <c r="A397" t="s">
        <v>2351</v>
      </c>
      <c r="B397" s="16" t="s">
        <v>1869</v>
      </c>
      <c r="C397" s="19">
        <v>17</v>
      </c>
      <c r="D397" s="18" t="s">
        <v>410</v>
      </c>
      <c r="E397" s="13">
        <v>1</v>
      </c>
      <c r="F397" s="25" t="s">
        <v>1869</v>
      </c>
      <c r="G397" s="25">
        <v>81897719002</v>
      </c>
      <c r="H397" s="11">
        <v>7.4242400000000002</v>
      </c>
      <c r="I397" s="11">
        <f t="shared" si="47"/>
        <v>7.4242400000000002</v>
      </c>
      <c r="J397" s="11">
        <f t="shared" si="49"/>
        <v>7.4242400000000002</v>
      </c>
      <c r="K397" s="11">
        <f t="shared" si="48"/>
        <v>7.4242400000000002</v>
      </c>
      <c r="L397" s="10">
        <v>0</v>
      </c>
      <c r="N397" s="118">
        <f t="shared" si="50"/>
        <v>0</v>
      </c>
      <c r="O397" s="118">
        <f t="shared" si="51"/>
        <v>7.4242400000000002</v>
      </c>
    </row>
    <row r="398" spans="1:15" x14ac:dyDescent="0.25">
      <c r="A398" t="s">
        <v>2350</v>
      </c>
      <c r="B398" s="16" t="s">
        <v>1791</v>
      </c>
      <c r="C398" s="19">
        <v>18</v>
      </c>
      <c r="D398" s="18" t="s">
        <v>2349</v>
      </c>
      <c r="E398" s="13">
        <v>1</v>
      </c>
      <c r="F398" s="25" t="s">
        <v>1791</v>
      </c>
      <c r="G398" s="25">
        <v>81897719002</v>
      </c>
      <c r="H398" s="11">
        <v>7.4242400000000002</v>
      </c>
      <c r="I398" s="11">
        <f t="shared" si="47"/>
        <v>7.4242400000000002</v>
      </c>
      <c r="J398" s="11">
        <f t="shared" si="49"/>
        <v>7.4242400000000002</v>
      </c>
      <c r="K398" s="11">
        <f t="shared" si="48"/>
        <v>7.4242400000000002</v>
      </c>
      <c r="L398" s="10">
        <v>0</v>
      </c>
      <c r="N398" s="118">
        <f t="shared" si="50"/>
        <v>0</v>
      </c>
      <c r="O398" s="118">
        <f t="shared" si="51"/>
        <v>7.4242400000000002</v>
      </c>
    </row>
    <row r="399" spans="1:15" x14ac:dyDescent="0.25">
      <c r="A399" t="s">
        <v>2348</v>
      </c>
      <c r="B399" s="54" t="s">
        <v>642</v>
      </c>
      <c r="C399" s="19">
        <v>19</v>
      </c>
      <c r="D399" s="18" t="s">
        <v>641</v>
      </c>
      <c r="E399" s="13">
        <v>1</v>
      </c>
      <c r="F399" s="25" t="s">
        <v>158</v>
      </c>
      <c r="G399" s="25" t="s">
        <v>427</v>
      </c>
      <c r="H399" s="11">
        <v>5.6773599999999993</v>
      </c>
      <c r="I399" s="11">
        <f t="shared" si="47"/>
        <v>5.6773599999999993</v>
      </c>
      <c r="J399" s="11">
        <f t="shared" si="49"/>
        <v>5.6773599999999993</v>
      </c>
      <c r="K399" s="11">
        <f t="shared" si="48"/>
        <v>5.6773599999999993</v>
      </c>
      <c r="L399" s="10">
        <v>0</v>
      </c>
      <c r="N399" s="118">
        <f t="shared" si="50"/>
        <v>0</v>
      </c>
      <c r="O399" s="118">
        <f t="shared" si="51"/>
        <v>5.6773599999999993</v>
      </c>
    </row>
    <row r="400" spans="1:15" x14ac:dyDescent="0.25">
      <c r="A400" t="s">
        <v>2347</v>
      </c>
      <c r="B400" s="16" t="s">
        <v>2345</v>
      </c>
      <c r="C400" s="19">
        <v>20</v>
      </c>
      <c r="D400" s="18" t="s">
        <v>2346</v>
      </c>
      <c r="E400" s="13">
        <v>1</v>
      </c>
      <c r="F400" s="25" t="s">
        <v>2345</v>
      </c>
      <c r="G400" s="25">
        <v>81897719002</v>
      </c>
      <c r="H400" s="11">
        <v>32.580959999999997</v>
      </c>
      <c r="I400" s="11">
        <f t="shared" si="47"/>
        <v>32.580959999999997</v>
      </c>
      <c r="J400" s="11">
        <f t="shared" si="49"/>
        <v>32.580959999999997</v>
      </c>
      <c r="K400" s="11">
        <f t="shared" si="48"/>
        <v>32.580959999999997</v>
      </c>
      <c r="L400" s="10">
        <v>0</v>
      </c>
      <c r="N400" s="118">
        <f t="shared" si="50"/>
        <v>0</v>
      </c>
      <c r="O400" s="118">
        <f t="shared" si="51"/>
        <v>32.580959999999997</v>
      </c>
    </row>
    <row r="401" spans="1:15" x14ac:dyDescent="0.25">
      <c r="A401" t="s">
        <v>2344</v>
      </c>
      <c r="B401" s="16" t="s">
        <v>2342</v>
      </c>
      <c r="C401" s="19">
        <v>21</v>
      </c>
      <c r="D401" s="18" t="s">
        <v>2343</v>
      </c>
      <c r="E401" s="13">
        <v>1</v>
      </c>
      <c r="F401" s="25" t="s">
        <v>2342</v>
      </c>
      <c r="G401" s="25">
        <v>81897719002</v>
      </c>
      <c r="H401" s="11">
        <v>32.580959999999997</v>
      </c>
      <c r="I401" s="11">
        <f t="shared" si="47"/>
        <v>32.580959999999997</v>
      </c>
      <c r="J401" s="11">
        <f t="shared" si="49"/>
        <v>32.580959999999997</v>
      </c>
      <c r="K401" s="11">
        <f t="shared" si="48"/>
        <v>32.580959999999997</v>
      </c>
      <c r="L401" s="10">
        <v>0</v>
      </c>
      <c r="N401" s="118">
        <f t="shared" si="50"/>
        <v>0</v>
      </c>
      <c r="O401" s="118">
        <f t="shared" si="51"/>
        <v>32.580959999999997</v>
      </c>
    </row>
    <row r="402" spans="1:15" x14ac:dyDescent="0.25">
      <c r="A402" t="s">
        <v>2341</v>
      </c>
      <c r="B402" s="16" t="s">
        <v>733</v>
      </c>
      <c r="C402" s="19">
        <v>22</v>
      </c>
      <c r="D402" s="18" t="s">
        <v>2340</v>
      </c>
      <c r="E402" s="13">
        <v>1</v>
      </c>
      <c r="F402" s="25" t="s">
        <v>733</v>
      </c>
      <c r="G402" s="25">
        <v>81897719002</v>
      </c>
      <c r="H402" s="11">
        <v>32.580959999999997</v>
      </c>
      <c r="I402" s="11">
        <f t="shared" si="47"/>
        <v>32.580959999999997</v>
      </c>
      <c r="J402" s="11">
        <f t="shared" si="49"/>
        <v>32.580959999999997</v>
      </c>
      <c r="K402" s="11">
        <f t="shared" si="48"/>
        <v>32.580959999999997</v>
      </c>
      <c r="L402" s="10">
        <v>0</v>
      </c>
      <c r="N402" s="118">
        <f t="shared" si="50"/>
        <v>0</v>
      </c>
      <c r="O402" s="118">
        <f t="shared" si="51"/>
        <v>32.580959999999997</v>
      </c>
    </row>
    <row r="403" spans="1:15" x14ac:dyDescent="0.25">
      <c r="A403" t="s">
        <v>2339</v>
      </c>
      <c r="B403" s="16" t="s">
        <v>2337</v>
      </c>
      <c r="C403" s="19">
        <v>23</v>
      </c>
      <c r="D403" s="18" t="s">
        <v>2338</v>
      </c>
      <c r="E403" s="13">
        <v>1</v>
      </c>
      <c r="F403" s="25" t="s">
        <v>2337</v>
      </c>
      <c r="G403" s="25">
        <v>81897719002</v>
      </c>
      <c r="H403" s="11">
        <v>32.580959999999997</v>
      </c>
      <c r="I403" s="11">
        <f t="shared" si="47"/>
        <v>32.580959999999997</v>
      </c>
      <c r="J403" s="11">
        <f t="shared" si="49"/>
        <v>32.580959999999997</v>
      </c>
      <c r="K403" s="11">
        <f t="shared" si="48"/>
        <v>32.580959999999997</v>
      </c>
      <c r="L403" s="10">
        <v>0</v>
      </c>
      <c r="N403" s="118">
        <f t="shared" si="50"/>
        <v>0</v>
      </c>
      <c r="O403" s="118">
        <f t="shared" si="51"/>
        <v>32.580959999999997</v>
      </c>
    </row>
    <row r="404" spans="1:15" x14ac:dyDescent="0.25">
      <c r="A404" t="s">
        <v>2336</v>
      </c>
      <c r="B404" s="16" t="s">
        <v>2052</v>
      </c>
      <c r="C404" s="19">
        <v>24</v>
      </c>
      <c r="D404" s="18" t="s">
        <v>2335</v>
      </c>
      <c r="E404" s="13">
        <v>1</v>
      </c>
      <c r="F404" s="25" t="s">
        <v>2052</v>
      </c>
      <c r="G404" s="25">
        <v>81897719002</v>
      </c>
      <c r="H404" s="11">
        <v>33.339040000000004</v>
      </c>
      <c r="I404" s="11">
        <f t="shared" si="47"/>
        <v>33.339040000000004</v>
      </c>
      <c r="J404" s="11">
        <f t="shared" si="49"/>
        <v>33.339040000000004</v>
      </c>
      <c r="K404" s="11">
        <f t="shared" si="48"/>
        <v>33.339040000000004</v>
      </c>
      <c r="L404" s="10">
        <v>0</v>
      </c>
      <c r="N404" s="118">
        <f t="shared" si="50"/>
        <v>0</v>
      </c>
      <c r="O404" s="118">
        <f t="shared" si="51"/>
        <v>33.339040000000004</v>
      </c>
    </row>
    <row r="405" spans="1:15" x14ac:dyDescent="0.25">
      <c r="A405" t="s">
        <v>2334</v>
      </c>
      <c r="B405" s="16" t="s">
        <v>626</v>
      </c>
      <c r="C405" s="19">
        <v>25</v>
      </c>
      <c r="D405" s="18" t="s">
        <v>908</v>
      </c>
      <c r="E405" s="13">
        <v>1</v>
      </c>
      <c r="F405" s="25" t="s">
        <v>626</v>
      </c>
      <c r="G405" s="25">
        <v>81897719002</v>
      </c>
      <c r="H405" s="11">
        <v>26.672879999999996</v>
      </c>
      <c r="I405" s="11">
        <f t="shared" si="47"/>
        <v>26.672879999999996</v>
      </c>
      <c r="J405" s="11">
        <f t="shared" si="49"/>
        <v>26.672879999999996</v>
      </c>
      <c r="K405" s="11">
        <f t="shared" si="48"/>
        <v>26.672879999999996</v>
      </c>
      <c r="L405" s="10">
        <v>0</v>
      </c>
      <c r="N405" s="118">
        <f t="shared" si="50"/>
        <v>0</v>
      </c>
      <c r="O405" s="118">
        <f t="shared" si="51"/>
        <v>26.672879999999996</v>
      </c>
    </row>
    <row r="406" spans="1:15" x14ac:dyDescent="0.25">
      <c r="A406" t="s">
        <v>2333</v>
      </c>
      <c r="B406" s="16" t="s">
        <v>230</v>
      </c>
      <c r="C406" s="19">
        <v>26</v>
      </c>
      <c r="D406" s="18" t="s">
        <v>231</v>
      </c>
      <c r="E406" s="13">
        <v>2</v>
      </c>
      <c r="F406" s="25" t="s">
        <v>230</v>
      </c>
      <c r="G406" s="25">
        <v>81897719002</v>
      </c>
      <c r="H406" s="11">
        <v>10.35768</v>
      </c>
      <c r="I406" s="11">
        <f t="shared" si="47"/>
        <v>20.71536</v>
      </c>
      <c r="J406" s="11">
        <f t="shared" si="49"/>
        <v>10.35768</v>
      </c>
      <c r="K406" s="11">
        <f t="shared" si="48"/>
        <v>20.71536</v>
      </c>
      <c r="L406" s="10">
        <v>0</v>
      </c>
      <c r="N406" s="118">
        <f t="shared" si="50"/>
        <v>0</v>
      </c>
      <c r="O406" s="118">
        <f t="shared" si="51"/>
        <v>10.35768</v>
      </c>
    </row>
    <row r="407" spans="1:15" x14ac:dyDescent="0.25">
      <c r="A407" t="s">
        <v>2332</v>
      </c>
      <c r="B407" s="16" t="s">
        <v>233</v>
      </c>
      <c r="C407" s="19">
        <v>27</v>
      </c>
      <c r="D407" s="18" t="s">
        <v>234</v>
      </c>
      <c r="E407" s="13">
        <v>2</v>
      </c>
      <c r="F407" s="25" t="s">
        <v>233</v>
      </c>
      <c r="G407" s="25">
        <v>81897719002</v>
      </c>
      <c r="H407" s="11">
        <v>9.6490400000000012</v>
      </c>
      <c r="I407" s="11">
        <f t="shared" si="47"/>
        <v>19.298080000000002</v>
      </c>
      <c r="J407" s="11">
        <f t="shared" si="49"/>
        <v>9.6490400000000012</v>
      </c>
      <c r="K407" s="11">
        <f t="shared" si="48"/>
        <v>19.298080000000002</v>
      </c>
      <c r="L407" s="10">
        <v>0</v>
      </c>
      <c r="N407" s="118">
        <f t="shared" si="50"/>
        <v>0</v>
      </c>
      <c r="O407" s="118">
        <f t="shared" si="51"/>
        <v>9.6490400000000012</v>
      </c>
    </row>
    <row r="408" spans="1:15" x14ac:dyDescent="0.25">
      <c r="A408" t="s">
        <v>2331</v>
      </c>
      <c r="B408" s="16" t="s">
        <v>227</v>
      </c>
      <c r="C408" s="19">
        <v>28</v>
      </c>
      <c r="D408" s="18" t="s">
        <v>228</v>
      </c>
      <c r="E408" s="13">
        <v>3</v>
      </c>
      <c r="F408" s="25" t="s">
        <v>227</v>
      </c>
      <c r="G408" s="25">
        <v>81897719002</v>
      </c>
      <c r="H408" s="11">
        <v>6.6661599999999996</v>
      </c>
      <c r="I408" s="11">
        <f t="shared" si="47"/>
        <v>19.998480000000001</v>
      </c>
      <c r="J408" s="11">
        <f t="shared" si="49"/>
        <v>6.6661599999999996</v>
      </c>
      <c r="K408" s="11">
        <f t="shared" si="48"/>
        <v>19.998480000000001</v>
      </c>
      <c r="L408" s="10">
        <v>0</v>
      </c>
      <c r="N408" s="118">
        <f t="shared" si="50"/>
        <v>0</v>
      </c>
      <c r="O408" s="118">
        <f t="shared" si="51"/>
        <v>6.6661599999999996</v>
      </c>
    </row>
    <row r="409" spans="1:15" x14ac:dyDescent="0.25">
      <c r="A409" t="s">
        <v>2330</v>
      </c>
      <c r="B409" s="16" t="s">
        <v>469</v>
      </c>
      <c r="C409" s="19">
        <v>29</v>
      </c>
      <c r="D409" s="18" t="s">
        <v>470</v>
      </c>
      <c r="E409" s="13">
        <v>3</v>
      </c>
      <c r="F409" s="25" t="s">
        <v>469</v>
      </c>
      <c r="G409" s="25">
        <v>81897719002</v>
      </c>
      <c r="H409" s="11">
        <v>7.4242400000000002</v>
      </c>
      <c r="I409" s="11">
        <f t="shared" si="47"/>
        <v>22.27272</v>
      </c>
      <c r="J409" s="11">
        <f t="shared" si="49"/>
        <v>7.4242400000000002</v>
      </c>
      <c r="K409" s="11">
        <f t="shared" si="48"/>
        <v>22.27272</v>
      </c>
      <c r="L409" s="10">
        <v>0</v>
      </c>
      <c r="N409" s="118">
        <f t="shared" si="50"/>
        <v>0</v>
      </c>
      <c r="O409" s="118">
        <f t="shared" si="51"/>
        <v>7.4242400000000002</v>
      </c>
    </row>
    <row r="410" spans="1:15" x14ac:dyDescent="0.25">
      <c r="A410" t="s">
        <v>2329</v>
      </c>
      <c r="B410" s="16" t="s">
        <v>131</v>
      </c>
      <c r="C410" s="19">
        <v>30</v>
      </c>
      <c r="D410" s="18" t="s">
        <v>132</v>
      </c>
      <c r="E410" s="13">
        <v>6</v>
      </c>
      <c r="F410" s="25" t="s">
        <v>131</v>
      </c>
      <c r="G410" s="25">
        <v>81897719002</v>
      </c>
      <c r="H410" s="11">
        <v>17.78192</v>
      </c>
      <c r="I410" s="11">
        <f t="shared" si="47"/>
        <v>106.69152</v>
      </c>
      <c r="J410" s="11">
        <f t="shared" si="49"/>
        <v>17.78192</v>
      </c>
      <c r="K410" s="11">
        <f t="shared" si="48"/>
        <v>106.69152</v>
      </c>
      <c r="L410" s="10">
        <v>0</v>
      </c>
      <c r="N410" s="118">
        <f t="shared" si="50"/>
        <v>0</v>
      </c>
      <c r="O410" s="118">
        <f t="shared" si="51"/>
        <v>17.78192</v>
      </c>
    </row>
    <row r="411" spans="1:15" x14ac:dyDescent="0.25">
      <c r="A411" t="s">
        <v>2328</v>
      </c>
      <c r="B411" s="16" t="s">
        <v>110</v>
      </c>
      <c r="C411" s="19">
        <v>31</v>
      </c>
      <c r="D411" s="18" t="s">
        <v>111</v>
      </c>
      <c r="E411" s="13">
        <v>1</v>
      </c>
      <c r="F411" s="25" t="s">
        <v>110</v>
      </c>
      <c r="G411" s="25">
        <v>81897719002</v>
      </c>
      <c r="H411" s="11">
        <v>41.471919999999997</v>
      </c>
      <c r="I411" s="11">
        <f t="shared" si="47"/>
        <v>41.471919999999997</v>
      </c>
      <c r="J411" s="11">
        <f t="shared" si="49"/>
        <v>41.471919999999997</v>
      </c>
      <c r="K411" s="11">
        <f t="shared" si="48"/>
        <v>41.471919999999997</v>
      </c>
      <c r="L411" s="10">
        <v>0</v>
      </c>
      <c r="N411" s="118">
        <f t="shared" si="50"/>
        <v>0</v>
      </c>
      <c r="O411" s="118">
        <f t="shared" si="51"/>
        <v>41.471919999999997</v>
      </c>
    </row>
    <row r="412" spans="1:15" x14ac:dyDescent="0.25">
      <c r="A412" t="s">
        <v>2327</v>
      </c>
      <c r="B412" s="16" t="s">
        <v>119</v>
      </c>
      <c r="C412" s="19">
        <v>32</v>
      </c>
      <c r="D412" s="18" t="s">
        <v>120</v>
      </c>
      <c r="E412" s="13">
        <v>6</v>
      </c>
      <c r="F412" s="25" t="s">
        <v>119</v>
      </c>
      <c r="G412" s="25">
        <v>81897719002</v>
      </c>
      <c r="H412" s="11">
        <v>18.54</v>
      </c>
      <c r="I412" s="11">
        <f t="shared" si="47"/>
        <v>111.24</v>
      </c>
      <c r="J412" s="11">
        <f t="shared" si="49"/>
        <v>18.54</v>
      </c>
      <c r="K412" s="11">
        <f t="shared" si="48"/>
        <v>111.24</v>
      </c>
      <c r="L412" s="10">
        <v>0</v>
      </c>
      <c r="N412" s="118">
        <f t="shared" si="50"/>
        <v>0</v>
      </c>
      <c r="O412" s="118">
        <f t="shared" si="51"/>
        <v>18.54</v>
      </c>
    </row>
    <row r="413" spans="1:15" x14ac:dyDescent="0.25">
      <c r="A413" t="s">
        <v>2326</v>
      </c>
      <c r="B413" s="16" t="s">
        <v>122</v>
      </c>
      <c r="C413" s="19">
        <v>33</v>
      </c>
      <c r="D413" s="18" t="s">
        <v>123</v>
      </c>
      <c r="E413" s="13">
        <v>6</v>
      </c>
      <c r="F413" s="25" t="s">
        <v>122</v>
      </c>
      <c r="G413" s="25">
        <v>81897719002</v>
      </c>
      <c r="H413" s="11">
        <v>17.78192</v>
      </c>
      <c r="I413" s="11">
        <f t="shared" ref="I413:I444" si="52">H413*E413</f>
        <v>106.69152</v>
      </c>
      <c r="J413" s="11">
        <f t="shared" si="49"/>
        <v>17.78192</v>
      </c>
      <c r="K413" s="11">
        <f t="shared" ref="K413:K444" si="53">J413*E413</f>
        <v>106.69152</v>
      </c>
      <c r="L413" s="10">
        <v>0</v>
      </c>
      <c r="N413" s="118">
        <f t="shared" si="50"/>
        <v>0</v>
      </c>
      <c r="O413" s="118">
        <f t="shared" si="51"/>
        <v>17.78192</v>
      </c>
    </row>
    <row r="414" spans="1:15" x14ac:dyDescent="0.25">
      <c r="A414" t="s">
        <v>2325</v>
      </c>
      <c r="B414" s="16" t="s">
        <v>2323</v>
      </c>
      <c r="C414" s="19">
        <v>34</v>
      </c>
      <c r="D414" s="18" t="s">
        <v>2324</v>
      </c>
      <c r="E414" s="13">
        <v>1</v>
      </c>
      <c r="F414" s="25" t="s">
        <v>2323</v>
      </c>
      <c r="G414" s="25">
        <v>81897719002</v>
      </c>
      <c r="H414" s="11">
        <v>296.35984000000002</v>
      </c>
      <c r="I414" s="11">
        <f t="shared" si="52"/>
        <v>296.35984000000002</v>
      </c>
      <c r="J414" s="11">
        <f t="shared" si="49"/>
        <v>296.35984000000002</v>
      </c>
      <c r="K414" s="11">
        <f t="shared" si="53"/>
        <v>296.35984000000002</v>
      </c>
      <c r="L414" s="10">
        <v>0</v>
      </c>
      <c r="N414" s="118">
        <f t="shared" si="50"/>
        <v>0</v>
      </c>
      <c r="O414" s="118">
        <f t="shared" si="51"/>
        <v>296.35984000000002</v>
      </c>
    </row>
    <row r="415" spans="1:15" x14ac:dyDescent="0.25">
      <c r="A415" t="s">
        <v>2322</v>
      </c>
      <c r="B415" s="16" t="s">
        <v>2278</v>
      </c>
      <c r="C415" s="19">
        <v>35</v>
      </c>
      <c r="D415" s="18" t="s">
        <v>2321</v>
      </c>
      <c r="E415" s="13">
        <v>1</v>
      </c>
      <c r="F415" s="25" t="s">
        <v>2278</v>
      </c>
      <c r="G415" s="25">
        <v>81897719002</v>
      </c>
      <c r="H415" s="11">
        <v>296.35984000000002</v>
      </c>
      <c r="I415" s="11">
        <f t="shared" si="52"/>
        <v>296.35984000000002</v>
      </c>
      <c r="J415" s="11">
        <f t="shared" si="49"/>
        <v>296.35984000000002</v>
      </c>
      <c r="K415" s="11">
        <f t="shared" si="53"/>
        <v>296.35984000000002</v>
      </c>
      <c r="L415" s="10">
        <v>0</v>
      </c>
      <c r="N415" s="118">
        <f t="shared" si="50"/>
        <v>0</v>
      </c>
      <c r="O415" s="118">
        <f t="shared" si="51"/>
        <v>296.35984000000002</v>
      </c>
    </row>
    <row r="416" spans="1:15" x14ac:dyDescent="0.25">
      <c r="A416" t="s">
        <v>2320</v>
      </c>
      <c r="B416" s="16" t="s">
        <v>2318</v>
      </c>
      <c r="C416" s="19">
        <v>36</v>
      </c>
      <c r="D416" s="18" t="s">
        <v>2319</v>
      </c>
      <c r="E416" s="13">
        <v>1</v>
      </c>
      <c r="F416" s="25" t="s">
        <v>2318</v>
      </c>
      <c r="G416" s="25">
        <v>81897719002</v>
      </c>
      <c r="H416" s="11">
        <v>296.35984000000002</v>
      </c>
      <c r="I416" s="11">
        <f t="shared" si="52"/>
        <v>296.35984000000002</v>
      </c>
      <c r="J416" s="11">
        <f t="shared" si="49"/>
        <v>296.35984000000002</v>
      </c>
      <c r="K416" s="11">
        <f t="shared" si="53"/>
        <v>296.35984000000002</v>
      </c>
      <c r="L416" s="10">
        <v>0</v>
      </c>
      <c r="N416" s="118">
        <f t="shared" si="50"/>
        <v>0</v>
      </c>
      <c r="O416" s="118">
        <f t="shared" si="51"/>
        <v>296.35984000000002</v>
      </c>
    </row>
    <row r="417" spans="1:15" x14ac:dyDescent="0.25">
      <c r="A417" t="s">
        <v>2317</v>
      </c>
      <c r="B417" s="16" t="s">
        <v>2315</v>
      </c>
      <c r="C417" s="19">
        <v>37</v>
      </c>
      <c r="D417" s="18" t="s">
        <v>2316</v>
      </c>
      <c r="E417" s="13">
        <v>2</v>
      </c>
      <c r="F417" s="25" t="s">
        <v>2315</v>
      </c>
      <c r="G417" s="25">
        <v>81897719002</v>
      </c>
      <c r="H417" s="11">
        <v>155.57944000000001</v>
      </c>
      <c r="I417" s="11">
        <f t="shared" si="52"/>
        <v>311.15888000000001</v>
      </c>
      <c r="J417" s="11">
        <f t="shared" si="49"/>
        <v>155.57944000000001</v>
      </c>
      <c r="K417" s="11">
        <f t="shared" si="53"/>
        <v>311.15888000000001</v>
      </c>
      <c r="L417" s="10">
        <v>0</v>
      </c>
      <c r="N417" s="118">
        <f t="shared" si="50"/>
        <v>0</v>
      </c>
      <c r="O417" s="118">
        <f t="shared" si="51"/>
        <v>155.57944000000001</v>
      </c>
    </row>
    <row r="418" spans="1:15" x14ac:dyDescent="0.25">
      <c r="A418" t="s">
        <v>2314</v>
      </c>
      <c r="B418" s="16" t="s">
        <v>2312</v>
      </c>
      <c r="C418" s="19">
        <v>38</v>
      </c>
      <c r="D418" s="18" t="s">
        <v>2313</v>
      </c>
      <c r="E418" s="13">
        <v>1</v>
      </c>
      <c r="F418" s="25" t="s">
        <v>2312</v>
      </c>
      <c r="G418" s="25">
        <v>81897719002</v>
      </c>
      <c r="H418" s="11">
        <v>155.57944000000001</v>
      </c>
      <c r="I418" s="11">
        <f t="shared" si="52"/>
        <v>155.57944000000001</v>
      </c>
      <c r="J418" s="11">
        <f t="shared" si="49"/>
        <v>155.57944000000001</v>
      </c>
      <c r="K418" s="11">
        <f t="shared" si="53"/>
        <v>155.57944000000001</v>
      </c>
      <c r="L418" s="10">
        <v>0</v>
      </c>
      <c r="N418" s="118">
        <f t="shared" si="50"/>
        <v>0</v>
      </c>
      <c r="O418" s="118">
        <f t="shared" si="51"/>
        <v>155.57944000000001</v>
      </c>
    </row>
    <row r="419" spans="1:15" x14ac:dyDescent="0.25">
      <c r="A419" t="s">
        <v>2311</v>
      </c>
      <c r="B419" s="16" t="s">
        <v>2309</v>
      </c>
      <c r="C419" s="19">
        <v>39</v>
      </c>
      <c r="D419" s="18" t="s">
        <v>2310</v>
      </c>
      <c r="E419" s="13">
        <v>1</v>
      </c>
      <c r="F419" s="25" t="s">
        <v>2309</v>
      </c>
      <c r="G419" s="25">
        <v>81897719002</v>
      </c>
      <c r="H419" s="11">
        <v>155.57944000000001</v>
      </c>
      <c r="I419" s="11">
        <f t="shared" si="52"/>
        <v>155.57944000000001</v>
      </c>
      <c r="J419" s="11">
        <f t="shared" si="49"/>
        <v>155.57944000000001</v>
      </c>
      <c r="K419" s="11">
        <f t="shared" si="53"/>
        <v>155.57944000000001</v>
      </c>
      <c r="L419" s="10">
        <v>0</v>
      </c>
      <c r="N419" s="118">
        <f t="shared" si="50"/>
        <v>0</v>
      </c>
      <c r="O419" s="118">
        <f t="shared" si="51"/>
        <v>155.57944000000001</v>
      </c>
    </row>
    <row r="420" spans="1:15" x14ac:dyDescent="0.25">
      <c r="A420" t="s">
        <v>2308</v>
      </c>
      <c r="B420" s="16" t="s">
        <v>2306</v>
      </c>
      <c r="C420" s="19">
        <v>40</v>
      </c>
      <c r="D420" s="18" t="s">
        <v>2307</v>
      </c>
      <c r="E420" s="13">
        <v>1</v>
      </c>
      <c r="F420" s="25" t="s">
        <v>2306</v>
      </c>
      <c r="G420" s="25">
        <v>81897719002</v>
      </c>
      <c r="H420" s="11">
        <v>155.57944000000001</v>
      </c>
      <c r="I420" s="11">
        <f t="shared" si="52"/>
        <v>155.57944000000001</v>
      </c>
      <c r="J420" s="11">
        <f t="shared" si="49"/>
        <v>155.57944000000001</v>
      </c>
      <c r="K420" s="11">
        <f t="shared" si="53"/>
        <v>155.57944000000001</v>
      </c>
      <c r="L420" s="10">
        <v>0</v>
      </c>
      <c r="N420" s="118">
        <f t="shared" si="50"/>
        <v>0</v>
      </c>
      <c r="O420" s="118">
        <f t="shared" si="51"/>
        <v>155.57944000000001</v>
      </c>
    </row>
    <row r="421" spans="1:15" x14ac:dyDescent="0.25">
      <c r="A421" t="s">
        <v>2305</v>
      </c>
      <c r="B421" s="16" t="s">
        <v>457</v>
      </c>
      <c r="C421" s="19">
        <v>41</v>
      </c>
      <c r="D421" s="18" t="s">
        <v>458</v>
      </c>
      <c r="E421" s="13">
        <v>1</v>
      </c>
      <c r="F421" s="25" t="s">
        <v>457</v>
      </c>
      <c r="G421" s="25" t="s">
        <v>695</v>
      </c>
      <c r="H421" s="11">
        <v>85.20984</v>
      </c>
      <c r="I421" s="11">
        <f t="shared" si="52"/>
        <v>85.20984</v>
      </c>
      <c r="J421" s="11">
        <f t="shared" si="49"/>
        <v>85.20984</v>
      </c>
      <c r="K421" s="11">
        <f t="shared" si="53"/>
        <v>85.20984</v>
      </c>
      <c r="L421" s="10">
        <v>0</v>
      </c>
      <c r="N421" s="118">
        <f t="shared" si="50"/>
        <v>0</v>
      </c>
      <c r="O421" s="118">
        <f t="shared" si="51"/>
        <v>85.20984</v>
      </c>
    </row>
    <row r="422" spans="1:15" x14ac:dyDescent="0.25">
      <c r="A422" t="s">
        <v>2304</v>
      </c>
      <c r="B422" s="16" t="s">
        <v>451</v>
      </c>
      <c r="C422" s="19">
        <v>42</v>
      </c>
      <c r="D422" s="18" t="s">
        <v>452</v>
      </c>
      <c r="E422" s="13">
        <v>1</v>
      </c>
      <c r="F422" s="25" t="s">
        <v>451</v>
      </c>
      <c r="G422" s="25" t="s">
        <v>695</v>
      </c>
      <c r="H422" s="11">
        <v>100.01712000000001</v>
      </c>
      <c r="I422" s="11">
        <f t="shared" si="52"/>
        <v>100.01712000000001</v>
      </c>
      <c r="J422" s="11">
        <f t="shared" si="49"/>
        <v>100.01712000000001</v>
      </c>
      <c r="K422" s="11">
        <f t="shared" si="53"/>
        <v>100.01712000000001</v>
      </c>
      <c r="L422" s="10">
        <v>0</v>
      </c>
      <c r="N422" s="118">
        <f t="shared" si="50"/>
        <v>0</v>
      </c>
      <c r="O422" s="118">
        <f t="shared" si="51"/>
        <v>100.01712000000001</v>
      </c>
    </row>
    <row r="423" spans="1:15" x14ac:dyDescent="0.25">
      <c r="A423" t="s">
        <v>2303</v>
      </c>
      <c r="B423" s="16" t="s">
        <v>2177</v>
      </c>
      <c r="C423" s="19">
        <v>43</v>
      </c>
      <c r="D423" s="18" t="s">
        <v>2302</v>
      </c>
      <c r="E423" s="13">
        <v>1</v>
      </c>
      <c r="F423" s="25" t="s">
        <v>2177</v>
      </c>
      <c r="G423" s="25">
        <v>81897719002</v>
      </c>
      <c r="H423" s="11">
        <v>296.35984000000002</v>
      </c>
      <c r="I423" s="11">
        <f t="shared" si="52"/>
        <v>296.35984000000002</v>
      </c>
      <c r="J423" s="11">
        <f t="shared" si="49"/>
        <v>296.35984000000002</v>
      </c>
      <c r="K423" s="11">
        <f t="shared" si="53"/>
        <v>296.35984000000002</v>
      </c>
      <c r="L423" s="10">
        <v>0</v>
      </c>
      <c r="N423" s="118">
        <f t="shared" si="50"/>
        <v>0</v>
      </c>
      <c r="O423" s="118">
        <f t="shared" si="51"/>
        <v>296.35984000000002</v>
      </c>
    </row>
    <row r="424" spans="1:15" x14ac:dyDescent="0.25">
      <c r="A424" t="s">
        <v>2301</v>
      </c>
      <c r="B424" s="16" t="s">
        <v>2174</v>
      </c>
      <c r="C424" s="19">
        <v>44</v>
      </c>
      <c r="D424" s="18" t="s">
        <v>2300</v>
      </c>
      <c r="E424" s="13">
        <v>1</v>
      </c>
      <c r="F424" s="25" t="s">
        <v>2174</v>
      </c>
      <c r="G424" s="25">
        <v>81897719002</v>
      </c>
      <c r="H424" s="11">
        <v>296.35984000000002</v>
      </c>
      <c r="I424" s="11">
        <f t="shared" si="52"/>
        <v>296.35984000000002</v>
      </c>
      <c r="J424" s="11">
        <f t="shared" si="49"/>
        <v>296.35984000000002</v>
      </c>
      <c r="K424" s="11">
        <f t="shared" si="53"/>
        <v>296.35984000000002</v>
      </c>
      <c r="L424" s="10">
        <v>0</v>
      </c>
      <c r="N424" s="118">
        <f t="shared" si="50"/>
        <v>0</v>
      </c>
      <c r="O424" s="118">
        <f t="shared" si="51"/>
        <v>296.35984000000002</v>
      </c>
    </row>
    <row r="425" spans="1:15" x14ac:dyDescent="0.25">
      <c r="A425" t="s">
        <v>2299</v>
      </c>
      <c r="B425" s="16" t="s">
        <v>2297</v>
      </c>
      <c r="C425" s="19">
        <v>45</v>
      </c>
      <c r="D425" s="18" t="s">
        <v>2298</v>
      </c>
      <c r="E425" s="13">
        <v>1</v>
      </c>
      <c r="F425" s="25" t="s">
        <v>2297</v>
      </c>
      <c r="G425" s="25">
        <v>81897719002</v>
      </c>
      <c r="H425" s="11">
        <v>296.35984000000002</v>
      </c>
      <c r="I425" s="11">
        <f t="shared" si="52"/>
        <v>296.35984000000002</v>
      </c>
      <c r="J425" s="11">
        <f t="shared" si="49"/>
        <v>296.35984000000002</v>
      </c>
      <c r="K425" s="11">
        <f t="shared" si="53"/>
        <v>296.35984000000002</v>
      </c>
      <c r="L425" s="10">
        <v>0</v>
      </c>
      <c r="N425" s="118">
        <f t="shared" si="50"/>
        <v>0</v>
      </c>
      <c r="O425" s="118">
        <f t="shared" si="51"/>
        <v>296.35984000000002</v>
      </c>
    </row>
    <row r="426" spans="1:15" ht="15" customHeight="1" x14ac:dyDescent="0.25">
      <c r="A426" t="s">
        <v>2296</v>
      </c>
      <c r="B426" s="16" t="s">
        <v>2294</v>
      </c>
      <c r="C426" s="19">
        <v>46</v>
      </c>
      <c r="D426" s="18" t="s">
        <v>2295</v>
      </c>
      <c r="E426" s="13">
        <v>1</v>
      </c>
      <c r="F426" s="25" t="s">
        <v>2294</v>
      </c>
      <c r="G426" s="25">
        <v>81897719002</v>
      </c>
      <c r="H426" s="11">
        <v>296.35984000000002</v>
      </c>
      <c r="I426" s="11">
        <f t="shared" si="52"/>
        <v>296.35984000000002</v>
      </c>
      <c r="J426" s="11">
        <f t="shared" si="49"/>
        <v>296.35984000000002</v>
      </c>
      <c r="K426" s="11">
        <f t="shared" si="53"/>
        <v>296.35984000000002</v>
      </c>
      <c r="L426" s="10">
        <v>0</v>
      </c>
      <c r="N426" s="118">
        <f t="shared" si="50"/>
        <v>0</v>
      </c>
      <c r="O426" s="118">
        <f t="shared" si="51"/>
        <v>296.35984000000002</v>
      </c>
    </row>
    <row r="427" spans="1:15" ht="15" customHeight="1" x14ac:dyDescent="0.25">
      <c r="A427" t="s">
        <v>2293</v>
      </c>
      <c r="B427" s="53" t="s">
        <v>2291</v>
      </c>
      <c r="C427" s="19">
        <v>47</v>
      </c>
      <c r="D427" s="40" t="s">
        <v>2290</v>
      </c>
      <c r="E427" s="13">
        <v>1</v>
      </c>
      <c r="F427" s="18" t="s">
        <v>3046</v>
      </c>
      <c r="G427" s="25">
        <v>81897719006</v>
      </c>
      <c r="H427" s="11">
        <v>454.14759999999995</v>
      </c>
      <c r="I427" s="11">
        <f t="shared" si="52"/>
        <v>454.14759999999995</v>
      </c>
      <c r="J427" s="11">
        <f t="shared" si="49"/>
        <v>454.14759999999995</v>
      </c>
      <c r="K427" s="11">
        <f t="shared" si="53"/>
        <v>454.14759999999995</v>
      </c>
      <c r="L427" s="10">
        <v>0</v>
      </c>
      <c r="N427" s="118">
        <f t="shared" si="50"/>
        <v>0</v>
      </c>
      <c r="O427" s="118">
        <f t="shared" si="51"/>
        <v>454.14759999999995</v>
      </c>
    </row>
    <row r="428" spans="1:15" ht="15" customHeight="1" x14ac:dyDescent="0.25">
      <c r="A428" t="s">
        <v>2292</v>
      </c>
      <c r="B428" s="53" t="s">
        <v>2291</v>
      </c>
      <c r="C428" s="19">
        <v>48</v>
      </c>
      <c r="D428" s="18" t="s">
        <v>2290</v>
      </c>
      <c r="E428" s="13">
        <v>1</v>
      </c>
      <c r="F428" s="18" t="s">
        <v>3047</v>
      </c>
      <c r="G428" s="25">
        <v>81897719006</v>
      </c>
      <c r="H428" s="11">
        <v>454.14759999999995</v>
      </c>
      <c r="I428" s="11">
        <f t="shared" si="52"/>
        <v>454.14759999999995</v>
      </c>
      <c r="J428" s="11">
        <f t="shared" si="49"/>
        <v>454.14759999999995</v>
      </c>
      <c r="K428" s="11">
        <f t="shared" si="53"/>
        <v>454.14759999999995</v>
      </c>
      <c r="L428" s="10">
        <v>0</v>
      </c>
      <c r="N428" s="118">
        <f t="shared" si="50"/>
        <v>0</v>
      </c>
      <c r="O428" s="118">
        <f t="shared" si="51"/>
        <v>454.14759999999995</v>
      </c>
    </row>
    <row r="429" spans="1:15" ht="15" customHeight="1" x14ac:dyDescent="0.25">
      <c r="A429" t="s">
        <v>2289</v>
      </c>
      <c r="B429" s="53" t="s">
        <v>2288</v>
      </c>
      <c r="C429" s="19">
        <v>49</v>
      </c>
      <c r="D429" s="18" t="s">
        <v>2287</v>
      </c>
      <c r="E429" s="13">
        <v>1</v>
      </c>
      <c r="F429" s="18" t="s">
        <v>3048</v>
      </c>
      <c r="G429" s="25">
        <v>81897719006</v>
      </c>
      <c r="H429" s="11">
        <v>454.14759999999995</v>
      </c>
      <c r="I429" s="11">
        <f t="shared" si="52"/>
        <v>454.14759999999995</v>
      </c>
      <c r="J429" s="11">
        <f t="shared" si="49"/>
        <v>454.14759999999995</v>
      </c>
      <c r="K429" s="11">
        <f t="shared" si="53"/>
        <v>454.14759999999995</v>
      </c>
      <c r="L429" s="10">
        <v>0</v>
      </c>
      <c r="N429" s="118">
        <f t="shared" si="50"/>
        <v>0</v>
      </c>
      <c r="O429" s="118">
        <f t="shared" si="51"/>
        <v>454.14759999999995</v>
      </c>
    </row>
    <row r="430" spans="1:15" ht="15" customHeight="1" x14ac:dyDescent="0.25">
      <c r="A430" t="s">
        <v>2286</v>
      </c>
      <c r="B430" s="53" t="s">
        <v>2285</v>
      </c>
      <c r="C430" s="19">
        <v>50</v>
      </c>
      <c r="D430" s="18" t="s">
        <v>2284</v>
      </c>
      <c r="E430" s="13">
        <v>1</v>
      </c>
      <c r="F430" s="18" t="s">
        <v>3049</v>
      </c>
      <c r="G430" s="25">
        <v>81897719006</v>
      </c>
      <c r="H430" s="11">
        <v>454.14759999999995</v>
      </c>
      <c r="I430" s="11">
        <f t="shared" si="52"/>
        <v>454.14759999999995</v>
      </c>
      <c r="J430" s="11">
        <f t="shared" si="49"/>
        <v>454.14759999999995</v>
      </c>
      <c r="K430" s="11">
        <f t="shared" si="53"/>
        <v>454.14759999999995</v>
      </c>
      <c r="L430" s="10">
        <v>0</v>
      </c>
      <c r="N430" s="118">
        <f t="shared" si="50"/>
        <v>0</v>
      </c>
      <c r="O430" s="118">
        <f t="shared" si="51"/>
        <v>454.14759999999995</v>
      </c>
    </row>
    <row r="431" spans="1:15" ht="15" customHeight="1" x14ac:dyDescent="0.25">
      <c r="A431" t="s">
        <v>2283</v>
      </c>
      <c r="B431" s="53" t="s">
        <v>2282</v>
      </c>
      <c r="C431" s="19">
        <v>51</v>
      </c>
      <c r="D431" s="18" t="s">
        <v>2281</v>
      </c>
      <c r="E431" s="13">
        <v>1</v>
      </c>
      <c r="F431" s="18" t="s">
        <v>3050</v>
      </c>
      <c r="G431" s="25">
        <v>81897719006</v>
      </c>
      <c r="H431" s="11">
        <v>454.14759999999995</v>
      </c>
      <c r="I431" s="11">
        <f t="shared" si="52"/>
        <v>454.14759999999995</v>
      </c>
      <c r="J431" s="11">
        <f t="shared" si="49"/>
        <v>454.14759999999995</v>
      </c>
      <c r="K431" s="11">
        <f t="shared" si="53"/>
        <v>454.14759999999995</v>
      </c>
      <c r="L431" s="10">
        <v>0</v>
      </c>
      <c r="N431" s="118">
        <f t="shared" si="50"/>
        <v>0</v>
      </c>
      <c r="O431" s="118">
        <f t="shared" si="51"/>
        <v>454.14759999999995</v>
      </c>
    </row>
    <row r="432" spans="1:15" x14ac:dyDescent="0.25">
      <c r="A432" t="s">
        <v>2280</v>
      </c>
      <c r="B432" s="16" t="s">
        <v>2278</v>
      </c>
      <c r="C432" s="19">
        <v>52</v>
      </c>
      <c r="D432" s="18" t="s">
        <v>2279</v>
      </c>
      <c r="E432" s="13">
        <v>1</v>
      </c>
      <c r="F432" s="25" t="s">
        <v>2278</v>
      </c>
      <c r="G432" s="25">
        <v>81897710011</v>
      </c>
      <c r="H432" s="11">
        <v>380.75391999999999</v>
      </c>
      <c r="I432" s="11">
        <f t="shared" si="52"/>
        <v>380.75391999999999</v>
      </c>
      <c r="J432" s="11">
        <f t="shared" si="49"/>
        <v>380.75391999999999</v>
      </c>
      <c r="K432" s="11">
        <f t="shared" si="53"/>
        <v>380.75391999999999</v>
      </c>
      <c r="L432" s="10">
        <v>0</v>
      </c>
      <c r="N432" s="118">
        <f t="shared" si="50"/>
        <v>0</v>
      </c>
      <c r="O432" s="118">
        <f t="shared" si="51"/>
        <v>380.75391999999999</v>
      </c>
    </row>
    <row r="433" spans="1:15" x14ac:dyDescent="0.25">
      <c r="A433" t="s">
        <v>2277</v>
      </c>
      <c r="B433" s="16" t="s">
        <v>2275</v>
      </c>
      <c r="C433" s="19">
        <v>53</v>
      </c>
      <c r="D433" s="18" t="s">
        <v>2276</v>
      </c>
      <c r="E433" s="13">
        <v>2</v>
      </c>
      <c r="F433" s="25" t="s">
        <v>2275</v>
      </c>
      <c r="G433" s="25">
        <v>81897710011</v>
      </c>
      <c r="H433" s="11">
        <v>380.75391999999999</v>
      </c>
      <c r="I433" s="11">
        <f t="shared" si="52"/>
        <v>761.50783999999999</v>
      </c>
      <c r="J433" s="11">
        <f t="shared" si="49"/>
        <v>380.75391999999999</v>
      </c>
      <c r="K433" s="11">
        <f t="shared" si="53"/>
        <v>761.50783999999999</v>
      </c>
      <c r="L433" s="10">
        <v>0</v>
      </c>
      <c r="N433" s="118">
        <f t="shared" si="50"/>
        <v>0</v>
      </c>
      <c r="O433" s="118">
        <f t="shared" si="51"/>
        <v>380.75391999999999</v>
      </c>
    </row>
    <row r="434" spans="1:15" x14ac:dyDescent="0.25">
      <c r="A434" t="s">
        <v>2274</v>
      </c>
      <c r="B434" s="16" t="s">
        <v>2272</v>
      </c>
      <c r="C434" s="19">
        <v>54</v>
      </c>
      <c r="D434" s="18" t="s">
        <v>2273</v>
      </c>
      <c r="E434" s="13">
        <v>1</v>
      </c>
      <c r="F434" s="25" t="s">
        <v>2272</v>
      </c>
      <c r="G434" s="25">
        <v>81897719002</v>
      </c>
      <c r="H434" s="11">
        <v>37.038800000000002</v>
      </c>
      <c r="I434" s="11">
        <f t="shared" si="52"/>
        <v>37.038800000000002</v>
      </c>
      <c r="J434" s="11">
        <f t="shared" si="49"/>
        <v>37.038800000000002</v>
      </c>
      <c r="K434" s="11">
        <f t="shared" si="53"/>
        <v>37.038800000000002</v>
      </c>
      <c r="L434" s="10">
        <v>0</v>
      </c>
      <c r="N434" s="118">
        <f t="shared" si="50"/>
        <v>0</v>
      </c>
      <c r="O434" s="118">
        <f t="shared" si="51"/>
        <v>37.038800000000002</v>
      </c>
    </row>
    <row r="435" spans="1:15" x14ac:dyDescent="0.25">
      <c r="A435" t="s">
        <v>2271</v>
      </c>
      <c r="B435" s="16" t="s">
        <v>2131</v>
      </c>
      <c r="C435" s="19">
        <v>55</v>
      </c>
      <c r="D435" s="18" t="s">
        <v>2270</v>
      </c>
      <c r="E435" s="13">
        <v>1</v>
      </c>
      <c r="F435" s="25" t="s">
        <v>2131</v>
      </c>
      <c r="G435" s="25">
        <v>81897719002</v>
      </c>
      <c r="H435" s="11">
        <v>14.807279999999999</v>
      </c>
      <c r="I435" s="11">
        <f t="shared" si="52"/>
        <v>14.807279999999999</v>
      </c>
      <c r="J435" s="11">
        <f t="shared" si="49"/>
        <v>14.807279999999999</v>
      </c>
      <c r="K435" s="11">
        <f t="shared" si="53"/>
        <v>14.807279999999999</v>
      </c>
      <c r="L435" s="10">
        <v>0</v>
      </c>
      <c r="N435" s="118">
        <f t="shared" si="50"/>
        <v>0</v>
      </c>
      <c r="O435" s="118">
        <f t="shared" si="51"/>
        <v>14.807279999999999</v>
      </c>
    </row>
    <row r="436" spans="1:15" x14ac:dyDescent="0.25">
      <c r="A436" t="s">
        <v>2269</v>
      </c>
      <c r="B436" s="16" t="s">
        <v>2267</v>
      </c>
      <c r="C436" s="19">
        <v>56</v>
      </c>
      <c r="D436" s="18" t="s">
        <v>2268</v>
      </c>
      <c r="E436" s="13">
        <v>1</v>
      </c>
      <c r="F436" s="25" t="s">
        <v>2267</v>
      </c>
      <c r="G436" s="25">
        <v>81897719002</v>
      </c>
      <c r="H436" s="11">
        <v>106.68328</v>
      </c>
      <c r="I436" s="11">
        <f t="shared" si="52"/>
        <v>106.68328</v>
      </c>
      <c r="J436" s="11">
        <f t="shared" si="49"/>
        <v>106.68328</v>
      </c>
      <c r="K436" s="11">
        <f t="shared" si="53"/>
        <v>106.68328</v>
      </c>
      <c r="L436" s="10">
        <v>0</v>
      </c>
      <c r="N436" s="118">
        <f t="shared" si="50"/>
        <v>0</v>
      </c>
      <c r="O436" s="118">
        <f t="shared" si="51"/>
        <v>106.68328</v>
      </c>
    </row>
    <row r="437" spans="1:15" x14ac:dyDescent="0.25">
      <c r="A437" t="s">
        <v>2266</v>
      </c>
      <c r="B437" s="16" t="s">
        <v>2004</v>
      </c>
      <c r="C437" s="19">
        <v>57</v>
      </c>
      <c r="D437" s="18" t="s">
        <v>2265</v>
      </c>
      <c r="E437" s="13">
        <v>1</v>
      </c>
      <c r="F437" s="25" t="s">
        <v>2004</v>
      </c>
      <c r="G437" s="25">
        <v>81897719002</v>
      </c>
      <c r="H437" s="11">
        <v>106.68328</v>
      </c>
      <c r="I437" s="11">
        <f t="shared" si="52"/>
        <v>106.68328</v>
      </c>
      <c r="J437" s="11">
        <f t="shared" si="49"/>
        <v>106.68328</v>
      </c>
      <c r="K437" s="11">
        <f t="shared" si="53"/>
        <v>106.68328</v>
      </c>
      <c r="L437" s="10">
        <v>0</v>
      </c>
      <c r="N437" s="118">
        <f t="shared" si="50"/>
        <v>0</v>
      </c>
      <c r="O437" s="118">
        <f t="shared" si="51"/>
        <v>106.68328</v>
      </c>
    </row>
    <row r="438" spans="1:15" x14ac:dyDescent="0.25">
      <c r="A438" t="s">
        <v>2264</v>
      </c>
      <c r="B438" s="16" t="s">
        <v>92</v>
      </c>
      <c r="C438" s="19">
        <v>58</v>
      </c>
      <c r="D438" s="18" t="s">
        <v>2263</v>
      </c>
      <c r="E438" s="13">
        <v>1</v>
      </c>
      <c r="F438" s="25" t="s">
        <v>92</v>
      </c>
      <c r="G438" s="25">
        <v>81897719002</v>
      </c>
      <c r="H438" s="11">
        <v>9.99512</v>
      </c>
      <c r="I438" s="11">
        <f t="shared" si="52"/>
        <v>9.99512</v>
      </c>
      <c r="J438" s="11">
        <f t="shared" si="49"/>
        <v>9.99512</v>
      </c>
      <c r="K438" s="11">
        <f t="shared" si="53"/>
        <v>9.99512</v>
      </c>
      <c r="L438" s="10">
        <v>0</v>
      </c>
      <c r="N438" s="118">
        <f t="shared" si="50"/>
        <v>0</v>
      </c>
      <c r="O438" s="118">
        <f t="shared" si="51"/>
        <v>9.99512</v>
      </c>
    </row>
    <row r="439" spans="1:15" x14ac:dyDescent="0.25">
      <c r="A439" t="s">
        <v>2262</v>
      </c>
      <c r="B439" s="16" t="s">
        <v>438</v>
      </c>
      <c r="C439" s="19">
        <v>59</v>
      </c>
      <c r="D439" s="18" t="s">
        <v>2260</v>
      </c>
      <c r="E439" s="13">
        <v>1</v>
      </c>
      <c r="F439" s="25" t="s">
        <v>438</v>
      </c>
      <c r="G439" s="25">
        <v>81897719002</v>
      </c>
      <c r="H439" s="11">
        <v>9.6407999999999987</v>
      </c>
      <c r="I439" s="11">
        <f t="shared" si="52"/>
        <v>9.6407999999999987</v>
      </c>
      <c r="J439" s="11">
        <f t="shared" si="49"/>
        <v>9.6407999999999987</v>
      </c>
      <c r="K439" s="11">
        <f t="shared" si="53"/>
        <v>9.6407999999999987</v>
      </c>
      <c r="L439" s="10">
        <v>0</v>
      </c>
      <c r="N439" s="118">
        <f t="shared" si="50"/>
        <v>0</v>
      </c>
      <c r="O439" s="118">
        <f t="shared" si="51"/>
        <v>9.6407999999999987</v>
      </c>
    </row>
    <row r="440" spans="1:15" x14ac:dyDescent="0.25">
      <c r="A440" t="s">
        <v>2261</v>
      </c>
      <c r="B440" s="16" t="s">
        <v>2259</v>
      </c>
      <c r="C440" s="19">
        <v>60</v>
      </c>
      <c r="D440" s="18" t="s">
        <v>2260</v>
      </c>
      <c r="E440" s="13">
        <v>1</v>
      </c>
      <c r="F440" s="25" t="s">
        <v>2259</v>
      </c>
      <c r="G440" s="25">
        <v>81897719002</v>
      </c>
      <c r="H440" s="11">
        <v>11.85736</v>
      </c>
      <c r="I440" s="11">
        <f t="shared" si="52"/>
        <v>11.85736</v>
      </c>
      <c r="J440" s="11">
        <f t="shared" si="49"/>
        <v>11.85736</v>
      </c>
      <c r="K440" s="11">
        <f t="shared" si="53"/>
        <v>11.85736</v>
      </c>
      <c r="L440" s="10">
        <v>0</v>
      </c>
      <c r="N440" s="118">
        <f t="shared" si="50"/>
        <v>0</v>
      </c>
      <c r="O440" s="118">
        <f t="shared" si="51"/>
        <v>11.85736</v>
      </c>
    </row>
    <row r="441" spans="1:15" x14ac:dyDescent="0.25">
      <c r="A441" t="s">
        <v>2258</v>
      </c>
      <c r="B441" s="16" t="s">
        <v>192</v>
      </c>
      <c r="C441" s="19">
        <v>61</v>
      </c>
      <c r="D441" s="18" t="s">
        <v>2257</v>
      </c>
      <c r="E441" s="13">
        <v>1</v>
      </c>
      <c r="F441" s="25" t="s">
        <v>192</v>
      </c>
      <c r="G441" s="25">
        <v>81897719002</v>
      </c>
      <c r="H441" s="11">
        <v>11.486559999999999</v>
      </c>
      <c r="I441" s="11">
        <f t="shared" si="52"/>
        <v>11.486559999999999</v>
      </c>
      <c r="J441" s="11">
        <f t="shared" si="49"/>
        <v>11.486559999999999</v>
      </c>
      <c r="K441" s="11">
        <f t="shared" si="53"/>
        <v>11.486559999999999</v>
      </c>
      <c r="L441" s="10">
        <v>0</v>
      </c>
      <c r="N441" s="118">
        <f t="shared" si="50"/>
        <v>0</v>
      </c>
      <c r="O441" s="118">
        <f t="shared" si="51"/>
        <v>11.486559999999999</v>
      </c>
    </row>
    <row r="442" spans="1:15" x14ac:dyDescent="0.25">
      <c r="A442" t="s">
        <v>2256</v>
      </c>
      <c r="B442" s="16" t="s">
        <v>1528</v>
      </c>
      <c r="C442" s="19">
        <v>62</v>
      </c>
      <c r="D442" s="18" t="s">
        <v>2255</v>
      </c>
      <c r="E442" s="13">
        <v>1</v>
      </c>
      <c r="F442" s="25" t="s">
        <v>1528</v>
      </c>
      <c r="G442" s="25">
        <v>81897710034</v>
      </c>
      <c r="H442" s="11">
        <v>10.6708</v>
      </c>
      <c r="I442" s="11">
        <f t="shared" si="52"/>
        <v>10.6708</v>
      </c>
      <c r="J442" s="11">
        <f t="shared" si="49"/>
        <v>10.6708</v>
      </c>
      <c r="K442" s="11">
        <f t="shared" si="53"/>
        <v>10.6708</v>
      </c>
      <c r="L442" s="10">
        <v>0</v>
      </c>
      <c r="N442" s="118">
        <f t="shared" si="50"/>
        <v>0</v>
      </c>
      <c r="O442" s="118">
        <f t="shared" si="51"/>
        <v>10.6708</v>
      </c>
    </row>
    <row r="443" spans="1:15" x14ac:dyDescent="0.25">
      <c r="A443" t="s">
        <v>2254</v>
      </c>
      <c r="B443" s="16" t="s">
        <v>44</v>
      </c>
      <c r="C443" s="19">
        <v>63</v>
      </c>
      <c r="D443" s="18" t="s">
        <v>2253</v>
      </c>
      <c r="E443" s="13">
        <v>1</v>
      </c>
      <c r="F443" s="25" t="s">
        <v>44</v>
      </c>
      <c r="G443" s="25">
        <v>81897710034</v>
      </c>
      <c r="H443" s="11">
        <v>10.6708</v>
      </c>
      <c r="I443" s="11">
        <f t="shared" si="52"/>
        <v>10.6708</v>
      </c>
      <c r="J443" s="11">
        <f t="shared" si="49"/>
        <v>10.6708</v>
      </c>
      <c r="K443" s="11">
        <f t="shared" si="53"/>
        <v>10.6708</v>
      </c>
      <c r="L443" s="10">
        <v>0</v>
      </c>
      <c r="N443" s="118">
        <f t="shared" si="50"/>
        <v>0</v>
      </c>
      <c r="O443" s="118">
        <f t="shared" si="51"/>
        <v>10.6708</v>
      </c>
    </row>
    <row r="444" spans="1:15" x14ac:dyDescent="0.25">
      <c r="A444" t="s">
        <v>2252</v>
      </c>
      <c r="B444" s="16" t="s">
        <v>44</v>
      </c>
      <c r="C444" s="19">
        <v>64</v>
      </c>
      <c r="D444" s="18" t="s">
        <v>45</v>
      </c>
      <c r="E444" s="13">
        <v>1</v>
      </c>
      <c r="F444" s="25" t="s">
        <v>44</v>
      </c>
      <c r="G444" s="25" t="s">
        <v>427</v>
      </c>
      <c r="H444" s="11">
        <v>422.90976000000001</v>
      </c>
      <c r="I444" s="11">
        <f t="shared" si="52"/>
        <v>422.90976000000001</v>
      </c>
      <c r="J444" s="11">
        <f t="shared" si="49"/>
        <v>422.90976000000001</v>
      </c>
      <c r="K444" s="11">
        <f t="shared" si="53"/>
        <v>422.90976000000001</v>
      </c>
      <c r="L444" s="10">
        <v>0</v>
      </c>
      <c r="N444" s="118">
        <f t="shared" si="50"/>
        <v>0</v>
      </c>
      <c r="O444" s="118">
        <f t="shared" si="51"/>
        <v>422.90976000000001</v>
      </c>
    </row>
    <row r="445" spans="1:15" x14ac:dyDescent="0.25">
      <c r="A445" t="s">
        <v>2251</v>
      </c>
      <c r="B445" s="16" t="s">
        <v>48</v>
      </c>
      <c r="C445" s="19">
        <v>65</v>
      </c>
      <c r="D445" s="18" t="s">
        <v>49</v>
      </c>
      <c r="E445" s="13">
        <v>1</v>
      </c>
      <c r="F445" s="25" t="s">
        <v>48</v>
      </c>
      <c r="G445" s="25" t="s">
        <v>427</v>
      </c>
      <c r="H445" s="11">
        <v>602.25335999999993</v>
      </c>
      <c r="I445" s="11">
        <f t="shared" ref="I445:I476" si="54">H445*E445</f>
        <v>602.25335999999993</v>
      </c>
      <c r="J445" s="11">
        <f t="shared" si="49"/>
        <v>602.25335999999993</v>
      </c>
      <c r="K445" s="11">
        <f t="shared" ref="K445:K476" si="55">J445*E445</f>
        <v>602.25335999999993</v>
      </c>
      <c r="L445" s="10">
        <v>0</v>
      </c>
      <c r="N445" s="118">
        <f t="shared" si="50"/>
        <v>0</v>
      </c>
      <c r="O445" s="118">
        <f t="shared" si="51"/>
        <v>602.25335999999993</v>
      </c>
    </row>
    <row r="446" spans="1:15" x14ac:dyDescent="0.25">
      <c r="B446" s="16" t="s">
        <v>46</v>
      </c>
      <c r="C446" s="19">
        <v>66</v>
      </c>
      <c r="D446" s="18" t="s">
        <v>47</v>
      </c>
      <c r="E446" s="13">
        <v>1</v>
      </c>
      <c r="F446" s="25" t="s">
        <v>46</v>
      </c>
      <c r="G446" s="25" t="s">
        <v>427</v>
      </c>
      <c r="H446" s="11">
        <v>650.10303999999996</v>
      </c>
      <c r="I446" s="11">
        <f t="shared" si="54"/>
        <v>650.10303999999996</v>
      </c>
      <c r="J446" s="11">
        <f t="shared" ref="J446:J447" si="56">O446</f>
        <v>650.10303999999996</v>
      </c>
      <c r="K446" s="11">
        <f t="shared" si="55"/>
        <v>650.10303999999996</v>
      </c>
      <c r="L446" s="10">
        <v>0</v>
      </c>
      <c r="N446" s="118">
        <f t="shared" si="50"/>
        <v>0</v>
      </c>
      <c r="O446" s="118">
        <f t="shared" si="51"/>
        <v>650.10303999999996</v>
      </c>
    </row>
    <row r="447" spans="1:15" x14ac:dyDescent="0.25">
      <c r="B447" s="16" t="s">
        <v>42</v>
      </c>
      <c r="C447" s="19">
        <v>67</v>
      </c>
      <c r="D447" s="18" t="s">
        <v>1981</v>
      </c>
      <c r="E447" s="13">
        <v>2</v>
      </c>
      <c r="F447" s="25" t="s">
        <v>42</v>
      </c>
      <c r="G447" s="25" t="s">
        <v>427</v>
      </c>
      <c r="H447" s="11">
        <v>10.49776</v>
      </c>
      <c r="I447" s="11">
        <f t="shared" si="54"/>
        <v>20.995519999999999</v>
      </c>
      <c r="J447" s="11">
        <f t="shared" si="56"/>
        <v>10.49776</v>
      </c>
      <c r="K447" s="11">
        <f t="shared" si="55"/>
        <v>20.995519999999999</v>
      </c>
      <c r="L447" s="10">
        <v>0</v>
      </c>
      <c r="N447" s="118">
        <f t="shared" si="50"/>
        <v>0</v>
      </c>
      <c r="O447" s="118">
        <f t="shared" si="51"/>
        <v>10.49776</v>
      </c>
    </row>
    <row r="448" spans="1:15" x14ac:dyDescent="0.25">
      <c r="C448" s="9"/>
      <c r="D448" s="8" t="s">
        <v>1</v>
      </c>
      <c r="E448" s="8">
        <f>SUM(E381:E447)</f>
        <v>97</v>
      </c>
      <c r="F448" s="8"/>
      <c r="G448" s="8"/>
      <c r="H448" s="7"/>
      <c r="I448" s="7">
        <f>SUM(I381:I447)</f>
        <v>13580.871360000003</v>
      </c>
      <c r="J448" s="8"/>
      <c r="K448" s="7">
        <f>SUM(K381:K447)</f>
        <v>13580.871360000003</v>
      </c>
      <c r="L448" s="6"/>
      <c r="N448" s="118">
        <f t="shared" si="50"/>
        <v>0</v>
      </c>
      <c r="O448" s="118">
        <f t="shared" si="51"/>
        <v>0</v>
      </c>
    </row>
    <row r="449" spans="1:15" x14ac:dyDescent="0.25">
      <c r="D449" t="s">
        <v>0</v>
      </c>
      <c r="N449" s="118">
        <f t="shared" si="50"/>
        <v>0</v>
      </c>
      <c r="O449" s="118">
        <f t="shared" si="51"/>
        <v>0</v>
      </c>
    </row>
    <row r="450" spans="1:15" x14ac:dyDescent="0.25">
      <c r="C450" s="52"/>
      <c r="D450" s="24" t="s">
        <v>2250</v>
      </c>
      <c r="N450" s="118">
        <f t="shared" si="50"/>
        <v>0</v>
      </c>
      <c r="O450" s="118">
        <f t="shared" si="51"/>
        <v>0</v>
      </c>
    </row>
    <row r="451" spans="1:15" ht="30" x14ac:dyDescent="0.25">
      <c r="B451" s="5"/>
      <c r="C451" s="24" t="s">
        <v>28</v>
      </c>
      <c r="D451" s="24" t="s">
        <v>27</v>
      </c>
      <c r="E451" s="24" t="s">
        <v>26</v>
      </c>
      <c r="F451" s="24" t="s">
        <v>25</v>
      </c>
      <c r="G451" s="24" t="s">
        <v>24</v>
      </c>
      <c r="H451" s="116" t="s">
        <v>21</v>
      </c>
      <c r="I451" s="24" t="s">
        <v>23</v>
      </c>
      <c r="J451" s="24" t="s">
        <v>2928</v>
      </c>
      <c r="K451" s="24" t="s">
        <v>2927</v>
      </c>
      <c r="L451" s="23" t="s">
        <v>22</v>
      </c>
      <c r="N451" s="118" t="e">
        <f t="shared" si="50"/>
        <v>#VALUE!</v>
      </c>
      <c r="O451" s="118" t="e">
        <f t="shared" si="51"/>
        <v>#VALUE!</v>
      </c>
    </row>
    <row r="452" spans="1:15" s="5" customFormat="1" x14ac:dyDescent="0.25">
      <c r="A452" s="32" t="s">
        <v>2249</v>
      </c>
      <c r="B452" s="16" t="s">
        <v>2234</v>
      </c>
      <c r="C452" s="19">
        <v>1</v>
      </c>
      <c r="D452" s="18" t="s">
        <v>2235</v>
      </c>
      <c r="E452" s="13">
        <v>1</v>
      </c>
      <c r="F452" s="25" t="s">
        <v>2234</v>
      </c>
      <c r="G452" s="25">
        <v>81897719002</v>
      </c>
      <c r="H452" s="11">
        <v>144.46368000000001</v>
      </c>
      <c r="I452" s="11">
        <f t="shared" ref="I452:I483" si="57">H452*E452</f>
        <v>144.46368000000001</v>
      </c>
      <c r="J452" s="11">
        <f>O452</f>
        <v>144.46368000000001</v>
      </c>
      <c r="K452" s="11">
        <f t="shared" ref="K452:K483" si="58">J452*E452</f>
        <v>144.46368000000001</v>
      </c>
      <c r="L452" s="10">
        <v>0</v>
      </c>
      <c r="N452" s="118">
        <f t="shared" ref="N452:N515" si="59">H452*L452</f>
        <v>0</v>
      </c>
      <c r="O452" s="118">
        <f t="shared" ref="O452:O515" si="60">H452-N452</f>
        <v>144.46368000000001</v>
      </c>
    </row>
    <row r="453" spans="1:15" x14ac:dyDescent="0.25">
      <c r="A453" s="32" t="s">
        <v>772</v>
      </c>
      <c r="B453" s="16" t="s">
        <v>422</v>
      </c>
      <c r="C453" s="19">
        <v>2</v>
      </c>
      <c r="D453" s="18" t="s">
        <v>423</v>
      </c>
      <c r="E453" s="13">
        <v>2</v>
      </c>
      <c r="F453" s="25" t="s">
        <v>422</v>
      </c>
      <c r="G453" s="25">
        <v>81897719002</v>
      </c>
      <c r="H453" s="11">
        <v>16.315200000000001</v>
      </c>
      <c r="I453" s="11">
        <f t="shared" si="57"/>
        <v>32.630400000000002</v>
      </c>
      <c r="J453" s="11">
        <f t="shared" ref="J453:J516" si="61">O453</f>
        <v>16.315200000000001</v>
      </c>
      <c r="K453" s="11">
        <f t="shared" si="58"/>
        <v>32.630400000000002</v>
      </c>
      <c r="L453" s="10">
        <v>0</v>
      </c>
      <c r="N453" s="118">
        <f t="shared" si="59"/>
        <v>0</v>
      </c>
      <c r="O453" s="118">
        <f t="shared" si="60"/>
        <v>16.315200000000001</v>
      </c>
    </row>
    <row r="454" spans="1:15" x14ac:dyDescent="0.25">
      <c r="A454" s="32" t="s">
        <v>2248</v>
      </c>
      <c r="B454" s="16" t="s">
        <v>309</v>
      </c>
      <c r="C454" s="19">
        <v>3</v>
      </c>
      <c r="D454" s="18" t="s">
        <v>310</v>
      </c>
      <c r="E454" s="13">
        <v>2</v>
      </c>
      <c r="F454" s="25" t="s">
        <v>309</v>
      </c>
      <c r="G454" s="25">
        <v>81897719002</v>
      </c>
      <c r="H454" s="11">
        <v>18.54</v>
      </c>
      <c r="I454" s="11">
        <f t="shared" si="57"/>
        <v>37.08</v>
      </c>
      <c r="J454" s="11">
        <f t="shared" si="61"/>
        <v>18.54</v>
      </c>
      <c r="K454" s="11">
        <f t="shared" si="58"/>
        <v>37.08</v>
      </c>
      <c r="L454" s="10">
        <v>0</v>
      </c>
      <c r="N454" s="118">
        <f t="shared" si="59"/>
        <v>0</v>
      </c>
      <c r="O454" s="118">
        <f t="shared" si="60"/>
        <v>18.54</v>
      </c>
    </row>
    <row r="455" spans="1:15" x14ac:dyDescent="0.25">
      <c r="A455" s="32" t="s">
        <v>2247</v>
      </c>
      <c r="B455" s="16" t="s">
        <v>958</v>
      </c>
      <c r="C455" s="19">
        <v>4</v>
      </c>
      <c r="D455" s="18" t="s">
        <v>959</v>
      </c>
      <c r="E455" s="13">
        <v>2</v>
      </c>
      <c r="F455" s="25" t="s">
        <v>958</v>
      </c>
      <c r="G455" s="25">
        <v>81897719002</v>
      </c>
      <c r="H455" s="11">
        <v>133.35616000000002</v>
      </c>
      <c r="I455" s="11">
        <f t="shared" si="57"/>
        <v>266.71232000000003</v>
      </c>
      <c r="J455" s="11">
        <f t="shared" si="61"/>
        <v>133.35616000000002</v>
      </c>
      <c r="K455" s="11">
        <f t="shared" si="58"/>
        <v>266.71232000000003</v>
      </c>
      <c r="L455" s="10">
        <v>0</v>
      </c>
      <c r="N455" s="118">
        <f t="shared" si="59"/>
        <v>0</v>
      </c>
      <c r="O455" s="118">
        <f t="shared" si="60"/>
        <v>133.35616000000002</v>
      </c>
    </row>
    <row r="456" spans="1:15" x14ac:dyDescent="0.25">
      <c r="A456" s="32" t="s">
        <v>2246</v>
      </c>
      <c r="B456" s="16" t="s">
        <v>309</v>
      </c>
      <c r="C456" s="19">
        <v>5</v>
      </c>
      <c r="D456" s="18" t="s">
        <v>310</v>
      </c>
      <c r="E456" s="13">
        <v>2</v>
      </c>
      <c r="F456" s="25" t="s">
        <v>309</v>
      </c>
      <c r="G456" s="25">
        <v>81897719002</v>
      </c>
      <c r="H456" s="11">
        <v>18.54</v>
      </c>
      <c r="I456" s="11">
        <f t="shared" si="57"/>
        <v>37.08</v>
      </c>
      <c r="J456" s="11">
        <f t="shared" si="61"/>
        <v>18.54</v>
      </c>
      <c r="K456" s="11">
        <f t="shared" si="58"/>
        <v>37.08</v>
      </c>
      <c r="L456" s="10">
        <v>0</v>
      </c>
      <c r="N456" s="118">
        <f t="shared" si="59"/>
        <v>0</v>
      </c>
      <c r="O456" s="118">
        <f t="shared" si="60"/>
        <v>18.54</v>
      </c>
    </row>
    <row r="457" spans="1:15" x14ac:dyDescent="0.25">
      <c r="A457" s="32" t="s">
        <v>2245</v>
      </c>
      <c r="B457" s="16" t="s">
        <v>2065</v>
      </c>
      <c r="C457" s="19">
        <v>6</v>
      </c>
      <c r="D457" s="18" t="s">
        <v>2066</v>
      </c>
      <c r="E457" s="13">
        <v>1</v>
      </c>
      <c r="F457" s="25" t="s">
        <v>2065</v>
      </c>
      <c r="G457" s="25">
        <v>81897719002</v>
      </c>
      <c r="H457" s="11">
        <v>11.11576</v>
      </c>
      <c r="I457" s="11">
        <f t="shared" si="57"/>
        <v>11.11576</v>
      </c>
      <c r="J457" s="11">
        <f t="shared" si="61"/>
        <v>11.11576</v>
      </c>
      <c r="K457" s="11">
        <f t="shared" si="58"/>
        <v>11.11576</v>
      </c>
      <c r="L457" s="10">
        <v>0</v>
      </c>
      <c r="N457" s="118">
        <f t="shared" si="59"/>
        <v>0</v>
      </c>
      <c r="O457" s="118">
        <f t="shared" si="60"/>
        <v>11.11576</v>
      </c>
    </row>
    <row r="458" spans="1:15" x14ac:dyDescent="0.25">
      <c r="A458" s="32" t="s">
        <v>2244</v>
      </c>
      <c r="B458" s="16" t="s">
        <v>2242</v>
      </c>
      <c r="C458" s="19">
        <v>7</v>
      </c>
      <c r="D458" s="18" t="s">
        <v>2243</v>
      </c>
      <c r="E458" s="13">
        <v>1</v>
      </c>
      <c r="F458" s="25" t="s">
        <v>2242</v>
      </c>
      <c r="G458" s="25">
        <v>81897719002</v>
      </c>
      <c r="H458" s="11">
        <v>11.11576</v>
      </c>
      <c r="I458" s="11">
        <f t="shared" si="57"/>
        <v>11.11576</v>
      </c>
      <c r="J458" s="11">
        <f t="shared" si="61"/>
        <v>11.11576</v>
      </c>
      <c r="K458" s="11">
        <f t="shared" si="58"/>
        <v>11.11576</v>
      </c>
      <c r="L458" s="10">
        <v>0</v>
      </c>
      <c r="N458" s="118">
        <f t="shared" si="59"/>
        <v>0</v>
      </c>
      <c r="O458" s="118">
        <f t="shared" si="60"/>
        <v>11.11576</v>
      </c>
    </row>
    <row r="459" spans="1:15" x14ac:dyDescent="0.25">
      <c r="A459" s="32" t="s">
        <v>2241</v>
      </c>
      <c r="B459" s="16" t="s">
        <v>2239</v>
      </c>
      <c r="C459" s="19">
        <v>8</v>
      </c>
      <c r="D459" s="18" t="s">
        <v>1447</v>
      </c>
      <c r="E459" s="13">
        <v>1</v>
      </c>
      <c r="F459" s="25" t="s">
        <v>2239</v>
      </c>
      <c r="G459" s="25">
        <v>81897719002</v>
      </c>
      <c r="H459" s="11">
        <v>12.582479999999999</v>
      </c>
      <c r="I459" s="11">
        <f t="shared" si="57"/>
        <v>12.582479999999999</v>
      </c>
      <c r="J459" s="11">
        <f t="shared" si="61"/>
        <v>12.582479999999999</v>
      </c>
      <c r="K459" s="11">
        <f t="shared" si="58"/>
        <v>12.582479999999999</v>
      </c>
      <c r="L459" s="10">
        <v>0</v>
      </c>
      <c r="N459" s="118">
        <f t="shared" si="59"/>
        <v>0</v>
      </c>
      <c r="O459" s="118">
        <f t="shared" si="60"/>
        <v>12.582479999999999</v>
      </c>
    </row>
    <row r="460" spans="1:15" x14ac:dyDescent="0.25">
      <c r="A460" s="32" t="s">
        <v>2240</v>
      </c>
      <c r="B460" s="16" t="s">
        <v>2239</v>
      </c>
      <c r="C460" s="19">
        <v>9</v>
      </c>
      <c r="D460" s="18" t="s">
        <v>1447</v>
      </c>
      <c r="E460" s="13">
        <v>1</v>
      </c>
      <c r="F460" s="25" t="s">
        <v>2239</v>
      </c>
      <c r="G460" s="25">
        <v>81897719002</v>
      </c>
      <c r="H460" s="11">
        <v>12.582479999999999</v>
      </c>
      <c r="I460" s="11">
        <f t="shared" si="57"/>
        <v>12.582479999999999</v>
      </c>
      <c r="J460" s="11">
        <f t="shared" si="61"/>
        <v>12.582479999999999</v>
      </c>
      <c r="K460" s="11">
        <f t="shared" si="58"/>
        <v>12.582479999999999</v>
      </c>
      <c r="L460" s="10">
        <v>0</v>
      </c>
      <c r="N460" s="118">
        <f t="shared" si="59"/>
        <v>0</v>
      </c>
      <c r="O460" s="118">
        <f t="shared" si="60"/>
        <v>12.582479999999999</v>
      </c>
    </row>
    <row r="461" spans="1:15" x14ac:dyDescent="0.25">
      <c r="A461" s="32" t="s">
        <v>2238</v>
      </c>
      <c r="B461" s="16" t="s">
        <v>2061</v>
      </c>
      <c r="C461" s="19">
        <v>10</v>
      </c>
      <c r="D461" s="18" t="s">
        <v>2062</v>
      </c>
      <c r="E461" s="13">
        <v>1</v>
      </c>
      <c r="F461" s="25" t="s">
        <v>2061</v>
      </c>
      <c r="G461" s="25">
        <v>81897719002</v>
      </c>
      <c r="H461" s="11">
        <v>13.332319999999999</v>
      </c>
      <c r="I461" s="11">
        <f t="shared" si="57"/>
        <v>13.332319999999999</v>
      </c>
      <c r="J461" s="11">
        <f t="shared" si="61"/>
        <v>13.332319999999999</v>
      </c>
      <c r="K461" s="11">
        <f t="shared" si="58"/>
        <v>13.332319999999999</v>
      </c>
      <c r="L461" s="10">
        <v>0</v>
      </c>
      <c r="N461" s="118">
        <f t="shared" si="59"/>
        <v>0</v>
      </c>
      <c r="O461" s="118">
        <f t="shared" si="60"/>
        <v>13.332319999999999</v>
      </c>
    </row>
    <row r="462" spans="1:15" x14ac:dyDescent="0.25">
      <c r="A462" s="32" t="s">
        <v>2237</v>
      </c>
      <c r="B462" s="16" t="s">
        <v>2058</v>
      </c>
      <c r="C462" s="19">
        <v>11</v>
      </c>
      <c r="D462" s="18" t="s">
        <v>2059</v>
      </c>
      <c r="E462" s="13">
        <v>1</v>
      </c>
      <c r="F462" s="25" t="s">
        <v>2058</v>
      </c>
      <c r="G462" s="25">
        <v>81897719002</v>
      </c>
      <c r="H462" s="11">
        <v>13.332319999999999</v>
      </c>
      <c r="I462" s="11">
        <f t="shared" si="57"/>
        <v>13.332319999999999</v>
      </c>
      <c r="J462" s="11">
        <f t="shared" si="61"/>
        <v>13.332319999999999</v>
      </c>
      <c r="K462" s="11">
        <f t="shared" si="58"/>
        <v>13.332319999999999</v>
      </c>
      <c r="L462" s="10">
        <v>0</v>
      </c>
      <c r="N462" s="118">
        <f t="shared" si="59"/>
        <v>0</v>
      </c>
      <c r="O462" s="118">
        <f t="shared" si="60"/>
        <v>13.332319999999999</v>
      </c>
    </row>
    <row r="463" spans="1:15" x14ac:dyDescent="0.25">
      <c r="A463" s="32" t="s">
        <v>2236</v>
      </c>
      <c r="B463" s="16" t="s">
        <v>2234</v>
      </c>
      <c r="C463" s="19">
        <v>12</v>
      </c>
      <c r="D463" s="18" t="s">
        <v>2235</v>
      </c>
      <c r="E463" s="13">
        <v>1</v>
      </c>
      <c r="F463" s="25" t="s">
        <v>2234</v>
      </c>
      <c r="G463" s="25">
        <v>81897719002</v>
      </c>
      <c r="H463" s="11">
        <v>144.46368000000001</v>
      </c>
      <c r="I463" s="11">
        <f t="shared" si="57"/>
        <v>144.46368000000001</v>
      </c>
      <c r="J463" s="11">
        <f t="shared" si="61"/>
        <v>144.46368000000001</v>
      </c>
      <c r="K463" s="11">
        <f t="shared" si="58"/>
        <v>144.46368000000001</v>
      </c>
      <c r="L463" s="10">
        <v>0</v>
      </c>
      <c r="N463" s="118">
        <f t="shared" si="59"/>
        <v>0</v>
      </c>
      <c r="O463" s="118">
        <f t="shared" si="60"/>
        <v>144.46368000000001</v>
      </c>
    </row>
    <row r="464" spans="1:15" x14ac:dyDescent="0.25">
      <c r="A464" s="32" t="s">
        <v>2233</v>
      </c>
      <c r="B464" s="16" t="s">
        <v>2231</v>
      </c>
      <c r="C464" s="19">
        <v>13</v>
      </c>
      <c r="D464" s="18" t="s">
        <v>2232</v>
      </c>
      <c r="E464" s="13">
        <v>1</v>
      </c>
      <c r="F464" s="25" t="s">
        <v>2231</v>
      </c>
      <c r="G464" s="25">
        <v>81897719002</v>
      </c>
      <c r="H464" s="11">
        <v>122.24039999999999</v>
      </c>
      <c r="I464" s="11">
        <f t="shared" si="57"/>
        <v>122.24039999999999</v>
      </c>
      <c r="J464" s="11">
        <f t="shared" si="61"/>
        <v>122.24039999999999</v>
      </c>
      <c r="K464" s="11">
        <f t="shared" si="58"/>
        <v>122.24039999999999</v>
      </c>
      <c r="L464" s="10">
        <v>0</v>
      </c>
      <c r="N464" s="118">
        <f t="shared" si="59"/>
        <v>0</v>
      </c>
      <c r="O464" s="118">
        <f t="shared" si="60"/>
        <v>122.24039999999999</v>
      </c>
    </row>
    <row r="465" spans="1:15" x14ac:dyDescent="0.25">
      <c r="A465" s="32" t="s">
        <v>2230</v>
      </c>
      <c r="B465" s="16" t="s">
        <v>961</v>
      </c>
      <c r="C465" s="19">
        <v>14</v>
      </c>
      <c r="D465" s="18" t="s">
        <v>962</v>
      </c>
      <c r="E465" s="13">
        <v>1</v>
      </c>
      <c r="F465" s="25" t="s">
        <v>961</v>
      </c>
      <c r="G465" s="25">
        <v>81897719002</v>
      </c>
      <c r="H465" s="11">
        <v>133.35616000000002</v>
      </c>
      <c r="I465" s="11">
        <f t="shared" si="57"/>
        <v>133.35616000000002</v>
      </c>
      <c r="J465" s="11">
        <f t="shared" si="61"/>
        <v>133.35616000000002</v>
      </c>
      <c r="K465" s="11">
        <f t="shared" si="58"/>
        <v>133.35616000000002</v>
      </c>
      <c r="L465" s="10">
        <v>0</v>
      </c>
      <c r="N465" s="118">
        <f t="shared" si="59"/>
        <v>0</v>
      </c>
      <c r="O465" s="118">
        <f t="shared" si="60"/>
        <v>133.35616000000002</v>
      </c>
    </row>
    <row r="466" spans="1:15" x14ac:dyDescent="0.25">
      <c r="A466" s="32" t="s">
        <v>2229</v>
      </c>
      <c r="B466" s="16" t="s">
        <v>1871</v>
      </c>
      <c r="C466" s="19">
        <v>15</v>
      </c>
      <c r="D466" s="18" t="s">
        <v>2227</v>
      </c>
      <c r="E466" s="13">
        <v>1</v>
      </c>
      <c r="F466" s="25" t="s">
        <v>1871</v>
      </c>
      <c r="G466" s="25">
        <v>81897719002</v>
      </c>
      <c r="H466" s="11">
        <v>296.35984000000002</v>
      </c>
      <c r="I466" s="11">
        <f t="shared" si="57"/>
        <v>296.35984000000002</v>
      </c>
      <c r="J466" s="11">
        <f t="shared" si="61"/>
        <v>296.35984000000002</v>
      </c>
      <c r="K466" s="11">
        <f t="shared" si="58"/>
        <v>296.35984000000002</v>
      </c>
      <c r="L466" s="10">
        <v>0</v>
      </c>
      <c r="N466" s="118">
        <f t="shared" si="59"/>
        <v>0</v>
      </c>
      <c r="O466" s="118">
        <f t="shared" si="60"/>
        <v>296.35984000000002</v>
      </c>
    </row>
    <row r="467" spans="1:15" x14ac:dyDescent="0.25">
      <c r="A467" s="32" t="s">
        <v>2228</v>
      </c>
      <c r="B467" s="16" t="s">
        <v>1871</v>
      </c>
      <c r="C467" s="19">
        <v>16</v>
      </c>
      <c r="D467" s="18" t="s">
        <v>2227</v>
      </c>
      <c r="E467" s="13">
        <v>1</v>
      </c>
      <c r="F467" s="25" t="s">
        <v>1871</v>
      </c>
      <c r="G467" s="25">
        <v>81897719002</v>
      </c>
      <c r="H467" s="11">
        <v>296.35984000000002</v>
      </c>
      <c r="I467" s="11">
        <f t="shared" si="57"/>
        <v>296.35984000000002</v>
      </c>
      <c r="J467" s="11">
        <f t="shared" si="61"/>
        <v>296.35984000000002</v>
      </c>
      <c r="K467" s="11">
        <f t="shared" si="58"/>
        <v>296.35984000000002</v>
      </c>
      <c r="L467" s="10">
        <v>0</v>
      </c>
      <c r="N467" s="118">
        <f t="shared" si="59"/>
        <v>0</v>
      </c>
      <c r="O467" s="118">
        <f t="shared" si="60"/>
        <v>296.35984000000002</v>
      </c>
    </row>
    <row r="468" spans="1:15" x14ac:dyDescent="0.25">
      <c r="A468" s="32" t="s">
        <v>2226</v>
      </c>
      <c r="B468" s="16" t="s">
        <v>2224</v>
      </c>
      <c r="C468" s="19">
        <v>17</v>
      </c>
      <c r="D468" s="18" t="s">
        <v>2225</v>
      </c>
      <c r="E468" s="13">
        <v>1</v>
      </c>
      <c r="F468" s="25" t="s">
        <v>2224</v>
      </c>
      <c r="G468" s="25">
        <v>81897719002</v>
      </c>
      <c r="H468" s="11">
        <v>297.59584000000001</v>
      </c>
      <c r="I468" s="11">
        <f t="shared" si="57"/>
        <v>297.59584000000001</v>
      </c>
      <c r="J468" s="11">
        <f t="shared" si="61"/>
        <v>297.59584000000001</v>
      </c>
      <c r="K468" s="11">
        <f t="shared" si="58"/>
        <v>297.59584000000001</v>
      </c>
      <c r="L468" s="10">
        <v>0</v>
      </c>
      <c r="N468" s="118">
        <f t="shared" si="59"/>
        <v>0</v>
      </c>
      <c r="O468" s="118">
        <f t="shared" si="60"/>
        <v>297.59584000000001</v>
      </c>
    </row>
    <row r="469" spans="1:15" x14ac:dyDescent="0.25">
      <c r="A469" s="32" t="s">
        <v>2223</v>
      </c>
      <c r="B469" s="16" t="s">
        <v>286</v>
      </c>
      <c r="C469" s="19">
        <v>18</v>
      </c>
      <c r="D469" s="18" t="s">
        <v>287</v>
      </c>
      <c r="E469" s="13">
        <v>1</v>
      </c>
      <c r="F469" s="25" t="s">
        <v>286</v>
      </c>
      <c r="G469" s="25">
        <v>81897719002</v>
      </c>
      <c r="H469" s="11">
        <v>11.11576</v>
      </c>
      <c r="I469" s="11">
        <f t="shared" si="57"/>
        <v>11.11576</v>
      </c>
      <c r="J469" s="11">
        <f t="shared" si="61"/>
        <v>11.11576</v>
      </c>
      <c r="K469" s="11">
        <f t="shared" si="58"/>
        <v>11.11576</v>
      </c>
      <c r="L469" s="10">
        <v>0</v>
      </c>
      <c r="N469" s="118">
        <f t="shared" si="59"/>
        <v>0</v>
      </c>
      <c r="O469" s="118">
        <f t="shared" si="60"/>
        <v>11.11576</v>
      </c>
    </row>
    <row r="470" spans="1:15" x14ac:dyDescent="0.25">
      <c r="A470" s="32" t="s">
        <v>2222</v>
      </c>
      <c r="B470" s="16" t="s">
        <v>1869</v>
      </c>
      <c r="C470" s="19">
        <v>19</v>
      </c>
      <c r="D470" s="18" t="s">
        <v>410</v>
      </c>
      <c r="E470" s="13">
        <v>1</v>
      </c>
      <c r="F470" s="25" t="s">
        <v>1869</v>
      </c>
      <c r="G470" s="25">
        <v>81897719002</v>
      </c>
      <c r="H470" s="11">
        <v>7.4242400000000002</v>
      </c>
      <c r="I470" s="11">
        <f t="shared" si="57"/>
        <v>7.4242400000000002</v>
      </c>
      <c r="J470" s="11">
        <f t="shared" si="61"/>
        <v>7.4242400000000002</v>
      </c>
      <c r="K470" s="11">
        <f t="shared" si="58"/>
        <v>7.4242400000000002</v>
      </c>
      <c r="L470" s="10">
        <v>0</v>
      </c>
      <c r="N470" s="118">
        <f t="shared" si="59"/>
        <v>0</v>
      </c>
      <c r="O470" s="118">
        <f t="shared" si="60"/>
        <v>7.4242400000000002</v>
      </c>
    </row>
    <row r="471" spans="1:15" x14ac:dyDescent="0.25">
      <c r="A471" s="32" t="s">
        <v>2221</v>
      </c>
      <c r="B471" s="16" t="s">
        <v>2080</v>
      </c>
      <c r="C471" s="19">
        <v>20</v>
      </c>
      <c r="D471" s="18" t="s">
        <v>2081</v>
      </c>
      <c r="E471" s="13">
        <v>1</v>
      </c>
      <c r="F471" s="25" t="s">
        <v>2080</v>
      </c>
      <c r="G471" s="25">
        <v>81897719002</v>
      </c>
      <c r="H471" s="11">
        <v>24.448080000000001</v>
      </c>
      <c r="I471" s="11">
        <f t="shared" si="57"/>
        <v>24.448080000000001</v>
      </c>
      <c r="J471" s="11">
        <f t="shared" si="61"/>
        <v>24.448080000000001</v>
      </c>
      <c r="K471" s="11">
        <f t="shared" si="58"/>
        <v>24.448080000000001</v>
      </c>
      <c r="L471" s="10">
        <v>0</v>
      </c>
      <c r="N471" s="118">
        <f t="shared" si="59"/>
        <v>0</v>
      </c>
      <c r="O471" s="118">
        <f t="shared" si="60"/>
        <v>24.448080000000001</v>
      </c>
    </row>
    <row r="472" spans="1:15" x14ac:dyDescent="0.25">
      <c r="A472" s="32" t="s">
        <v>2220</v>
      </c>
      <c r="B472" s="51" t="s">
        <v>642</v>
      </c>
      <c r="C472" s="19">
        <v>21</v>
      </c>
      <c r="D472" s="18" t="s">
        <v>2219</v>
      </c>
      <c r="E472" s="13">
        <v>1</v>
      </c>
      <c r="F472" s="25" t="s">
        <v>158</v>
      </c>
      <c r="G472" s="25" t="s">
        <v>427</v>
      </c>
      <c r="H472" s="11">
        <v>5.6773599999999993</v>
      </c>
      <c r="I472" s="11">
        <f t="shared" si="57"/>
        <v>5.6773599999999993</v>
      </c>
      <c r="J472" s="11">
        <f t="shared" si="61"/>
        <v>5.6773599999999993</v>
      </c>
      <c r="K472" s="11">
        <f t="shared" si="58"/>
        <v>5.6773599999999993</v>
      </c>
      <c r="L472" s="10">
        <v>0</v>
      </c>
      <c r="N472" s="118">
        <f t="shared" si="59"/>
        <v>0</v>
      </c>
      <c r="O472" s="118">
        <f t="shared" si="60"/>
        <v>5.6773599999999993</v>
      </c>
    </row>
    <row r="473" spans="1:15" x14ac:dyDescent="0.25">
      <c r="A473" s="35" t="s">
        <v>2218</v>
      </c>
      <c r="B473" s="16" t="s">
        <v>2216</v>
      </c>
      <c r="C473" s="19">
        <v>22</v>
      </c>
      <c r="D473" s="18" t="s">
        <v>2217</v>
      </c>
      <c r="E473" s="13">
        <v>1</v>
      </c>
      <c r="F473" s="25" t="s">
        <v>2216</v>
      </c>
      <c r="G473" s="25">
        <v>81897719002</v>
      </c>
      <c r="H473" s="11">
        <v>31.114239999999999</v>
      </c>
      <c r="I473" s="11">
        <f t="shared" si="57"/>
        <v>31.114239999999999</v>
      </c>
      <c r="J473" s="11">
        <f t="shared" si="61"/>
        <v>31.114239999999999</v>
      </c>
      <c r="K473" s="11">
        <f t="shared" si="58"/>
        <v>31.114239999999999</v>
      </c>
      <c r="L473" s="10">
        <v>0</v>
      </c>
      <c r="N473" s="118">
        <f t="shared" si="59"/>
        <v>0</v>
      </c>
      <c r="O473" s="118">
        <f t="shared" si="60"/>
        <v>31.114239999999999</v>
      </c>
    </row>
    <row r="474" spans="1:15" x14ac:dyDescent="0.25">
      <c r="A474" s="35" t="s">
        <v>2215</v>
      </c>
      <c r="B474" s="16" t="s">
        <v>2091</v>
      </c>
      <c r="C474" s="19">
        <v>23</v>
      </c>
      <c r="D474" s="18" t="s">
        <v>2092</v>
      </c>
      <c r="E474" s="13">
        <v>1</v>
      </c>
      <c r="F474" s="25" t="s">
        <v>2091</v>
      </c>
      <c r="G474" s="25">
        <v>81897719002</v>
      </c>
      <c r="H474" s="11">
        <v>31.114239999999999</v>
      </c>
      <c r="I474" s="11">
        <f t="shared" si="57"/>
        <v>31.114239999999999</v>
      </c>
      <c r="J474" s="11">
        <f t="shared" si="61"/>
        <v>31.114239999999999</v>
      </c>
      <c r="K474" s="11">
        <f t="shared" si="58"/>
        <v>31.114239999999999</v>
      </c>
      <c r="L474" s="10">
        <v>0</v>
      </c>
      <c r="N474" s="118">
        <f t="shared" si="59"/>
        <v>0</v>
      </c>
      <c r="O474" s="118">
        <f t="shared" si="60"/>
        <v>31.114239999999999</v>
      </c>
    </row>
    <row r="475" spans="1:15" x14ac:dyDescent="0.25">
      <c r="A475" s="35" t="s">
        <v>2214</v>
      </c>
      <c r="B475" s="16" t="s">
        <v>2088</v>
      </c>
      <c r="C475" s="19">
        <v>24</v>
      </c>
      <c r="D475" s="18" t="s">
        <v>2089</v>
      </c>
      <c r="E475" s="13">
        <v>1</v>
      </c>
      <c r="F475" s="25" t="s">
        <v>2088</v>
      </c>
      <c r="G475" s="25">
        <v>81897719002</v>
      </c>
      <c r="H475" s="11">
        <v>31.114239999999999</v>
      </c>
      <c r="I475" s="11">
        <f t="shared" si="57"/>
        <v>31.114239999999999</v>
      </c>
      <c r="J475" s="11">
        <f t="shared" si="61"/>
        <v>31.114239999999999</v>
      </c>
      <c r="K475" s="11">
        <f t="shared" si="58"/>
        <v>31.114239999999999</v>
      </c>
      <c r="L475" s="10">
        <v>0</v>
      </c>
      <c r="N475" s="118">
        <f t="shared" si="59"/>
        <v>0</v>
      </c>
      <c r="O475" s="118">
        <f t="shared" si="60"/>
        <v>31.114239999999999</v>
      </c>
    </row>
    <row r="476" spans="1:15" x14ac:dyDescent="0.25">
      <c r="A476" s="32" t="s">
        <v>2213</v>
      </c>
      <c r="B476" s="16" t="s">
        <v>2211</v>
      </c>
      <c r="C476" s="19">
        <v>25</v>
      </c>
      <c r="D476" s="49" t="s">
        <v>2212</v>
      </c>
      <c r="E476" s="13">
        <v>1</v>
      </c>
      <c r="F476" s="25" t="s">
        <v>2211</v>
      </c>
      <c r="G476" s="25">
        <v>81897719002</v>
      </c>
      <c r="H476" s="11">
        <v>31.114239999999999</v>
      </c>
      <c r="I476" s="11">
        <f t="shared" si="57"/>
        <v>31.114239999999999</v>
      </c>
      <c r="J476" s="11">
        <f t="shared" si="61"/>
        <v>31.114239999999999</v>
      </c>
      <c r="K476" s="11">
        <f t="shared" si="58"/>
        <v>31.114239999999999</v>
      </c>
      <c r="L476" s="10">
        <v>0</v>
      </c>
      <c r="N476" s="118">
        <f t="shared" si="59"/>
        <v>0</v>
      </c>
      <c r="O476" s="118">
        <f t="shared" si="60"/>
        <v>31.114239999999999</v>
      </c>
    </row>
    <row r="477" spans="1:15" x14ac:dyDescent="0.25">
      <c r="A477" s="32" t="s">
        <v>2210</v>
      </c>
      <c r="B477" s="16" t="s">
        <v>638</v>
      </c>
      <c r="C477" s="19">
        <v>26</v>
      </c>
      <c r="D477" s="49" t="s">
        <v>2209</v>
      </c>
      <c r="E477" s="13">
        <v>1</v>
      </c>
      <c r="F477" s="25" t="s">
        <v>638</v>
      </c>
      <c r="G477" s="25">
        <v>81897719002</v>
      </c>
      <c r="H477" s="11">
        <v>31.114239999999999</v>
      </c>
      <c r="I477" s="11">
        <f t="shared" si="57"/>
        <v>31.114239999999999</v>
      </c>
      <c r="J477" s="11">
        <f t="shared" si="61"/>
        <v>31.114239999999999</v>
      </c>
      <c r="K477" s="11">
        <f t="shared" si="58"/>
        <v>31.114239999999999</v>
      </c>
      <c r="L477" s="10">
        <v>0</v>
      </c>
      <c r="N477" s="118">
        <f t="shared" si="59"/>
        <v>0</v>
      </c>
      <c r="O477" s="118">
        <f t="shared" si="60"/>
        <v>31.114239999999999</v>
      </c>
    </row>
    <row r="478" spans="1:15" x14ac:dyDescent="0.25">
      <c r="A478" s="32" t="s">
        <v>2208</v>
      </c>
      <c r="B478" s="16" t="s">
        <v>2052</v>
      </c>
      <c r="C478" s="19">
        <v>27</v>
      </c>
      <c r="D478" s="18" t="s">
        <v>2072</v>
      </c>
      <c r="E478" s="13">
        <v>1</v>
      </c>
      <c r="F478" s="25" t="s">
        <v>2052</v>
      </c>
      <c r="G478" s="25">
        <v>81897719002</v>
      </c>
      <c r="H478" s="11">
        <v>33.339040000000004</v>
      </c>
      <c r="I478" s="11">
        <f t="shared" si="57"/>
        <v>33.339040000000004</v>
      </c>
      <c r="J478" s="11">
        <f t="shared" si="61"/>
        <v>33.339040000000004</v>
      </c>
      <c r="K478" s="11">
        <f t="shared" si="58"/>
        <v>33.339040000000004</v>
      </c>
      <c r="L478" s="10">
        <v>0</v>
      </c>
      <c r="N478" s="118">
        <f t="shared" si="59"/>
        <v>0</v>
      </c>
      <c r="O478" s="118">
        <f t="shared" si="60"/>
        <v>33.339040000000004</v>
      </c>
    </row>
    <row r="479" spans="1:15" x14ac:dyDescent="0.25">
      <c r="A479" s="32" t="s">
        <v>2207</v>
      </c>
      <c r="B479" s="16" t="s">
        <v>2205</v>
      </c>
      <c r="C479" s="19">
        <v>28</v>
      </c>
      <c r="D479" s="18" t="s">
        <v>2206</v>
      </c>
      <c r="E479" s="13">
        <v>1</v>
      </c>
      <c r="F479" s="25" t="s">
        <v>2205</v>
      </c>
      <c r="G479" s="25">
        <v>81897719002</v>
      </c>
      <c r="H479" s="11">
        <v>29.64752</v>
      </c>
      <c r="I479" s="11">
        <f t="shared" si="57"/>
        <v>29.64752</v>
      </c>
      <c r="J479" s="11">
        <f t="shared" si="61"/>
        <v>29.64752</v>
      </c>
      <c r="K479" s="11">
        <f t="shared" si="58"/>
        <v>29.64752</v>
      </c>
      <c r="L479" s="10">
        <v>0</v>
      </c>
      <c r="N479" s="118">
        <f t="shared" si="59"/>
        <v>0</v>
      </c>
      <c r="O479" s="118">
        <f t="shared" si="60"/>
        <v>29.64752</v>
      </c>
    </row>
    <row r="480" spans="1:15" x14ac:dyDescent="0.25">
      <c r="A480" s="35" t="s">
        <v>2204</v>
      </c>
      <c r="B480" s="16" t="s">
        <v>2071</v>
      </c>
      <c r="C480" s="19">
        <v>29</v>
      </c>
      <c r="D480" s="18" t="s">
        <v>2072</v>
      </c>
      <c r="E480" s="13">
        <v>1</v>
      </c>
      <c r="F480" s="25" t="s">
        <v>2071</v>
      </c>
      <c r="G480" s="25">
        <v>81897719002</v>
      </c>
      <c r="H480" s="11">
        <v>33.339040000000004</v>
      </c>
      <c r="I480" s="11">
        <f t="shared" si="57"/>
        <v>33.339040000000004</v>
      </c>
      <c r="J480" s="11">
        <f t="shared" si="61"/>
        <v>33.339040000000004</v>
      </c>
      <c r="K480" s="11">
        <f t="shared" si="58"/>
        <v>33.339040000000004</v>
      </c>
      <c r="L480" s="10">
        <v>0</v>
      </c>
      <c r="N480" s="118">
        <f t="shared" si="59"/>
        <v>0</v>
      </c>
      <c r="O480" s="118">
        <f t="shared" si="60"/>
        <v>33.339040000000004</v>
      </c>
    </row>
    <row r="481" spans="1:15" x14ac:dyDescent="0.25">
      <c r="A481" s="32" t="s">
        <v>2203</v>
      </c>
      <c r="B481" s="16" t="s">
        <v>2068</v>
      </c>
      <c r="C481" s="19">
        <v>30</v>
      </c>
      <c r="D481" s="18" t="s">
        <v>2202</v>
      </c>
      <c r="E481" s="13">
        <v>1</v>
      </c>
      <c r="F481" s="25" t="s">
        <v>2068</v>
      </c>
      <c r="G481" s="25">
        <v>81897719002</v>
      </c>
      <c r="H481" s="11">
        <v>29.64752</v>
      </c>
      <c r="I481" s="11">
        <f t="shared" si="57"/>
        <v>29.64752</v>
      </c>
      <c r="J481" s="11">
        <f t="shared" si="61"/>
        <v>29.64752</v>
      </c>
      <c r="K481" s="11">
        <f t="shared" si="58"/>
        <v>29.64752</v>
      </c>
      <c r="L481" s="10">
        <v>0</v>
      </c>
      <c r="N481" s="118">
        <f t="shared" si="59"/>
        <v>0</v>
      </c>
      <c r="O481" s="118">
        <f t="shared" si="60"/>
        <v>29.64752</v>
      </c>
    </row>
    <row r="482" spans="1:15" x14ac:dyDescent="0.25">
      <c r="A482" s="32" t="s">
        <v>2201</v>
      </c>
      <c r="B482" s="16" t="s">
        <v>2052</v>
      </c>
      <c r="C482" s="19">
        <v>31</v>
      </c>
      <c r="D482" s="18" t="s">
        <v>2072</v>
      </c>
      <c r="E482" s="13">
        <v>1</v>
      </c>
      <c r="F482" s="25" t="s">
        <v>2052</v>
      </c>
      <c r="G482" s="25">
        <v>81897719002</v>
      </c>
      <c r="H482" s="11">
        <v>33.339040000000004</v>
      </c>
      <c r="I482" s="11">
        <f t="shared" si="57"/>
        <v>33.339040000000004</v>
      </c>
      <c r="J482" s="11">
        <f t="shared" si="61"/>
        <v>33.339040000000004</v>
      </c>
      <c r="K482" s="11">
        <f t="shared" si="58"/>
        <v>33.339040000000004</v>
      </c>
      <c r="L482" s="10">
        <v>0</v>
      </c>
      <c r="N482" s="118">
        <f t="shared" si="59"/>
        <v>0</v>
      </c>
      <c r="O482" s="118">
        <f t="shared" si="60"/>
        <v>33.339040000000004</v>
      </c>
    </row>
    <row r="483" spans="1:15" x14ac:dyDescent="0.25">
      <c r="A483" s="32" t="s">
        <v>2200</v>
      </c>
      <c r="B483" s="16" t="s">
        <v>2198</v>
      </c>
      <c r="C483" s="19">
        <v>32</v>
      </c>
      <c r="D483" s="18" t="s">
        <v>2199</v>
      </c>
      <c r="E483" s="13">
        <v>2</v>
      </c>
      <c r="F483" s="25" t="s">
        <v>2198</v>
      </c>
      <c r="G483" s="25">
        <v>81897719002</v>
      </c>
      <c r="H483" s="11">
        <v>25.9148</v>
      </c>
      <c r="I483" s="11">
        <f t="shared" si="57"/>
        <v>51.829599999999999</v>
      </c>
      <c r="J483" s="11">
        <f t="shared" si="61"/>
        <v>25.9148</v>
      </c>
      <c r="K483" s="11">
        <f t="shared" si="58"/>
        <v>51.829599999999999</v>
      </c>
      <c r="L483" s="10">
        <v>0</v>
      </c>
      <c r="N483" s="118">
        <f t="shared" si="59"/>
        <v>0</v>
      </c>
      <c r="O483" s="118">
        <f t="shared" si="60"/>
        <v>25.9148</v>
      </c>
    </row>
    <row r="484" spans="1:15" x14ac:dyDescent="0.25">
      <c r="A484" s="32" t="s">
        <v>2197</v>
      </c>
      <c r="B484" s="16" t="s">
        <v>2065</v>
      </c>
      <c r="C484" s="19">
        <v>33</v>
      </c>
      <c r="D484" s="18" t="s">
        <v>2066</v>
      </c>
      <c r="E484" s="13">
        <v>2</v>
      </c>
      <c r="F484" s="25" t="s">
        <v>2065</v>
      </c>
      <c r="G484" s="25">
        <v>81897719002</v>
      </c>
      <c r="H484" s="11">
        <v>11.11576</v>
      </c>
      <c r="I484" s="11">
        <f t="shared" ref="I484:I515" si="62">H484*E484</f>
        <v>22.23152</v>
      </c>
      <c r="J484" s="11">
        <f t="shared" si="61"/>
        <v>11.11576</v>
      </c>
      <c r="K484" s="11">
        <f t="shared" ref="K484:K515" si="63">J484*E484</f>
        <v>22.23152</v>
      </c>
      <c r="L484" s="10">
        <v>0</v>
      </c>
      <c r="N484" s="118">
        <f t="shared" si="59"/>
        <v>0</v>
      </c>
      <c r="O484" s="118">
        <f t="shared" si="60"/>
        <v>11.11576</v>
      </c>
    </row>
    <row r="485" spans="1:15" ht="14.25" customHeight="1" x14ac:dyDescent="0.25">
      <c r="A485" s="32" t="s">
        <v>2196</v>
      </c>
      <c r="B485" s="16" t="s">
        <v>2194</v>
      </c>
      <c r="C485" s="19">
        <v>34</v>
      </c>
      <c r="D485" s="18" t="s">
        <v>2195</v>
      </c>
      <c r="E485" s="13">
        <v>4</v>
      </c>
      <c r="F485" s="25" t="s">
        <v>2194</v>
      </c>
      <c r="G485" s="25">
        <v>81897710012</v>
      </c>
      <c r="H485" s="11">
        <v>1043.69488</v>
      </c>
      <c r="I485" s="11">
        <f t="shared" si="62"/>
        <v>4174.77952</v>
      </c>
      <c r="J485" s="11">
        <f t="shared" si="61"/>
        <v>1043.69488</v>
      </c>
      <c r="K485" s="11">
        <f t="shared" si="63"/>
        <v>4174.77952</v>
      </c>
      <c r="L485" s="10">
        <v>0</v>
      </c>
      <c r="N485" s="118">
        <f t="shared" si="59"/>
        <v>0</v>
      </c>
      <c r="O485" s="118">
        <f t="shared" si="60"/>
        <v>1043.69488</v>
      </c>
    </row>
    <row r="486" spans="1:15" x14ac:dyDescent="0.25">
      <c r="A486" s="35" t="s">
        <v>2193</v>
      </c>
      <c r="B486" s="50" t="s">
        <v>2191</v>
      </c>
      <c r="C486" s="19">
        <v>35</v>
      </c>
      <c r="D486" s="18" t="s">
        <v>2192</v>
      </c>
      <c r="E486" s="13">
        <v>3</v>
      </c>
      <c r="F486" s="25" t="s">
        <v>2191</v>
      </c>
      <c r="G486" s="25">
        <v>81897710012</v>
      </c>
      <c r="H486" s="11">
        <v>17.78192</v>
      </c>
      <c r="I486" s="11">
        <f t="shared" si="62"/>
        <v>53.345759999999999</v>
      </c>
      <c r="J486" s="11">
        <f t="shared" si="61"/>
        <v>17.78192</v>
      </c>
      <c r="K486" s="11">
        <f t="shared" si="63"/>
        <v>53.345759999999999</v>
      </c>
      <c r="L486" s="10">
        <v>0</v>
      </c>
      <c r="N486" s="118">
        <f t="shared" si="59"/>
        <v>0</v>
      </c>
      <c r="O486" s="118">
        <f t="shared" si="60"/>
        <v>17.78192</v>
      </c>
    </row>
    <row r="487" spans="1:15" x14ac:dyDescent="0.25">
      <c r="A487" s="32" t="s">
        <v>2190</v>
      </c>
      <c r="B487" s="16" t="s">
        <v>2188</v>
      </c>
      <c r="C487" s="19">
        <v>36</v>
      </c>
      <c r="D487" s="18" t="s">
        <v>2189</v>
      </c>
      <c r="E487" s="13">
        <v>1</v>
      </c>
      <c r="F487" s="25" t="s">
        <v>2188</v>
      </c>
      <c r="G487" s="25">
        <v>81897719002</v>
      </c>
      <c r="H487" s="11">
        <v>16.315200000000001</v>
      </c>
      <c r="I487" s="11">
        <f t="shared" si="62"/>
        <v>16.315200000000001</v>
      </c>
      <c r="J487" s="11">
        <f t="shared" si="61"/>
        <v>16.315200000000001</v>
      </c>
      <c r="K487" s="11">
        <f t="shared" si="63"/>
        <v>16.315200000000001</v>
      </c>
      <c r="L487" s="10">
        <v>0</v>
      </c>
      <c r="N487" s="118">
        <f t="shared" si="59"/>
        <v>0</v>
      </c>
      <c r="O487" s="118">
        <f t="shared" si="60"/>
        <v>16.315200000000001</v>
      </c>
    </row>
    <row r="488" spans="1:15" x14ac:dyDescent="0.25">
      <c r="A488" s="32" t="s">
        <v>2187</v>
      </c>
      <c r="B488" s="16" t="s">
        <v>230</v>
      </c>
      <c r="C488" s="19">
        <v>37</v>
      </c>
      <c r="D488" s="18" t="s">
        <v>231</v>
      </c>
      <c r="E488" s="13">
        <v>2</v>
      </c>
      <c r="F488" s="25" t="s">
        <v>230</v>
      </c>
      <c r="G488" s="25">
        <v>81897719002</v>
      </c>
      <c r="H488" s="11">
        <v>10.35768</v>
      </c>
      <c r="I488" s="11">
        <f t="shared" si="62"/>
        <v>20.71536</v>
      </c>
      <c r="J488" s="11">
        <f t="shared" si="61"/>
        <v>10.35768</v>
      </c>
      <c r="K488" s="11">
        <f t="shared" si="63"/>
        <v>20.71536</v>
      </c>
      <c r="L488" s="10">
        <v>0</v>
      </c>
      <c r="N488" s="118">
        <f t="shared" si="59"/>
        <v>0</v>
      </c>
      <c r="O488" s="118">
        <f t="shared" si="60"/>
        <v>10.35768</v>
      </c>
    </row>
    <row r="489" spans="1:15" x14ac:dyDescent="0.25">
      <c r="A489" s="32" t="s">
        <v>2186</v>
      </c>
      <c r="B489" s="16" t="s">
        <v>233</v>
      </c>
      <c r="C489" s="19">
        <v>38</v>
      </c>
      <c r="D489" s="18" t="s">
        <v>234</v>
      </c>
      <c r="E489" s="13">
        <v>2</v>
      </c>
      <c r="F489" s="25" t="s">
        <v>233</v>
      </c>
      <c r="G489" s="25">
        <v>81897719002</v>
      </c>
      <c r="H489" s="11">
        <v>9.6490400000000012</v>
      </c>
      <c r="I489" s="11">
        <f t="shared" si="62"/>
        <v>19.298080000000002</v>
      </c>
      <c r="J489" s="11">
        <f t="shared" si="61"/>
        <v>9.6490400000000012</v>
      </c>
      <c r="K489" s="11">
        <f t="shared" si="63"/>
        <v>19.298080000000002</v>
      </c>
      <c r="L489" s="10">
        <v>0</v>
      </c>
      <c r="N489" s="118">
        <f t="shared" si="59"/>
        <v>0</v>
      </c>
      <c r="O489" s="118">
        <f t="shared" si="60"/>
        <v>9.6490400000000012</v>
      </c>
    </row>
    <row r="490" spans="1:15" x14ac:dyDescent="0.25">
      <c r="A490" s="32" t="s">
        <v>2185</v>
      </c>
      <c r="B490" s="16" t="s">
        <v>155</v>
      </c>
      <c r="C490" s="19">
        <v>39</v>
      </c>
      <c r="D490" s="18" t="s">
        <v>156</v>
      </c>
      <c r="E490" s="13">
        <v>2</v>
      </c>
      <c r="F490" s="25" t="s">
        <v>155</v>
      </c>
      <c r="G490" s="25">
        <v>81897719002</v>
      </c>
      <c r="H490" s="11">
        <v>8.8909599999999998</v>
      </c>
      <c r="I490" s="11">
        <f t="shared" si="62"/>
        <v>17.78192</v>
      </c>
      <c r="J490" s="11">
        <f t="shared" si="61"/>
        <v>8.8909599999999998</v>
      </c>
      <c r="K490" s="11">
        <f t="shared" si="63"/>
        <v>17.78192</v>
      </c>
      <c r="L490" s="10">
        <v>0</v>
      </c>
      <c r="N490" s="118">
        <f t="shared" si="59"/>
        <v>0</v>
      </c>
      <c r="O490" s="118">
        <f t="shared" si="60"/>
        <v>8.8909599999999998</v>
      </c>
    </row>
    <row r="491" spans="1:15" x14ac:dyDescent="0.25">
      <c r="A491" s="32" t="s">
        <v>2184</v>
      </c>
      <c r="B491" s="16" t="s">
        <v>149</v>
      </c>
      <c r="C491" s="19">
        <v>40</v>
      </c>
      <c r="D491" s="18" t="s">
        <v>150</v>
      </c>
      <c r="E491" s="13">
        <v>2</v>
      </c>
      <c r="F491" s="25" t="s">
        <v>149</v>
      </c>
      <c r="G491" s="25">
        <v>81897719002</v>
      </c>
      <c r="H491" s="11">
        <v>9.6490400000000012</v>
      </c>
      <c r="I491" s="11">
        <f t="shared" si="62"/>
        <v>19.298080000000002</v>
      </c>
      <c r="J491" s="11">
        <f t="shared" si="61"/>
        <v>9.6490400000000012</v>
      </c>
      <c r="K491" s="11">
        <f t="shared" si="63"/>
        <v>19.298080000000002</v>
      </c>
      <c r="L491" s="10">
        <v>0</v>
      </c>
      <c r="N491" s="118">
        <f t="shared" si="59"/>
        <v>0</v>
      </c>
      <c r="O491" s="118">
        <f t="shared" si="60"/>
        <v>9.6490400000000012</v>
      </c>
    </row>
    <row r="492" spans="1:15" x14ac:dyDescent="0.25">
      <c r="A492" s="32" t="s">
        <v>2183</v>
      </c>
      <c r="B492" s="16" t="s">
        <v>2181</v>
      </c>
      <c r="C492" s="19">
        <v>41</v>
      </c>
      <c r="D492" s="18" t="s">
        <v>2182</v>
      </c>
      <c r="E492" s="13">
        <v>2</v>
      </c>
      <c r="F492" s="25" t="s">
        <v>2181</v>
      </c>
      <c r="G492" s="25">
        <v>81897719002</v>
      </c>
      <c r="H492" s="11">
        <v>74.102320000000006</v>
      </c>
      <c r="I492" s="11">
        <f t="shared" si="62"/>
        <v>148.20464000000001</v>
      </c>
      <c r="J492" s="11">
        <f t="shared" si="61"/>
        <v>74.102320000000006</v>
      </c>
      <c r="K492" s="11">
        <f t="shared" si="63"/>
        <v>148.20464000000001</v>
      </c>
      <c r="L492" s="10">
        <v>0</v>
      </c>
      <c r="N492" s="118">
        <f t="shared" si="59"/>
        <v>0</v>
      </c>
      <c r="O492" s="118">
        <f t="shared" si="60"/>
        <v>74.102320000000006</v>
      </c>
    </row>
    <row r="493" spans="1:15" ht="15" customHeight="1" x14ac:dyDescent="0.25">
      <c r="A493" s="32" t="s">
        <v>2180</v>
      </c>
      <c r="B493" s="16" t="s">
        <v>110</v>
      </c>
      <c r="C493" s="19">
        <v>42</v>
      </c>
      <c r="D493" s="18" t="s">
        <v>111</v>
      </c>
      <c r="E493" s="13">
        <v>1</v>
      </c>
      <c r="F493" s="25" t="s">
        <v>110</v>
      </c>
      <c r="G493" s="25">
        <v>81897719002</v>
      </c>
      <c r="H493" s="11">
        <v>41.471919999999997</v>
      </c>
      <c r="I493" s="11">
        <f t="shared" si="62"/>
        <v>41.471919999999997</v>
      </c>
      <c r="J493" s="11">
        <f t="shared" si="61"/>
        <v>41.471919999999997</v>
      </c>
      <c r="K493" s="11">
        <f t="shared" si="63"/>
        <v>41.471919999999997</v>
      </c>
      <c r="L493" s="10">
        <v>0</v>
      </c>
      <c r="N493" s="118">
        <f t="shared" si="59"/>
        <v>0</v>
      </c>
      <c r="O493" s="118">
        <f t="shared" si="60"/>
        <v>41.471919999999997</v>
      </c>
    </row>
    <row r="494" spans="1:15" ht="15" customHeight="1" x14ac:dyDescent="0.25">
      <c r="A494" s="32" t="s">
        <v>2179</v>
      </c>
      <c r="B494" s="16" t="s">
        <v>2177</v>
      </c>
      <c r="C494" s="19">
        <v>43</v>
      </c>
      <c r="D494" s="18" t="s">
        <v>2178</v>
      </c>
      <c r="E494" s="13">
        <v>1</v>
      </c>
      <c r="F494" s="25" t="s">
        <v>2177</v>
      </c>
      <c r="G494" s="25">
        <v>81897719002</v>
      </c>
      <c r="H494" s="11">
        <v>296.35984000000002</v>
      </c>
      <c r="I494" s="11">
        <f t="shared" si="62"/>
        <v>296.35984000000002</v>
      </c>
      <c r="J494" s="11">
        <f t="shared" si="61"/>
        <v>296.35984000000002</v>
      </c>
      <c r="K494" s="11">
        <f t="shared" si="63"/>
        <v>296.35984000000002</v>
      </c>
      <c r="L494" s="10">
        <v>0</v>
      </c>
      <c r="N494" s="118">
        <f t="shared" si="59"/>
        <v>0</v>
      </c>
      <c r="O494" s="118">
        <f t="shared" si="60"/>
        <v>296.35984000000002</v>
      </c>
    </row>
    <row r="495" spans="1:15" ht="15" customHeight="1" x14ac:dyDescent="0.25">
      <c r="A495" s="32" t="s">
        <v>2176</v>
      </c>
      <c r="B495" s="16" t="s">
        <v>2174</v>
      </c>
      <c r="C495" s="19">
        <v>44</v>
      </c>
      <c r="D495" s="18" t="s">
        <v>2175</v>
      </c>
      <c r="E495" s="13">
        <v>2</v>
      </c>
      <c r="F495" s="25" t="s">
        <v>2174</v>
      </c>
      <c r="G495" s="25">
        <v>81897719002</v>
      </c>
      <c r="H495" s="11">
        <v>296.35984000000002</v>
      </c>
      <c r="I495" s="11">
        <f t="shared" si="62"/>
        <v>592.71968000000004</v>
      </c>
      <c r="J495" s="11">
        <f t="shared" si="61"/>
        <v>296.35984000000002</v>
      </c>
      <c r="K495" s="11">
        <f t="shared" si="63"/>
        <v>592.71968000000004</v>
      </c>
      <c r="L495" s="10">
        <v>0</v>
      </c>
      <c r="N495" s="118">
        <f t="shared" si="59"/>
        <v>0</v>
      </c>
      <c r="O495" s="118">
        <f t="shared" si="60"/>
        <v>296.35984000000002</v>
      </c>
    </row>
    <row r="496" spans="1:15" ht="15" customHeight="1" x14ac:dyDescent="0.25">
      <c r="A496" s="32" t="s">
        <v>2173</v>
      </c>
      <c r="B496" s="16" t="s">
        <v>131</v>
      </c>
      <c r="C496" s="19">
        <v>45</v>
      </c>
      <c r="D496" s="18" t="s">
        <v>132</v>
      </c>
      <c r="E496" s="13">
        <v>6</v>
      </c>
      <c r="F496" s="25" t="s">
        <v>131</v>
      </c>
      <c r="G496" s="25">
        <v>81897719002</v>
      </c>
      <c r="H496" s="11">
        <v>17.78192</v>
      </c>
      <c r="I496" s="11">
        <f t="shared" si="62"/>
        <v>106.69152</v>
      </c>
      <c r="J496" s="11">
        <f t="shared" si="61"/>
        <v>17.78192</v>
      </c>
      <c r="K496" s="11">
        <f t="shared" si="63"/>
        <v>106.69152</v>
      </c>
      <c r="L496" s="10">
        <v>0</v>
      </c>
      <c r="N496" s="118">
        <f t="shared" si="59"/>
        <v>0</v>
      </c>
      <c r="O496" s="118">
        <f t="shared" si="60"/>
        <v>17.78192</v>
      </c>
    </row>
    <row r="497" spans="1:15" ht="15" customHeight="1" x14ac:dyDescent="0.25">
      <c r="A497" s="32" t="s">
        <v>2172</v>
      </c>
      <c r="B497" s="46" t="s">
        <v>2170</v>
      </c>
      <c r="C497" s="19">
        <v>46</v>
      </c>
      <c r="D497" s="49" t="s">
        <v>2171</v>
      </c>
      <c r="E497" s="13">
        <v>1</v>
      </c>
      <c r="F497" s="25" t="s">
        <v>2170</v>
      </c>
      <c r="G497" s="25">
        <v>81897710021</v>
      </c>
      <c r="H497" s="11">
        <v>15.54064</v>
      </c>
      <c r="I497" s="11">
        <f t="shared" si="62"/>
        <v>15.54064</v>
      </c>
      <c r="J497" s="11">
        <f t="shared" si="61"/>
        <v>15.54064</v>
      </c>
      <c r="K497" s="11">
        <f t="shared" si="63"/>
        <v>15.54064</v>
      </c>
      <c r="L497" s="10">
        <v>0</v>
      </c>
      <c r="N497" s="118">
        <f t="shared" si="59"/>
        <v>0</v>
      </c>
      <c r="O497" s="118">
        <f t="shared" si="60"/>
        <v>15.54064</v>
      </c>
    </row>
    <row r="498" spans="1:15" ht="15" customHeight="1" x14ac:dyDescent="0.25">
      <c r="A498" s="32" t="s">
        <v>2169</v>
      </c>
      <c r="B498" s="46" t="s">
        <v>2167</v>
      </c>
      <c r="C498" s="19">
        <v>47</v>
      </c>
      <c r="D498" s="49" t="s">
        <v>2168</v>
      </c>
      <c r="E498" s="13">
        <v>1</v>
      </c>
      <c r="F498" s="25" t="s">
        <v>2167</v>
      </c>
      <c r="G498" s="25">
        <v>81897710021</v>
      </c>
      <c r="H498" s="11">
        <v>16.8096</v>
      </c>
      <c r="I498" s="11">
        <f t="shared" si="62"/>
        <v>16.8096</v>
      </c>
      <c r="J498" s="11">
        <f t="shared" si="61"/>
        <v>16.8096</v>
      </c>
      <c r="K498" s="11">
        <f t="shared" si="63"/>
        <v>16.8096</v>
      </c>
      <c r="L498" s="10">
        <v>0</v>
      </c>
      <c r="N498" s="118">
        <f t="shared" si="59"/>
        <v>0</v>
      </c>
      <c r="O498" s="118">
        <f t="shared" si="60"/>
        <v>16.8096</v>
      </c>
    </row>
    <row r="499" spans="1:15" ht="15" customHeight="1" x14ac:dyDescent="0.25">
      <c r="A499" s="32" t="s">
        <v>2166</v>
      </c>
      <c r="B499" s="16" t="s">
        <v>119</v>
      </c>
      <c r="C499" s="19">
        <v>48</v>
      </c>
      <c r="D499" s="18" t="s">
        <v>120</v>
      </c>
      <c r="E499" s="13">
        <v>5</v>
      </c>
      <c r="F499" s="25" t="s">
        <v>119</v>
      </c>
      <c r="G499" s="25">
        <v>81897719002</v>
      </c>
      <c r="H499" s="11">
        <v>18.54</v>
      </c>
      <c r="I499" s="11">
        <f t="shared" si="62"/>
        <v>92.699999999999989</v>
      </c>
      <c r="J499" s="11">
        <f t="shared" si="61"/>
        <v>18.54</v>
      </c>
      <c r="K499" s="11">
        <f t="shared" si="63"/>
        <v>92.699999999999989</v>
      </c>
      <c r="L499" s="10">
        <v>0</v>
      </c>
      <c r="N499" s="118">
        <f t="shared" si="59"/>
        <v>0</v>
      </c>
      <c r="O499" s="118">
        <f t="shared" si="60"/>
        <v>18.54</v>
      </c>
    </row>
    <row r="500" spans="1:15" ht="15" customHeight="1" x14ac:dyDescent="0.25">
      <c r="A500" s="32" t="s">
        <v>2165</v>
      </c>
      <c r="B500" s="16" t="s">
        <v>116</v>
      </c>
      <c r="C500" s="19">
        <v>49</v>
      </c>
      <c r="D500" s="18" t="s">
        <v>117</v>
      </c>
      <c r="E500" s="13">
        <v>5</v>
      </c>
      <c r="F500" s="25" t="s">
        <v>116</v>
      </c>
      <c r="G500" s="25">
        <v>81897719002</v>
      </c>
      <c r="H500" s="11">
        <v>21.47344</v>
      </c>
      <c r="I500" s="11">
        <f t="shared" si="62"/>
        <v>107.3672</v>
      </c>
      <c r="J500" s="11">
        <f t="shared" si="61"/>
        <v>21.47344</v>
      </c>
      <c r="K500" s="11">
        <f t="shared" si="63"/>
        <v>107.3672</v>
      </c>
      <c r="L500" s="10">
        <v>0</v>
      </c>
      <c r="N500" s="118">
        <f t="shared" si="59"/>
        <v>0</v>
      </c>
      <c r="O500" s="118">
        <f t="shared" si="60"/>
        <v>21.47344</v>
      </c>
    </row>
    <row r="501" spans="1:15" ht="15" customHeight="1" x14ac:dyDescent="0.25">
      <c r="A501" s="32" t="s">
        <v>2164</v>
      </c>
      <c r="B501" s="16" t="s">
        <v>122</v>
      </c>
      <c r="C501" s="19">
        <v>50</v>
      </c>
      <c r="D501" s="18" t="s">
        <v>123</v>
      </c>
      <c r="E501" s="13">
        <v>5</v>
      </c>
      <c r="F501" s="25" t="s">
        <v>122</v>
      </c>
      <c r="G501" s="25">
        <v>81897719002</v>
      </c>
      <c r="H501" s="11">
        <v>17.78192</v>
      </c>
      <c r="I501" s="11">
        <f t="shared" si="62"/>
        <v>88.909599999999998</v>
      </c>
      <c r="J501" s="11">
        <f t="shared" si="61"/>
        <v>17.78192</v>
      </c>
      <c r="K501" s="11">
        <f t="shared" si="63"/>
        <v>88.909599999999998</v>
      </c>
      <c r="L501" s="10">
        <v>0</v>
      </c>
      <c r="N501" s="118">
        <f t="shared" si="59"/>
        <v>0</v>
      </c>
      <c r="O501" s="118">
        <f t="shared" si="60"/>
        <v>17.78192</v>
      </c>
    </row>
    <row r="502" spans="1:15" ht="15" customHeight="1" x14ac:dyDescent="0.25">
      <c r="A502" s="32" t="s">
        <v>2163</v>
      </c>
      <c r="B502" s="16" t="s">
        <v>599</v>
      </c>
      <c r="C502" s="19">
        <v>51</v>
      </c>
      <c r="D502" s="18" t="s">
        <v>600</v>
      </c>
      <c r="E502" s="13">
        <v>5</v>
      </c>
      <c r="F502" s="25" t="s">
        <v>599</v>
      </c>
      <c r="G502" s="25">
        <v>81897719002</v>
      </c>
      <c r="H502" s="11">
        <v>20.75656</v>
      </c>
      <c r="I502" s="11">
        <f t="shared" si="62"/>
        <v>103.78280000000001</v>
      </c>
      <c r="J502" s="11">
        <f t="shared" si="61"/>
        <v>20.75656</v>
      </c>
      <c r="K502" s="11">
        <f t="shared" si="63"/>
        <v>103.78280000000001</v>
      </c>
      <c r="L502" s="10">
        <v>0</v>
      </c>
      <c r="N502" s="118">
        <f t="shared" si="59"/>
        <v>0</v>
      </c>
      <c r="O502" s="118">
        <f t="shared" si="60"/>
        <v>20.75656</v>
      </c>
    </row>
    <row r="503" spans="1:15" ht="15" customHeight="1" x14ac:dyDescent="0.25">
      <c r="A503" s="35" t="s">
        <v>2162</v>
      </c>
      <c r="B503" s="48" t="s">
        <v>2160</v>
      </c>
      <c r="C503" s="19">
        <v>52</v>
      </c>
      <c r="D503" s="18" t="s">
        <v>2161</v>
      </c>
      <c r="E503" s="13">
        <v>1</v>
      </c>
      <c r="F503" s="25" t="s">
        <v>2160</v>
      </c>
      <c r="G503" s="25">
        <v>81897710011</v>
      </c>
      <c r="H503" s="11">
        <v>296.35984000000002</v>
      </c>
      <c r="I503" s="11">
        <f t="shared" si="62"/>
        <v>296.35984000000002</v>
      </c>
      <c r="J503" s="11">
        <f t="shared" si="61"/>
        <v>296.35984000000002</v>
      </c>
      <c r="K503" s="11">
        <f t="shared" si="63"/>
        <v>296.35984000000002</v>
      </c>
      <c r="L503" s="10">
        <v>0</v>
      </c>
      <c r="N503" s="118">
        <f t="shared" si="59"/>
        <v>0</v>
      </c>
      <c r="O503" s="118">
        <f t="shared" si="60"/>
        <v>296.35984000000002</v>
      </c>
    </row>
    <row r="504" spans="1:15" ht="15" customHeight="1" x14ac:dyDescent="0.25">
      <c r="A504" s="35" t="s">
        <v>2159</v>
      </c>
      <c r="B504" s="48" t="s">
        <v>2157</v>
      </c>
      <c r="C504" s="19">
        <v>53</v>
      </c>
      <c r="D504" s="18" t="s">
        <v>2158</v>
      </c>
      <c r="E504" s="13">
        <v>1</v>
      </c>
      <c r="F504" s="25" t="s">
        <v>2157</v>
      </c>
      <c r="G504" s="25">
        <v>81897710011</v>
      </c>
      <c r="H504" s="11">
        <v>296.35984000000002</v>
      </c>
      <c r="I504" s="11">
        <f t="shared" si="62"/>
        <v>296.35984000000002</v>
      </c>
      <c r="J504" s="11">
        <f t="shared" si="61"/>
        <v>296.35984000000002</v>
      </c>
      <c r="K504" s="11">
        <f t="shared" si="63"/>
        <v>296.35984000000002</v>
      </c>
      <c r="L504" s="10">
        <v>0</v>
      </c>
      <c r="N504" s="118">
        <f t="shared" si="59"/>
        <v>0</v>
      </c>
      <c r="O504" s="118">
        <f t="shared" si="60"/>
        <v>296.35984000000002</v>
      </c>
    </row>
    <row r="505" spans="1:15" ht="13.5" customHeight="1" x14ac:dyDescent="0.25">
      <c r="A505" s="32" t="s">
        <v>2156</v>
      </c>
      <c r="B505" s="16" t="s">
        <v>2024</v>
      </c>
      <c r="C505" s="19">
        <v>54</v>
      </c>
      <c r="D505" s="18" t="s">
        <v>2025</v>
      </c>
      <c r="E505" s="13">
        <v>20</v>
      </c>
      <c r="F505" s="25" t="s">
        <v>2024</v>
      </c>
      <c r="G505" s="25">
        <v>81897719002</v>
      </c>
      <c r="H505" s="11">
        <v>20.75656</v>
      </c>
      <c r="I505" s="11">
        <f t="shared" si="62"/>
        <v>415.13120000000004</v>
      </c>
      <c r="J505" s="11">
        <f t="shared" si="61"/>
        <v>20.75656</v>
      </c>
      <c r="K505" s="11">
        <f t="shared" si="63"/>
        <v>415.13120000000004</v>
      </c>
      <c r="L505" s="10">
        <v>0</v>
      </c>
      <c r="N505" s="118">
        <f t="shared" si="59"/>
        <v>0</v>
      </c>
      <c r="O505" s="118">
        <f t="shared" si="60"/>
        <v>20.75656</v>
      </c>
    </row>
    <row r="506" spans="1:15" ht="13.5" customHeight="1" x14ac:dyDescent="0.25">
      <c r="A506" s="35" t="s">
        <v>2155</v>
      </c>
      <c r="B506" s="48" t="s">
        <v>2153</v>
      </c>
      <c r="C506" s="19">
        <v>55</v>
      </c>
      <c r="D506" s="18" t="s">
        <v>2154</v>
      </c>
      <c r="E506" s="13">
        <v>1</v>
      </c>
      <c r="F506" s="25" t="s">
        <v>2153</v>
      </c>
      <c r="G506" s="25">
        <v>81897710011</v>
      </c>
      <c r="H506" s="11">
        <v>296.35984000000002</v>
      </c>
      <c r="I506" s="11">
        <f t="shared" si="62"/>
        <v>296.35984000000002</v>
      </c>
      <c r="J506" s="11">
        <f t="shared" si="61"/>
        <v>296.35984000000002</v>
      </c>
      <c r="K506" s="11">
        <f t="shared" si="63"/>
        <v>296.35984000000002</v>
      </c>
      <c r="L506" s="10">
        <v>0</v>
      </c>
      <c r="N506" s="118">
        <f t="shared" si="59"/>
        <v>0</v>
      </c>
      <c r="O506" s="118">
        <f t="shared" si="60"/>
        <v>296.35984000000002</v>
      </c>
    </row>
    <row r="507" spans="1:15" ht="13.5" customHeight="1" x14ac:dyDescent="0.25">
      <c r="A507" s="32" t="s">
        <v>2152</v>
      </c>
      <c r="B507" s="16" t="s">
        <v>2021</v>
      </c>
      <c r="C507" s="19">
        <v>56</v>
      </c>
      <c r="D507" s="18" t="s">
        <v>2022</v>
      </c>
      <c r="E507" s="13">
        <v>1</v>
      </c>
      <c r="F507" s="25" t="s">
        <v>2021</v>
      </c>
      <c r="G507" s="25">
        <v>81897719002</v>
      </c>
      <c r="H507" s="11">
        <v>9.6490400000000012</v>
      </c>
      <c r="I507" s="11">
        <f t="shared" si="62"/>
        <v>9.6490400000000012</v>
      </c>
      <c r="J507" s="11">
        <f t="shared" si="61"/>
        <v>9.6490400000000012</v>
      </c>
      <c r="K507" s="11">
        <f t="shared" si="63"/>
        <v>9.6490400000000012</v>
      </c>
      <c r="L507" s="10">
        <v>0</v>
      </c>
      <c r="N507" s="118">
        <f t="shared" si="59"/>
        <v>0</v>
      </c>
      <c r="O507" s="118">
        <f t="shared" si="60"/>
        <v>9.6490400000000012</v>
      </c>
    </row>
    <row r="508" spans="1:15" ht="13.5" customHeight="1" x14ac:dyDescent="0.25">
      <c r="A508" s="32" t="s">
        <v>2151</v>
      </c>
      <c r="B508" s="16" t="s">
        <v>2149</v>
      </c>
      <c r="C508" s="19">
        <v>57</v>
      </c>
      <c r="D508" s="32" t="s">
        <v>2150</v>
      </c>
      <c r="E508" s="13">
        <v>1</v>
      </c>
      <c r="F508" s="25" t="s">
        <v>2149</v>
      </c>
      <c r="G508" s="25">
        <v>81897710023</v>
      </c>
      <c r="H508" s="11">
        <v>10.35768</v>
      </c>
      <c r="I508" s="11">
        <f t="shared" si="62"/>
        <v>10.35768</v>
      </c>
      <c r="J508" s="11">
        <f t="shared" si="61"/>
        <v>10.35768</v>
      </c>
      <c r="K508" s="11">
        <f t="shared" si="63"/>
        <v>10.35768</v>
      </c>
      <c r="L508" s="10">
        <v>0</v>
      </c>
      <c r="N508" s="118">
        <f t="shared" si="59"/>
        <v>0</v>
      </c>
      <c r="O508" s="118">
        <f t="shared" si="60"/>
        <v>10.35768</v>
      </c>
    </row>
    <row r="509" spans="1:15" ht="13.5" customHeight="1" x14ac:dyDescent="0.25">
      <c r="A509" s="32" t="s">
        <v>2148</v>
      </c>
      <c r="B509" s="16" t="s">
        <v>152</v>
      </c>
      <c r="C509" s="19">
        <v>58</v>
      </c>
      <c r="D509" s="18" t="s">
        <v>153</v>
      </c>
      <c r="E509" s="13">
        <v>2</v>
      </c>
      <c r="F509" s="25" t="s">
        <v>152</v>
      </c>
      <c r="G509" s="25">
        <v>81897719002</v>
      </c>
      <c r="H509" s="11">
        <v>10.35768</v>
      </c>
      <c r="I509" s="11">
        <f t="shared" si="62"/>
        <v>20.71536</v>
      </c>
      <c r="J509" s="11">
        <f t="shared" si="61"/>
        <v>10.35768</v>
      </c>
      <c r="K509" s="11">
        <f t="shared" si="63"/>
        <v>20.71536</v>
      </c>
      <c r="L509" s="10">
        <v>0</v>
      </c>
      <c r="N509" s="118">
        <f t="shared" si="59"/>
        <v>0</v>
      </c>
      <c r="O509" s="118">
        <f t="shared" si="60"/>
        <v>10.35768</v>
      </c>
    </row>
    <row r="510" spans="1:15" ht="13.5" customHeight="1" x14ac:dyDescent="0.25">
      <c r="A510" s="32" t="s">
        <v>2147</v>
      </c>
      <c r="B510" s="16" t="s">
        <v>146</v>
      </c>
      <c r="C510" s="19">
        <v>59</v>
      </c>
      <c r="D510" s="18" t="s">
        <v>147</v>
      </c>
      <c r="E510" s="13">
        <v>2</v>
      </c>
      <c r="F510" s="25" t="s">
        <v>146</v>
      </c>
      <c r="G510" s="25">
        <v>81897719002</v>
      </c>
      <c r="H510" s="11">
        <v>11.11576</v>
      </c>
      <c r="I510" s="11">
        <f t="shared" si="62"/>
        <v>22.23152</v>
      </c>
      <c r="J510" s="11">
        <f t="shared" si="61"/>
        <v>11.11576</v>
      </c>
      <c r="K510" s="11">
        <f t="shared" si="63"/>
        <v>22.23152</v>
      </c>
      <c r="L510" s="10">
        <v>0</v>
      </c>
      <c r="N510" s="118">
        <f t="shared" si="59"/>
        <v>0</v>
      </c>
      <c r="O510" s="118">
        <f t="shared" si="60"/>
        <v>11.11576</v>
      </c>
    </row>
    <row r="511" spans="1:15" ht="13.5" customHeight="1" x14ac:dyDescent="0.25">
      <c r="A511" s="32" t="s">
        <v>2146</v>
      </c>
      <c r="B511" s="16" t="s">
        <v>2013</v>
      </c>
      <c r="C511" s="19">
        <v>60</v>
      </c>
      <c r="D511" s="18" t="s">
        <v>2014</v>
      </c>
      <c r="E511" s="13">
        <v>3</v>
      </c>
      <c r="F511" s="25" t="s">
        <v>2013</v>
      </c>
      <c r="G511" s="25">
        <v>81897719002</v>
      </c>
      <c r="H511" s="11">
        <v>22.223279999999999</v>
      </c>
      <c r="I511" s="11">
        <f t="shared" si="62"/>
        <v>66.669839999999994</v>
      </c>
      <c r="J511" s="11">
        <f t="shared" si="61"/>
        <v>22.223279999999999</v>
      </c>
      <c r="K511" s="11">
        <f t="shared" si="63"/>
        <v>66.669839999999994</v>
      </c>
      <c r="L511" s="10">
        <v>0</v>
      </c>
      <c r="N511" s="118">
        <f t="shared" si="59"/>
        <v>0</v>
      </c>
      <c r="O511" s="118">
        <f t="shared" si="60"/>
        <v>22.223279999999999</v>
      </c>
    </row>
    <row r="512" spans="1:15" ht="13.5" customHeight="1" x14ac:dyDescent="0.25">
      <c r="A512" s="32" t="s">
        <v>2145</v>
      </c>
      <c r="B512" s="16" t="s">
        <v>131</v>
      </c>
      <c r="C512" s="19">
        <v>61</v>
      </c>
      <c r="D512" s="18" t="s">
        <v>132</v>
      </c>
      <c r="E512" s="13">
        <v>10</v>
      </c>
      <c r="F512" s="25" t="s">
        <v>131</v>
      </c>
      <c r="G512" s="25">
        <v>81897719002</v>
      </c>
      <c r="H512" s="11">
        <v>17.78192</v>
      </c>
      <c r="I512" s="11">
        <f t="shared" si="62"/>
        <v>177.8192</v>
      </c>
      <c r="J512" s="11">
        <f t="shared" si="61"/>
        <v>17.78192</v>
      </c>
      <c r="K512" s="11">
        <f t="shared" si="63"/>
        <v>177.8192</v>
      </c>
      <c r="L512" s="10">
        <v>0</v>
      </c>
      <c r="N512" s="118">
        <f t="shared" si="59"/>
        <v>0</v>
      </c>
      <c r="O512" s="118">
        <f t="shared" si="60"/>
        <v>17.78192</v>
      </c>
    </row>
    <row r="513" spans="1:15" ht="13.5" customHeight="1" x14ac:dyDescent="0.25">
      <c r="A513" s="32" t="s">
        <v>2144</v>
      </c>
      <c r="B513" s="16" t="s">
        <v>110</v>
      </c>
      <c r="C513" s="19">
        <v>62</v>
      </c>
      <c r="D513" s="18" t="s">
        <v>111</v>
      </c>
      <c r="E513" s="13">
        <v>1</v>
      </c>
      <c r="F513" s="25" t="s">
        <v>110</v>
      </c>
      <c r="G513" s="25">
        <v>81897719002</v>
      </c>
      <c r="H513" s="11">
        <v>41.471919999999997</v>
      </c>
      <c r="I513" s="11">
        <f t="shared" si="62"/>
        <v>41.471919999999997</v>
      </c>
      <c r="J513" s="11">
        <f t="shared" si="61"/>
        <v>41.471919999999997</v>
      </c>
      <c r="K513" s="11">
        <f t="shared" si="63"/>
        <v>41.471919999999997</v>
      </c>
      <c r="L513" s="10">
        <v>0</v>
      </c>
      <c r="N513" s="118">
        <f t="shared" si="59"/>
        <v>0</v>
      </c>
      <c r="O513" s="118">
        <f t="shared" si="60"/>
        <v>41.471919999999997</v>
      </c>
    </row>
    <row r="514" spans="1:15" x14ac:dyDescent="0.25">
      <c r="A514" s="32" t="s">
        <v>2143</v>
      </c>
      <c r="B514" s="16" t="s">
        <v>2007</v>
      </c>
      <c r="C514" s="19">
        <v>63</v>
      </c>
      <c r="D514" s="18" t="s">
        <v>2008</v>
      </c>
      <c r="E514" s="13">
        <v>5</v>
      </c>
      <c r="F514" s="25" t="s">
        <v>2007</v>
      </c>
      <c r="G514" s="25">
        <v>81897719002</v>
      </c>
      <c r="H514" s="11">
        <v>20.006719999999998</v>
      </c>
      <c r="I514" s="11">
        <f t="shared" si="62"/>
        <v>100.03359999999999</v>
      </c>
      <c r="J514" s="11">
        <f t="shared" si="61"/>
        <v>20.006719999999998</v>
      </c>
      <c r="K514" s="11">
        <f t="shared" si="63"/>
        <v>100.03359999999999</v>
      </c>
      <c r="L514" s="10">
        <v>0</v>
      </c>
      <c r="N514" s="118">
        <f t="shared" si="59"/>
        <v>0</v>
      </c>
      <c r="O514" s="118">
        <f t="shared" si="60"/>
        <v>20.006719999999998</v>
      </c>
    </row>
    <row r="515" spans="1:15" x14ac:dyDescent="0.25">
      <c r="A515" s="32" t="s">
        <v>2142</v>
      </c>
      <c r="B515" s="16" t="s">
        <v>2140</v>
      </c>
      <c r="C515" s="19">
        <v>64</v>
      </c>
      <c r="D515" s="18" t="s">
        <v>2141</v>
      </c>
      <c r="E515" s="13">
        <v>1</v>
      </c>
      <c r="F515" s="25" t="s">
        <v>2140</v>
      </c>
      <c r="G515" s="25">
        <v>81897719002</v>
      </c>
      <c r="H515" s="11">
        <v>266.71232000000003</v>
      </c>
      <c r="I515" s="11">
        <f t="shared" si="62"/>
        <v>266.71232000000003</v>
      </c>
      <c r="J515" s="11">
        <f t="shared" si="61"/>
        <v>266.71232000000003</v>
      </c>
      <c r="K515" s="11">
        <f t="shared" si="63"/>
        <v>266.71232000000003</v>
      </c>
      <c r="L515" s="10">
        <v>0</v>
      </c>
      <c r="N515" s="118">
        <f t="shared" si="59"/>
        <v>0</v>
      </c>
      <c r="O515" s="118">
        <f t="shared" si="60"/>
        <v>266.71232000000003</v>
      </c>
    </row>
    <row r="516" spans="1:15" x14ac:dyDescent="0.25">
      <c r="A516" s="32" t="s">
        <v>2139</v>
      </c>
      <c r="B516" s="16" t="s">
        <v>208</v>
      </c>
      <c r="C516" s="19">
        <v>65</v>
      </c>
      <c r="D516" s="18" t="s">
        <v>209</v>
      </c>
      <c r="E516" s="13">
        <v>1</v>
      </c>
      <c r="F516" s="25" t="s">
        <v>208</v>
      </c>
      <c r="G516" s="25">
        <v>81897719002</v>
      </c>
      <c r="H516" s="11">
        <v>20.006719999999998</v>
      </c>
      <c r="I516" s="11">
        <f t="shared" ref="I516:I547" si="64">H516*E516</f>
        <v>20.006719999999998</v>
      </c>
      <c r="J516" s="11">
        <f t="shared" si="61"/>
        <v>20.006719999999998</v>
      </c>
      <c r="K516" s="11">
        <f t="shared" ref="K516:K547" si="65">J516*E516</f>
        <v>20.006719999999998</v>
      </c>
      <c r="L516" s="10">
        <v>0</v>
      </c>
      <c r="N516" s="118">
        <f t="shared" ref="N516:N579" si="66">H516*L516</f>
        <v>0</v>
      </c>
      <c r="O516" s="118">
        <f t="shared" ref="O516:O579" si="67">H516-N516</f>
        <v>20.006719999999998</v>
      </c>
    </row>
    <row r="517" spans="1:15" x14ac:dyDescent="0.25">
      <c r="A517" s="32" t="s">
        <v>2138</v>
      </c>
      <c r="B517" s="16" t="s">
        <v>457</v>
      </c>
      <c r="C517" s="19">
        <v>66</v>
      </c>
      <c r="D517" s="18" t="s">
        <v>458</v>
      </c>
      <c r="E517" s="13">
        <v>1</v>
      </c>
      <c r="F517" s="25" t="s">
        <v>457</v>
      </c>
      <c r="G517" s="25" t="s">
        <v>695</v>
      </c>
      <c r="H517" s="11">
        <v>85.20984</v>
      </c>
      <c r="I517" s="11">
        <f t="shared" si="64"/>
        <v>85.20984</v>
      </c>
      <c r="J517" s="11">
        <f t="shared" ref="J517:J541" si="68">O517</f>
        <v>85.20984</v>
      </c>
      <c r="K517" s="11">
        <f t="shared" si="65"/>
        <v>85.20984</v>
      </c>
      <c r="L517" s="10">
        <v>0</v>
      </c>
      <c r="N517" s="118">
        <f t="shared" si="66"/>
        <v>0</v>
      </c>
      <c r="O517" s="118">
        <f t="shared" si="67"/>
        <v>85.20984</v>
      </c>
    </row>
    <row r="518" spans="1:15" x14ac:dyDescent="0.25">
      <c r="A518" s="32" t="s">
        <v>2137</v>
      </c>
      <c r="B518" s="16" t="s">
        <v>840</v>
      </c>
      <c r="C518" s="19">
        <v>67</v>
      </c>
      <c r="D518" s="18" t="s">
        <v>841</v>
      </c>
      <c r="E518" s="13">
        <v>2</v>
      </c>
      <c r="F518" s="25" t="s">
        <v>840</v>
      </c>
      <c r="G518" s="25">
        <v>81897719002</v>
      </c>
      <c r="H518" s="11">
        <v>23.69</v>
      </c>
      <c r="I518" s="11">
        <f t="shared" si="64"/>
        <v>47.38</v>
      </c>
      <c r="J518" s="11">
        <f t="shared" si="68"/>
        <v>23.69</v>
      </c>
      <c r="K518" s="11">
        <f t="shared" si="65"/>
        <v>47.38</v>
      </c>
      <c r="L518" s="10">
        <v>0</v>
      </c>
      <c r="N518" s="118">
        <f t="shared" si="66"/>
        <v>0</v>
      </c>
      <c r="O518" s="118">
        <f t="shared" si="67"/>
        <v>23.69</v>
      </c>
    </row>
    <row r="519" spans="1:15" ht="15" customHeight="1" x14ac:dyDescent="0.25">
      <c r="A519" s="32" t="s">
        <v>2136</v>
      </c>
      <c r="B519" s="16" t="s">
        <v>107</v>
      </c>
      <c r="C519" s="19">
        <v>68</v>
      </c>
      <c r="D519" s="18" t="s">
        <v>108</v>
      </c>
      <c r="E519" s="13">
        <v>2</v>
      </c>
      <c r="F519" s="25" t="s">
        <v>107</v>
      </c>
      <c r="G519" s="25">
        <v>81897719002</v>
      </c>
      <c r="H519" s="11">
        <v>25.9148</v>
      </c>
      <c r="I519" s="11">
        <f t="shared" si="64"/>
        <v>51.829599999999999</v>
      </c>
      <c r="J519" s="11">
        <f t="shared" si="68"/>
        <v>25.9148</v>
      </c>
      <c r="K519" s="11">
        <f t="shared" si="65"/>
        <v>51.829599999999999</v>
      </c>
      <c r="L519" s="10">
        <v>0</v>
      </c>
      <c r="N519" s="118">
        <f t="shared" si="66"/>
        <v>0</v>
      </c>
      <c r="O519" s="118">
        <f t="shared" si="67"/>
        <v>25.9148</v>
      </c>
    </row>
    <row r="520" spans="1:15" ht="15" customHeight="1" x14ac:dyDescent="0.25">
      <c r="A520" s="32" t="s">
        <v>2135</v>
      </c>
      <c r="B520" s="16" t="s">
        <v>583</v>
      </c>
      <c r="C520" s="19">
        <v>69</v>
      </c>
      <c r="D520" s="18" t="s">
        <v>2134</v>
      </c>
      <c r="E520" s="13">
        <v>1</v>
      </c>
      <c r="F520" s="25" t="s">
        <v>583</v>
      </c>
      <c r="G520" s="25">
        <v>81897719002</v>
      </c>
      <c r="H520" s="11">
        <v>37.030560000000001</v>
      </c>
      <c r="I520" s="11">
        <f t="shared" si="64"/>
        <v>37.030560000000001</v>
      </c>
      <c r="J520" s="11">
        <f t="shared" si="68"/>
        <v>37.030560000000001</v>
      </c>
      <c r="K520" s="11">
        <f t="shared" si="65"/>
        <v>37.030560000000001</v>
      </c>
      <c r="L520" s="10">
        <v>0</v>
      </c>
      <c r="N520" s="118">
        <f t="shared" si="66"/>
        <v>0</v>
      </c>
      <c r="O520" s="118">
        <f t="shared" si="67"/>
        <v>37.030560000000001</v>
      </c>
    </row>
    <row r="521" spans="1:15" ht="15" customHeight="1" x14ac:dyDescent="0.25">
      <c r="A521" s="32" t="s">
        <v>2133</v>
      </c>
      <c r="B521" s="16" t="s">
        <v>2131</v>
      </c>
      <c r="C521" s="19">
        <v>70</v>
      </c>
      <c r="D521" s="18" t="s">
        <v>2132</v>
      </c>
      <c r="E521" s="13">
        <v>1</v>
      </c>
      <c r="F521" s="25" t="s">
        <v>2131</v>
      </c>
      <c r="G521" s="25">
        <v>81897719002</v>
      </c>
      <c r="H521" s="11">
        <v>37.030560000000001</v>
      </c>
      <c r="I521" s="11">
        <f t="shared" si="64"/>
        <v>37.030560000000001</v>
      </c>
      <c r="J521" s="11">
        <f t="shared" si="68"/>
        <v>37.030560000000001</v>
      </c>
      <c r="K521" s="11">
        <f t="shared" si="65"/>
        <v>37.030560000000001</v>
      </c>
      <c r="L521" s="10">
        <v>0</v>
      </c>
      <c r="N521" s="118">
        <f t="shared" si="66"/>
        <v>0</v>
      </c>
      <c r="O521" s="118">
        <f t="shared" si="67"/>
        <v>37.030560000000001</v>
      </c>
    </row>
    <row r="522" spans="1:15" ht="15" customHeight="1" x14ac:dyDescent="0.25">
      <c r="A522" s="32" t="s">
        <v>2130</v>
      </c>
      <c r="B522" s="46" t="s">
        <v>2128</v>
      </c>
      <c r="C522" s="19">
        <v>71</v>
      </c>
      <c r="D522" s="18" t="s">
        <v>2129</v>
      </c>
      <c r="E522" s="13">
        <v>1</v>
      </c>
      <c r="F522" s="25" t="s">
        <v>2128</v>
      </c>
      <c r="G522" s="25">
        <v>81897710011</v>
      </c>
      <c r="H522" s="11">
        <v>1204.5314399999997</v>
      </c>
      <c r="I522" s="11">
        <f t="shared" si="64"/>
        <v>1204.5314399999997</v>
      </c>
      <c r="J522" s="11">
        <f t="shared" si="68"/>
        <v>1204.5314399999997</v>
      </c>
      <c r="K522" s="11">
        <f t="shared" si="65"/>
        <v>1204.5314399999997</v>
      </c>
      <c r="L522" s="10">
        <v>0</v>
      </c>
      <c r="N522" s="118">
        <f t="shared" si="66"/>
        <v>0</v>
      </c>
      <c r="O522" s="118">
        <f t="shared" si="67"/>
        <v>1204.5314399999997</v>
      </c>
    </row>
    <row r="523" spans="1:15" ht="15" customHeight="1" x14ac:dyDescent="0.25">
      <c r="A523" s="32" t="s">
        <v>2127</v>
      </c>
      <c r="B523" s="46" t="s">
        <v>2125</v>
      </c>
      <c r="C523" s="19">
        <v>72</v>
      </c>
      <c r="D523" s="18" t="s">
        <v>2126</v>
      </c>
      <c r="E523" s="13">
        <v>1</v>
      </c>
      <c r="F523" s="25" t="s">
        <v>2125</v>
      </c>
      <c r="G523" s="25">
        <v>81897710011</v>
      </c>
      <c r="H523" s="11">
        <v>1204.5314399999997</v>
      </c>
      <c r="I523" s="11">
        <f t="shared" si="64"/>
        <v>1204.5314399999997</v>
      </c>
      <c r="J523" s="11">
        <f t="shared" si="68"/>
        <v>1204.5314399999997</v>
      </c>
      <c r="K523" s="11">
        <f t="shared" si="65"/>
        <v>1204.5314399999997</v>
      </c>
      <c r="L523" s="10">
        <v>0</v>
      </c>
      <c r="N523" s="118">
        <f t="shared" si="66"/>
        <v>0</v>
      </c>
      <c r="O523" s="118">
        <f t="shared" si="67"/>
        <v>1204.5314399999997</v>
      </c>
    </row>
    <row r="524" spans="1:15" ht="15" customHeight="1" x14ac:dyDescent="0.25">
      <c r="A524" s="32" t="s">
        <v>2124</v>
      </c>
      <c r="B524" s="47" t="s">
        <v>2122</v>
      </c>
      <c r="C524" s="19">
        <v>73</v>
      </c>
      <c r="D524" s="18" t="s">
        <v>2123</v>
      </c>
      <c r="E524" s="13">
        <v>1</v>
      </c>
      <c r="F524" s="25" t="s">
        <v>2122</v>
      </c>
      <c r="G524" s="25">
        <v>81897710011</v>
      </c>
      <c r="H524" s="11">
        <v>1204.5314399999997</v>
      </c>
      <c r="I524" s="11">
        <f t="shared" si="64"/>
        <v>1204.5314399999997</v>
      </c>
      <c r="J524" s="11">
        <f t="shared" si="68"/>
        <v>1204.5314399999997</v>
      </c>
      <c r="K524" s="11">
        <f t="shared" si="65"/>
        <v>1204.5314399999997</v>
      </c>
      <c r="L524" s="10">
        <v>0</v>
      </c>
      <c r="N524" s="118">
        <f t="shared" si="66"/>
        <v>0</v>
      </c>
      <c r="O524" s="118">
        <f t="shared" si="67"/>
        <v>1204.5314399999997</v>
      </c>
    </row>
    <row r="525" spans="1:15" ht="15" customHeight="1" x14ac:dyDescent="0.25">
      <c r="A525" s="32" t="s">
        <v>2121</v>
      </c>
      <c r="B525" s="16" t="s">
        <v>583</v>
      </c>
      <c r="C525" s="19">
        <v>74</v>
      </c>
      <c r="D525" s="18" t="s">
        <v>1997</v>
      </c>
      <c r="E525" s="13">
        <v>1</v>
      </c>
      <c r="F525" s="25" t="s">
        <v>583</v>
      </c>
      <c r="G525" s="25">
        <v>81897719002</v>
      </c>
      <c r="H525" s="11">
        <v>37.030560000000001</v>
      </c>
      <c r="I525" s="11">
        <f t="shared" si="64"/>
        <v>37.030560000000001</v>
      </c>
      <c r="J525" s="11">
        <f t="shared" si="68"/>
        <v>37.030560000000001</v>
      </c>
      <c r="K525" s="11">
        <f t="shared" si="65"/>
        <v>37.030560000000001</v>
      </c>
      <c r="L525" s="10">
        <v>0</v>
      </c>
      <c r="N525" s="118">
        <f t="shared" si="66"/>
        <v>0</v>
      </c>
      <c r="O525" s="118">
        <f t="shared" si="67"/>
        <v>37.030560000000001</v>
      </c>
    </row>
    <row r="526" spans="1:15" ht="15" customHeight="1" x14ac:dyDescent="0.25">
      <c r="A526" s="32" t="s">
        <v>2120</v>
      </c>
      <c r="B526" s="16" t="s">
        <v>1753</v>
      </c>
      <c r="C526" s="19">
        <v>75</v>
      </c>
      <c r="D526" s="18" t="s">
        <v>1754</v>
      </c>
      <c r="E526" s="13">
        <v>1</v>
      </c>
      <c r="F526" s="25" t="s">
        <v>1753</v>
      </c>
      <c r="G526" s="25">
        <v>81897719002</v>
      </c>
      <c r="H526" s="11">
        <v>17.600640000000002</v>
      </c>
      <c r="I526" s="11">
        <f t="shared" si="64"/>
        <v>17.600640000000002</v>
      </c>
      <c r="J526" s="11">
        <f t="shared" si="68"/>
        <v>17.600640000000002</v>
      </c>
      <c r="K526" s="11">
        <f t="shared" si="65"/>
        <v>17.600640000000002</v>
      </c>
      <c r="L526" s="10">
        <v>0</v>
      </c>
      <c r="N526" s="118">
        <f t="shared" si="66"/>
        <v>0</v>
      </c>
      <c r="O526" s="118">
        <f t="shared" si="67"/>
        <v>17.600640000000002</v>
      </c>
    </row>
    <row r="527" spans="1:15" ht="15" customHeight="1" x14ac:dyDescent="0.25">
      <c r="A527" s="32" t="s">
        <v>2119</v>
      </c>
      <c r="B527" s="16" t="s">
        <v>1753</v>
      </c>
      <c r="C527" s="19">
        <v>76</v>
      </c>
      <c r="D527" s="18" t="s">
        <v>1754</v>
      </c>
      <c r="E527" s="13">
        <v>1</v>
      </c>
      <c r="F527" s="25" t="s">
        <v>1753</v>
      </c>
      <c r="G527" s="25">
        <v>81897719002</v>
      </c>
      <c r="H527" s="11">
        <v>17.600640000000002</v>
      </c>
      <c r="I527" s="11">
        <f t="shared" si="64"/>
        <v>17.600640000000002</v>
      </c>
      <c r="J527" s="11">
        <f t="shared" si="68"/>
        <v>17.600640000000002</v>
      </c>
      <c r="K527" s="11">
        <f t="shared" si="65"/>
        <v>17.600640000000002</v>
      </c>
      <c r="L527" s="10">
        <v>0</v>
      </c>
      <c r="N527" s="118">
        <f t="shared" si="66"/>
        <v>0</v>
      </c>
      <c r="O527" s="118">
        <f t="shared" si="67"/>
        <v>17.600640000000002</v>
      </c>
    </row>
    <row r="528" spans="1:15" x14ac:dyDescent="0.25">
      <c r="A528" s="32" t="s">
        <v>2118</v>
      </c>
      <c r="B528" s="46" t="s">
        <v>2116</v>
      </c>
      <c r="C528" s="19">
        <v>77</v>
      </c>
      <c r="D528" s="18" t="s">
        <v>2117</v>
      </c>
      <c r="E528" s="13">
        <v>1</v>
      </c>
      <c r="F528" s="25" t="s">
        <v>2116</v>
      </c>
      <c r="G528" s="25">
        <v>81897710017</v>
      </c>
      <c r="H528" s="11">
        <v>56.064959999999999</v>
      </c>
      <c r="I528" s="11">
        <f t="shared" si="64"/>
        <v>56.064959999999999</v>
      </c>
      <c r="J528" s="11">
        <f t="shared" si="68"/>
        <v>56.064959999999999</v>
      </c>
      <c r="K528" s="11">
        <f t="shared" si="65"/>
        <v>56.064959999999999</v>
      </c>
      <c r="L528" s="10">
        <v>0</v>
      </c>
      <c r="N528" s="118">
        <f t="shared" si="66"/>
        <v>0</v>
      </c>
      <c r="O528" s="118">
        <f t="shared" si="67"/>
        <v>56.064959999999999</v>
      </c>
    </row>
    <row r="529" spans="1:15" x14ac:dyDescent="0.25">
      <c r="A529" s="32" t="s">
        <v>2115</v>
      </c>
      <c r="B529" s="16" t="s">
        <v>678</v>
      </c>
      <c r="C529" s="19">
        <v>78</v>
      </c>
      <c r="D529" s="18" t="s">
        <v>679</v>
      </c>
      <c r="E529" s="13">
        <v>1</v>
      </c>
      <c r="F529" s="25" t="s">
        <v>678</v>
      </c>
      <c r="G529" s="25">
        <v>81897719002</v>
      </c>
      <c r="H529" s="11">
        <v>20.402239999999999</v>
      </c>
      <c r="I529" s="11">
        <f t="shared" si="64"/>
        <v>20.402239999999999</v>
      </c>
      <c r="J529" s="11">
        <f t="shared" si="68"/>
        <v>20.402239999999999</v>
      </c>
      <c r="K529" s="11">
        <f t="shared" si="65"/>
        <v>20.402239999999999</v>
      </c>
      <c r="L529" s="10">
        <v>0</v>
      </c>
      <c r="N529" s="118">
        <f t="shared" si="66"/>
        <v>0</v>
      </c>
      <c r="O529" s="118">
        <f t="shared" si="67"/>
        <v>20.402239999999999</v>
      </c>
    </row>
    <row r="530" spans="1:15" x14ac:dyDescent="0.25">
      <c r="A530" s="32" t="s">
        <v>2114</v>
      </c>
      <c r="B530" s="16" t="s">
        <v>2112</v>
      </c>
      <c r="C530" s="19">
        <v>79</v>
      </c>
      <c r="D530" s="18" t="s">
        <v>2113</v>
      </c>
      <c r="E530" s="13">
        <v>1</v>
      </c>
      <c r="F530" s="25" t="s">
        <v>2112</v>
      </c>
      <c r="G530" s="25">
        <v>81897719003</v>
      </c>
      <c r="H530" s="11">
        <v>125.93192000000001</v>
      </c>
      <c r="I530" s="11">
        <f t="shared" si="64"/>
        <v>125.93192000000001</v>
      </c>
      <c r="J530" s="11">
        <f t="shared" si="68"/>
        <v>125.93192000000001</v>
      </c>
      <c r="K530" s="11">
        <f t="shared" si="65"/>
        <v>125.93192000000001</v>
      </c>
      <c r="L530" s="10">
        <v>0</v>
      </c>
      <c r="N530" s="118">
        <f t="shared" si="66"/>
        <v>0</v>
      </c>
      <c r="O530" s="118">
        <f t="shared" si="67"/>
        <v>125.93192000000001</v>
      </c>
    </row>
    <row r="531" spans="1:15" x14ac:dyDescent="0.25">
      <c r="A531" s="32" t="s">
        <v>2111</v>
      </c>
      <c r="B531" s="16" t="s">
        <v>183</v>
      </c>
      <c r="C531" s="19">
        <v>80</v>
      </c>
      <c r="D531" s="18" t="s">
        <v>184</v>
      </c>
      <c r="E531" s="13">
        <v>1</v>
      </c>
      <c r="F531" s="25" t="s">
        <v>183</v>
      </c>
      <c r="G531" s="25">
        <v>81897719002</v>
      </c>
      <c r="H531" s="11">
        <v>21.292159999999999</v>
      </c>
      <c r="I531" s="11">
        <f t="shared" si="64"/>
        <v>21.292159999999999</v>
      </c>
      <c r="J531" s="11">
        <f t="shared" si="68"/>
        <v>21.292159999999999</v>
      </c>
      <c r="K531" s="11">
        <f t="shared" si="65"/>
        <v>21.292159999999999</v>
      </c>
      <c r="L531" s="10">
        <v>0</v>
      </c>
      <c r="N531" s="118">
        <f t="shared" si="66"/>
        <v>0</v>
      </c>
      <c r="O531" s="118">
        <f t="shared" si="67"/>
        <v>21.292159999999999</v>
      </c>
    </row>
    <row r="532" spans="1:15" x14ac:dyDescent="0.25">
      <c r="A532" s="32" t="s">
        <v>2110</v>
      </c>
      <c r="B532" s="16" t="s">
        <v>89</v>
      </c>
      <c r="C532" s="19">
        <v>81</v>
      </c>
      <c r="D532" s="18" t="s">
        <v>90</v>
      </c>
      <c r="E532" s="13">
        <v>2</v>
      </c>
      <c r="F532" s="25" t="s">
        <v>89</v>
      </c>
      <c r="G532" s="25">
        <v>81897719002</v>
      </c>
      <c r="H532" s="11">
        <v>21.292159999999999</v>
      </c>
      <c r="I532" s="11">
        <f t="shared" si="64"/>
        <v>42.584319999999998</v>
      </c>
      <c r="J532" s="11">
        <f t="shared" si="68"/>
        <v>21.292159999999999</v>
      </c>
      <c r="K532" s="11">
        <f t="shared" si="65"/>
        <v>42.584319999999998</v>
      </c>
      <c r="L532" s="10">
        <v>0</v>
      </c>
      <c r="N532" s="118">
        <f t="shared" si="66"/>
        <v>0</v>
      </c>
      <c r="O532" s="118">
        <f t="shared" si="67"/>
        <v>21.292159999999999</v>
      </c>
    </row>
    <row r="533" spans="1:15" x14ac:dyDescent="0.25">
      <c r="A533" s="32" t="s">
        <v>2109</v>
      </c>
      <c r="B533" s="16" t="s">
        <v>1143</v>
      </c>
      <c r="C533" s="19">
        <v>82</v>
      </c>
      <c r="D533" s="18" t="s">
        <v>1144</v>
      </c>
      <c r="E533" s="13">
        <v>1</v>
      </c>
      <c r="F533" s="25" t="s">
        <v>1143</v>
      </c>
      <c r="G533" s="25">
        <v>81897719002</v>
      </c>
      <c r="H533" s="11">
        <v>20.402239999999999</v>
      </c>
      <c r="I533" s="11">
        <f t="shared" si="64"/>
        <v>20.402239999999999</v>
      </c>
      <c r="J533" s="11">
        <f t="shared" si="68"/>
        <v>20.402239999999999</v>
      </c>
      <c r="K533" s="11">
        <f t="shared" si="65"/>
        <v>20.402239999999999</v>
      </c>
      <c r="L533" s="10">
        <v>0</v>
      </c>
      <c r="N533" s="118">
        <f t="shared" si="66"/>
        <v>0</v>
      </c>
      <c r="O533" s="118">
        <f t="shared" si="67"/>
        <v>20.402239999999999</v>
      </c>
    </row>
    <row r="534" spans="1:15" x14ac:dyDescent="0.25">
      <c r="A534" s="32" t="s">
        <v>2108</v>
      </c>
      <c r="B534" s="16" t="s">
        <v>1990</v>
      </c>
      <c r="C534" s="19">
        <v>83</v>
      </c>
      <c r="D534" s="18" t="s">
        <v>2107</v>
      </c>
      <c r="E534" s="13">
        <v>1</v>
      </c>
      <c r="F534" s="25" t="s">
        <v>1990</v>
      </c>
      <c r="G534" s="25">
        <v>81897710034</v>
      </c>
      <c r="H534" s="11">
        <v>26.672879999999996</v>
      </c>
      <c r="I534" s="11">
        <f t="shared" si="64"/>
        <v>26.672879999999996</v>
      </c>
      <c r="J534" s="11">
        <f t="shared" si="68"/>
        <v>26.672879999999996</v>
      </c>
      <c r="K534" s="11">
        <f t="shared" si="65"/>
        <v>26.672879999999996</v>
      </c>
      <c r="L534" s="10">
        <v>0</v>
      </c>
      <c r="N534" s="118">
        <f t="shared" si="66"/>
        <v>0</v>
      </c>
      <c r="O534" s="118">
        <f t="shared" si="67"/>
        <v>26.672879999999996</v>
      </c>
    </row>
    <row r="535" spans="1:15" x14ac:dyDescent="0.25">
      <c r="A535" s="32" t="s">
        <v>2106</v>
      </c>
      <c r="B535" s="16" t="s">
        <v>1528</v>
      </c>
      <c r="C535" s="19">
        <v>84</v>
      </c>
      <c r="D535" s="18" t="s">
        <v>1532</v>
      </c>
      <c r="E535" s="13">
        <v>1</v>
      </c>
      <c r="F535" s="25" t="s">
        <v>1528</v>
      </c>
      <c r="G535" s="25">
        <v>81897710034</v>
      </c>
      <c r="H535" s="11">
        <v>26.672879999999996</v>
      </c>
      <c r="I535" s="11">
        <f t="shared" si="64"/>
        <v>26.672879999999996</v>
      </c>
      <c r="J535" s="11">
        <f t="shared" si="68"/>
        <v>26.672879999999996</v>
      </c>
      <c r="K535" s="11">
        <f t="shared" si="65"/>
        <v>26.672879999999996</v>
      </c>
      <c r="L535" s="10">
        <v>0</v>
      </c>
      <c r="N535" s="118">
        <f t="shared" si="66"/>
        <v>0</v>
      </c>
      <c r="O535" s="118">
        <f t="shared" si="67"/>
        <v>26.672879999999996</v>
      </c>
    </row>
    <row r="536" spans="1:15" x14ac:dyDescent="0.25">
      <c r="A536" s="32" t="s">
        <v>2105</v>
      </c>
      <c r="B536" s="16" t="s">
        <v>1530</v>
      </c>
      <c r="C536" s="19">
        <v>85</v>
      </c>
      <c r="D536" s="18" t="s">
        <v>1529</v>
      </c>
      <c r="E536" s="13">
        <v>1</v>
      </c>
      <c r="F536" s="25" t="s">
        <v>1530</v>
      </c>
      <c r="G536" s="25">
        <v>81897710034</v>
      </c>
      <c r="H536" s="11">
        <v>26.672879999999996</v>
      </c>
      <c r="I536" s="11">
        <f t="shared" si="64"/>
        <v>26.672879999999996</v>
      </c>
      <c r="J536" s="11">
        <f t="shared" si="68"/>
        <v>26.672879999999996</v>
      </c>
      <c r="K536" s="11">
        <f t="shared" si="65"/>
        <v>26.672879999999996</v>
      </c>
      <c r="L536" s="10">
        <v>0</v>
      </c>
      <c r="N536" s="118">
        <f t="shared" si="66"/>
        <v>0</v>
      </c>
      <c r="O536" s="118">
        <f t="shared" si="67"/>
        <v>26.672879999999996</v>
      </c>
    </row>
    <row r="537" spans="1:15" ht="13.5" customHeight="1" x14ac:dyDescent="0.25">
      <c r="A537" s="32" t="s">
        <v>2104</v>
      </c>
      <c r="B537" s="16" t="s">
        <v>2102</v>
      </c>
      <c r="C537" s="19">
        <v>86</v>
      </c>
      <c r="D537" s="18" t="s">
        <v>2103</v>
      </c>
      <c r="E537" s="13">
        <v>1</v>
      </c>
      <c r="F537" s="25" t="s">
        <v>2102</v>
      </c>
      <c r="G537" s="25">
        <v>81897710012</v>
      </c>
      <c r="H537" s="11">
        <v>61.214960000000005</v>
      </c>
      <c r="I537" s="11">
        <f t="shared" si="64"/>
        <v>61.214960000000005</v>
      </c>
      <c r="J537" s="11">
        <f t="shared" si="68"/>
        <v>61.214960000000005</v>
      </c>
      <c r="K537" s="11">
        <f t="shared" si="65"/>
        <v>61.214960000000005</v>
      </c>
      <c r="L537" s="10">
        <v>0</v>
      </c>
      <c r="N537" s="118">
        <f t="shared" si="66"/>
        <v>0</v>
      </c>
      <c r="O537" s="118">
        <f t="shared" si="67"/>
        <v>61.214960000000005</v>
      </c>
    </row>
    <row r="538" spans="1:15" x14ac:dyDescent="0.25">
      <c r="A538" s="32" t="s">
        <v>2101</v>
      </c>
      <c r="C538" s="19">
        <v>87</v>
      </c>
      <c r="D538" s="18" t="s">
        <v>45</v>
      </c>
      <c r="E538" s="13">
        <v>1</v>
      </c>
      <c r="F538" s="25" t="s">
        <v>44</v>
      </c>
      <c r="G538" s="25" t="s">
        <v>427</v>
      </c>
      <c r="H538" s="11">
        <v>422.90976000000001</v>
      </c>
      <c r="I538" s="11">
        <f t="shared" si="64"/>
        <v>422.90976000000001</v>
      </c>
      <c r="J538" s="11">
        <f t="shared" si="68"/>
        <v>422.90976000000001</v>
      </c>
      <c r="K538" s="11">
        <f t="shared" si="65"/>
        <v>422.90976000000001</v>
      </c>
      <c r="L538" s="10">
        <v>0</v>
      </c>
      <c r="N538" s="118">
        <f t="shared" si="66"/>
        <v>0</v>
      </c>
      <c r="O538" s="118">
        <f t="shared" si="67"/>
        <v>422.90976000000001</v>
      </c>
    </row>
    <row r="539" spans="1:15" x14ac:dyDescent="0.25">
      <c r="A539" s="32" t="s">
        <v>2100</v>
      </c>
      <c r="B539" s="16" t="s">
        <v>48</v>
      </c>
      <c r="C539" s="19">
        <v>88</v>
      </c>
      <c r="D539" s="18" t="s">
        <v>49</v>
      </c>
      <c r="E539" s="13">
        <v>1</v>
      </c>
      <c r="F539" s="25" t="s">
        <v>48</v>
      </c>
      <c r="G539" s="25" t="s">
        <v>427</v>
      </c>
      <c r="H539" s="11">
        <v>602.25335999999993</v>
      </c>
      <c r="I539" s="11">
        <f t="shared" si="64"/>
        <v>602.25335999999993</v>
      </c>
      <c r="J539" s="11">
        <f t="shared" si="68"/>
        <v>602.25335999999993</v>
      </c>
      <c r="K539" s="11">
        <f t="shared" si="65"/>
        <v>602.25335999999993</v>
      </c>
      <c r="L539" s="10">
        <v>0</v>
      </c>
      <c r="N539" s="118">
        <f t="shared" si="66"/>
        <v>0</v>
      </c>
      <c r="O539" s="118">
        <f t="shared" si="67"/>
        <v>602.25335999999993</v>
      </c>
    </row>
    <row r="540" spans="1:15" x14ac:dyDescent="0.25">
      <c r="B540" s="16" t="s">
        <v>46</v>
      </c>
      <c r="C540" s="19">
        <v>89</v>
      </c>
      <c r="D540" s="18" t="s">
        <v>47</v>
      </c>
      <c r="E540" s="13">
        <v>2</v>
      </c>
      <c r="F540" s="25" t="s">
        <v>46</v>
      </c>
      <c r="G540" s="25" t="s">
        <v>427</v>
      </c>
      <c r="H540" s="11">
        <v>650.10303999999996</v>
      </c>
      <c r="I540" s="11">
        <f t="shared" si="64"/>
        <v>1300.2060799999999</v>
      </c>
      <c r="J540" s="11">
        <f t="shared" si="68"/>
        <v>650.10303999999996</v>
      </c>
      <c r="K540" s="11">
        <f t="shared" si="65"/>
        <v>1300.2060799999999</v>
      </c>
      <c r="L540" s="10">
        <v>0</v>
      </c>
      <c r="N540" s="118">
        <f t="shared" si="66"/>
        <v>0</v>
      </c>
      <c r="O540" s="118">
        <f t="shared" si="67"/>
        <v>650.10303999999996</v>
      </c>
    </row>
    <row r="541" spans="1:15" x14ac:dyDescent="0.25">
      <c r="B541" s="16" t="s">
        <v>42</v>
      </c>
      <c r="C541" s="19">
        <v>90</v>
      </c>
      <c r="D541" s="18" t="s">
        <v>1981</v>
      </c>
      <c r="E541" s="13">
        <v>4</v>
      </c>
      <c r="F541" s="25" t="s">
        <v>42</v>
      </c>
      <c r="G541" s="25" t="s">
        <v>427</v>
      </c>
      <c r="H541" s="11">
        <v>10.49776</v>
      </c>
      <c r="I541" s="11">
        <f t="shared" si="64"/>
        <v>41.991039999999998</v>
      </c>
      <c r="J541" s="11">
        <f t="shared" si="68"/>
        <v>10.49776</v>
      </c>
      <c r="K541" s="11">
        <f t="shared" si="65"/>
        <v>41.991039999999998</v>
      </c>
      <c r="L541" s="10">
        <v>0</v>
      </c>
      <c r="N541" s="118">
        <f t="shared" si="66"/>
        <v>0</v>
      </c>
      <c r="O541" s="118">
        <f t="shared" si="67"/>
        <v>10.49776</v>
      </c>
    </row>
    <row r="542" spans="1:15" x14ac:dyDescent="0.25">
      <c r="C542" s="9"/>
      <c r="D542" s="8" t="s">
        <v>1</v>
      </c>
      <c r="E542" s="8">
        <f>SUM(E452:E541)</f>
        <v>171</v>
      </c>
      <c r="F542" s="8"/>
      <c r="G542" s="8"/>
      <c r="H542" s="7"/>
      <c r="I542" s="7">
        <f>SUM(I452:I541)</f>
        <v>17031.560879999994</v>
      </c>
      <c r="J542" s="8"/>
      <c r="K542" s="7">
        <f>SUM(K452:K541)</f>
        <v>17031.560879999994</v>
      </c>
      <c r="L542" s="6"/>
      <c r="N542" s="118">
        <f t="shared" si="66"/>
        <v>0</v>
      </c>
      <c r="O542" s="118">
        <f t="shared" si="67"/>
        <v>0</v>
      </c>
    </row>
    <row r="543" spans="1:15" x14ac:dyDescent="0.25">
      <c r="D543" t="s">
        <v>0</v>
      </c>
      <c r="G543" s="2"/>
      <c r="K543" s="1"/>
      <c r="L543"/>
      <c r="N543" s="118">
        <f t="shared" si="66"/>
        <v>0</v>
      </c>
      <c r="O543" s="118">
        <f t="shared" si="67"/>
        <v>0</v>
      </c>
    </row>
    <row r="544" spans="1:15" x14ac:dyDescent="0.25">
      <c r="C544" s="37"/>
      <c r="D544" s="24" t="s">
        <v>2099</v>
      </c>
      <c r="G544" s="2"/>
      <c r="K544" s="1"/>
      <c r="L544"/>
      <c r="N544" s="118">
        <f t="shared" si="66"/>
        <v>0</v>
      </c>
      <c r="O544" s="118">
        <f t="shared" si="67"/>
        <v>0</v>
      </c>
    </row>
    <row r="545" spans="1:15" ht="30" x14ac:dyDescent="0.25">
      <c r="B545" s="5"/>
      <c r="C545" s="24" t="s">
        <v>28</v>
      </c>
      <c r="D545" s="24" t="s">
        <v>27</v>
      </c>
      <c r="E545" s="24" t="s">
        <v>26</v>
      </c>
      <c r="F545" s="24" t="s">
        <v>25</v>
      </c>
      <c r="G545" s="24" t="s">
        <v>24</v>
      </c>
      <c r="H545" s="116" t="s">
        <v>21</v>
      </c>
      <c r="I545" s="24" t="s">
        <v>23</v>
      </c>
      <c r="J545" s="24" t="s">
        <v>2928</v>
      </c>
      <c r="K545" s="24" t="s">
        <v>2927</v>
      </c>
      <c r="L545" s="23" t="s">
        <v>22</v>
      </c>
      <c r="N545" s="118" t="e">
        <f t="shared" si="66"/>
        <v>#VALUE!</v>
      </c>
      <c r="O545" s="118" t="e">
        <f t="shared" si="67"/>
        <v>#VALUE!</v>
      </c>
    </row>
    <row r="546" spans="1:15" s="5" customFormat="1" x14ac:dyDescent="0.25">
      <c r="A546" s="32" t="s">
        <v>773</v>
      </c>
      <c r="B546" t="s">
        <v>309</v>
      </c>
      <c r="C546" s="19">
        <v>1</v>
      </c>
      <c r="D546" s="18" t="s">
        <v>310</v>
      </c>
      <c r="E546" s="13">
        <v>2</v>
      </c>
      <c r="F546" s="25" t="s">
        <v>309</v>
      </c>
      <c r="G546" s="25">
        <v>81897719002</v>
      </c>
      <c r="H546" s="11">
        <v>18.54</v>
      </c>
      <c r="I546" s="11">
        <f t="shared" ref="I546:I577" si="69">H546*E546</f>
        <v>37.08</v>
      </c>
      <c r="J546" s="11">
        <f>O546</f>
        <v>18.54</v>
      </c>
      <c r="K546" s="11">
        <f t="shared" ref="K546:K577" si="70">J546*E546</f>
        <v>37.08</v>
      </c>
      <c r="L546" s="10">
        <v>0</v>
      </c>
      <c r="N546" s="118">
        <f t="shared" si="66"/>
        <v>0</v>
      </c>
      <c r="O546" s="118">
        <f t="shared" si="67"/>
        <v>18.54</v>
      </c>
    </row>
    <row r="547" spans="1:15" x14ac:dyDescent="0.25">
      <c r="A547" s="32" t="s">
        <v>2098</v>
      </c>
      <c r="B547" t="s">
        <v>2096</v>
      </c>
      <c r="C547" s="19">
        <v>2</v>
      </c>
      <c r="D547" s="18" t="s">
        <v>2097</v>
      </c>
      <c r="E547" s="13">
        <v>1</v>
      </c>
      <c r="F547" s="25" t="s">
        <v>2096</v>
      </c>
      <c r="G547" s="25">
        <v>81897719002</v>
      </c>
      <c r="H547" s="11">
        <v>122.24039999999999</v>
      </c>
      <c r="I547" s="11">
        <f t="shared" si="69"/>
        <v>122.24039999999999</v>
      </c>
      <c r="J547" s="11">
        <f t="shared" ref="J547:J598" si="71">O547</f>
        <v>122.24039999999999</v>
      </c>
      <c r="K547" s="11">
        <f t="shared" si="70"/>
        <v>122.24039999999999</v>
      </c>
      <c r="L547" s="10">
        <v>0</v>
      </c>
      <c r="N547" s="118">
        <f t="shared" si="66"/>
        <v>0</v>
      </c>
      <c r="O547" s="118">
        <f t="shared" si="67"/>
        <v>122.24039999999999</v>
      </c>
    </row>
    <row r="548" spans="1:15" x14ac:dyDescent="0.25">
      <c r="A548" s="32" t="s">
        <v>2095</v>
      </c>
      <c r="B548" t="s">
        <v>958</v>
      </c>
      <c r="C548" s="19">
        <v>3</v>
      </c>
      <c r="D548" s="18" t="s">
        <v>959</v>
      </c>
      <c r="E548" s="13">
        <v>2</v>
      </c>
      <c r="F548" s="25" t="s">
        <v>958</v>
      </c>
      <c r="G548" s="25">
        <v>81897719002</v>
      </c>
      <c r="H548" s="11">
        <v>133.35616000000002</v>
      </c>
      <c r="I548" s="11">
        <f t="shared" si="69"/>
        <v>266.71232000000003</v>
      </c>
      <c r="J548" s="11">
        <f t="shared" si="71"/>
        <v>133.35616000000002</v>
      </c>
      <c r="K548" s="11">
        <f t="shared" si="70"/>
        <v>266.71232000000003</v>
      </c>
      <c r="L548" s="10">
        <v>0</v>
      </c>
      <c r="N548" s="118">
        <f t="shared" si="66"/>
        <v>0</v>
      </c>
      <c r="O548" s="118">
        <f t="shared" si="67"/>
        <v>133.35616000000002</v>
      </c>
    </row>
    <row r="549" spans="1:15" x14ac:dyDescent="0.25">
      <c r="A549" s="32" t="s">
        <v>1386</v>
      </c>
      <c r="B549" t="s">
        <v>286</v>
      </c>
      <c r="C549" s="19">
        <v>4</v>
      </c>
      <c r="D549" s="18" t="s">
        <v>287</v>
      </c>
      <c r="E549" s="13">
        <v>1</v>
      </c>
      <c r="F549" s="25" t="s">
        <v>286</v>
      </c>
      <c r="G549" s="25">
        <v>81897719002</v>
      </c>
      <c r="H549" s="11">
        <v>11.11576</v>
      </c>
      <c r="I549" s="11">
        <f t="shared" si="69"/>
        <v>11.11576</v>
      </c>
      <c r="J549" s="11">
        <f t="shared" si="71"/>
        <v>11.11576</v>
      </c>
      <c r="K549" s="11">
        <f t="shared" si="70"/>
        <v>11.11576</v>
      </c>
      <c r="L549" s="10">
        <v>0</v>
      </c>
      <c r="N549" s="118">
        <f t="shared" si="66"/>
        <v>0</v>
      </c>
      <c r="O549" s="118">
        <f t="shared" si="67"/>
        <v>11.11576</v>
      </c>
    </row>
    <row r="550" spans="1:15" x14ac:dyDescent="0.25">
      <c r="A550" s="32" t="s">
        <v>2094</v>
      </c>
      <c r="B550" t="s">
        <v>1869</v>
      </c>
      <c r="C550" s="19">
        <v>5</v>
      </c>
      <c r="D550" s="18" t="s">
        <v>410</v>
      </c>
      <c r="E550" s="13">
        <v>1</v>
      </c>
      <c r="F550" s="25" t="s">
        <v>1869</v>
      </c>
      <c r="G550" s="25">
        <v>81897719002</v>
      </c>
      <c r="H550" s="11">
        <v>7.4242400000000002</v>
      </c>
      <c r="I550" s="11">
        <f t="shared" si="69"/>
        <v>7.4242400000000002</v>
      </c>
      <c r="J550" s="11">
        <f t="shared" si="71"/>
        <v>7.4242400000000002</v>
      </c>
      <c r="K550" s="11">
        <f t="shared" si="70"/>
        <v>7.4242400000000002</v>
      </c>
      <c r="L550" s="10">
        <v>0</v>
      </c>
      <c r="N550" s="118">
        <f t="shared" si="66"/>
        <v>0</v>
      </c>
      <c r="O550" s="118">
        <f t="shared" si="67"/>
        <v>7.4242400000000002</v>
      </c>
    </row>
    <row r="551" spans="1:15" x14ac:dyDescent="0.25">
      <c r="A551" s="35" t="s">
        <v>2093</v>
      </c>
      <c r="B551" t="s">
        <v>2091</v>
      </c>
      <c r="C551" s="19">
        <v>6</v>
      </c>
      <c r="D551" s="18" t="s">
        <v>2092</v>
      </c>
      <c r="E551" s="13">
        <v>1</v>
      </c>
      <c r="F551" s="25" t="s">
        <v>2091</v>
      </c>
      <c r="G551" s="25">
        <v>81897719002</v>
      </c>
      <c r="H551" s="11">
        <v>31.114239999999999</v>
      </c>
      <c r="I551" s="11">
        <f t="shared" si="69"/>
        <v>31.114239999999999</v>
      </c>
      <c r="J551" s="11">
        <f t="shared" si="71"/>
        <v>31.114239999999999</v>
      </c>
      <c r="K551" s="11">
        <f t="shared" si="70"/>
        <v>31.114239999999999</v>
      </c>
      <c r="L551" s="10">
        <v>0</v>
      </c>
      <c r="N551" s="118">
        <f t="shared" si="66"/>
        <v>0</v>
      </c>
      <c r="O551" s="118">
        <f t="shared" si="67"/>
        <v>31.114239999999999</v>
      </c>
    </row>
    <row r="552" spans="1:15" x14ac:dyDescent="0.25">
      <c r="A552" s="35" t="s">
        <v>2090</v>
      </c>
      <c r="B552" t="s">
        <v>2088</v>
      </c>
      <c r="C552" s="19">
        <v>7</v>
      </c>
      <c r="D552" s="18" t="s">
        <v>2089</v>
      </c>
      <c r="E552" s="13">
        <v>1</v>
      </c>
      <c r="F552" s="25" t="s">
        <v>2088</v>
      </c>
      <c r="G552" s="25">
        <v>81897719002</v>
      </c>
      <c r="H552" s="11">
        <v>31.114239999999999</v>
      </c>
      <c r="I552" s="11">
        <f t="shared" si="69"/>
        <v>31.114239999999999</v>
      </c>
      <c r="J552" s="11">
        <f t="shared" si="71"/>
        <v>31.114239999999999</v>
      </c>
      <c r="K552" s="11">
        <f t="shared" si="70"/>
        <v>31.114239999999999</v>
      </c>
      <c r="L552" s="10">
        <v>0</v>
      </c>
      <c r="N552" s="118">
        <f t="shared" si="66"/>
        <v>0</v>
      </c>
      <c r="O552" s="118">
        <f t="shared" si="67"/>
        <v>31.114239999999999</v>
      </c>
    </row>
    <row r="553" spans="1:15" x14ac:dyDescent="0.25">
      <c r="A553" s="35" t="s">
        <v>2087</v>
      </c>
      <c r="B553" t="s">
        <v>2085</v>
      </c>
      <c r="C553" s="19">
        <v>8</v>
      </c>
      <c r="D553" s="18" t="s">
        <v>2086</v>
      </c>
      <c r="E553" s="13">
        <v>1</v>
      </c>
      <c r="F553" s="25" t="s">
        <v>2085</v>
      </c>
      <c r="G553" s="25">
        <v>81897719002</v>
      </c>
      <c r="H553" s="11">
        <v>31.114239999999999</v>
      </c>
      <c r="I553" s="11">
        <f t="shared" si="69"/>
        <v>31.114239999999999</v>
      </c>
      <c r="J553" s="11">
        <f t="shared" si="71"/>
        <v>31.114239999999999</v>
      </c>
      <c r="K553" s="11">
        <f t="shared" si="70"/>
        <v>31.114239999999999</v>
      </c>
      <c r="L553" s="10">
        <v>0</v>
      </c>
      <c r="N553" s="118">
        <f t="shared" si="66"/>
        <v>0</v>
      </c>
      <c r="O553" s="118">
        <f t="shared" si="67"/>
        <v>31.114239999999999</v>
      </c>
    </row>
    <row r="554" spans="1:15" x14ac:dyDescent="0.25">
      <c r="A554" s="35" t="s">
        <v>2084</v>
      </c>
      <c r="B554" t="s">
        <v>1489</v>
      </c>
      <c r="C554" s="19">
        <v>9</v>
      </c>
      <c r="D554" s="18" t="s">
        <v>2083</v>
      </c>
      <c r="E554" s="13">
        <v>1</v>
      </c>
      <c r="F554" s="25" t="s">
        <v>1489</v>
      </c>
      <c r="G554" s="25">
        <v>81897719002</v>
      </c>
      <c r="H554" s="11">
        <v>31.114239999999999</v>
      </c>
      <c r="I554" s="11">
        <f t="shared" si="69"/>
        <v>31.114239999999999</v>
      </c>
      <c r="J554" s="11">
        <f t="shared" si="71"/>
        <v>31.114239999999999</v>
      </c>
      <c r="K554" s="11">
        <f t="shared" si="70"/>
        <v>31.114239999999999</v>
      </c>
      <c r="L554" s="10">
        <v>0</v>
      </c>
      <c r="N554" s="118">
        <f t="shared" si="66"/>
        <v>0</v>
      </c>
      <c r="O554" s="118">
        <f t="shared" si="67"/>
        <v>31.114239999999999</v>
      </c>
    </row>
    <row r="555" spans="1:15" x14ac:dyDescent="0.25">
      <c r="A555" s="32" t="s">
        <v>2082</v>
      </c>
      <c r="B555" t="s">
        <v>2080</v>
      </c>
      <c r="C555" s="19">
        <v>10</v>
      </c>
      <c r="D555" s="18" t="s">
        <v>2081</v>
      </c>
      <c r="E555" s="13">
        <v>1</v>
      </c>
      <c r="F555" s="25" t="s">
        <v>2080</v>
      </c>
      <c r="G555" s="25">
        <v>81897719002</v>
      </c>
      <c r="H555" s="11">
        <v>24.448080000000001</v>
      </c>
      <c r="I555" s="11">
        <f t="shared" si="69"/>
        <v>24.448080000000001</v>
      </c>
      <c r="J555" s="11">
        <f t="shared" si="71"/>
        <v>24.448080000000001</v>
      </c>
      <c r="K555" s="11">
        <f t="shared" si="70"/>
        <v>24.448080000000001</v>
      </c>
      <c r="L555" s="10">
        <v>0</v>
      </c>
      <c r="N555" s="118">
        <f t="shared" si="66"/>
        <v>0</v>
      </c>
      <c r="O555" s="118">
        <f t="shared" si="67"/>
        <v>24.448080000000001</v>
      </c>
    </row>
    <row r="556" spans="1:15" x14ac:dyDescent="0.25">
      <c r="A556" s="32" t="s">
        <v>2079</v>
      </c>
      <c r="B556" t="s">
        <v>2077</v>
      </c>
      <c r="C556" s="19">
        <v>11</v>
      </c>
      <c r="D556" s="18" t="s">
        <v>2078</v>
      </c>
      <c r="E556" s="13">
        <v>1</v>
      </c>
      <c r="F556" s="25" t="s">
        <v>2077</v>
      </c>
      <c r="G556" s="25">
        <v>81897719002</v>
      </c>
      <c r="H556" s="11">
        <v>29.64752</v>
      </c>
      <c r="I556" s="11">
        <f t="shared" si="69"/>
        <v>29.64752</v>
      </c>
      <c r="J556" s="11">
        <f t="shared" si="71"/>
        <v>29.64752</v>
      </c>
      <c r="K556" s="11">
        <f t="shared" si="70"/>
        <v>29.64752</v>
      </c>
      <c r="L556" s="10">
        <v>0</v>
      </c>
      <c r="N556" s="118">
        <f t="shared" si="66"/>
        <v>0</v>
      </c>
      <c r="O556" s="118">
        <f t="shared" si="67"/>
        <v>29.64752</v>
      </c>
    </row>
    <row r="557" spans="1:15" x14ac:dyDescent="0.25">
      <c r="A557" s="32" t="s">
        <v>2076</v>
      </c>
      <c r="B557" t="s">
        <v>2074</v>
      </c>
      <c r="C557" s="19">
        <v>12</v>
      </c>
      <c r="D557" s="18" t="s">
        <v>2075</v>
      </c>
      <c r="E557" s="13">
        <v>1</v>
      </c>
      <c r="F557" s="25" t="s">
        <v>2074</v>
      </c>
      <c r="G557" s="25">
        <v>81897719002</v>
      </c>
      <c r="H557" s="11">
        <v>26.672879999999996</v>
      </c>
      <c r="I557" s="11">
        <f t="shared" si="69"/>
        <v>26.672879999999996</v>
      </c>
      <c r="J557" s="11">
        <f t="shared" si="71"/>
        <v>26.672879999999996</v>
      </c>
      <c r="K557" s="11">
        <f t="shared" si="70"/>
        <v>26.672879999999996</v>
      </c>
      <c r="L557" s="10">
        <v>0</v>
      </c>
      <c r="N557" s="118">
        <f t="shared" si="66"/>
        <v>0</v>
      </c>
      <c r="O557" s="118">
        <f t="shared" si="67"/>
        <v>26.672879999999996</v>
      </c>
    </row>
    <row r="558" spans="1:15" x14ac:dyDescent="0.25">
      <c r="A558" s="35" t="s">
        <v>2073</v>
      </c>
      <c r="B558" t="s">
        <v>2071</v>
      </c>
      <c r="C558" s="19">
        <v>13</v>
      </c>
      <c r="D558" s="18" t="s">
        <v>2072</v>
      </c>
      <c r="E558" s="13">
        <v>1</v>
      </c>
      <c r="F558" s="25" t="s">
        <v>2071</v>
      </c>
      <c r="G558" s="25">
        <v>81897719002</v>
      </c>
      <c r="H558" s="11">
        <v>33.339040000000004</v>
      </c>
      <c r="I558" s="11">
        <f t="shared" si="69"/>
        <v>33.339040000000004</v>
      </c>
      <c r="J558" s="11">
        <f t="shared" si="71"/>
        <v>33.339040000000004</v>
      </c>
      <c r="K558" s="11">
        <f t="shared" si="70"/>
        <v>33.339040000000004</v>
      </c>
      <c r="L558" s="10">
        <v>0</v>
      </c>
      <c r="N558" s="118">
        <f t="shared" si="66"/>
        <v>0</v>
      </c>
      <c r="O558" s="118">
        <f t="shared" si="67"/>
        <v>33.339040000000004</v>
      </c>
    </row>
    <row r="559" spans="1:15" x14ac:dyDescent="0.25">
      <c r="A559" s="32" t="s">
        <v>2070</v>
      </c>
      <c r="B559" t="s">
        <v>2068</v>
      </c>
      <c r="C559" s="19">
        <v>14</v>
      </c>
      <c r="D559" s="18" t="s">
        <v>2069</v>
      </c>
      <c r="E559" s="13">
        <v>1</v>
      </c>
      <c r="F559" s="25" t="s">
        <v>2068</v>
      </c>
      <c r="G559" s="25">
        <v>81897719002</v>
      </c>
      <c r="H559" s="11">
        <v>29.64752</v>
      </c>
      <c r="I559" s="11">
        <f t="shared" si="69"/>
        <v>29.64752</v>
      </c>
      <c r="J559" s="11">
        <f t="shared" si="71"/>
        <v>29.64752</v>
      </c>
      <c r="K559" s="11">
        <f t="shared" si="70"/>
        <v>29.64752</v>
      </c>
      <c r="L559" s="10">
        <v>0</v>
      </c>
      <c r="N559" s="118">
        <f t="shared" si="66"/>
        <v>0</v>
      </c>
      <c r="O559" s="118">
        <f t="shared" si="67"/>
        <v>29.64752</v>
      </c>
    </row>
    <row r="560" spans="1:15" x14ac:dyDescent="0.25">
      <c r="A560" s="32" t="s">
        <v>2067</v>
      </c>
      <c r="B560" t="s">
        <v>2065</v>
      </c>
      <c r="C560" s="19">
        <v>15</v>
      </c>
      <c r="D560" s="18" t="s">
        <v>2066</v>
      </c>
      <c r="E560" s="13">
        <v>1</v>
      </c>
      <c r="F560" s="25" t="s">
        <v>2065</v>
      </c>
      <c r="G560" s="25">
        <v>81897719002</v>
      </c>
      <c r="H560" s="11">
        <v>11.11576</v>
      </c>
      <c r="I560" s="11">
        <f t="shared" si="69"/>
        <v>11.11576</v>
      </c>
      <c r="J560" s="11">
        <f t="shared" si="71"/>
        <v>11.11576</v>
      </c>
      <c r="K560" s="11">
        <f t="shared" si="70"/>
        <v>11.11576</v>
      </c>
      <c r="L560" s="10">
        <v>0</v>
      </c>
      <c r="N560" s="118">
        <f t="shared" si="66"/>
        <v>0</v>
      </c>
      <c r="O560" s="118">
        <f t="shared" si="67"/>
        <v>11.11576</v>
      </c>
    </row>
    <row r="561" spans="1:15" x14ac:dyDescent="0.25">
      <c r="A561" s="32" t="s">
        <v>2064</v>
      </c>
      <c r="B561" t="s">
        <v>1446</v>
      </c>
      <c r="C561" s="19">
        <v>16</v>
      </c>
      <c r="D561" s="18" t="s">
        <v>1447</v>
      </c>
      <c r="E561" s="13">
        <v>1</v>
      </c>
      <c r="F561" s="25" t="s">
        <v>1446</v>
      </c>
      <c r="G561" s="25">
        <v>81897710023</v>
      </c>
      <c r="H561" s="11">
        <v>12.582479999999999</v>
      </c>
      <c r="I561" s="11">
        <f t="shared" si="69"/>
        <v>12.582479999999999</v>
      </c>
      <c r="J561" s="11">
        <f t="shared" si="71"/>
        <v>12.582479999999999</v>
      </c>
      <c r="K561" s="11">
        <f t="shared" si="70"/>
        <v>12.582479999999999</v>
      </c>
      <c r="L561" s="10">
        <v>0</v>
      </c>
      <c r="N561" s="118">
        <f t="shared" si="66"/>
        <v>0</v>
      </c>
      <c r="O561" s="118">
        <f t="shared" si="67"/>
        <v>12.582479999999999</v>
      </c>
    </row>
    <row r="562" spans="1:15" x14ac:dyDescent="0.25">
      <c r="A562" s="32" t="s">
        <v>2063</v>
      </c>
      <c r="B562" t="s">
        <v>2061</v>
      </c>
      <c r="C562" s="19">
        <v>17</v>
      </c>
      <c r="D562" s="18" t="s">
        <v>2062</v>
      </c>
      <c r="E562" s="13">
        <v>1</v>
      </c>
      <c r="F562" s="25" t="s">
        <v>2061</v>
      </c>
      <c r="G562" s="25">
        <v>81897719002</v>
      </c>
      <c r="H562" s="11">
        <v>13.332319999999999</v>
      </c>
      <c r="I562" s="11">
        <f t="shared" si="69"/>
        <v>13.332319999999999</v>
      </c>
      <c r="J562" s="11">
        <f t="shared" si="71"/>
        <v>13.332319999999999</v>
      </c>
      <c r="K562" s="11">
        <f t="shared" si="70"/>
        <v>13.332319999999999</v>
      </c>
      <c r="L562" s="10">
        <v>0</v>
      </c>
      <c r="N562" s="118">
        <f t="shared" si="66"/>
        <v>0</v>
      </c>
      <c r="O562" s="118">
        <f t="shared" si="67"/>
        <v>13.332319999999999</v>
      </c>
    </row>
    <row r="563" spans="1:15" x14ac:dyDescent="0.25">
      <c r="A563" s="32" t="s">
        <v>2060</v>
      </c>
      <c r="B563" t="s">
        <v>2058</v>
      </c>
      <c r="C563" s="19">
        <v>18</v>
      </c>
      <c r="D563" s="18" t="s">
        <v>2059</v>
      </c>
      <c r="E563" s="13">
        <v>1</v>
      </c>
      <c r="F563" s="25" t="s">
        <v>2058</v>
      </c>
      <c r="G563" s="25">
        <v>81897719002</v>
      </c>
      <c r="H563" s="11">
        <v>13.332319999999999</v>
      </c>
      <c r="I563" s="11">
        <f t="shared" si="69"/>
        <v>13.332319999999999</v>
      </c>
      <c r="J563" s="11">
        <f t="shared" si="71"/>
        <v>13.332319999999999</v>
      </c>
      <c r="K563" s="11">
        <f t="shared" si="70"/>
        <v>13.332319999999999</v>
      </c>
      <c r="L563" s="10">
        <v>0</v>
      </c>
      <c r="N563" s="118">
        <f t="shared" si="66"/>
        <v>0</v>
      </c>
      <c r="O563" s="118">
        <f t="shared" si="67"/>
        <v>13.332319999999999</v>
      </c>
    </row>
    <row r="564" spans="1:15" x14ac:dyDescent="0.25">
      <c r="A564" s="32" t="s">
        <v>2057</v>
      </c>
      <c r="B564" t="s">
        <v>2055</v>
      </c>
      <c r="C564" s="19">
        <v>19</v>
      </c>
      <c r="D564" s="18" t="s">
        <v>2056</v>
      </c>
      <c r="E564" s="13">
        <v>1</v>
      </c>
      <c r="F564" s="25" t="s">
        <v>2055</v>
      </c>
      <c r="G564" s="25">
        <v>81897719002</v>
      </c>
      <c r="H564" s="11">
        <v>25.9148</v>
      </c>
      <c r="I564" s="11">
        <f t="shared" si="69"/>
        <v>25.9148</v>
      </c>
      <c r="J564" s="11">
        <f t="shared" si="71"/>
        <v>25.9148</v>
      </c>
      <c r="K564" s="11">
        <f t="shared" si="70"/>
        <v>25.9148</v>
      </c>
      <c r="L564" s="10">
        <v>0</v>
      </c>
      <c r="N564" s="118">
        <f t="shared" si="66"/>
        <v>0</v>
      </c>
      <c r="O564" s="118">
        <f t="shared" si="67"/>
        <v>25.9148</v>
      </c>
    </row>
    <row r="565" spans="1:15" x14ac:dyDescent="0.25">
      <c r="A565" s="32" t="s">
        <v>2054</v>
      </c>
      <c r="B565" t="s">
        <v>2052</v>
      </c>
      <c r="C565" s="19">
        <v>20</v>
      </c>
      <c r="D565" s="18" t="s">
        <v>2053</v>
      </c>
      <c r="E565" s="13">
        <v>1</v>
      </c>
      <c r="F565" s="25" t="s">
        <v>2052</v>
      </c>
      <c r="G565" s="25">
        <v>81897719002</v>
      </c>
      <c r="H565" s="11">
        <v>33.339040000000004</v>
      </c>
      <c r="I565" s="11">
        <f t="shared" si="69"/>
        <v>33.339040000000004</v>
      </c>
      <c r="J565" s="11">
        <f t="shared" si="71"/>
        <v>33.339040000000004</v>
      </c>
      <c r="K565" s="11">
        <f t="shared" si="70"/>
        <v>33.339040000000004</v>
      </c>
      <c r="L565" s="10">
        <v>0</v>
      </c>
      <c r="N565" s="118">
        <f t="shared" si="66"/>
        <v>0</v>
      </c>
      <c r="O565" s="118">
        <f t="shared" si="67"/>
        <v>33.339040000000004</v>
      </c>
    </row>
    <row r="566" spans="1:15" x14ac:dyDescent="0.25">
      <c r="A566" s="32" t="s">
        <v>2051</v>
      </c>
      <c r="B566" t="s">
        <v>2049</v>
      </c>
      <c r="C566" s="19">
        <v>21</v>
      </c>
      <c r="D566" s="18" t="s">
        <v>2050</v>
      </c>
      <c r="E566" s="13">
        <v>1</v>
      </c>
      <c r="F566" s="25" t="s">
        <v>2049</v>
      </c>
      <c r="G566" s="25">
        <v>81897719002</v>
      </c>
      <c r="H566" s="11">
        <v>20.75656</v>
      </c>
      <c r="I566" s="11">
        <f t="shared" si="69"/>
        <v>20.75656</v>
      </c>
      <c r="J566" s="11">
        <f t="shared" si="71"/>
        <v>20.75656</v>
      </c>
      <c r="K566" s="11">
        <f t="shared" si="70"/>
        <v>20.75656</v>
      </c>
      <c r="L566" s="10">
        <v>0</v>
      </c>
      <c r="N566" s="118">
        <f t="shared" si="66"/>
        <v>0</v>
      </c>
      <c r="O566" s="118">
        <f t="shared" si="67"/>
        <v>20.75656</v>
      </c>
    </row>
    <row r="567" spans="1:15" x14ac:dyDescent="0.25">
      <c r="A567" s="32" t="s">
        <v>2048</v>
      </c>
      <c r="B567" t="s">
        <v>2046</v>
      </c>
      <c r="C567" s="19">
        <v>22</v>
      </c>
      <c r="D567" s="18" t="s">
        <v>2047</v>
      </c>
      <c r="E567" s="13">
        <v>1</v>
      </c>
      <c r="F567" s="25" t="s">
        <v>2046</v>
      </c>
      <c r="G567" s="25">
        <v>81897719002</v>
      </c>
      <c r="H567" s="11">
        <v>222.25752000000003</v>
      </c>
      <c r="I567" s="11">
        <f t="shared" si="69"/>
        <v>222.25752000000003</v>
      </c>
      <c r="J567" s="11">
        <f t="shared" si="71"/>
        <v>222.25752000000003</v>
      </c>
      <c r="K567" s="11">
        <f t="shared" si="70"/>
        <v>222.25752000000003</v>
      </c>
      <c r="L567" s="10">
        <v>0</v>
      </c>
      <c r="N567" s="118">
        <f t="shared" si="66"/>
        <v>0</v>
      </c>
      <c r="O567" s="118">
        <f t="shared" si="67"/>
        <v>222.25752000000003</v>
      </c>
    </row>
    <row r="568" spans="1:15" x14ac:dyDescent="0.25">
      <c r="A568" s="32" t="s">
        <v>2045</v>
      </c>
      <c r="B568" t="s">
        <v>2043</v>
      </c>
      <c r="C568" s="19">
        <v>23</v>
      </c>
      <c r="D568" s="18" t="s">
        <v>2044</v>
      </c>
      <c r="E568" s="13">
        <v>1</v>
      </c>
      <c r="F568" s="25" t="s">
        <v>2043</v>
      </c>
      <c r="G568" s="25">
        <v>81897719002</v>
      </c>
      <c r="H568" s="11">
        <v>222.25752000000003</v>
      </c>
      <c r="I568" s="11">
        <f t="shared" si="69"/>
        <v>222.25752000000003</v>
      </c>
      <c r="J568" s="11">
        <f t="shared" si="71"/>
        <v>222.25752000000003</v>
      </c>
      <c r="K568" s="11">
        <f t="shared" si="70"/>
        <v>222.25752000000003</v>
      </c>
      <c r="L568" s="10">
        <v>0</v>
      </c>
      <c r="N568" s="118">
        <f t="shared" si="66"/>
        <v>0</v>
      </c>
      <c r="O568" s="118">
        <f t="shared" si="67"/>
        <v>222.25752000000003</v>
      </c>
    </row>
    <row r="569" spans="1:15" x14ac:dyDescent="0.25">
      <c r="A569" s="32" t="s">
        <v>2042</v>
      </c>
      <c r="B569" t="s">
        <v>2040</v>
      </c>
      <c r="C569" s="19">
        <v>24</v>
      </c>
      <c r="D569" s="18" t="s">
        <v>2041</v>
      </c>
      <c r="E569" s="13">
        <v>1</v>
      </c>
      <c r="F569" s="25" t="s">
        <v>2040</v>
      </c>
      <c r="G569" s="25">
        <v>81897719002</v>
      </c>
      <c r="H569" s="11">
        <v>244.48079999999999</v>
      </c>
      <c r="I569" s="11">
        <f t="shared" si="69"/>
        <v>244.48079999999999</v>
      </c>
      <c r="J569" s="11">
        <f t="shared" si="71"/>
        <v>244.48079999999999</v>
      </c>
      <c r="K569" s="11">
        <f t="shared" si="70"/>
        <v>244.48079999999999</v>
      </c>
      <c r="L569" s="10">
        <v>0</v>
      </c>
      <c r="N569" s="118">
        <f t="shared" si="66"/>
        <v>0</v>
      </c>
      <c r="O569" s="118">
        <f t="shared" si="67"/>
        <v>244.48079999999999</v>
      </c>
    </row>
    <row r="570" spans="1:15" x14ac:dyDescent="0.25">
      <c r="A570" s="32" t="s">
        <v>2039</v>
      </c>
      <c r="B570" t="s">
        <v>653</v>
      </c>
      <c r="C570" s="19">
        <v>25</v>
      </c>
      <c r="D570" s="18" t="s">
        <v>2038</v>
      </c>
      <c r="E570" s="13">
        <v>1</v>
      </c>
      <c r="F570" s="25" t="s">
        <v>653</v>
      </c>
      <c r="G570" s="25">
        <v>81897719002</v>
      </c>
      <c r="H570" s="11">
        <v>244.48079999999999</v>
      </c>
      <c r="I570" s="11">
        <f t="shared" si="69"/>
        <v>244.48079999999999</v>
      </c>
      <c r="J570" s="11">
        <f t="shared" si="71"/>
        <v>244.48079999999999</v>
      </c>
      <c r="K570" s="11">
        <f t="shared" si="70"/>
        <v>244.48079999999999</v>
      </c>
      <c r="L570" s="10">
        <v>0</v>
      </c>
      <c r="N570" s="118">
        <f t="shared" si="66"/>
        <v>0</v>
      </c>
      <c r="O570" s="118">
        <f t="shared" si="67"/>
        <v>244.48079999999999</v>
      </c>
    </row>
    <row r="571" spans="1:15" x14ac:dyDescent="0.25">
      <c r="A571" s="32" t="s">
        <v>2037</v>
      </c>
      <c r="B571" t="s">
        <v>2035</v>
      </c>
      <c r="C571" s="19">
        <v>26</v>
      </c>
      <c r="D571" s="18" t="s">
        <v>2036</v>
      </c>
      <c r="E571" s="13">
        <v>1</v>
      </c>
      <c r="F571" s="25" t="s">
        <v>2035</v>
      </c>
      <c r="G571" s="25">
        <v>81897710001</v>
      </c>
      <c r="H571" s="11">
        <v>258.48879999999997</v>
      </c>
      <c r="I571" s="11">
        <f t="shared" si="69"/>
        <v>258.48879999999997</v>
      </c>
      <c r="J571" s="11">
        <f t="shared" si="71"/>
        <v>258.48879999999997</v>
      </c>
      <c r="K571" s="11">
        <f t="shared" si="70"/>
        <v>258.48879999999997</v>
      </c>
      <c r="L571" s="10">
        <v>0</v>
      </c>
      <c r="N571" s="118">
        <f t="shared" si="66"/>
        <v>0</v>
      </c>
      <c r="O571" s="118">
        <f t="shared" si="67"/>
        <v>258.48879999999997</v>
      </c>
    </row>
    <row r="572" spans="1:15" x14ac:dyDescent="0.25">
      <c r="A572" s="32" t="s">
        <v>2034</v>
      </c>
      <c r="B572" t="s">
        <v>2004</v>
      </c>
      <c r="C572" s="19">
        <v>27</v>
      </c>
      <c r="D572" s="18" t="s">
        <v>2033</v>
      </c>
      <c r="E572" s="13">
        <v>1</v>
      </c>
      <c r="F572" s="18" t="s">
        <v>2004</v>
      </c>
      <c r="G572" s="25">
        <v>81897719002</v>
      </c>
      <c r="H572" s="11">
        <v>258.48879999999997</v>
      </c>
      <c r="I572" s="11">
        <f t="shared" si="69"/>
        <v>258.48879999999997</v>
      </c>
      <c r="J572" s="11">
        <f t="shared" si="71"/>
        <v>258.48879999999997</v>
      </c>
      <c r="K572" s="11">
        <f t="shared" si="70"/>
        <v>258.48879999999997</v>
      </c>
      <c r="L572" s="10">
        <v>0</v>
      </c>
      <c r="N572" s="118">
        <f t="shared" si="66"/>
        <v>0</v>
      </c>
      <c r="O572" s="118">
        <f t="shared" si="67"/>
        <v>258.48879999999997</v>
      </c>
    </row>
    <row r="573" spans="1:15" x14ac:dyDescent="0.25">
      <c r="A573" s="35" t="s">
        <v>2032</v>
      </c>
      <c r="B573" t="s">
        <v>2030</v>
      </c>
      <c r="C573" s="19">
        <v>28</v>
      </c>
      <c r="D573" s="18" t="s">
        <v>2031</v>
      </c>
      <c r="E573" s="13">
        <v>1</v>
      </c>
      <c r="F573" s="18" t="s">
        <v>2030</v>
      </c>
      <c r="G573" s="25">
        <v>81897710011</v>
      </c>
      <c r="H573" s="11">
        <v>296.35984000000002</v>
      </c>
      <c r="I573" s="11">
        <f t="shared" si="69"/>
        <v>296.35984000000002</v>
      </c>
      <c r="J573" s="11">
        <f t="shared" si="71"/>
        <v>296.35984000000002</v>
      </c>
      <c r="K573" s="11">
        <f t="shared" si="70"/>
        <v>296.35984000000002</v>
      </c>
      <c r="L573" s="10">
        <v>0</v>
      </c>
      <c r="N573" s="118">
        <f t="shared" si="66"/>
        <v>0</v>
      </c>
      <c r="O573" s="118">
        <f t="shared" si="67"/>
        <v>296.35984000000002</v>
      </c>
    </row>
    <row r="574" spans="1:15" x14ac:dyDescent="0.25">
      <c r="A574" s="35" t="s">
        <v>2029</v>
      </c>
      <c r="B574" t="s">
        <v>2027</v>
      </c>
      <c r="C574" s="19">
        <v>29</v>
      </c>
      <c r="D574" s="18" t="s">
        <v>2028</v>
      </c>
      <c r="E574" s="13">
        <v>1</v>
      </c>
      <c r="F574" s="18" t="s">
        <v>2027</v>
      </c>
      <c r="G574" s="25">
        <v>81897710011</v>
      </c>
      <c r="H574" s="11">
        <v>296.35984000000002</v>
      </c>
      <c r="I574" s="11">
        <f t="shared" si="69"/>
        <v>296.35984000000002</v>
      </c>
      <c r="J574" s="11">
        <f t="shared" si="71"/>
        <v>296.35984000000002</v>
      </c>
      <c r="K574" s="11">
        <f t="shared" si="70"/>
        <v>296.35984000000002</v>
      </c>
      <c r="L574" s="10">
        <v>0</v>
      </c>
      <c r="N574" s="118">
        <f t="shared" si="66"/>
        <v>0</v>
      </c>
      <c r="O574" s="118">
        <f t="shared" si="67"/>
        <v>296.35984000000002</v>
      </c>
    </row>
    <row r="575" spans="1:15" x14ac:dyDescent="0.25">
      <c r="A575" s="32" t="s">
        <v>2026</v>
      </c>
      <c r="B575" t="s">
        <v>2024</v>
      </c>
      <c r="C575" s="19">
        <v>30</v>
      </c>
      <c r="D575" s="18" t="s">
        <v>2025</v>
      </c>
      <c r="E575" s="13">
        <v>20</v>
      </c>
      <c r="F575" s="25" t="s">
        <v>2024</v>
      </c>
      <c r="G575" s="25">
        <v>81897719002</v>
      </c>
      <c r="H575" s="11">
        <v>20.75656</v>
      </c>
      <c r="I575" s="11">
        <f t="shared" si="69"/>
        <v>415.13120000000004</v>
      </c>
      <c r="J575" s="11">
        <f t="shared" si="71"/>
        <v>20.75656</v>
      </c>
      <c r="K575" s="11">
        <f t="shared" si="70"/>
        <v>415.13120000000004</v>
      </c>
      <c r="L575" s="10">
        <v>0</v>
      </c>
      <c r="N575" s="118">
        <f t="shared" si="66"/>
        <v>0</v>
      </c>
      <c r="O575" s="118">
        <f t="shared" si="67"/>
        <v>20.75656</v>
      </c>
    </row>
    <row r="576" spans="1:15" x14ac:dyDescent="0.25">
      <c r="A576" s="32" t="s">
        <v>2023</v>
      </c>
      <c r="B576" t="s">
        <v>2021</v>
      </c>
      <c r="C576" s="19">
        <v>31</v>
      </c>
      <c r="D576" s="18" t="s">
        <v>2022</v>
      </c>
      <c r="E576" s="13">
        <v>1</v>
      </c>
      <c r="F576" s="25" t="s">
        <v>2021</v>
      </c>
      <c r="G576" s="25">
        <v>81897719002</v>
      </c>
      <c r="H576" s="11">
        <v>9.6490400000000012</v>
      </c>
      <c r="I576" s="11">
        <f t="shared" si="69"/>
        <v>9.6490400000000012</v>
      </c>
      <c r="J576" s="11">
        <f t="shared" si="71"/>
        <v>9.6490400000000012</v>
      </c>
      <c r="K576" s="11">
        <f t="shared" si="70"/>
        <v>9.6490400000000012</v>
      </c>
      <c r="L576" s="10">
        <v>0</v>
      </c>
      <c r="N576" s="118">
        <f t="shared" si="66"/>
        <v>0</v>
      </c>
      <c r="O576" s="118">
        <f t="shared" si="67"/>
        <v>9.6490400000000012</v>
      </c>
    </row>
    <row r="577" spans="1:15" x14ac:dyDescent="0.25">
      <c r="A577" s="32" t="s">
        <v>2020</v>
      </c>
      <c r="B577" t="s">
        <v>2018</v>
      </c>
      <c r="C577" s="19">
        <v>32</v>
      </c>
      <c r="D577" s="18" t="s">
        <v>2019</v>
      </c>
      <c r="E577" s="13">
        <v>1</v>
      </c>
      <c r="F577" s="25" t="s">
        <v>2018</v>
      </c>
      <c r="G577" s="25">
        <v>81897719002</v>
      </c>
      <c r="H577" s="11">
        <v>10.35768</v>
      </c>
      <c r="I577" s="11">
        <f t="shared" si="69"/>
        <v>10.35768</v>
      </c>
      <c r="J577" s="11">
        <f t="shared" si="71"/>
        <v>10.35768</v>
      </c>
      <c r="K577" s="11">
        <f t="shared" si="70"/>
        <v>10.35768</v>
      </c>
      <c r="L577" s="10">
        <v>0</v>
      </c>
      <c r="N577" s="118">
        <f t="shared" si="66"/>
        <v>0</v>
      </c>
      <c r="O577" s="118">
        <f t="shared" si="67"/>
        <v>10.35768</v>
      </c>
    </row>
    <row r="578" spans="1:15" x14ac:dyDescent="0.25">
      <c r="A578" s="32" t="s">
        <v>2017</v>
      </c>
      <c r="B578" t="s">
        <v>152</v>
      </c>
      <c r="C578" s="19">
        <v>33</v>
      </c>
      <c r="D578" s="18" t="s">
        <v>153</v>
      </c>
      <c r="E578" s="13">
        <v>2</v>
      </c>
      <c r="F578" s="25" t="s">
        <v>152</v>
      </c>
      <c r="G578" s="25">
        <v>81897719002</v>
      </c>
      <c r="H578" s="11">
        <v>10.35768</v>
      </c>
      <c r="I578" s="11">
        <f t="shared" ref="I578:I609" si="72">H578*E578</f>
        <v>20.71536</v>
      </c>
      <c r="J578" s="11">
        <f t="shared" si="71"/>
        <v>10.35768</v>
      </c>
      <c r="K578" s="11">
        <f t="shared" ref="K578:K609" si="73">J578*E578</f>
        <v>20.71536</v>
      </c>
      <c r="L578" s="10">
        <v>0</v>
      </c>
      <c r="N578" s="118">
        <f t="shared" si="66"/>
        <v>0</v>
      </c>
      <c r="O578" s="118">
        <f t="shared" si="67"/>
        <v>10.35768</v>
      </c>
    </row>
    <row r="579" spans="1:15" x14ac:dyDescent="0.25">
      <c r="A579" s="32" t="s">
        <v>2016</v>
      </c>
      <c r="B579" t="s">
        <v>146</v>
      </c>
      <c r="C579" s="19">
        <v>34</v>
      </c>
      <c r="D579" s="18" t="s">
        <v>147</v>
      </c>
      <c r="E579" s="13">
        <v>2</v>
      </c>
      <c r="F579" s="25" t="s">
        <v>146</v>
      </c>
      <c r="G579" s="25">
        <v>81897719002</v>
      </c>
      <c r="H579" s="11">
        <v>11.11576</v>
      </c>
      <c r="I579" s="11">
        <f t="shared" si="72"/>
        <v>22.23152</v>
      </c>
      <c r="J579" s="11">
        <f t="shared" si="71"/>
        <v>11.11576</v>
      </c>
      <c r="K579" s="11">
        <f t="shared" si="73"/>
        <v>22.23152</v>
      </c>
      <c r="L579" s="10">
        <v>0</v>
      </c>
      <c r="N579" s="118">
        <f t="shared" si="66"/>
        <v>0</v>
      </c>
      <c r="O579" s="118">
        <f t="shared" si="67"/>
        <v>11.11576</v>
      </c>
    </row>
    <row r="580" spans="1:15" x14ac:dyDescent="0.25">
      <c r="A580" s="32" t="s">
        <v>2015</v>
      </c>
      <c r="B580" t="s">
        <v>2013</v>
      </c>
      <c r="C580" s="19">
        <v>35</v>
      </c>
      <c r="D580" s="18" t="s">
        <v>2014</v>
      </c>
      <c r="E580" s="13">
        <v>3</v>
      </c>
      <c r="F580" s="25" t="s">
        <v>2013</v>
      </c>
      <c r="G580" s="25">
        <v>81897719002</v>
      </c>
      <c r="H580" s="11">
        <v>22.223279999999999</v>
      </c>
      <c r="I580" s="11">
        <f t="shared" si="72"/>
        <v>66.669839999999994</v>
      </c>
      <c r="J580" s="11">
        <f t="shared" si="71"/>
        <v>22.223279999999999</v>
      </c>
      <c r="K580" s="11">
        <f t="shared" si="73"/>
        <v>66.669839999999994</v>
      </c>
      <c r="L580" s="10">
        <v>0</v>
      </c>
      <c r="N580" s="118">
        <f t="shared" ref="N580:N643" si="74">H580*L580</f>
        <v>0</v>
      </c>
      <c r="O580" s="118">
        <f t="shared" ref="O580:O643" si="75">H580-N580</f>
        <v>22.223279999999999</v>
      </c>
    </row>
    <row r="581" spans="1:15" x14ac:dyDescent="0.25">
      <c r="A581" s="32" t="s">
        <v>2012</v>
      </c>
      <c r="B581" t="s">
        <v>131</v>
      </c>
      <c r="C581" s="19">
        <v>36</v>
      </c>
      <c r="D581" s="18" t="s">
        <v>132</v>
      </c>
      <c r="E581" s="13">
        <v>10</v>
      </c>
      <c r="F581" s="25" t="s">
        <v>131</v>
      </c>
      <c r="G581" s="25">
        <v>81897719002</v>
      </c>
      <c r="H581" s="11">
        <v>17.78192</v>
      </c>
      <c r="I581" s="11">
        <f t="shared" si="72"/>
        <v>177.8192</v>
      </c>
      <c r="J581" s="11">
        <f t="shared" si="71"/>
        <v>17.78192</v>
      </c>
      <c r="K581" s="11">
        <f t="shared" si="73"/>
        <v>177.8192</v>
      </c>
      <c r="L581" s="10">
        <v>0</v>
      </c>
      <c r="N581" s="118">
        <f t="shared" si="74"/>
        <v>0</v>
      </c>
      <c r="O581" s="118">
        <f t="shared" si="75"/>
        <v>17.78192</v>
      </c>
    </row>
    <row r="582" spans="1:15" x14ac:dyDescent="0.25">
      <c r="A582" s="32" t="s">
        <v>2011</v>
      </c>
      <c r="B582" t="s">
        <v>259</v>
      </c>
      <c r="C582" s="19">
        <v>37</v>
      </c>
      <c r="D582" s="18" t="s">
        <v>260</v>
      </c>
      <c r="E582" s="13">
        <v>10</v>
      </c>
      <c r="F582" s="25" t="s">
        <v>259</v>
      </c>
      <c r="G582" s="25">
        <v>81897719002</v>
      </c>
      <c r="H582" s="11">
        <v>17.78192</v>
      </c>
      <c r="I582" s="11">
        <f t="shared" si="72"/>
        <v>177.8192</v>
      </c>
      <c r="J582" s="11">
        <f t="shared" si="71"/>
        <v>17.78192</v>
      </c>
      <c r="K582" s="11">
        <f t="shared" si="73"/>
        <v>177.8192</v>
      </c>
      <c r="L582" s="10">
        <v>0</v>
      </c>
      <c r="N582" s="118">
        <f t="shared" si="74"/>
        <v>0</v>
      </c>
      <c r="O582" s="118">
        <f t="shared" si="75"/>
        <v>17.78192</v>
      </c>
    </row>
    <row r="583" spans="1:15" x14ac:dyDescent="0.25">
      <c r="A583" s="32" t="s">
        <v>2010</v>
      </c>
      <c r="B583" t="s">
        <v>256</v>
      </c>
      <c r="C583" s="19">
        <v>38</v>
      </c>
      <c r="D583" s="18" t="s">
        <v>257</v>
      </c>
      <c r="E583" s="13">
        <v>10</v>
      </c>
      <c r="F583" s="25" t="s">
        <v>256</v>
      </c>
      <c r="G583" s="25">
        <v>81897719002</v>
      </c>
      <c r="H583" s="11">
        <v>18.54</v>
      </c>
      <c r="I583" s="11">
        <f t="shared" si="72"/>
        <v>185.39999999999998</v>
      </c>
      <c r="J583" s="11">
        <f t="shared" si="71"/>
        <v>18.54</v>
      </c>
      <c r="K583" s="11">
        <f t="shared" si="73"/>
        <v>185.39999999999998</v>
      </c>
      <c r="L583" s="10">
        <v>0</v>
      </c>
      <c r="N583" s="118">
        <f t="shared" si="74"/>
        <v>0</v>
      </c>
      <c r="O583" s="118">
        <f t="shared" si="75"/>
        <v>18.54</v>
      </c>
    </row>
    <row r="584" spans="1:15" x14ac:dyDescent="0.25">
      <c r="A584" s="32" t="s">
        <v>2009</v>
      </c>
      <c r="B584" t="s">
        <v>2007</v>
      </c>
      <c r="C584" s="19">
        <v>39</v>
      </c>
      <c r="D584" s="18" t="s">
        <v>2008</v>
      </c>
      <c r="E584" s="13">
        <v>5</v>
      </c>
      <c r="F584" s="25" t="s">
        <v>2007</v>
      </c>
      <c r="G584" s="25">
        <v>81897719002</v>
      </c>
      <c r="H584" s="11">
        <v>20.006719999999998</v>
      </c>
      <c r="I584" s="11">
        <f t="shared" si="72"/>
        <v>100.03359999999999</v>
      </c>
      <c r="J584" s="11">
        <f t="shared" si="71"/>
        <v>20.006719999999998</v>
      </c>
      <c r="K584" s="11">
        <f t="shared" si="73"/>
        <v>100.03359999999999</v>
      </c>
      <c r="L584" s="10">
        <v>0</v>
      </c>
      <c r="N584" s="118">
        <f t="shared" si="74"/>
        <v>0</v>
      </c>
      <c r="O584" s="118">
        <f t="shared" si="75"/>
        <v>20.006719999999998</v>
      </c>
    </row>
    <row r="585" spans="1:15" x14ac:dyDescent="0.25">
      <c r="A585" s="32" t="s">
        <v>2006</v>
      </c>
      <c r="B585" t="s">
        <v>2004</v>
      </c>
      <c r="C585" s="19">
        <v>40</v>
      </c>
      <c r="D585" s="18" t="s">
        <v>2005</v>
      </c>
      <c r="E585" s="13">
        <v>1</v>
      </c>
      <c r="F585" s="25" t="s">
        <v>2004</v>
      </c>
      <c r="G585" s="25">
        <v>81897719002</v>
      </c>
      <c r="H585" s="11">
        <v>266.71232000000003</v>
      </c>
      <c r="I585" s="11">
        <f t="shared" si="72"/>
        <v>266.71232000000003</v>
      </c>
      <c r="J585" s="11">
        <f t="shared" si="71"/>
        <v>266.71232000000003</v>
      </c>
      <c r="K585" s="11">
        <f t="shared" si="73"/>
        <v>266.71232000000003</v>
      </c>
      <c r="L585" s="10">
        <v>0</v>
      </c>
      <c r="N585" s="118">
        <f t="shared" si="74"/>
        <v>0</v>
      </c>
      <c r="O585" s="118">
        <f t="shared" si="75"/>
        <v>266.71232000000003</v>
      </c>
    </row>
    <row r="586" spans="1:15" x14ac:dyDescent="0.25">
      <c r="A586" s="32" t="s">
        <v>2003</v>
      </c>
      <c r="B586" t="s">
        <v>840</v>
      </c>
      <c r="C586" s="19">
        <v>41</v>
      </c>
      <c r="D586" s="18" t="s">
        <v>841</v>
      </c>
      <c r="E586" s="13">
        <v>2</v>
      </c>
      <c r="F586" s="25" t="s">
        <v>840</v>
      </c>
      <c r="G586" s="25">
        <v>81897719002</v>
      </c>
      <c r="H586" s="11">
        <v>23.69</v>
      </c>
      <c r="I586" s="11">
        <f t="shared" si="72"/>
        <v>47.38</v>
      </c>
      <c r="J586" s="11">
        <f t="shared" si="71"/>
        <v>23.69</v>
      </c>
      <c r="K586" s="11">
        <f t="shared" si="73"/>
        <v>47.38</v>
      </c>
      <c r="L586" s="10">
        <v>0</v>
      </c>
      <c r="N586" s="118">
        <f t="shared" si="74"/>
        <v>0</v>
      </c>
      <c r="O586" s="118">
        <f t="shared" si="75"/>
        <v>23.69</v>
      </c>
    </row>
    <row r="587" spans="1:15" x14ac:dyDescent="0.25">
      <c r="A587" s="32" t="s">
        <v>2002</v>
      </c>
      <c r="B587" t="s">
        <v>2000</v>
      </c>
      <c r="C587" s="19">
        <v>42</v>
      </c>
      <c r="D587" s="18" t="s">
        <v>2001</v>
      </c>
      <c r="E587" s="13">
        <v>1</v>
      </c>
      <c r="F587" s="25" t="s">
        <v>2000</v>
      </c>
      <c r="G587" s="25">
        <v>81897719003</v>
      </c>
      <c r="H587" s="11">
        <v>100.01712000000001</v>
      </c>
      <c r="I587" s="11">
        <f t="shared" si="72"/>
        <v>100.01712000000001</v>
      </c>
      <c r="J587" s="11">
        <f t="shared" si="71"/>
        <v>100.01712000000001</v>
      </c>
      <c r="K587" s="11">
        <f t="shared" si="73"/>
        <v>100.01712000000001</v>
      </c>
      <c r="L587" s="10">
        <v>0</v>
      </c>
      <c r="N587" s="118">
        <f t="shared" si="74"/>
        <v>0</v>
      </c>
      <c r="O587" s="118">
        <f t="shared" si="75"/>
        <v>100.01712000000001</v>
      </c>
    </row>
    <row r="588" spans="1:15" x14ac:dyDescent="0.25">
      <c r="A588" s="32" t="s">
        <v>1999</v>
      </c>
      <c r="B588" t="s">
        <v>1404</v>
      </c>
      <c r="C588" s="19">
        <v>43</v>
      </c>
      <c r="D588" s="18" t="s">
        <v>1405</v>
      </c>
      <c r="E588" s="13">
        <v>1</v>
      </c>
      <c r="F588" s="25" t="s">
        <v>1404</v>
      </c>
      <c r="G588" s="25">
        <v>81897719003</v>
      </c>
      <c r="H588" s="11">
        <v>122.24039999999999</v>
      </c>
      <c r="I588" s="11">
        <f t="shared" si="72"/>
        <v>122.24039999999999</v>
      </c>
      <c r="J588" s="11">
        <f t="shared" si="71"/>
        <v>122.24039999999999</v>
      </c>
      <c r="K588" s="11">
        <f t="shared" si="73"/>
        <v>122.24039999999999</v>
      </c>
      <c r="L588" s="10">
        <v>0</v>
      </c>
      <c r="N588" s="118">
        <f t="shared" si="74"/>
        <v>0</v>
      </c>
      <c r="O588" s="118">
        <f t="shared" si="75"/>
        <v>122.24039999999999</v>
      </c>
    </row>
    <row r="589" spans="1:15" x14ac:dyDescent="0.25">
      <c r="A589" s="32" t="s">
        <v>1998</v>
      </c>
      <c r="B589" t="s">
        <v>583</v>
      </c>
      <c r="C589" s="19">
        <v>44</v>
      </c>
      <c r="D589" s="18" t="s">
        <v>1997</v>
      </c>
      <c r="E589" s="13">
        <v>1</v>
      </c>
      <c r="F589" s="25" t="s">
        <v>583</v>
      </c>
      <c r="G589" s="25">
        <v>81897719002</v>
      </c>
      <c r="H589" s="11">
        <v>37.030560000000001</v>
      </c>
      <c r="I589" s="11">
        <f t="shared" si="72"/>
        <v>37.030560000000001</v>
      </c>
      <c r="J589" s="11">
        <f t="shared" si="71"/>
        <v>37.030560000000001</v>
      </c>
      <c r="K589" s="11">
        <f t="shared" si="73"/>
        <v>37.030560000000001</v>
      </c>
      <c r="L589" s="10">
        <v>0</v>
      </c>
      <c r="N589" s="118">
        <f t="shared" si="74"/>
        <v>0</v>
      </c>
      <c r="O589" s="118">
        <f t="shared" si="75"/>
        <v>37.030560000000001</v>
      </c>
    </row>
    <row r="590" spans="1:15" x14ac:dyDescent="0.25">
      <c r="A590" s="32" t="s">
        <v>1996</v>
      </c>
      <c r="B590" t="s">
        <v>1994</v>
      </c>
      <c r="C590" s="19">
        <v>45</v>
      </c>
      <c r="D590" s="18" t="s">
        <v>1995</v>
      </c>
      <c r="E590" s="13">
        <v>1</v>
      </c>
      <c r="F590" s="25" t="s">
        <v>1994</v>
      </c>
      <c r="G590" s="25">
        <v>81897719002</v>
      </c>
      <c r="H590" s="11">
        <v>24.09376</v>
      </c>
      <c r="I590" s="11">
        <f t="shared" si="72"/>
        <v>24.09376</v>
      </c>
      <c r="J590" s="11">
        <f t="shared" si="71"/>
        <v>24.09376</v>
      </c>
      <c r="K590" s="11">
        <f t="shared" si="73"/>
        <v>24.09376</v>
      </c>
      <c r="L590" s="10">
        <v>0</v>
      </c>
      <c r="N590" s="118">
        <f t="shared" si="74"/>
        <v>0</v>
      </c>
      <c r="O590" s="118">
        <f t="shared" si="75"/>
        <v>24.09376</v>
      </c>
    </row>
    <row r="591" spans="1:15" x14ac:dyDescent="0.25">
      <c r="A591" s="32" t="s">
        <v>1993</v>
      </c>
      <c r="B591" t="s">
        <v>89</v>
      </c>
      <c r="C591" s="19">
        <v>46</v>
      </c>
      <c r="D591" s="18" t="s">
        <v>90</v>
      </c>
      <c r="E591" s="13">
        <v>1</v>
      </c>
      <c r="F591" s="25" t="s">
        <v>89</v>
      </c>
      <c r="G591" s="25">
        <v>81897719002</v>
      </c>
      <c r="H591" s="11">
        <v>21.292159999999999</v>
      </c>
      <c r="I591" s="11">
        <f t="shared" si="72"/>
        <v>21.292159999999999</v>
      </c>
      <c r="J591" s="11">
        <f t="shared" si="71"/>
        <v>21.292159999999999</v>
      </c>
      <c r="K591" s="11">
        <f t="shared" si="73"/>
        <v>21.292159999999999</v>
      </c>
      <c r="L591" s="10">
        <v>0</v>
      </c>
      <c r="N591" s="118">
        <f t="shared" si="74"/>
        <v>0</v>
      </c>
      <c r="O591" s="118">
        <f t="shared" si="75"/>
        <v>21.292159999999999</v>
      </c>
    </row>
    <row r="592" spans="1:15" x14ac:dyDescent="0.25">
      <c r="A592" s="32" t="s">
        <v>1992</v>
      </c>
      <c r="B592" t="s">
        <v>1990</v>
      </c>
      <c r="C592" s="19">
        <v>47</v>
      </c>
      <c r="D592" s="18" t="s">
        <v>1991</v>
      </c>
      <c r="E592" s="13">
        <v>1</v>
      </c>
      <c r="F592" s="25" t="s">
        <v>1990</v>
      </c>
      <c r="G592" s="25">
        <v>81897710034</v>
      </c>
      <c r="H592" s="11">
        <v>26.672879999999996</v>
      </c>
      <c r="I592" s="11">
        <f t="shared" si="72"/>
        <v>26.672879999999996</v>
      </c>
      <c r="J592" s="11">
        <f t="shared" si="71"/>
        <v>26.672879999999996</v>
      </c>
      <c r="K592" s="11">
        <f t="shared" si="73"/>
        <v>26.672879999999996</v>
      </c>
      <c r="L592" s="10">
        <v>0</v>
      </c>
      <c r="N592" s="118">
        <f t="shared" si="74"/>
        <v>0</v>
      </c>
      <c r="O592" s="118">
        <f t="shared" si="75"/>
        <v>26.672879999999996</v>
      </c>
    </row>
    <row r="593" spans="1:15" x14ac:dyDescent="0.25">
      <c r="A593" s="32" t="s">
        <v>1989</v>
      </c>
      <c r="B593" t="s">
        <v>1528</v>
      </c>
      <c r="C593" s="19">
        <v>48</v>
      </c>
      <c r="D593" s="18" t="s">
        <v>1988</v>
      </c>
      <c r="E593" s="13">
        <v>1</v>
      </c>
      <c r="F593" s="25" t="s">
        <v>1528</v>
      </c>
      <c r="G593" s="25">
        <v>81897710034</v>
      </c>
      <c r="H593" s="11">
        <v>26.672879999999996</v>
      </c>
      <c r="I593" s="11">
        <f t="shared" si="72"/>
        <v>26.672879999999996</v>
      </c>
      <c r="J593" s="11">
        <f t="shared" si="71"/>
        <v>26.672879999999996</v>
      </c>
      <c r="K593" s="11">
        <f t="shared" si="73"/>
        <v>26.672879999999996</v>
      </c>
      <c r="L593" s="10">
        <v>0</v>
      </c>
      <c r="N593" s="118">
        <f t="shared" si="74"/>
        <v>0</v>
      </c>
      <c r="O593" s="118">
        <f t="shared" si="75"/>
        <v>26.672879999999996</v>
      </c>
    </row>
    <row r="594" spans="1:15" x14ac:dyDescent="0.25">
      <c r="A594" s="32" t="s">
        <v>1987</v>
      </c>
      <c r="B594" t="s">
        <v>1530</v>
      </c>
      <c r="C594" s="19">
        <v>49</v>
      </c>
      <c r="D594" s="18" t="s">
        <v>1986</v>
      </c>
      <c r="E594" s="13">
        <v>1</v>
      </c>
      <c r="F594" s="25" t="s">
        <v>1530</v>
      </c>
      <c r="G594" s="25">
        <v>81897710034</v>
      </c>
      <c r="H594" s="11">
        <v>26.672879999999996</v>
      </c>
      <c r="I594" s="11">
        <f t="shared" si="72"/>
        <v>26.672879999999996</v>
      </c>
      <c r="J594" s="11">
        <f t="shared" si="71"/>
        <v>26.672879999999996</v>
      </c>
      <c r="K594" s="11">
        <f t="shared" si="73"/>
        <v>26.672879999999996</v>
      </c>
      <c r="L594" s="10">
        <v>0</v>
      </c>
      <c r="N594" s="118">
        <f t="shared" si="74"/>
        <v>0</v>
      </c>
      <c r="O594" s="118">
        <f t="shared" si="75"/>
        <v>26.672879999999996</v>
      </c>
    </row>
    <row r="595" spans="1:15" x14ac:dyDescent="0.25">
      <c r="A595" s="32" t="s">
        <v>1985</v>
      </c>
      <c r="B595" t="s">
        <v>1983</v>
      </c>
      <c r="C595" s="19">
        <v>50</v>
      </c>
      <c r="D595" s="18" t="s">
        <v>1984</v>
      </c>
      <c r="E595" s="13">
        <v>1</v>
      </c>
      <c r="F595" s="25" t="s">
        <v>1983</v>
      </c>
      <c r="G595" s="25" t="s">
        <v>427</v>
      </c>
      <c r="H595" s="11">
        <v>479.64216000000005</v>
      </c>
      <c r="I595" s="11">
        <f t="shared" si="72"/>
        <v>479.64216000000005</v>
      </c>
      <c r="J595" s="11">
        <f t="shared" si="71"/>
        <v>479.64216000000005</v>
      </c>
      <c r="K595" s="11">
        <f t="shared" si="73"/>
        <v>479.64216000000005</v>
      </c>
      <c r="L595" s="10">
        <v>0</v>
      </c>
      <c r="N595" s="118">
        <f t="shared" si="74"/>
        <v>0</v>
      </c>
      <c r="O595" s="118">
        <f t="shared" si="75"/>
        <v>479.64216000000005</v>
      </c>
    </row>
    <row r="596" spans="1:15" x14ac:dyDescent="0.25">
      <c r="A596" s="32" t="s">
        <v>1982</v>
      </c>
      <c r="B596" t="s">
        <v>48</v>
      </c>
      <c r="C596" s="19">
        <v>51</v>
      </c>
      <c r="D596" s="18" t="s">
        <v>49</v>
      </c>
      <c r="E596" s="13">
        <v>1</v>
      </c>
      <c r="F596" s="25" t="s">
        <v>48</v>
      </c>
      <c r="G596" s="25" t="s">
        <v>427</v>
      </c>
      <c r="H596" s="11">
        <v>602.25335999999993</v>
      </c>
      <c r="I596" s="11">
        <f t="shared" si="72"/>
        <v>602.25335999999993</v>
      </c>
      <c r="J596" s="11">
        <f t="shared" si="71"/>
        <v>602.25335999999993</v>
      </c>
      <c r="K596" s="11">
        <f t="shared" si="73"/>
        <v>602.25335999999993</v>
      </c>
      <c r="L596" s="10">
        <v>0</v>
      </c>
      <c r="N596" s="118">
        <f t="shared" si="74"/>
        <v>0</v>
      </c>
      <c r="O596" s="118">
        <f t="shared" si="75"/>
        <v>602.25335999999993</v>
      </c>
    </row>
    <row r="597" spans="1:15" x14ac:dyDescent="0.25">
      <c r="B597" t="s">
        <v>46</v>
      </c>
      <c r="C597" s="19">
        <v>52</v>
      </c>
      <c r="D597" s="18" t="s">
        <v>47</v>
      </c>
      <c r="E597" s="13">
        <v>1</v>
      </c>
      <c r="F597" s="25" t="s">
        <v>46</v>
      </c>
      <c r="G597" s="25" t="s">
        <v>427</v>
      </c>
      <c r="H597" s="11">
        <v>650.10303999999996</v>
      </c>
      <c r="I597" s="11">
        <f t="shared" si="72"/>
        <v>650.10303999999996</v>
      </c>
      <c r="J597" s="11">
        <f t="shared" si="71"/>
        <v>650.10303999999996</v>
      </c>
      <c r="K597" s="11">
        <f t="shared" si="73"/>
        <v>650.10303999999996</v>
      </c>
      <c r="L597" s="10">
        <v>0</v>
      </c>
      <c r="N597" s="118">
        <f t="shared" si="74"/>
        <v>0</v>
      </c>
      <c r="O597" s="118">
        <f t="shared" si="75"/>
        <v>650.10303999999996</v>
      </c>
    </row>
    <row r="598" spans="1:15" x14ac:dyDescent="0.25">
      <c r="B598" t="s">
        <v>42</v>
      </c>
      <c r="C598" s="19">
        <v>53</v>
      </c>
      <c r="D598" s="18" t="s">
        <v>1981</v>
      </c>
      <c r="E598" s="13">
        <v>4</v>
      </c>
      <c r="F598" s="25" t="s">
        <v>42</v>
      </c>
      <c r="G598" s="25" t="s">
        <v>427</v>
      </c>
      <c r="H598" s="11">
        <v>10.49776</v>
      </c>
      <c r="I598" s="11">
        <f t="shared" si="72"/>
        <v>41.991039999999998</v>
      </c>
      <c r="J598" s="11">
        <f t="shared" si="71"/>
        <v>10.49776</v>
      </c>
      <c r="K598" s="11">
        <f t="shared" si="73"/>
        <v>41.991039999999998</v>
      </c>
      <c r="L598" s="10">
        <v>0</v>
      </c>
      <c r="N598" s="118">
        <f t="shared" si="74"/>
        <v>0</v>
      </c>
      <c r="O598" s="118">
        <f t="shared" si="75"/>
        <v>10.49776</v>
      </c>
    </row>
    <row r="599" spans="1:15" x14ac:dyDescent="0.25">
      <c r="C599" s="9"/>
      <c r="D599" s="8" t="s">
        <v>1</v>
      </c>
      <c r="E599" s="8">
        <f>SUM(E546:E598)</f>
        <v>113</v>
      </c>
      <c r="F599" s="8"/>
      <c r="G599" s="8"/>
      <c r="H599" s="7"/>
      <c r="I599" s="7">
        <f>SUM(I546:I598)</f>
        <v>6544.9331200000006</v>
      </c>
      <c r="J599" s="8"/>
      <c r="K599" s="7">
        <f>SUM(K546:K598)</f>
        <v>6544.9331200000006</v>
      </c>
      <c r="L599" s="6"/>
      <c r="N599" s="118">
        <f t="shared" si="74"/>
        <v>0</v>
      </c>
      <c r="O599" s="118">
        <f t="shared" si="75"/>
        <v>0</v>
      </c>
    </row>
    <row r="600" spans="1:15" x14ac:dyDescent="0.25">
      <c r="D600" t="s">
        <v>0</v>
      </c>
      <c r="N600" s="118">
        <f t="shared" si="74"/>
        <v>0</v>
      </c>
      <c r="O600" s="118">
        <f t="shared" si="75"/>
        <v>0</v>
      </c>
    </row>
    <row r="601" spans="1:15" x14ac:dyDescent="0.25">
      <c r="D601" s="24" t="s">
        <v>1980</v>
      </c>
      <c r="N601" s="118">
        <f t="shared" si="74"/>
        <v>0</v>
      </c>
      <c r="O601" s="118">
        <f t="shared" si="75"/>
        <v>0</v>
      </c>
    </row>
    <row r="602" spans="1:15" ht="30" x14ac:dyDescent="0.25">
      <c r="C602" s="24" t="s">
        <v>28</v>
      </c>
      <c r="D602" s="24" t="s">
        <v>27</v>
      </c>
      <c r="E602" s="24" t="s">
        <v>26</v>
      </c>
      <c r="F602" s="24" t="s">
        <v>25</v>
      </c>
      <c r="G602" s="24" t="s">
        <v>24</v>
      </c>
      <c r="H602" s="116" t="s">
        <v>21</v>
      </c>
      <c r="I602" s="24" t="s">
        <v>23</v>
      </c>
      <c r="J602" s="24" t="s">
        <v>2928</v>
      </c>
      <c r="K602" s="24" t="s">
        <v>2927</v>
      </c>
      <c r="L602" s="23" t="s">
        <v>22</v>
      </c>
      <c r="N602" s="118" t="e">
        <f t="shared" si="74"/>
        <v>#VALUE!</v>
      </c>
      <c r="O602" s="118" t="e">
        <f t="shared" si="75"/>
        <v>#VALUE!</v>
      </c>
    </row>
    <row r="603" spans="1:15" x14ac:dyDescent="0.25">
      <c r="A603" s="32" t="s">
        <v>1979</v>
      </c>
      <c r="B603" t="s">
        <v>309</v>
      </c>
      <c r="C603" s="19">
        <v>1</v>
      </c>
      <c r="D603" s="18" t="s">
        <v>310</v>
      </c>
      <c r="E603" s="13">
        <v>4</v>
      </c>
      <c r="F603" s="25" t="s">
        <v>309</v>
      </c>
      <c r="G603" s="25">
        <v>81897719002</v>
      </c>
      <c r="H603" s="11">
        <v>12.368239999999998</v>
      </c>
      <c r="I603" s="11">
        <f t="shared" ref="I603:I634" si="76">H603*E603</f>
        <v>49.472959999999993</v>
      </c>
      <c r="J603" s="11">
        <f>O603</f>
        <v>12.368239999999998</v>
      </c>
      <c r="K603" s="11">
        <f t="shared" ref="K603:K634" si="77">J603*E603</f>
        <v>49.472959999999993</v>
      </c>
      <c r="L603" s="10">
        <v>0</v>
      </c>
      <c r="N603" s="118">
        <f t="shared" si="74"/>
        <v>0</v>
      </c>
      <c r="O603" s="118">
        <f t="shared" si="75"/>
        <v>12.368239999999998</v>
      </c>
    </row>
    <row r="604" spans="1:15" x14ac:dyDescent="0.25">
      <c r="A604" s="32" t="s">
        <v>1978</v>
      </c>
      <c r="B604" t="s">
        <v>302</v>
      </c>
      <c r="C604" s="19">
        <v>2</v>
      </c>
      <c r="D604" s="18" t="s">
        <v>303</v>
      </c>
      <c r="E604" s="13">
        <v>1</v>
      </c>
      <c r="F604" s="25" t="s">
        <v>302</v>
      </c>
      <c r="G604" s="25">
        <v>81897719002</v>
      </c>
      <c r="H604" s="11">
        <v>35.596800000000002</v>
      </c>
      <c r="I604" s="11">
        <f t="shared" si="76"/>
        <v>35.596800000000002</v>
      </c>
      <c r="J604" s="11">
        <f t="shared" ref="J604:J651" si="78">O604</f>
        <v>35.596800000000002</v>
      </c>
      <c r="K604" s="11">
        <f t="shared" si="77"/>
        <v>35.596800000000002</v>
      </c>
      <c r="L604" s="10">
        <v>0</v>
      </c>
      <c r="N604" s="118">
        <f t="shared" si="74"/>
        <v>0</v>
      </c>
      <c r="O604" s="118">
        <f t="shared" si="75"/>
        <v>35.596800000000002</v>
      </c>
    </row>
    <row r="605" spans="1:15" x14ac:dyDescent="0.25">
      <c r="A605" s="32" t="s">
        <v>1977</v>
      </c>
      <c r="B605" t="s">
        <v>1127</v>
      </c>
      <c r="C605" s="19">
        <v>3</v>
      </c>
      <c r="D605" s="18" t="s">
        <v>1796</v>
      </c>
      <c r="E605" s="13">
        <v>1</v>
      </c>
      <c r="F605" s="25" t="s">
        <v>1127</v>
      </c>
      <c r="G605" s="25">
        <v>81897719002</v>
      </c>
      <c r="H605" s="11">
        <v>39.543760000000006</v>
      </c>
      <c r="I605" s="11">
        <f t="shared" si="76"/>
        <v>39.543760000000006</v>
      </c>
      <c r="J605" s="11">
        <f t="shared" si="78"/>
        <v>39.543760000000006</v>
      </c>
      <c r="K605" s="11">
        <f t="shared" si="77"/>
        <v>39.543760000000006</v>
      </c>
      <c r="L605" s="10">
        <v>0</v>
      </c>
      <c r="N605" s="118">
        <f t="shared" si="74"/>
        <v>0</v>
      </c>
      <c r="O605" s="118">
        <f t="shared" si="75"/>
        <v>39.543760000000006</v>
      </c>
    </row>
    <row r="606" spans="1:15" x14ac:dyDescent="0.25">
      <c r="A606" s="32" t="s">
        <v>1976</v>
      </c>
      <c r="B606" t="s">
        <v>1262</v>
      </c>
      <c r="C606" s="19">
        <v>4</v>
      </c>
      <c r="D606" s="18" t="s">
        <v>1604</v>
      </c>
      <c r="E606" s="13">
        <v>1</v>
      </c>
      <c r="F606" s="25" t="s">
        <v>1262</v>
      </c>
      <c r="G606" s="25">
        <v>81897719002</v>
      </c>
      <c r="H606" s="11">
        <v>35.596800000000002</v>
      </c>
      <c r="I606" s="11">
        <f t="shared" si="76"/>
        <v>35.596800000000002</v>
      </c>
      <c r="J606" s="11">
        <f t="shared" si="78"/>
        <v>35.596800000000002</v>
      </c>
      <c r="K606" s="11">
        <f t="shared" si="77"/>
        <v>35.596800000000002</v>
      </c>
      <c r="L606" s="10">
        <v>0</v>
      </c>
      <c r="N606" s="118">
        <f t="shared" si="74"/>
        <v>0</v>
      </c>
      <c r="O606" s="118">
        <f t="shared" si="75"/>
        <v>35.596800000000002</v>
      </c>
    </row>
    <row r="607" spans="1:15" x14ac:dyDescent="0.25">
      <c r="A607" s="32" t="s">
        <v>1975</v>
      </c>
      <c r="B607" t="s">
        <v>1973</v>
      </c>
      <c r="C607" s="19">
        <v>5</v>
      </c>
      <c r="D607" s="18" t="s">
        <v>1974</v>
      </c>
      <c r="E607" s="13">
        <v>2</v>
      </c>
      <c r="F607" s="25" t="s">
        <v>1973</v>
      </c>
      <c r="G607" s="25">
        <v>81897719002</v>
      </c>
      <c r="H607" s="11">
        <v>17.798400000000001</v>
      </c>
      <c r="I607" s="11">
        <f t="shared" si="76"/>
        <v>35.596800000000002</v>
      </c>
      <c r="J607" s="11">
        <f t="shared" si="78"/>
        <v>17.798400000000001</v>
      </c>
      <c r="K607" s="11">
        <f t="shared" si="77"/>
        <v>35.596800000000002</v>
      </c>
      <c r="L607" s="10">
        <v>0</v>
      </c>
      <c r="N607" s="118">
        <f t="shared" si="74"/>
        <v>0</v>
      </c>
      <c r="O607" s="118">
        <f t="shared" si="75"/>
        <v>17.798400000000001</v>
      </c>
    </row>
    <row r="608" spans="1:15" x14ac:dyDescent="0.25">
      <c r="A608" s="32" t="s">
        <v>1972</v>
      </c>
      <c r="B608" t="s">
        <v>286</v>
      </c>
      <c r="C608" s="19">
        <v>6</v>
      </c>
      <c r="D608" s="18" t="s">
        <v>287</v>
      </c>
      <c r="E608" s="13">
        <v>1</v>
      </c>
      <c r="F608" s="25" t="s">
        <v>286</v>
      </c>
      <c r="G608" s="25">
        <v>81897719002</v>
      </c>
      <c r="H608" s="11">
        <v>7.4160000000000004</v>
      </c>
      <c r="I608" s="11">
        <f t="shared" si="76"/>
        <v>7.4160000000000004</v>
      </c>
      <c r="J608" s="11">
        <f t="shared" si="78"/>
        <v>7.4160000000000004</v>
      </c>
      <c r="K608" s="11">
        <f t="shared" si="77"/>
        <v>7.4160000000000004</v>
      </c>
      <c r="L608" s="10">
        <v>0</v>
      </c>
      <c r="N608" s="118">
        <f t="shared" si="74"/>
        <v>0</v>
      </c>
      <c r="O608" s="118">
        <f t="shared" si="75"/>
        <v>7.4160000000000004</v>
      </c>
    </row>
    <row r="609" spans="1:15" x14ac:dyDescent="0.25">
      <c r="A609" s="35" t="s">
        <v>1971</v>
      </c>
      <c r="B609" t="s">
        <v>409</v>
      </c>
      <c r="C609" s="19">
        <v>7</v>
      </c>
      <c r="D609" s="18" t="s">
        <v>485</v>
      </c>
      <c r="E609" s="13">
        <v>1</v>
      </c>
      <c r="F609" t="s">
        <v>409</v>
      </c>
      <c r="G609" s="25">
        <v>81897710021</v>
      </c>
      <c r="H609" s="11">
        <v>4.9522399999999998</v>
      </c>
      <c r="I609" s="11">
        <f t="shared" si="76"/>
        <v>4.9522399999999998</v>
      </c>
      <c r="J609" s="11">
        <f t="shared" si="78"/>
        <v>4.9522399999999998</v>
      </c>
      <c r="K609" s="11">
        <f t="shared" si="77"/>
        <v>4.9522399999999998</v>
      </c>
      <c r="L609" s="10">
        <v>0</v>
      </c>
      <c r="N609" s="118">
        <f t="shared" si="74"/>
        <v>0</v>
      </c>
      <c r="O609" s="118">
        <f t="shared" si="75"/>
        <v>4.9522399999999998</v>
      </c>
    </row>
    <row r="610" spans="1:15" x14ac:dyDescent="0.25">
      <c r="A610" s="32" t="s">
        <v>1970</v>
      </c>
      <c r="B610" t="s">
        <v>1968</v>
      </c>
      <c r="C610" s="19">
        <v>8</v>
      </c>
      <c r="D610" s="18" t="s">
        <v>1969</v>
      </c>
      <c r="E610" s="13">
        <v>1</v>
      </c>
      <c r="F610" s="25" t="s">
        <v>1968</v>
      </c>
      <c r="G610" s="25">
        <v>81897719002</v>
      </c>
      <c r="H610" s="11">
        <v>12.846159999999999</v>
      </c>
      <c r="I610" s="11">
        <f t="shared" si="76"/>
        <v>12.846159999999999</v>
      </c>
      <c r="J610" s="11">
        <f t="shared" si="78"/>
        <v>12.846159999999999</v>
      </c>
      <c r="K610" s="11">
        <f t="shared" si="77"/>
        <v>12.846159999999999</v>
      </c>
      <c r="L610" s="10">
        <v>0</v>
      </c>
      <c r="N610" s="118">
        <f t="shared" si="74"/>
        <v>0</v>
      </c>
      <c r="O610" s="118">
        <f t="shared" si="75"/>
        <v>12.846159999999999</v>
      </c>
    </row>
    <row r="611" spans="1:15" x14ac:dyDescent="0.25">
      <c r="A611" s="32" t="s">
        <v>1967</v>
      </c>
      <c r="B611" t="s">
        <v>1965</v>
      </c>
      <c r="C611" s="19">
        <v>9</v>
      </c>
      <c r="D611" s="18" t="s">
        <v>1966</v>
      </c>
      <c r="E611" s="13">
        <v>1</v>
      </c>
      <c r="F611" s="25" t="s">
        <v>1965</v>
      </c>
      <c r="G611" s="25">
        <v>81897719002</v>
      </c>
      <c r="H611" s="11">
        <v>12.846159999999999</v>
      </c>
      <c r="I611" s="11">
        <f t="shared" si="76"/>
        <v>12.846159999999999</v>
      </c>
      <c r="J611" s="11">
        <f t="shared" si="78"/>
        <v>12.846159999999999</v>
      </c>
      <c r="K611" s="11">
        <f t="shared" si="77"/>
        <v>12.846159999999999</v>
      </c>
      <c r="L611" s="10">
        <v>0</v>
      </c>
      <c r="N611" s="118">
        <f t="shared" si="74"/>
        <v>0</v>
      </c>
      <c r="O611" s="118">
        <f t="shared" si="75"/>
        <v>12.846159999999999</v>
      </c>
    </row>
    <row r="612" spans="1:15" x14ac:dyDescent="0.25">
      <c r="A612" s="32" t="s">
        <v>1964</v>
      </c>
      <c r="B612" t="s">
        <v>1174</v>
      </c>
      <c r="C612" s="19">
        <v>10</v>
      </c>
      <c r="D612" s="18" t="s">
        <v>1175</v>
      </c>
      <c r="E612" s="13">
        <v>1</v>
      </c>
      <c r="F612" s="25" t="s">
        <v>1174</v>
      </c>
      <c r="G612" s="25">
        <v>81897719002</v>
      </c>
      <c r="H612" s="11">
        <v>8.8992000000000004</v>
      </c>
      <c r="I612" s="11">
        <f t="shared" si="76"/>
        <v>8.8992000000000004</v>
      </c>
      <c r="J612" s="11">
        <f t="shared" si="78"/>
        <v>8.8992000000000004</v>
      </c>
      <c r="K612" s="11">
        <f t="shared" si="77"/>
        <v>8.8992000000000004</v>
      </c>
      <c r="L612" s="10">
        <v>0</v>
      </c>
      <c r="N612" s="118">
        <f t="shared" si="74"/>
        <v>0</v>
      </c>
      <c r="O612" s="118">
        <f t="shared" si="75"/>
        <v>8.8992000000000004</v>
      </c>
    </row>
    <row r="613" spans="1:15" x14ac:dyDescent="0.25">
      <c r="A613" s="32" t="s">
        <v>1963</v>
      </c>
      <c r="B613" t="s">
        <v>223</v>
      </c>
      <c r="C613" s="19">
        <v>11</v>
      </c>
      <c r="D613" s="18" t="s">
        <v>224</v>
      </c>
      <c r="E613" s="13">
        <v>1</v>
      </c>
      <c r="F613" s="25" t="s">
        <v>223</v>
      </c>
      <c r="G613" s="25">
        <v>81897719002</v>
      </c>
      <c r="H613" s="11">
        <v>11.865599999999999</v>
      </c>
      <c r="I613" s="11">
        <f t="shared" si="76"/>
        <v>11.865599999999999</v>
      </c>
      <c r="J613" s="11">
        <f t="shared" si="78"/>
        <v>11.865599999999999</v>
      </c>
      <c r="K613" s="11">
        <f t="shared" si="77"/>
        <v>11.865599999999999</v>
      </c>
      <c r="L613" s="10">
        <v>0</v>
      </c>
      <c r="N613" s="118">
        <f t="shared" si="74"/>
        <v>0</v>
      </c>
      <c r="O613" s="118">
        <f t="shared" si="75"/>
        <v>11.865599999999999</v>
      </c>
    </row>
    <row r="614" spans="1:15" x14ac:dyDescent="0.25">
      <c r="A614" s="32" t="s">
        <v>1962</v>
      </c>
      <c r="B614" t="s">
        <v>1781</v>
      </c>
      <c r="C614" s="19">
        <v>12</v>
      </c>
      <c r="D614" s="18" t="s">
        <v>1782</v>
      </c>
      <c r="E614" s="13">
        <v>4</v>
      </c>
      <c r="F614" s="25" t="s">
        <v>1781</v>
      </c>
      <c r="G614" s="25">
        <v>81897719002</v>
      </c>
      <c r="H614" s="11">
        <v>29.664000000000001</v>
      </c>
      <c r="I614" s="11">
        <f t="shared" si="76"/>
        <v>118.65600000000001</v>
      </c>
      <c r="J614" s="11">
        <f t="shared" si="78"/>
        <v>29.664000000000001</v>
      </c>
      <c r="K614" s="11">
        <f t="shared" si="77"/>
        <v>118.65600000000001</v>
      </c>
      <c r="L614" s="10">
        <v>0</v>
      </c>
      <c r="N614" s="118">
        <f t="shared" si="74"/>
        <v>0</v>
      </c>
      <c r="O614" s="118">
        <f t="shared" si="75"/>
        <v>29.664000000000001</v>
      </c>
    </row>
    <row r="615" spans="1:15" x14ac:dyDescent="0.25">
      <c r="A615" s="32" t="s">
        <v>1961</v>
      </c>
      <c r="B615" t="s">
        <v>1778</v>
      </c>
      <c r="C615" s="19">
        <v>13</v>
      </c>
      <c r="D615" s="18" t="s">
        <v>1779</v>
      </c>
      <c r="E615" s="13">
        <v>4</v>
      </c>
      <c r="F615" s="25" t="s">
        <v>1778</v>
      </c>
      <c r="G615" s="25">
        <v>81897719002</v>
      </c>
      <c r="H615" s="11">
        <v>39.543760000000006</v>
      </c>
      <c r="I615" s="11">
        <f t="shared" si="76"/>
        <v>158.17504000000002</v>
      </c>
      <c r="J615" s="11">
        <f t="shared" si="78"/>
        <v>39.543760000000006</v>
      </c>
      <c r="K615" s="11">
        <f t="shared" si="77"/>
        <v>158.17504000000002</v>
      </c>
      <c r="L615" s="10">
        <v>0</v>
      </c>
      <c r="N615" s="118">
        <f t="shared" si="74"/>
        <v>0</v>
      </c>
      <c r="O615" s="118">
        <f t="shared" si="75"/>
        <v>39.543760000000006</v>
      </c>
    </row>
    <row r="616" spans="1:15" x14ac:dyDescent="0.25">
      <c r="A616" s="32" t="s">
        <v>1960</v>
      </c>
      <c r="B616" t="s">
        <v>131</v>
      </c>
      <c r="C616" s="19">
        <v>14</v>
      </c>
      <c r="D616" s="18" t="s">
        <v>132</v>
      </c>
      <c r="E616" s="13">
        <v>8</v>
      </c>
      <c r="F616" s="25" t="s">
        <v>131</v>
      </c>
      <c r="G616" s="25">
        <v>81897719002</v>
      </c>
      <c r="H616" s="11">
        <v>11.865599999999999</v>
      </c>
      <c r="I616" s="11">
        <f t="shared" si="76"/>
        <v>94.924799999999991</v>
      </c>
      <c r="J616" s="11">
        <f t="shared" si="78"/>
        <v>11.865599999999999</v>
      </c>
      <c r="K616" s="11">
        <f t="shared" si="77"/>
        <v>94.924799999999991</v>
      </c>
      <c r="L616" s="10">
        <v>0</v>
      </c>
      <c r="N616" s="118">
        <f t="shared" si="74"/>
        <v>0</v>
      </c>
      <c r="O616" s="118">
        <f t="shared" si="75"/>
        <v>11.865599999999999</v>
      </c>
    </row>
    <row r="617" spans="1:15" x14ac:dyDescent="0.25">
      <c r="A617" s="32" t="s">
        <v>1847</v>
      </c>
      <c r="B617" t="s">
        <v>110</v>
      </c>
      <c r="C617" s="19">
        <v>15</v>
      </c>
      <c r="D617" s="18" t="s">
        <v>111</v>
      </c>
      <c r="E617" s="13">
        <v>1</v>
      </c>
      <c r="F617" s="25" t="s">
        <v>110</v>
      </c>
      <c r="G617" s="25">
        <v>81897719002</v>
      </c>
      <c r="H617" s="11">
        <v>27.678160000000002</v>
      </c>
      <c r="I617" s="11">
        <f t="shared" si="76"/>
        <v>27.678160000000002</v>
      </c>
      <c r="J617" s="11">
        <f t="shared" si="78"/>
        <v>27.678160000000002</v>
      </c>
      <c r="K617" s="11">
        <f t="shared" si="77"/>
        <v>27.678160000000002</v>
      </c>
      <c r="L617" s="10">
        <v>0</v>
      </c>
      <c r="N617" s="118">
        <f t="shared" si="74"/>
        <v>0</v>
      </c>
      <c r="O617" s="118">
        <f t="shared" si="75"/>
        <v>27.678160000000002</v>
      </c>
    </row>
    <row r="618" spans="1:15" x14ac:dyDescent="0.25">
      <c r="A618" s="32" t="s">
        <v>1959</v>
      </c>
      <c r="B618" t="s">
        <v>271</v>
      </c>
      <c r="C618" s="19">
        <v>16</v>
      </c>
      <c r="D618" s="18" t="s">
        <v>272</v>
      </c>
      <c r="E618" s="13">
        <v>2</v>
      </c>
      <c r="F618" s="25" t="s">
        <v>271</v>
      </c>
      <c r="G618" s="25">
        <v>81897719002</v>
      </c>
      <c r="H618" s="11">
        <v>24.711759999999998</v>
      </c>
      <c r="I618" s="11">
        <f t="shared" si="76"/>
        <v>49.423519999999996</v>
      </c>
      <c r="J618" s="11">
        <f t="shared" si="78"/>
        <v>24.711759999999998</v>
      </c>
      <c r="K618" s="11">
        <f t="shared" si="77"/>
        <v>49.423519999999996</v>
      </c>
      <c r="L618" s="10">
        <v>0</v>
      </c>
      <c r="N618" s="118">
        <f t="shared" si="74"/>
        <v>0</v>
      </c>
      <c r="O618" s="118">
        <f t="shared" si="75"/>
        <v>24.711759999999998</v>
      </c>
    </row>
    <row r="619" spans="1:15" x14ac:dyDescent="0.25">
      <c r="A619" s="32" t="s">
        <v>1958</v>
      </c>
      <c r="B619" t="s">
        <v>1066</v>
      </c>
      <c r="C619" s="19">
        <v>17</v>
      </c>
      <c r="D619" s="18" t="s">
        <v>1067</v>
      </c>
      <c r="E619" s="13">
        <v>6</v>
      </c>
      <c r="F619" s="25" t="s">
        <v>1066</v>
      </c>
      <c r="G619" s="25">
        <v>81897719002</v>
      </c>
      <c r="H619" s="11">
        <v>14.329360000000001</v>
      </c>
      <c r="I619" s="11">
        <f t="shared" si="76"/>
        <v>85.976160000000007</v>
      </c>
      <c r="J619" s="11">
        <f t="shared" si="78"/>
        <v>14.329360000000001</v>
      </c>
      <c r="K619" s="11">
        <f t="shared" si="77"/>
        <v>85.976160000000007</v>
      </c>
      <c r="L619" s="10">
        <v>0</v>
      </c>
      <c r="N619" s="118">
        <f t="shared" si="74"/>
        <v>0</v>
      </c>
      <c r="O619" s="118">
        <f t="shared" si="75"/>
        <v>14.329360000000001</v>
      </c>
    </row>
    <row r="620" spans="1:15" x14ac:dyDescent="0.25">
      <c r="A620" s="32" t="s">
        <v>1957</v>
      </c>
      <c r="B620" t="s">
        <v>1955</v>
      </c>
      <c r="C620" s="19">
        <v>18</v>
      </c>
      <c r="D620" s="18" t="s">
        <v>1956</v>
      </c>
      <c r="E620" s="13">
        <v>6</v>
      </c>
      <c r="F620" s="25" t="s">
        <v>1955</v>
      </c>
      <c r="G620" s="25">
        <v>81897719002</v>
      </c>
      <c r="H620" s="11">
        <v>13.851439999999998</v>
      </c>
      <c r="I620" s="11">
        <f t="shared" si="76"/>
        <v>83.108639999999994</v>
      </c>
      <c r="J620" s="11">
        <f t="shared" si="78"/>
        <v>13.851439999999998</v>
      </c>
      <c r="K620" s="11">
        <f t="shared" si="77"/>
        <v>83.108639999999994</v>
      </c>
      <c r="L620" s="10">
        <v>0</v>
      </c>
      <c r="N620" s="118">
        <f t="shared" si="74"/>
        <v>0</v>
      </c>
      <c r="O620" s="118">
        <f t="shared" si="75"/>
        <v>13.851439999999998</v>
      </c>
    </row>
    <row r="621" spans="1:15" x14ac:dyDescent="0.25">
      <c r="A621" s="32" t="s">
        <v>1954</v>
      </c>
      <c r="B621" t="s">
        <v>230</v>
      </c>
      <c r="C621" s="19">
        <v>19</v>
      </c>
      <c r="D621" s="18" t="s">
        <v>231</v>
      </c>
      <c r="E621" s="13">
        <v>1</v>
      </c>
      <c r="F621" s="25" t="s">
        <v>230</v>
      </c>
      <c r="G621" s="25">
        <v>81897719002</v>
      </c>
      <c r="H621" s="11">
        <v>6.9133600000000008</v>
      </c>
      <c r="I621" s="11">
        <f t="shared" si="76"/>
        <v>6.9133600000000008</v>
      </c>
      <c r="J621" s="11">
        <f t="shared" si="78"/>
        <v>6.9133600000000008</v>
      </c>
      <c r="K621" s="11">
        <f t="shared" si="77"/>
        <v>6.9133600000000008</v>
      </c>
      <c r="L621" s="10">
        <v>0</v>
      </c>
      <c r="N621" s="118">
        <f t="shared" si="74"/>
        <v>0</v>
      </c>
      <c r="O621" s="118">
        <f t="shared" si="75"/>
        <v>6.9133600000000008</v>
      </c>
    </row>
    <row r="622" spans="1:15" x14ac:dyDescent="0.25">
      <c r="A622" s="32" t="s">
        <v>1953</v>
      </c>
      <c r="B622" t="s">
        <v>152</v>
      </c>
      <c r="C622" s="19">
        <v>20</v>
      </c>
      <c r="D622" s="18" t="s">
        <v>153</v>
      </c>
      <c r="E622" s="13">
        <v>1</v>
      </c>
      <c r="F622" s="25" t="s">
        <v>152</v>
      </c>
      <c r="G622" s="25">
        <v>81897719002</v>
      </c>
      <c r="H622" s="11">
        <v>6.9133600000000008</v>
      </c>
      <c r="I622" s="11">
        <f t="shared" si="76"/>
        <v>6.9133600000000008</v>
      </c>
      <c r="J622" s="11">
        <f t="shared" si="78"/>
        <v>6.9133600000000008</v>
      </c>
      <c r="K622" s="11">
        <f t="shared" si="77"/>
        <v>6.9133600000000008</v>
      </c>
      <c r="L622" s="10">
        <v>0</v>
      </c>
      <c r="N622" s="118">
        <f t="shared" si="74"/>
        <v>0</v>
      </c>
      <c r="O622" s="118">
        <f t="shared" si="75"/>
        <v>6.9133600000000008</v>
      </c>
    </row>
    <row r="623" spans="1:15" x14ac:dyDescent="0.25">
      <c r="A623" s="32" t="s">
        <v>1952</v>
      </c>
      <c r="B623" t="s">
        <v>1174</v>
      </c>
      <c r="C623" s="19">
        <v>21</v>
      </c>
      <c r="D623" s="18" t="s">
        <v>1175</v>
      </c>
      <c r="E623" s="13">
        <v>1</v>
      </c>
      <c r="F623" s="25" t="s">
        <v>1174</v>
      </c>
      <c r="G623" s="25">
        <v>81897719002</v>
      </c>
      <c r="H623" s="11">
        <v>8.8992000000000004</v>
      </c>
      <c r="I623" s="11">
        <f t="shared" si="76"/>
        <v>8.8992000000000004</v>
      </c>
      <c r="J623" s="11">
        <f t="shared" si="78"/>
        <v>8.8992000000000004</v>
      </c>
      <c r="K623" s="11">
        <f t="shared" si="77"/>
        <v>8.8992000000000004</v>
      </c>
      <c r="L623" s="10">
        <v>0</v>
      </c>
      <c r="N623" s="118">
        <f t="shared" si="74"/>
        <v>0</v>
      </c>
      <c r="O623" s="118">
        <f t="shared" si="75"/>
        <v>8.8992000000000004</v>
      </c>
    </row>
    <row r="624" spans="1:15" x14ac:dyDescent="0.25">
      <c r="A624" s="32" t="s">
        <v>1951</v>
      </c>
      <c r="B624" t="s">
        <v>223</v>
      </c>
      <c r="C624" s="19">
        <v>22</v>
      </c>
      <c r="D624" s="18" t="s">
        <v>224</v>
      </c>
      <c r="E624" s="13">
        <v>1</v>
      </c>
      <c r="F624" s="25" t="s">
        <v>223</v>
      </c>
      <c r="G624" s="25">
        <v>81897719002</v>
      </c>
      <c r="H624" s="11">
        <v>11.865599999999999</v>
      </c>
      <c r="I624" s="11">
        <f t="shared" si="76"/>
        <v>11.865599999999999</v>
      </c>
      <c r="J624" s="11">
        <f t="shared" si="78"/>
        <v>11.865599999999999</v>
      </c>
      <c r="K624" s="11">
        <f t="shared" si="77"/>
        <v>11.865599999999999</v>
      </c>
      <c r="L624" s="10">
        <v>0</v>
      </c>
      <c r="N624" s="118">
        <f t="shared" si="74"/>
        <v>0</v>
      </c>
      <c r="O624" s="118">
        <f t="shared" si="75"/>
        <v>11.865599999999999</v>
      </c>
    </row>
    <row r="625" spans="1:15" x14ac:dyDescent="0.25">
      <c r="A625" s="32" t="s">
        <v>1950</v>
      </c>
      <c r="B625" t="s">
        <v>1948</v>
      </c>
      <c r="C625" s="19">
        <v>23</v>
      </c>
      <c r="D625" s="18" t="s">
        <v>1949</v>
      </c>
      <c r="E625" s="13">
        <v>2</v>
      </c>
      <c r="F625" s="25" t="s">
        <v>1948</v>
      </c>
      <c r="G625" s="25">
        <v>81897719002</v>
      </c>
      <c r="H625" s="11">
        <v>20.764800000000001</v>
      </c>
      <c r="I625" s="11">
        <f t="shared" si="76"/>
        <v>41.529600000000002</v>
      </c>
      <c r="J625" s="11">
        <f t="shared" si="78"/>
        <v>20.764800000000001</v>
      </c>
      <c r="K625" s="11">
        <f t="shared" si="77"/>
        <v>41.529600000000002</v>
      </c>
      <c r="L625" s="10">
        <v>0</v>
      </c>
      <c r="N625" s="118">
        <f t="shared" si="74"/>
        <v>0</v>
      </c>
      <c r="O625" s="118">
        <f t="shared" si="75"/>
        <v>20.764800000000001</v>
      </c>
    </row>
    <row r="626" spans="1:15" x14ac:dyDescent="0.25">
      <c r="A626" s="32" t="s">
        <v>1947</v>
      </c>
      <c r="B626" t="s">
        <v>152</v>
      </c>
      <c r="C626" s="19">
        <v>24</v>
      </c>
      <c r="D626" s="18" t="s">
        <v>153</v>
      </c>
      <c r="E626" s="13">
        <v>1</v>
      </c>
      <c r="F626" s="25" t="s">
        <v>152</v>
      </c>
      <c r="G626" s="25">
        <v>81897719002</v>
      </c>
      <c r="H626" s="11">
        <v>6.9133600000000008</v>
      </c>
      <c r="I626" s="11">
        <f t="shared" si="76"/>
        <v>6.9133600000000008</v>
      </c>
      <c r="J626" s="11">
        <f t="shared" si="78"/>
        <v>6.9133600000000008</v>
      </c>
      <c r="K626" s="11">
        <f t="shared" si="77"/>
        <v>6.9133600000000008</v>
      </c>
      <c r="L626" s="10">
        <v>0</v>
      </c>
      <c r="N626" s="118">
        <f t="shared" si="74"/>
        <v>0</v>
      </c>
      <c r="O626" s="118">
        <f t="shared" si="75"/>
        <v>6.9133600000000008</v>
      </c>
    </row>
    <row r="627" spans="1:15" x14ac:dyDescent="0.25">
      <c r="A627" s="32" t="s">
        <v>1946</v>
      </c>
      <c r="B627" t="s">
        <v>1944</v>
      </c>
      <c r="C627" s="19">
        <v>25</v>
      </c>
      <c r="D627" s="18" t="s">
        <v>1945</v>
      </c>
      <c r="E627" s="13">
        <v>1</v>
      </c>
      <c r="F627" s="25" t="s">
        <v>1944</v>
      </c>
      <c r="G627" s="25">
        <v>81897719002</v>
      </c>
      <c r="H627" s="11">
        <v>18.778959999999998</v>
      </c>
      <c r="I627" s="11">
        <f t="shared" si="76"/>
        <v>18.778959999999998</v>
      </c>
      <c r="J627" s="11">
        <f t="shared" si="78"/>
        <v>18.778959999999998</v>
      </c>
      <c r="K627" s="11">
        <f t="shared" si="77"/>
        <v>18.778959999999998</v>
      </c>
      <c r="L627" s="10">
        <v>0</v>
      </c>
      <c r="N627" s="118">
        <f t="shared" si="74"/>
        <v>0</v>
      </c>
      <c r="O627" s="118">
        <f t="shared" si="75"/>
        <v>18.778959999999998</v>
      </c>
    </row>
    <row r="628" spans="1:15" x14ac:dyDescent="0.25">
      <c r="A628" s="32" t="s">
        <v>1943</v>
      </c>
      <c r="B628" t="s">
        <v>140</v>
      </c>
      <c r="C628" s="19">
        <v>26</v>
      </c>
      <c r="D628" s="18" t="s">
        <v>141</v>
      </c>
      <c r="E628" s="13">
        <v>2</v>
      </c>
      <c r="F628" s="25" t="s">
        <v>140</v>
      </c>
      <c r="G628" s="25">
        <v>81897719002</v>
      </c>
      <c r="H628" s="11">
        <v>21.745360000000002</v>
      </c>
      <c r="I628" s="11">
        <f t="shared" si="76"/>
        <v>43.490720000000003</v>
      </c>
      <c r="J628" s="11">
        <f t="shared" si="78"/>
        <v>21.745360000000002</v>
      </c>
      <c r="K628" s="11">
        <f t="shared" si="77"/>
        <v>43.490720000000003</v>
      </c>
      <c r="L628" s="10">
        <v>0</v>
      </c>
      <c r="N628" s="118">
        <f t="shared" si="74"/>
        <v>0</v>
      </c>
      <c r="O628" s="118">
        <f t="shared" si="75"/>
        <v>21.745360000000002</v>
      </c>
    </row>
    <row r="629" spans="1:15" x14ac:dyDescent="0.25">
      <c r="A629" s="35" t="s">
        <v>1942</v>
      </c>
      <c r="C629" s="19">
        <v>27</v>
      </c>
      <c r="D629" s="18" t="s">
        <v>1941</v>
      </c>
      <c r="E629" s="13">
        <v>1</v>
      </c>
      <c r="F629" s="25" t="s">
        <v>3051</v>
      </c>
      <c r="G629" s="25">
        <v>81897719006</v>
      </c>
      <c r="H629" s="11">
        <v>43.943919999999999</v>
      </c>
      <c r="I629" s="11">
        <f t="shared" si="76"/>
        <v>43.943919999999999</v>
      </c>
      <c r="J629" s="11">
        <f t="shared" si="78"/>
        <v>43.943919999999999</v>
      </c>
      <c r="K629" s="11">
        <f t="shared" si="77"/>
        <v>43.943919999999999</v>
      </c>
      <c r="L629" s="10">
        <v>0</v>
      </c>
      <c r="N629" s="118">
        <f t="shared" si="74"/>
        <v>0</v>
      </c>
      <c r="O629" s="118">
        <f t="shared" si="75"/>
        <v>43.943919999999999</v>
      </c>
    </row>
    <row r="630" spans="1:15" x14ac:dyDescent="0.25">
      <c r="A630" s="32" t="s">
        <v>1940</v>
      </c>
      <c r="B630" t="s">
        <v>256</v>
      </c>
      <c r="C630" s="19">
        <v>28</v>
      </c>
      <c r="D630" s="18" t="s">
        <v>257</v>
      </c>
      <c r="E630" s="13">
        <v>4</v>
      </c>
      <c r="F630" s="25" t="s">
        <v>256</v>
      </c>
      <c r="G630" s="25">
        <v>81897719002</v>
      </c>
      <c r="H630" s="11">
        <v>12.368239999999998</v>
      </c>
      <c r="I630" s="11">
        <f t="shared" si="76"/>
        <v>49.472959999999993</v>
      </c>
      <c r="J630" s="11">
        <f t="shared" si="78"/>
        <v>12.368239999999998</v>
      </c>
      <c r="K630" s="11">
        <f t="shared" si="77"/>
        <v>49.472959999999993</v>
      </c>
      <c r="L630" s="10">
        <v>0</v>
      </c>
      <c r="N630" s="118">
        <f t="shared" si="74"/>
        <v>0</v>
      </c>
      <c r="O630" s="118">
        <f t="shared" si="75"/>
        <v>12.368239999999998</v>
      </c>
    </row>
    <row r="631" spans="1:15" x14ac:dyDescent="0.25">
      <c r="A631" s="32" t="s">
        <v>1939</v>
      </c>
      <c r="B631" t="s">
        <v>259</v>
      </c>
      <c r="C631" s="19">
        <v>29</v>
      </c>
      <c r="D631" s="18" t="s">
        <v>260</v>
      </c>
      <c r="E631" s="13">
        <v>4</v>
      </c>
      <c r="F631" s="25" t="s">
        <v>259</v>
      </c>
      <c r="G631" s="25">
        <v>81897719002</v>
      </c>
      <c r="H631" s="11">
        <v>11.865599999999999</v>
      </c>
      <c r="I631" s="11">
        <f t="shared" si="76"/>
        <v>47.462399999999995</v>
      </c>
      <c r="J631" s="11">
        <f t="shared" si="78"/>
        <v>11.865599999999999</v>
      </c>
      <c r="K631" s="11">
        <f t="shared" si="77"/>
        <v>47.462399999999995</v>
      </c>
      <c r="L631" s="10">
        <v>0</v>
      </c>
      <c r="N631" s="118">
        <f t="shared" si="74"/>
        <v>0</v>
      </c>
      <c r="O631" s="118">
        <f t="shared" si="75"/>
        <v>11.865599999999999</v>
      </c>
    </row>
    <row r="632" spans="1:15" x14ac:dyDescent="0.25">
      <c r="A632" s="32" t="s">
        <v>1938</v>
      </c>
      <c r="B632" t="s">
        <v>1834</v>
      </c>
      <c r="C632" s="19">
        <v>30</v>
      </c>
      <c r="D632" s="18" t="s">
        <v>1835</v>
      </c>
      <c r="E632" s="13">
        <v>4</v>
      </c>
      <c r="F632" s="25" t="s">
        <v>1834</v>
      </c>
      <c r="G632" s="25">
        <v>81897719002</v>
      </c>
      <c r="H632" s="11">
        <v>22.248000000000001</v>
      </c>
      <c r="I632" s="11">
        <f t="shared" si="76"/>
        <v>88.992000000000004</v>
      </c>
      <c r="J632" s="11">
        <f t="shared" si="78"/>
        <v>22.248000000000001</v>
      </c>
      <c r="K632" s="11">
        <f t="shared" si="77"/>
        <v>88.992000000000004</v>
      </c>
      <c r="L632" s="10">
        <v>0</v>
      </c>
      <c r="N632" s="118">
        <f t="shared" si="74"/>
        <v>0</v>
      </c>
      <c r="O632" s="118">
        <f t="shared" si="75"/>
        <v>22.248000000000001</v>
      </c>
    </row>
    <row r="633" spans="1:15" x14ac:dyDescent="0.25">
      <c r="A633" s="32" t="s">
        <v>1937</v>
      </c>
      <c r="B633" t="s">
        <v>236</v>
      </c>
      <c r="C633" s="19">
        <v>31</v>
      </c>
      <c r="D633" s="18" t="s">
        <v>237</v>
      </c>
      <c r="E633" s="13">
        <v>4</v>
      </c>
      <c r="F633" s="25" t="s">
        <v>236</v>
      </c>
      <c r="G633" s="25">
        <v>81897719002</v>
      </c>
      <c r="H633" s="11">
        <v>24.711759999999998</v>
      </c>
      <c r="I633" s="11">
        <f t="shared" si="76"/>
        <v>98.847039999999993</v>
      </c>
      <c r="J633" s="11">
        <f t="shared" si="78"/>
        <v>24.711759999999998</v>
      </c>
      <c r="K633" s="11">
        <f t="shared" si="77"/>
        <v>98.847039999999993</v>
      </c>
      <c r="L633" s="10">
        <v>0</v>
      </c>
      <c r="N633" s="118">
        <f t="shared" si="74"/>
        <v>0</v>
      </c>
      <c r="O633" s="118">
        <f t="shared" si="75"/>
        <v>24.711759999999998</v>
      </c>
    </row>
    <row r="634" spans="1:15" x14ac:dyDescent="0.25">
      <c r="A634" s="32" t="s">
        <v>1936</v>
      </c>
      <c r="B634" t="s">
        <v>1635</v>
      </c>
      <c r="C634" s="19">
        <v>32</v>
      </c>
      <c r="D634" s="18" t="s">
        <v>1636</v>
      </c>
      <c r="E634" s="13">
        <v>4</v>
      </c>
      <c r="F634" s="25" t="s">
        <v>1635</v>
      </c>
      <c r="G634" s="25">
        <v>81897719002</v>
      </c>
      <c r="H634" s="11">
        <v>16.315200000000001</v>
      </c>
      <c r="I634" s="11">
        <f t="shared" si="76"/>
        <v>65.260800000000003</v>
      </c>
      <c r="J634" s="11">
        <f t="shared" si="78"/>
        <v>16.315200000000001</v>
      </c>
      <c r="K634" s="11">
        <f t="shared" si="77"/>
        <v>65.260800000000003</v>
      </c>
      <c r="L634" s="10">
        <v>0</v>
      </c>
      <c r="N634" s="118">
        <f t="shared" si="74"/>
        <v>0</v>
      </c>
      <c r="O634" s="118">
        <f t="shared" si="75"/>
        <v>16.315200000000001</v>
      </c>
    </row>
    <row r="635" spans="1:15" x14ac:dyDescent="0.25">
      <c r="A635" s="32" t="s">
        <v>1935</v>
      </c>
      <c r="B635" t="s">
        <v>525</v>
      </c>
      <c r="C635" s="19">
        <v>33</v>
      </c>
      <c r="D635" s="18" t="s">
        <v>526</v>
      </c>
      <c r="E635" s="13">
        <v>4</v>
      </c>
      <c r="F635" s="25" t="s">
        <v>525</v>
      </c>
      <c r="G635" s="25">
        <v>81897719002</v>
      </c>
      <c r="H635" s="11">
        <v>15.81256</v>
      </c>
      <c r="I635" s="11">
        <f t="shared" ref="I635:I666" si="79">H635*E635</f>
        <v>63.250239999999998</v>
      </c>
      <c r="J635" s="11">
        <f t="shared" si="78"/>
        <v>15.81256</v>
      </c>
      <c r="K635" s="11">
        <f t="shared" ref="K635:K666" si="80">J635*E635</f>
        <v>63.250239999999998</v>
      </c>
      <c r="L635" s="10">
        <v>0</v>
      </c>
      <c r="N635" s="118">
        <f t="shared" si="74"/>
        <v>0</v>
      </c>
      <c r="O635" s="118">
        <f t="shared" si="75"/>
        <v>15.81256</v>
      </c>
    </row>
    <row r="636" spans="1:15" x14ac:dyDescent="0.25">
      <c r="A636" s="32" t="s">
        <v>1934</v>
      </c>
      <c r="B636" t="s">
        <v>1932</v>
      </c>
      <c r="C636" s="19">
        <v>34</v>
      </c>
      <c r="D636" s="18" t="s">
        <v>1933</v>
      </c>
      <c r="E636" s="13">
        <v>1</v>
      </c>
      <c r="F636" s="25" t="s">
        <v>1932</v>
      </c>
      <c r="G636" s="25">
        <v>81897719002</v>
      </c>
      <c r="H636" s="11">
        <v>35.596800000000002</v>
      </c>
      <c r="I636" s="11">
        <f t="shared" si="79"/>
        <v>35.596800000000002</v>
      </c>
      <c r="J636" s="11">
        <f t="shared" si="78"/>
        <v>35.596800000000002</v>
      </c>
      <c r="K636" s="11">
        <f t="shared" si="80"/>
        <v>35.596800000000002</v>
      </c>
      <c r="L636" s="10">
        <v>0</v>
      </c>
      <c r="N636" s="118">
        <f t="shared" si="74"/>
        <v>0</v>
      </c>
      <c r="O636" s="118">
        <f t="shared" si="75"/>
        <v>35.596800000000002</v>
      </c>
    </row>
    <row r="637" spans="1:15" x14ac:dyDescent="0.25">
      <c r="A637" s="32" t="s">
        <v>1931</v>
      </c>
      <c r="B637" t="s">
        <v>1929</v>
      </c>
      <c r="C637" s="19">
        <v>35</v>
      </c>
      <c r="D637" s="18" t="s">
        <v>1930</v>
      </c>
      <c r="E637" s="13">
        <v>2</v>
      </c>
      <c r="F637" s="25" t="s">
        <v>1929</v>
      </c>
      <c r="G637" s="25">
        <v>81897719002</v>
      </c>
      <c r="H637" s="11">
        <v>19.78424</v>
      </c>
      <c r="I637" s="11">
        <f t="shared" si="79"/>
        <v>39.568480000000001</v>
      </c>
      <c r="J637" s="11">
        <f t="shared" si="78"/>
        <v>19.78424</v>
      </c>
      <c r="K637" s="11">
        <f t="shared" si="80"/>
        <v>39.568480000000001</v>
      </c>
      <c r="L637" s="10">
        <v>0</v>
      </c>
      <c r="N637" s="118">
        <f t="shared" si="74"/>
        <v>0</v>
      </c>
      <c r="O637" s="118">
        <f t="shared" si="75"/>
        <v>19.78424</v>
      </c>
    </row>
    <row r="638" spans="1:15" x14ac:dyDescent="0.25">
      <c r="A638" s="32" t="s">
        <v>1928</v>
      </c>
      <c r="B638" t="s">
        <v>1679</v>
      </c>
      <c r="C638" s="19">
        <v>36</v>
      </c>
      <c r="D638" s="18" t="s">
        <v>1680</v>
      </c>
      <c r="E638" s="13">
        <v>2</v>
      </c>
      <c r="F638" s="25" t="s">
        <v>1679</v>
      </c>
      <c r="G638" s="25">
        <v>81897719002</v>
      </c>
      <c r="H638" s="11">
        <v>19.281599999999997</v>
      </c>
      <c r="I638" s="11">
        <f t="shared" si="79"/>
        <v>38.563199999999995</v>
      </c>
      <c r="J638" s="11">
        <f t="shared" si="78"/>
        <v>19.281599999999997</v>
      </c>
      <c r="K638" s="11">
        <f t="shared" si="80"/>
        <v>38.563199999999995</v>
      </c>
      <c r="L638" s="10">
        <v>0</v>
      </c>
      <c r="N638" s="118">
        <f t="shared" si="74"/>
        <v>0</v>
      </c>
      <c r="O638" s="118">
        <f t="shared" si="75"/>
        <v>19.281599999999997</v>
      </c>
    </row>
    <row r="639" spans="1:15" x14ac:dyDescent="0.25">
      <c r="A639" s="32" t="s">
        <v>1927</v>
      </c>
      <c r="B639" t="s">
        <v>457</v>
      </c>
      <c r="C639" s="19">
        <v>37</v>
      </c>
      <c r="D639" s="18" t="s">
        <v>458</v>
      </c>
      <c r="E639" s="13">
        <v>1</v>
      </c>
      <c r="F639" s="25" t="s">
        <v>457</v>
      </c>
      <c r="G639" s="25">
        <v>81897719003</v>
      </c>
      <c r="H639" s="11">
        <v>56.864240000000002</v>
      </c>
      <c r="I639" s="11">
        <f t="shared" si="79"/>
        <v>56.864240000000002</v>
      </c>
      <c r="J639" s="11">
        <f t="shared" si="78"/>
        <v>56.864240000000002</v>
      </c>
      <c r="K639" s="11">
        <f t="shared" si="80"/>
        <v>56.864240000000002</v>
      </c>
      <c r="L639" s="10">
        <v>0</v>
      </c>
      <c r="N639" s="118">
        <f t="shared" si="74"/>
        <v>0</v>
      </c>
      <c r="O639" s="118">
        <f t="shared" si="75"/>
        <v>56.864240000000002</v>
      </c>
    </row>
    <row r="640" spans="1:15" x14ac:dyDescent="0.25">
      <c r="A640" s="32" t="s">
        <v>1926</v>
      </c>
      <c r="B640" t="s">
        <v>451</v>
      </c>
      <c r="C640" s="19">
        <v>38</v>
      </c>
      <c r="D640" s="18" t="s">
        <v>452</v>
      </c>
      <c r="E640" s="13">
        <v>1</v>
      </c>
      <c r="F640" s="25" t="s">
        <v>451</v>
      </c>
      <c r="G640" s="25">
        <v>81897719003</v>
      </c>
      <c r="H640" s="11">
        <v>66.744</v>
      </c>
      <c r="I640" s="11">
        <f t="shared" si="79"/>
        <v>66.744</v>
      </c>
      <c r="J640" s="11">
        <f t="shared" si="78"/>
        <v>66.744</v>
      </c>
      <c r="K640" s="11">
        <f t="shared" si="80"/>
        <v>66.744</v>
      </c>
      <c r="L640" s="10">
        <v>0</v>
      </c>
      <c r="N640" s="118">
        <f t="shared" si="74"/>
        <v>0</v>
      </c>
      <c r="O640" s="118">
        <f t="shared" si="75"/>
        <v>66.744</v>
      </c>
    </row>
    <row r="641" spans="1:15" x14ac:dyDescent="0.25">
      <c r="A641" s="32" t="s">
        <v>1925</v>
      </c>
      <c r="B641" t="s">
        <v>211</v>
      </c>
      <c r="C641" s="19">
        <v>39</v>
      </c>
      <c r="D641" s="18" t="s">
        <v>212</v>
      </c>
      <c r="E641" s="13">
        <v>1</v>
      </c>
      <c r="F641" s="25" t="s">
        <v>211</v>
      </c>
      <c r="G641" s="25">
        <v>81897719003</v>
      </c>
      <c r="H641" s="11">
        <v>81.576000000000008</v>
      </c>
      <c r="I641" s="11">
        <f t="shared" si="79"/>
        <v>81.576000000000008</v>
      </c>
      <c r="J641" s="11">
        <f t="shared" si="78"/>
        <v>81.576000000000008</v>
      </c>
      <c r="K641" s="11">
        <f t="shared" si="80"/>
        <v>81.576000000000008</v>
      </c>
      <c r="L641" s="10">
        <v>0</v>
      </c>
      <c r="N641" s="118">
        <f t="shared" si="74"/>
        <v>0</v>
      </c>
      <c r="O641" s="118">
        <f t="shared" si="75"/>
        <v>81.576000000000008</v>
      </c>
    </row>
    <row r="642" spans="1:15" x14ac:dyDescent="0.25">
      <c r="A642" s="32" t="s">
        <v>1924</v>
      </c>
      <c r="B642" t="s">
        <v>454</v>
      </c>
      <c r="C642" s="19">
        <v>40</v>
      </c>
      <c r="D642" s="18" t="s">
        <v>455</v>
      </c>
      <c r="E642" s="13">
        <v>1</v>
      </c>
      <c r="F642" s="25" t="s">
        <v>454</v>
      </c>
      <c r="G642" s="25">
        <v>81897719003</v>
      </c>
      <c r="H642" s="11">
        <v>61.791759999999996</v>
      </c>
      <c r="I642" s="11">
        <f t="shared" si="79"/>
        <v>61.791759999999996</v>
      </c>
      <c r="J642" s="11">
        <f t="shared" si="78"/>
        <v>61.791759999999996</v>
      </c>
      <c r="K642" s="11">
        <f t="shared" si="80"/>
        <v>61.791759999999996</v>
      </c>
      <c r="L642" s="10">
        <v>0</v>
      </c>
      <c r="N642" s="118">
        <f t="shared" si="74"/>
        <v>0</v>
      </c>
      <c r="O642" s="118">
        <f t="shared" si="75"/>
        <v>61.791759999999996</v>
      </c>
    </row>
    <row r="643" spans="1:15" x14ac:dyDescent="0.25">
      <c r="A643" s="32" t="s">
        <v>1923</v>
      </c>
      <c r="B643" t="s">
        <v>92</v>
      </c>
      <c r="C643" s="19">
        <v>41</v>
      </c>
      <c r="D643" s="18" t="s">
        <v>93</v>
      </c>
      <c r="E643" s="13">
        <v>1</v>
      </c>
      <c r="F643" s="25" t="s">
        <v>92</v>
      </c>
      <c r="G643" s="25">
        <v>81897719002</v>
      </c>
      <c r="H643" s="11">
        <v>16.669520000000002</v>
      </c>
      <c r="I643" s="11">
        <f t="shared" si="79"/>
        <v>16.669520000000002</v>
      </c>
      <c r="J643" s="11">
        <f t="shared" si="78"/>
        <v>16.669520000000002</v>
      </c>
      <c r="K643" s="11">
        <f t="shared" si="80"/>
        <v>16.669520000000002</v>
      </c>
      <c r="L643" s="10">
        <v>0</v>
      </c>
      <c r="N643" s="118">
        <f t="shared" si="74"/>
        <v>0</v>
      </c>
      <c r="O643" s="118">
        <f t="shared" si="75"/>
        <v>16.669520000000002</v>
      </c>
    </row>
    <row r="644" spans="1:15" x14ac:dyDescent="0.25">
      <c r="A644" s="32" t="s">
        <v>1922</v>
      </c>
      <c r="B644" t="s">
        <v>438</v>
      </c>
      <c r="C644" s="19">
        <v>42</v>
      </c>
      <c r="D644" s="18" t="s">
        <v>439</v>
      </c>
      <c r="E644" s="13">
        <v>1</v>
      </c>
      <c r="F644" s="25" t="s">
        <v>438</v>
      </c>
      <c r="G644" s="25">
        <v>81897719002</v>
      </c>
      <c r="H644" s="11">
        <v>16.076240000000002</v>
      </c>
      <c r="I644" s="11">
        <f t="shared" si="79"/>
        <v>16.076240000000002</v>
      </c>
      <c r="J644" s="11">
        <f t="shared" si="78"/>
        <v>16.076240000000002</v>
      </c>
      <c r="K644" s="11">
        <f t="shared" si="80"/>
        <v>16.076240000000002</v>
      </c>
      <c r="L644" s="10">
        <v>0</v>
      </c>
      <c r="N644" s="118">
        <f t="shared" ref="N644:N707" si="81">H644*L644</f>
        <v>0</v>
      </c>
      <c r="O644" s="118">
        <f t="shared" ref="O644:O707" si="82">H644-N644</f>
        <v>16.076240000000002</v>
      </c>
    </row>
    <row r="645" spans="1:15" x14ac:dyDescent="0.25">
      <c r="A645" s="32" t="s">
        <v>1921</v>
      </c>
      <c r="B645" t="s">
        <v>89</v>
      </c>
      <c r="C645" s="19">
        <v>43</v>
      </c>
      <c r="D645" s="18" t="s">
        <v>90</v>
      </c>
      <c r="E645" s="13">
        <v>1</v>
      </c>
      <c r="F645" s="25" t="s">
        <v>89</v>
      </c>
      <c r="G645" s="25">
        <v>81897719002</v>
      </c>
      <c r="H645" s="11">
        <v>14.205759999999998</v>
      </c>
      <c r="I645" s="11">
        <f t="shared" si="79"/>
        <v>14.205759999999998</v>
      </c>
      <c r="J645" s="11">
        <f t="shared" si="78"/>
        <v>14.205759999999998</v>
      </c>
      <c r="K645" s="11">
        <f t="shared" si="80"/>
        <v>14.205759999999998</v>
      </c>
      <c r="L645" s="10">
        <v>0</v>
      </c>
      <c r="N645" s="118">
        <f t="shared" si="81"/>
        <v>0</v>
      </c>
      <c r="O645" s="118">
        <f t="shared" si="82"/>
        <v>14.205759999999998</v>
      </c>
    </row>
    <row r="646" spans="1:15" x14ac:dyDescent="0.25">
      <c r="A646" s="32" t="s">
        <v>1920</v>
      </c>
      <c r="B646" t="s">
        <v>1042</v>
      </c>
      <c r="C646" s="19">
        <v>44</v>
      </c>
      <c r="D646" s="18" t="s">
        <v>1043</v>
      </c>
      <c r="E646" s="13">
        <v>1</v>
      </c>
      <c r="F646" s="25" t="s">
        <v>1042</v>
      </c>
      <c r="G646" s="25">
        <v>81897719002</v>
      </c>
      <c r="H646" s="11">
        <v>19.166240000000002</v>
      </c>
      <c r="I646" s="11">
        <f t="shared" si="79"/>
        <v>19.166240000000002</v>
      </c>
      <c r="J646" s="11">
        <f t="shared" si="78"/>
        <v>19.166240000000002</v>
      </c>
      <c r="K646" s="11">
        <f t="shared" si="80"/>
        <v>19.166240000000002</v>
      </c>
      <c r="L646" s="10">
        <v>0</v>
      </c>
      <c r="N646" s="118">
        <f t="shared" si="81"/>
        <v>0</v>
      </c>
      <c r="O646" s="118">
        <f t="shared" si="82"/>
        <v>19.166240000000002</v>
      </c>
    </row>
    <row r="647" spans="1:15" x14ac:dyDescent="0.25">
      <c r="A647" s="32" t="s">
        <v>1919</v>
      </c>
      <c r="B647" t="s">
        <v>320</v>
      </c>
      <c r="C647" s="19">
        <v>45</v>
      </c>
      <c r="D647" s="18" t="s">
        <v>321</v>
      </c>
      <c r="E647" s="13">
        <v>1</v>
      </c>
      <c r="F647" s="25" t="s">
        <v>320</v>
      </c>
      <c r="G647" s="25" t="s">
        <v>427</v>
      </c>
      <c r="H647" s="11">
        <v>293.79720000000003</v>
      </c>
      <c r="I647" s="11">
        <f t="shared" si="79"/>
        <v>293.79720000000003</v>
      </c>
      <c r="J647" s="11">
        <f t="shared" si="78"/>
        <v>293.79720000000003</v>
      </c>
      <c r="K647" s="11">
        <f t="shared" si="80"/>
        <v>293.79720000000003</v>
      </c>
      <c r="L647" s="10">
        <v>0</v>
      </c>
      <c r="N647" s="118">
        <f t="shared" si="81"/>
        <v>0</v>
      </c>
      <c r="O647" s="118">
        <f t="shared" si="82"/>
        <v>293.79720000000003</v>
      </c>
    </row>
    <row r="648" spans="1:15" x14ac:dyDescent="0.25">
      <c r="A648" s="32" t="s">
        <v>1918</v>
      </c>
      <c r="B648" t="s">
        <v>315</v>
      </c>
      <c r="C648" s="19">
        <v>46</v>
      </c>
      <c r="D648" s="18" t="s">
        <v>316</v>
      </c>
      <c r="E648" s="13">
        <v>1</v>
      </c>
      <c r="F648" s="25" t="s">
        <v>315</v>
      </c>
      <c r="G648" s="25" t="s">
        <v>427</v>
      </c>
      <c r="H648" s="11">
        <v>431.85840000000002</v>
      </c>
      <c r="I648" s="11">
        <f t="shared" si="79"/>
        <v>431.85840000000002</v>
      </c>
      <c r="J648" s="11">
        <f t="shared" si="78"/>
        <v>431.85840000000002</v>
      </c>
      <c r="K648" s="11">
        <f t="shared" si="80"/>
        <v>431.85840000000002</v>
      </c>
      <c r="L648" s="10">
        <v>0</v>
      </c>
      <c r="N648" s="118">
        <f t="shared" si="81"/>
        <v>0</v>
      </c>
      <c r="O648" s="118">
        <f t="shared" si="82"/>
        <v>431.85840000000002</v>
      </c>
    </row>
    <row r="649" spans="1:15" x14ac:dyDescent="0.25">
      <c r="B649" t="s">
        <v>317</v>
      </c>
      <c r="C649" s="19">
        <v>47</v>
      </c>
      <c r="D649" s="18" t="s">
        <v>318</v>
      </c>
      <c r="E649" s="13">
        <v>1</v>
      </c>
      <c r="F649" s="25" t="s">
        <v>317</v>
      </c>
      <c r="G649" s="25" t="s">
        <v>427</v>
      </c>
      <c r="H649" s="11">
        <v>305.86879999999996</v>
      </c>
      <c r="I649" s="11">
        <f t="shared" si="79"/>
        <v>305.86879999999996</v>
      </c>
      <c r="J649" s="11">
        <f t="shared" si="78"/>
        <v>305.86879999999996</v>
      </c>
      <c r="K649" s="11">
        <f t="shared" si="80"/>
        <v>305.86879999999996</v>
      </c>
      <c r="L649" s="10">
        <v>0</v>
      </c>
      <c r="N649" s="118">
        <f t="shared" si="81"/>
        <v>0</v>
      </c>
      <c r="O649" s="118">
        <f t="shared" si="82"/>
        <v>305.86879999999996</v>
      </c>
    </row>
    <row r="650" spans="1:15" x14ac:dyDescent="0.25">
      <c r="B650" t="s">
        <v>313</v>
      </c>
      <c r="C650" s="19">
        <v>48</v>
      </c>
      <c r="D650" s="18" t="s">
        <v>314</v>
      </c>
      <c r="E650" s="13">
        <v>1</v>
      </c>
      <c r="F650" s="25" t="s">
        <v>313</v>
      </c>
      <c r="G650" s="25" t="s">
        <v>427</v>
      </c>
      <c r="H650" s="11">
        <v>498.27280000000007</v>
      </c>
      <c r="I650" s="11">
        <f t="shared" si="79"/>
        <v>498.27280000000007</v>
      </c>
      <c r="J650" s="11">
        <f t="shared" si="78"/>
        <v>498.27280000000007</v>
      </c>
      <c r="K650" s="11">
        <f t="shared" si="80"/>
        <v>498.27280000000007</v>
      </c>
      <c r="L650" s="10">
        <v>0</v>
      </c>
      <c r="N650" s="118">
        <f t="shared" si="81"/>
        <v>0</v>
      </c>
      <c r="O650" s="118">
        <f t="shared" si="82"/>
        <v>498.27280000000007</v>
      </c>
    </row>
    <row r="651" spans="1:15" x14ac:dyDescent="0.25">
      <c r="B651" t="s">
        <v>82</v>
      </c>
      <c r="C651" s="19">
        <v>49</v>
      </c>
      <c r="D651" s="18" t="s">
        <v>83</v>
      </c>
      <c r="E651" s="13">
        <v>2</v>
      </c>
      <c r="F651" s="25" t="s">
        <v>82</v>
      </c>
      <c r="G651" s="25" t="s">
        <v>427</v>
      </c>
      <c r="H651" s="11">
        <v>7.0039999999999996</v>
      </c>
      <c r="I651" s="11">
        <f t="shared" si="79"/>
        <v>14.007999999999999</v>
      </c>
      <c r="J651" s="11">
        <f t="shared" si="78"/>
        <v>7.0039999999999996</v>
      </c>
      <c r="K651" s="11">
        <f t="shared" si="80"/>
        <v>14.007999999999999</v>
      </c>
      <c r="L651" s="10">
        <v>0</v>
      </c>
      <c r="N651" s="118">
        <f t="shared" si="81"/>
        <v>0</v>
      </c>
      <c r="O651" s="118">
        <f t="shared" si="82"/>
        <v>7.0039999999999996</v>
      </c>
    </row>
    <row r="652" spans="1:15" x14ac:dyDescent="0.25">
      <c r="C652" s="9"/>
      <c r="D652" s="8" t="s">
        <v>1</v>
      </c>
      <c r="E652" s="8">
        <f>SUM(E603:E651)</f>
        <v>100</v>
      </c>
      <c r="F652" s="8"/>
      <c r="G652" s="8"/>
      <c r="H652" s="7"/>
      <c r="I652" s="7">
        <f>SUM(I603:I651)</f>
        <v>3465.73576</v>
      </c>
      <c r="J652" s="8"/>
      <c r="K652" s="7">
        <f>SUM(K603:K651)</f>
        <v>3465.73576</v>
      </c>
      <c r="L652" s="6"/>
      <c r="N652" s="118">
        <f t="shared" si="81"/>
        <v>0</v>
      </c>
      <c r="O652" s="118">
        <f t="shared" si="82"/>
        <v>0</v>
      </c>
    </row>
    <row r="653" spans="1:15" x14ac:dyDescent="0.25">
      <c r="C653" s="3"/>
      <c r="D653" t="s">
        <v>0</v>
      </c>
      <c r="F653" s="27"/>
      <c r="G653" s="27"/>
      <c r="N653" s="118">
        <f t="shared" si="81"/>
        <v>0</v>
      </c>
      <c r="O653" s="118">
        <f t="shared" si="82"/>
        <v>0</v>
      </c>
    </row>
    <row r="654" spans="1:15" x14ac:dyDescent="0.25">
      <c r="D654" s="24" t="s">
        <v>1917</v>
      </c>
      <c r="F654" s="27"/>
      <c r="G654" s="27"/>
      <c r="N654" s="118">
        <f t="shared" si="81"/>
        <v>0</v>
      </c>
      <c r="O654" s="118">
        <f t="shared" si="82"/>
        <v>0</v>
      </c>
    </row>
    <row r="655" spans="1:15" ht="30" x14ac:dyDescent="0.25">
      <c r="C655" s="24" t="s">
        <v>28</v>
      </c>
      <c r="D655" s="24" t="s">
        <v>27</v>
      </c>
      <c r="E655" s="24" t="s">
        <v>26</v>
      </c>
      <c r="F655" s="24" t="s">
        <v>25</v>
      </c>
      <c r="G655" s="24" t="s">
        <v>24</v>
      </c>
      <c r="H655" s="116" t="s">
        <v>21</v>
      </c>
      <c r="I655" s="24" t="s">
        <v>23</v>
      </c>
      <c r="J655" s="24" t="s">
        <v>2928</v>
      </c>
      <c r="K655" s="24" t="s">
        <v>2927</v>
      </c>
      <c r="L655" s="23" t="s">
        <v>22</v>
      </c>
      <c r="N655" s="118" t="e">
        <f t="shared" si="81"/>
        <v>#VALUE!</v>
      </c>
      <c r="O655" s="118" t="e">
        <f t="shared" si="82"/>
        <v>#VALUE!</v>
      </c>
    </row>
    <row r="656" spans="1:15" s="5" customFormat="1" x14ac:dyDescent="0.25">
      <c r="A656" s="5" t="s">
        <v>1916</v>
      </c>
      <c r="B656" t="s">
        <v>309</v>
      </c>
      <c r="C656" s="13">
        <v>1</v>
      </c>
      <c r="D656" s="18" t="s">
        <v>310</v>
      </c>
      <c r="E656" s="13">
        <v>1</v>
      </c>
      <c r="F656" s="25" t="s">
        <v>309</v>
      </c>
      <c r="G656" s="25">
        <v>81897719002</v>
      </c>
      <c r="H656" s="11">
        <v>22.050240000000002</v>
      </c>
      <c r="I656" s="11">
        <f t="shared" ref="I656:I684" si="83">H656*E656</f>
        <v>22.050240000000002</v>
      </c>
      <c r="J656" s="11">
        <f>O656</f>
        <v>22.050240000000002</v>
      </c>
      <c r="K656" s="11">
        <f t="shared" ref="K656:K684" si="84">J656*E656</f>
        <v>22.050240000000002</v>
      </c>
      <c r="L656" s="10">
        <v>0</v>
      </c>
      <c r="N656" s="118">
        <f t="shared" si="81"/>
        <v>0</v>
      </c>
      <c r="O656" s="118">
        <f t="shared" si="82"/>
        <v>22.050240000000002</v>
      </c>
    </row>
    <row r="657" spans="1:15" x14ac:dyDescent="0.25">
      <c r="A657" t="s">
        <v>1915</v>
      </c>
      <c r="B657" s="5" t="s">
        <v>170</v>
      </c>
      <c r="C657" s="19">
        <v>2</v>
      </c>
      <c r="D657" s="18" t="s">
        <v>1914</v>
      </c>
      <c r="E657" s="13">
        <v>1</v>
      </c>
      <c r="F657" s="25" t="s">
        <v>170</v>
      </c>
      <c r="G657" s="25">
        <v>81897719002</v>
      </c>
      <c r="H657" s="11">
        <v>63.448</v>
      </c>
      <c r="I657" s="11">
        <f t="shared" si="83"/>
        <v>63.448</v>
      </c>
      <c r="J657" s="11">
        <f t="shared" ref="J657:J684" si="85">O657</f>
        <v>63.448</v>
      </c>
      <c r="K657" s="11">
        <f t="shared" si="84"/>
        <v>63.448</v>
      </c>
      <c r="L657" s="10">
        <v>0</v>
      </c>
      <c r="N657" s="118">
        <f t="shared" si="81"/>
        <v>0</v>
      </c>
      <c r="O657" s="118">
        <f t="shared" si="82"/>
        <v>63.448</v>
      </c>
    </row>
    <row r="658" spans="1:15" x14ac:dyDescent="0.25">
      <c r="A658" t="s">
        <v>1913</v>
      </c>
      <c r="B658" t="s">
        <v>164</v>
      </c>
      <c r="C658" s="13">
        <v>3</v>
      </c>
      <c r="D658" s="18" t="s">
        <v>165</v>
      </c>
      <c r="E658" s="13">
        <v>2</v>
      </c>
      <c r="F658" s="25" t="s">
        <v>164</v>
      </c>
      <c r="G658" s="25">
        <v>81897719002</v>
      </c>
      <c r="H658" s="11">
        <v>9.3029600000000006</v>
      </c>
      <c r="I658" s="11">
        <f t="shared" si="83"/>
        <v>18.605920000000001</v>
      </c>
      <c r="J658" s="11">
        <f t="shared" si="85"/>
        <v>9.3029600000000006</v>
      </c>
      <c r="K658" s="11">
        <f t="shared" si="84"/>
        <v>18.605920000000001</v>
      </c>
      <c r="L658" s="10">
        <v>0</v>
      </c>
      <c r="N658" s="118">
        <f t="shared" si="81"/>
        <v>0</v>
      </c>
      <c r="O658" s="118">
        <f t="shared" si="82"/>
        <v>9.3029600000000006</v>
      </c>
    </row>
    <row r="659" spans="1:15" x14ac:dyDescent="0.25">
      <c r="A659" t="s">
        <v>1912</v>
      </c>
      <c r="B659" t="s">
        <v>286</v>
      </c>
      <c r="C659" s="13">
        <v>4</v>
      </c>
      <c r="D659" s="18" t="s">
        <v>287</v>
      </c>
      <c r="E659" s="13">
        <v>1</v>
      </c>
      <c r="F659" s="25" t="s">
        <v>286</v>
      </c>
      <c r="G659" s="25">
        <v>81897719002</v>
      </c>
      <c r="H659" s="11">
        <v>13.216959999999998</v>
      </c>
      <c r="I659" s="11">
        <f t="shared" si="83"/>
        <v>13.216959999999998</v>
      </c>
      <c r="J659" s="11">
        <f t="shared" si="85"/>
        <v>13.216959999999998</v>
      </c>
      <c r="K659" s="11">
        <f t="shared" si="84"/>
        <v>13.216959999999998</v>
      </c>
      <c r="L659" s="10">
        <v>0</v>
      </c>
      <c r="N659" s="118">
        <f t="shared" si="81"/>
        <v>0</v>
      </c>
      <c r="O659" s="118">
        <f t="shared" si="82"/>
        <v>13.216959999999998</v>
      </c>
    </row>
    <row r="660" spans="1:15" x14ac:dyDescent="0.25">
      <c r="A660" t="s">
        <v>1911</v>
      </c>
      <c r="B660" t="s">
        <v>1869</v>
      </c>
      <c r="C660" s="19">
        <v>5</v>
      </c>
      <c r="D660" s="18" t="s">
        <v>410</v>
      </c>
      <c r="E660" s="13">
        <v>1</v>
      </c>
      <c r="F660" s="25" t="s">
        <v>1869</v>
      </c>
      <c r="G660" s="25">
        <v>81897719002</v>
      </c>
      <c r="H660" s="11">
        <v>8.8332800000000002</v>
      </c>
      <c r="I660" s="11">
        <f t="shared" si="83"/>
        <v>8.8332800000000002</v>
      </c>
      <c r="J660" s="11">
        <f t="shared" si="85"/>
        <v>8.8332800000000002</v>
      </c>
      <c r="K660" s="11">
        <f t="shared" si="84"/>
        <v>8.8332800000000002</v>
      </c>
      <c r="L660" s="10">
        <v>0</v>
      </c>
      <c r="N660" s="118">
        <f t="shared" si="81"/>
        <v>0</v>
      </c>
      <c r="O660" s="118">
        <f t="shared" si="82"/>
        <v>8.8332800000000002</v>
      </c>
    </row>
    <row r="661" spans="1:15" x14ac:dyDescent="0.25">
      <c r="A661" t="s">
        <v>1910</v>
      </c>
      <c r="B661" t="s">
        <v>642</v>
      </c>
      <c r="C661" s="13">
        <v>6</v>
      </c>
      <c r="D661" s="18" t="s">
        <v>1909</v>
      </c>
      <c r="E661" s="13">
        <v>1</v>
      </c>
      <c r="F661" s="25" t="s">
        <v>158</v>
      </c>
      <c r="G661" s="25" t="s">
        <v>427</v>
      </c>
      <c r="H661" s="11">
        <v>6.7567999999999993</v>
      </c>
      <c r="I661" s="11">
        <f t="shared" si="83"/>
        <v>6.7567999999999993</v>
      </c>
      <c r="J661" s="11">
        <f t="shared" si="85"/>
        <v>6.7567999999999993</v>
      </c>
      <c r="K661" s="11">
        <f t="shared" si="84"/>
        <v>6.7567999999999993</v>
      </c>
      <c r="L661" s="10">
        <v>0</v>
      </c>
      <c r="N661" s="118">
        <f t="shared" si="81"/>
        <v>0</v>
      </c>
      <c r="O661" s="118">
        <f t="shared" si="82"/>
        <v>6.7567999999999993</v>
      </c>
    </row>
    <row r="662" spans="1:15" x14ac:dyDescent="0.25">
      <c r="A662" t="s">
        <v>1908</v>
      </c>
      <c r="B662" t="s">
        <v>1834</v>
      </c>
      <c r="C662" s="13">
        <v>7</v>
      </c>
      <c r="D662" s="18" t="s">
        <v>1835</v>
      </c>
      <c r="E662" s="13">
        <v>1</v>
      </c>
      <c r="F662" s="25" t="s">
        <v>1834</v>
      </c>
      <c r="G662" s="25">
        <v>81897719002</v>
      </c>
      <c r="H662" s="11">
        <v>39.650879999999994</v>
      </c>
      <c r="I662" s="11">
        <f t="shared" si="83"/>
        <v>39.650879999999994</v>
      </c>
      <c r="J662" s="11">
        <f t="shared" si="85"/>
        <v>39.650879999999994</v>
      </c>
      <c r="K662" s="11">
        <f t="shared" si="84"/>
        <v>39.650879999999994</v>
      </c>
      <c r="L662" s="10">
        <v>0</v>
      </c>
      <c r="N662" s="118">
        <f t="shared" si="81"/>
        <v>0</v>
      </c>
      <c r="O662" s="118">
        <f t="shared" si="82"/>
        <v>39.650879999999994</v>
      </c>
    </row>
    <row r="663" spans="1:15" x14ac:dyDescent="0.25">
      <c r="A663" s="131" t="s">
        <v>1907</v>
      </c>
      <c r="C663" s="19">
        <v>8</v>
      </c>
      <c r="D663" s="18" t="s">
        <v>1906</v>
      </c>
      <c r="E663" s="13">
        <v>2</v>
      </c>
      <c r="F663" s="25" t="s">
        <v>1335</v>
      </c>
      <c r="G663" s="25">
        <v>81897719006</v>
      </c>
      <c r="H663" s="11">
        <v>52.876080000000002</v>
      </c>
      <c r="I663" s="11">
        <f t="shared" si="83"/>
        <v>105.75216</v>
      </c>
      <c r="J663" s="11">
        <f t="shared" si="85"/>
        <v>52.876080000000002</v>
      </c>
      <c r="K663" s="11">
        <f t="shared" si="84"/>
        <v>105.75216</v>
      </c>
      <c r="L663" s="10">
        <v>0</v>
      </c>
      <c r="N663" s="118">
        <f t="shared" si="81"/>
        <v>0</v>
      </c>
      <c r="O663" s="118">
        <f t="shared" si="82"/>
        <v>52.876080000000002</v>
      </c>
    </row>
    <row r="664" spans="1:15" x14ac:dyDescent="0.25">
      <c r="A664" t="s">
        <v>1905</v>
      </c>
      <c r="B664" t="s">
        <v>276</v>
      </c>
      <c r="C664" s="13">
        <v>9</v>
      </c>
      <c r="D664" s="18" t="s">
        <v>277</v>
      </c>
      <c r="E664" s="13">
        <v>2</v>
      </c>
      <c r="F664" s="25" t="s">
        <v>276</v>
      </c>
      <c r="G664" s="25">
        <v>81897719002</v>
      </c>
      <c r="H664" s="11">
        <v>38.752720000000004</v>
      </c>
      <c r="I664" s="11">
        <f t="shared" si="83"/>
        <v>77.505440000000007</v>
      </c>
      <c r="J664" s="11">
        <f t="shared" si="85"/>
        <v>38.752720000000004</v>
      </c>
      <c r="K664" s="11">
        <f t="shared" si="84"/>
        <v>77.505440000000007</v>
      </c>
      <c r="L664" s="10">
        <v>0</v>
      </c>
      <c r="N664" s="118">
        <f t="shared" si="81"/>
        <v>0</v>
      </c>
      <c r="O664" s="118">
        <f t="shared" si="82"/>
        <v>38.752720000000004</v>
      </c>
    </row>
    <row r="665" spans="1:15" x14ac:dyDescent="0.25">
      <c r="A665" t="s">
        <v>1904</v>
      </c>
      <c r="B665" t="s">
        <v>239</v>
      </c>
      <c r="C665" s="13">
        <v>10</v>
      </c>
      <c r="D665" s="18" t="s">
        <v>240</v>
      </c>
      <c r="E665" s="13">
        <v>2</v>
      </c>
      <c r="F665" s="25" t="s">
        <v>239</v>
      </c>
      <c r="G665" s="25">
        <v>81897719002</v>
      </c>
      <c r="H665" s="11">
        <v>44.042800000000007</v>
      </c>
      <c r="I665" s="11">
        <f t="shared" si="83"/>
        <v>88.085600000000014</v>
      </c>
      <c r="J665" s="11">
        <f t="shared" si="85"/>
        <v>44.042800000000007</v>
      </c>
      <c r="K665" s="11">
        <f t="shared" si="84"/>
        <v>88.085600000000014</v>
      </c>
      <c r="L665" s="10">
        <v>0</v>
      </c>
      <c r="N665" s="118">
        <f t="shared" si="81"/>
        <v>0</v>
      </c>
      <c r="O665" s="118">
        <f t="shared" si="82"/>
        <v>44.042800000000007</v>
      </c>
    </row>
    <row r="666" spans="1:15" x14ac:dyDescent="0.25">
      <c r="A666" t="s">
        <v>1903</v>
      </c>
      <c r="B666" t="s">
        <v>110</v>
      </c>
      <c r="C666" s="19">
        <v>11</v>
      </c>
      <c r="D666" s="18" t="s">
        <v>111</v>
      </c>
      <c r="E666" s="13">
        <v>1</v>
      </c>
      <c r="F666" s="25" t="s">
        <v>110</v>
      </c>
      <c r="G666" s="25">
        <v>81897719002</v>
      </c>
      <c r="H666" s="11">
        <v>49.332880000000003</v>
      </c>
      <c r="I666" s="11">
        <f t="shared" si="83"/>
        <v>49.332880000000003</v>
      </c>
      <c r="J666" s="11">
        <f t="shared" si="85"/>
        <v>49.332880000000003</v>
      </c>
      <c r="K666" s="11">
        <f t="shared" si="84"/>
        <v>49.332880000000003</v>
      </c>
      <c r="L666" s="10">
        <v>0</v>
      </c>
      <c r="N666" s="118">
        <f t="shared" si="81"/>
        <v>0</v>
      </c>
      <c r="O666" s="118">
        <f t="shared" si="82"/>
        <v>49.332880000000003</v>
      </c>
    </row>
    <row r="667" spans="1:15" x14ac:dyDescent="0.25">
      <c r="A667" t="s">
        <v>1902</v>
      </c>
      <c r="B667" t="s">
        <v>131</v>
      </c>
      <c r="C667" s="13">
        <v>12</v>
      </c>
      <c r="D667" s="18" t="s">
        <v>132</v>
      </c>
      <c r="E667" s="13">
        <v>6</v>
      </c>
      <c r="F667" s="25" t="s">
        <v>131</v>
      </c>
      <c r="G667" s="25">
        <v>81897719002</v>
      </c>
      <c r="H667" s="11">
        <v>21.152080000000002</v>
      </c>
      <c r="I667" s="11">
        <f t="shared" si="83"/>
        <v>126.91248000000002</v>
      </c>
      <c r="J667" s="11">
        <f t="shared" si="85"/>
        <v>21.152080000000002</v>
      </c>
      <c r="K667" s="11">
        <f t="shared" si="84"/>
        <v>126.91248000000002</v>
      </c>
      <c r="L667" s="10">
        <v>0</v>
      </c>
      <c r="N667" s="118">
        <f t="shared" si="81"/>
        <v>0</v>
      </c>
      <c r="O667" s="118">
        <f t="shared" si="82"/>
        <v>21.152080000000002</v>
      </c>
    </row>
    <row r="668" spans="1:15" x14ac:dyDescent="0.25">
      <c r="A668" t="s">
        <v>1901</v>
      </c>
      <c r="B668" t="s">
        <v>155</v>
      </c>
      <c r="C668" s="13">
        <v>13</v>
      </c>
      <c r="D668" s="18" t="s">
        <v>156</v>
      </c>
      <c r="E668" s="13">
        <v>2</v>
      </c>
      <c r="F668" s="25" t="s">
        <v>155</v>
      </c>
      <c r="G668" s="25">
        <v>81897719002</v>
      </c>
      <c r="H668" s="11">
        <v>10.571919999999999</v>
      </c>
      <c r="I668" s="11">
        <f t="shared" si="83"/>
        <v>21.143839999999997</v>
      </c>
      <c r="J668" s="11">
        <f t="shared" si="85"/>
        <v>10.571919999999999</v>
      </c>
      <c r="K668" s="11">
        <f t="shared" si="84"/>
        <v>21.143839999999997</v>
      </c>
      <c r="L668" s="10">
        <v>0</v>
      </c>
      <c r="N668" s="118">
        <f t="shared" si="81"/>
        <v>0</v>
      </c>
      <c r="O668" s="118">
        <f t="shared" si="82"/>
        <v>10.571919999999999</v>
      </c>
    </row>
    <row r="669" spans="1:15" x14ac:dyDescent="0.25">
      <c r="A669" t="s">
        <v>1900</v>
      </c>
      <c r="B669" t="s">
        <v>469</v>
      </c>
      <c r="C669" s="19">
        <v>14</v>
      </c>
      <c r="D669" s="18" t="s">
        <v>470</v>
      </c>
      <c r="E669" s="13">
        <v>1</v>
      </c>
      <c r="F669" s="25" t="s">
        <v>469</v>
      </c>
      <c r="G669" s="25">
        <v>81897719002</v>
      </c>
      <c r="H669" s="11">
        <v>8.8332800000000002</v>
      </c>
      <c r="I669" s="11">
        <f t="shared" si="83"/>
        <v>8.8332800000000002</v>
      </c>
      <c r="J669" s="11">
        <f t="shared" si="85"/>
        <v>8.8332800000000002</v>
      </c>
      <c r="K669" s="11">
        <f t="shared" si="84"/>
        <v>8.8332800000000002</v>
      </c>
      <c r="L669" s="10">
        <v>0</v>
      </c>
      <c r="N669" s="118">
        <f t="shared" si="81"/>
        <v>0</v>
      </c>
      <c r="O669" s="118">
        <f t="shared" si="82"/>
        <v>8.8332800000000002</v>
      </c>
    </row>
    <row r="670" spans="1:15" x14ac:dyDescent="0.25">
      <c r="A670" t="s">
        <v>1899</v>
      </c>
      <c r="B670" t="s">
        <v>230</v>
      </c>
      <c r="C670" s="13">
        <v>15</v>
      </c>
      <c r="D670" s="18" t="s">
        <v>231</v>
      </c>
      <c r="E670" s="13">
        <v>2</v>
      </c>
      <c r="F670" s="25" t="s">
        <v>230</v>
      </c>
      <c r="G670" s="25">
        <v>81897719002</v>
      </c>
      <c r="H670" s="11">
        <v>12.3188</v>
      </c>
      <c r="I670" s="11">
        <f t="shared" si="83"/>
        <v>24.637599999999999</v>
      </c>
      <c r="J670" s="11">
        <f t="shared" si="85"/>
        <v>12.3188</v>
      </c>
      <c r="K670" s="11">
        <f t="shared" si="84"/>
        <v>24.637599999999999</v>
      </c>
      <c r="L670" s="10">
        <v>0</v>
      </c>
      <c r="N670" s="118">
        <f t="shared" si="81"/>
        <v>0</v>
      </c>
      <c r="O670" s="118">
        <f t="shared" si="82"/>
        <v>12.3188</v>
      </c>
    </row>
    <row r="671" spans="1:15" x14ac:dyDescent="0.25">
      <c r="A671" t="s">
        <v>1898</v>
      </c>
      <c r="B671" t="s">
        <v>233</v>
      </c>
      <c r="C671" s="13">
        <v>16</v>
      </c>
      <c r="D671" s="18" t="s">
        <v>234</v>
      </c>
      <c r="E671" s="13">
        <v>2</v>
      </c>
      <c r="F671" s="25" t="s">
        <v>233</v>
      </c>
      <c r="G671" s="25">
        <v>81897719002</v>
      </c>
      <c r="H671" s="11">
        <v>11.470079999999999</v>
      </c>
      <c r="I671" s="11">
        <f t="shared" si="83"/>
        <v>22.940159999999999</v>
      </c>
      <c r="J671" s="11">
        <f t="shared" si="85"/>
        <v>11.470079999999999</v>
      </c>
      <c r="K671" s="11">
        <f t="shared" si="84"/>
        <v>22.940159999999999</v>
      </c>
      <c r="L671" s="10">
        <v>0</v>
      </c>
      <c r="N671" s="118">
        <f t="shared" si="81"/>
        <v>0</v>
      </c>
      <c r="O671" s="118">
        <f t="shared" si="82"/>
        <v>11.470079999999999</v>
      </c>
    </row>
    <row r="672" spans="1:15" x14ac:dyDescent="0.25">
      <c r="A672" t="s">
        <v>1897</v>
      </c>
      <c r="B672" t="s">
        <v>259</v>
      </c>
      <c r="C672" s="19">
        <v>17</v>
      </c>
      <c r="D672" s="18" t="s">
        <v>260</v>
      </c>
      <c r="E672" s="13">
        <v>2</v>
      </c>
      <c r="F672" s="25" t="s">
        <v>259</v>
      </c>
      <c r="G672" s="25">
        <v>81897719002</v>
      </c>
      <c r="H672" s="11">
        <v>21.152080000000002</v>
      </c>
      <c r="I672" s="11">
        <f t="shared" si="83"/>
        <v>42.304160000000003</v>
      </c>
      <c r="J672" s="11">
        <f t="shared" si="85"/>
        <v>21.152080000000002</v>
      </c>
      <c r="K672" s="11">
        <f t="shared" si="84"/>
        <v>42.304160000000003</v>
      </c>
      <c r="L672" s="10">
        <v>0</v>
      </c>
      <c r="N672" s="118">
        <f t="shared" si="81"/>
        <v>0</v>
      </c>
      <c r="O672" s="118">
        <f t="shared" si="82"/>
        <v>21.152080000000002</v>
      </c>
    </row>
    <row r="673" spans="1:15" x14ac:dyDescent="0.25">
      <c r="A673" t="s">
        <v>1896</v>
      </c>
      <c r="B673" t="s">
        <v>256</v>
      </c>
      <c r="C673" s="13">
        <v>18</v>
      </c>
      <c r="D673" s="18" t="s">
        <v>257</v>
      </c>
      <c r="E673" s="13">
        <v>4</v>
      </c>
      <c r="F673" s="25" t="s">
        <v>256</v>
      </c>
      <c r="G673" s="25">
        <v>81897719002</v>
      </c>
      <c r="H673" s="11">
        <v>22.050240000000002</v>
      </c>
      <c r="I673" s="11">
        <f t="shared" si="83"/>
        <v>88.200960000000009</v>
      </c>
      <c r="J673" s="11">
        <f t="shared" si="85"/>
        <v>22.050240000000002</v>
      </c>
      <c r="K673" s="11">
        <f t="shared" si="84"/>
        <v>88.200960000000009</v>
      </c>
      <c r="L673" s="10">
        <v>0</v>
      </c>
      <c r="N673" s="118">
        <f t="shared" si="81"/>
        <v>0</v>
      </c>
      <c r="O673" s="118">
        <f t="shared" si="82"/>
        <v>22.050240000000002</v>
      </c>
    </row>
    <row r="674" spans="1:15" x14ac:dyDescent="0.25">
      <c r="A674" t="s">
        <v>1895</v>
      </c>
      <c r="B674" t="s">
        <v>122</v>
      </c>
      <c r="C674" s="13">
        <v>19</v>
      </c>
      <c r="D674" s="18" t="s">
        <v>123</v>
      </c>
      <c r="E674" s="13">
        <v>2</v>
      </c>
      <c r="F674" s="25" t="s">
        <v>122</v>
      </c>
      <c r="G674" s="25">
        <v>81897719002</v>
      </c>
      <c r="H674" s="11">
        <v>21.152080000000002</v>
      </c>
      <c r="I674" s="11">
        <f t="shared" si="83"/>
        <v>42.304160000000003</v>
      </c>
      <c r="J674" s="11">
        <f t="shared" si="85"/>
        <v>21.152080000000002</v>
      </c>
      <c r="K674" s="11">
        <f t="shared" si="84"/>
        <v>42.304160000000003</v>
      </c>
      <c r="L674" s="10">
        <v>0</v>
      </c>
      <c r="N674" s="118">
        <f t="shared" si="81"/>
        <v>0</v>
      </c>
      <c r="O674" s="118">
        <f t="shared" si="82"/>
        <v>21.152080000000002</v>
      </c>
    </row>
    <row r="675" spans="1:15" x14ac:dyDescent="0.25">
      <c r="A675" t="s">
        <v>1894</v>
      </c>
      <c r="B675" t="s">
        <v>119</v>
      </c>
      <c r="C675" s="19">
        <v>20</v>
      </c>
      <c r="D675" s="18" t="s">
        <v>120</v>
      </c>
      <c r="E675" s="13">
        <v>2</v>
      </c>
      <c r="F675" s="25" t="s">
        <v>119</v>
      </c>
      <c r="G675" s="25">
        <v>81897719002</v>
      </c>
      <c r="H675" s="11">
        <v>22.050240000000002</v>
      </c>
      <c r="I675" s="11">
        <f t="shared" si="83"/>
        <v>44.100480000000005</v>
      </c>
      <c r="J675" s="11">
        <f t="shared" si="85"/>
        <v>22.050240000000002</v>
      </c>
      <c r="K675" s="11">
        <f t="shared" si="84"/>
        <v>44.100480000000005</v>
      </c>
      <c r="L675" s="10">
        <v>0</v>
      </c>
      <c r="N675" s="118">
        <f t="shared" si="81"/>
        <v>0</v>
      </c>
      <c r="O675" s="118">
        <f t="shared" si="82"/>
        <v>22.050240000000002</v>
      </c>
    </row>
    <row r="676" spans="1:15" x14ac:dyDescent="0.25">
      <c r="A676" t="s">
        <v>1893</v>
      </c>
      <c r="B676" t="s">
        <v>113</v>
      </c>
      <c r="C676" s="13">
        <v>21</v>
      </c>
      <c r="D676" s="18" t="s">
        <v>114</v>
      </c>
      <c r="E676" s="13">
        <v>2</v>
      </c>
      <c r="F676" s="25" t="s">
        <v>113</v>
      </c>
      <c r="G676" s="25">
        <v>81897719002</v>
      </c>
      <c r="H676" s="11">
        <v>26.433919999999997</v>
      </c>
      <c r="I676" s="11">
        <f t="shared" si="83"/>
        <v>52.867839999999994</v>
      </c>
      <c r="J676" s="11">
        <f t="shared" si="85"/>
        <v>26.433919999999997</v>
      </c>
      <c r="K676" s="11">
        <f t="shared" si="84"/>
        <v>52.867839999999994</v>
      </c>
      <c r="L676" s="10">
        <v>0</v>
      </c>
      <c r="N676" s="118">
        <f t="shared" si="81"/>
        <v>0</v>
      </c>
      <c r="O676" s="118">
        <f t="shared" si="82"/>
        <v>26.433919999999997</v>
      </c>
    </row>
    <row r="677" spans="1:15" x14ac:dyDescent="0.25">
      <c r="A677" t="s">
        <v>1892</v>
      </c>
      <c r="B677" t="s">
        <v>1890</v>
      </c>
      <c r="C677" s="13">
        <v>22</v>
      </c>
      <c r="D677" s="18" t="s">
        <v>1891</v>
      </c>
      <c r="E677" s="13">
        <v>2</v>
      </c>
      <c r="F677" s="25" t="s">
        <v>1890</v>
      </c>
      <c r="G677" s="25" t="s">
        <v>695</v>
      </c>
      <c r="H677" s="11">
        <v>101.36024</v>
      </c>
      <c r="I677" s="11">
        <f t="shared" si="83"/>
        <v>202.72048000000001</v>
      </c>
      <c r="J677" s="11">
        <f t="shared" si="85"/>
        <v>101.36024</v>
      </c>
      <c r="K677" s="11">
        <f t="shared" si="84"/>
        <v>202.72048000000001</v>
      </c>
      <c r="L677" s="10">
        <v>0</v>
      </c>
      <c r="N677" s="118">
        <f t="shared" si="81"/>
        <v>0</v>
      </c>
      <c r="O677" s="118">
        <f t="shared" si="82"/>
        <v>101.36024</v>
      </c>
    </row>
    <row r="678" spans="1:15" x14ac:dyDescent="0.25">
      <c r="A678" t="s">
        <v>1889</v>
      </c>
      <c r="B678" t="s">
        <v>442</v>
      </c>
      <c r="C678" s="19">
        <v>23</v>
      </c>
      <c r="D678" s="18" t="s">
        <v>443</v>
      </c>
      <c r="E678" s="13">
        <v>1</v>
      </c>
      <c r="F678" s="25" t="s">
        <v>442</v>
      </c>
      <c r="G678" s="25">
        <v>81897719002</v>
      </c>
      <c r="H678" s="11">
        <v>16.496479999999998</v>
      </c>
      <c r="I678" s="11">
        <f t="shared" si="83"/>
        <v>16.496479999999998</v>
      </c>
      <c r="J678" s="11">
        <f t="shared" si="85"/>
        <v>16.496479999999998</v>
      </c>
      <c r="K678" s="11">
        <f t="shared" si="84"/>
        <v>16.496479999999998</v>
      </c>
      <c r="L678" s="10">
        <v>0</v>
      </c>
      <c r="N678" s="118">
        <f t="shared" si="81"/>
        <v>0</v>
      </c>
      <c r="O678" s="118">
        <f t="shared" si="82"/>
        <v>16.496479999999998</v>
      </c>
    </row>
    <row r="679" spans="1:15" x14ac:dyDescent="0.25">
      <c r="A679" t="s">
        <v>1888</v>
      </c>
      <c r="B679" t="s">
        <v>335</v>
      </c>
      <c r="C679" s="13">
        <v>24</v>
      </c>
      <c r="D679" s="18" t="s">
        <v>336</v>
      </c>
      <c r="E679" s="13">
        <v>1</v>
      </c>
      <c r="F679" s="25" t="s">
        <v>335</v>
      </c>
      <c r="G679" s="25">
        <v>81897719002</v>
      </c>
      <c r="H679" s="11">
        <v>25.32976</v>
      </c>
      <c r="I679" s="11">
        <f t="shared" si="83"/>
        <v>25.32976</v>
      </c>
      <c r="J679" s="11">
        <f t="shared" si="85"/>
        <v>25.32976</v>
      </c>
      <c r="K679" s="11">
        <f t="shared" si="84"/>
        <v>25.32976</v>
      </c>
      <c r="L679" s="10">
        <v>0</v>
      </c>
      <c r="N679" s="118">
        <f t="shared" si="81"/>
        <v>0</v>
      </c>
      <c r="O679" s="118">
        <f t="shared" si="82"/>
        <v>25.32976</v>
      </c>
    </row>
    <row r="680" spans="1:15" x14ac:dyDescent="0.25">
      <c r="A680" t="s">
        <v>1887</v>
      </c>
      <c r="B680" t="s">
        <v>1753</v>
      </c>
      <c r="C680" s="13">
        <v>25</v>
      </c>
      <c r="D680" s="18" t="s">
        <v>1754</v>
      </c>
      <c r="E680" s="13">
        <v>1</v>
      </c>
      <c r="F680" s="25" t="s">
        <v>1753</v>
      </c>
      <c r="G680" s="25">
        <v>81897719002</v>
      </c>
      <c r="H680" s="11">
        <v>20.937839999999998</v>
      </c>
      <c r="I680" s="11">
        <f t="shared" si="83"/>
        <v>20.937839999999998</v>
      </c>
      <c r="J680" s="11">
        <f t="shared" si="85"/>
        <v>20.937839999999998</v>
      </c>
      <c r="K680" s="11">
        <f t="shared" si="84"/>
        <v>20.937839999999998</v>
      </c>
      <c r="L680" s="10">
        <v>0</v>
      </c>
      <c r="N680" s="118">
        <f t="shared" si="81"/>
        <v>0</v>
      </c>
      <c r="O680" s="118">
        <f t="shared" si="82"/>
        <v>20.937839999999998</v>
      </c>
    </row>
    <row r="681" spans="1:15" x14ac:dyDescent="0.25">
      <c r="A681" t="s">
        <v>1886</v>
      </c>
      <c r="B681" t="s">
        <v>554</v>
      </c>
      <c r="C681" s="19">
        <v>26</v>
      </c>
      <c r="D681" s="18" t="s">
        <v>555</v>
      </c>
      <c r="E681" s="13">
        <v>1</v>
      </c>
      <c r="F681" s="25" t="s">
        <v>554</v>
      </c>
      <c r="G681" s="25" t="s">
        <v>427</v>
      </c>
      <c r="H681" s="11">
        <v>452.58199999999999</v>
      </c>
      <c r="I681" s="11">
        <f t="shared" si="83"/>
        <v>452.58199999999999</v>
      </c>
      <c r="J681" s="11">
        <f t="shared" si="85"/>
        <v>452.58199999999999</v>
      </c>
      <c r="K681" s="11">
        <f t="shared" si="84"/>
        <v>452.58199999999999</v>
      </c>
      <c r="L681" s="10">
        <v>0</v>
      </c>
      <c r="N681" s="118">
        <f t="shared" si="81"/>
        <v>0</v>
      </c>
      <c r="O681" s="118">
        <f t="shared" si="82"/>
        <v>452.58199999999999</v>
      </c>
    </row>
    <row r="682" spans="1:15" x14ac:dyDescent="0.25">
      <c r="A682" t="s">
        <v>1885</v>
      </c>
      <c r="B682" t="s">
        <v>551</v>
      </c>
      <c r="C682" s="13">
        <v>27</v>
      </c>
      <c r="D682" s="18" t="s">
        <v>552</v>
      </c>
      <c r="E682" s="13">
        <v>1</v>
      </c>
      <c r="F682" s="25" t="s">
        <v>551</v>
      </c>
      <c r="G682" s="25" t="s">
        <v>427</v>
      </c>
      <c r="H682" s="11">
        <v>701.38055999999995</v>
      </c>
      <c r="I682" s="11">
        <f t="shared" si="83"/>
        <v>701.38055999999995</v>
      </c>
      <c r="J682" s="11">
        <f t="shared" si="85"/>
        <v>701.38055999999995</v>
      </c>
      <c r="K682" s="11">
        <f t="shared" si="84"/>
        <v>701.38055999999995</v>
      </c>
      <c r="L682" s="10">
        <v>0</v>
      </c>
      <c r="N682" s="118">
        <f t="shared" si="81"/>
        <v>0</v>
      </c>
      <c r="O682" s="118">
        <f t="shared" si="82"/>
        <v>701.38055999999995</v>
      </c>
    </row>
    <row r="683" spans="1:15" x14ac:dyDescent="0.25">
      <c r="B683" t="s">
        <v>84</v>
      </c>
      <c r="C683" s="13">
        <v>28</v>
      </c>
      <c r="D683" s="18" t="s">
        <v>85</v>
      </c>
      <c r="E683" s="13">
        <v>1</v>
      </c>
      <c r="F683" s="25" t="s">
        <v>84</v>
      </c>
      <c r="G683" s="25" t="s">
        <v>427</v>
      </c>
      <c r="H683" s="11">
        <v>773.26631999999995</v>
      </c>
      <c r="I683" s="11">
        <f t="shared" si="83"/>
        <v>773.26631999999995</v>
      </c>
      <c r="J683" s="11">
        <f t="shared" si="85"/>
        <v>773.26631999999995</v>
      </c>
      <c r="K683" s="11">
        <f t="shared" si="84"/>
        <v>773.26631999999995</v>
      </c>
      <c r="L683" s="10">
        <v>0</v>
      </c>
      <c r="N683" s="118">
        <f t="shared" si="81"/>
        <v>0</v>
      </c>
      <c r="O683" s="118">
        <f t="shared" si="82"/>
        <v>773.26631999999995</v>
      </c>
    </row>
    <row r="684" spans="1:15" x14ac:dyDescent="0.25">
      <c r="B684" t="s">
        <v>82</v>
      </c>
      <c r="C684" s="19">
        <v>29</v>
      </c>
      <c r="D684" s="18" t="s">
        <v>83</v>
      </c>
      <c r="E684" s="13">
        <v>2</v>
      </c>
      <c r="F684" s="25" t="s">
        <v>82</v>
      </c>
      <c r="G684" s="25" t="s">
        <v>427</v>
      </c>
      <c r="H684" s="11">
        <v>12.483600000000001</v>
      </c>
      <c r="I684" s="11">
        <f t="shared" si="83"/>
        <v>24.967200000000002</v>
      </c>
      <c r="J684" s="11">
        <f t="shared" si="85"/>
        <v>12.483600000000001</v>
      </c>
      <c r="K684" s="11">
        <f t="shared" si="84"/>
        <v>24.967200000000002</v>
      </c>
      <c r="L684" s="10">
        <v>0</v>
      </c>
      <c r="N684" s="118">
        <f t="shared" si="81"/>
        <v>0</v>
      </c>
      <c r="O684" s="118">
        <f t="shared" si="82"/>
        <v>12.483600000000001</v>
      </c>
    </row>
    <row r="685" spans="1:15" x14ac:dyDescent="0.25">
      <c r="C685" s="9"/>
      <c r="D685" s="8" t="s">
        <v>1</v>
      </c>
      <c r="E685" s="8">
        <f>SUM(E656:E684)</f>
        <v>50</v>
      </c>
      <c r="F685" s="8"/>
      <c r="G685" s="8"/>
      <c r="H685" s="7"/>
      <c r="I685" s="7">
        <f>SUM(I656:I684)</f>
        <v>3185.1637600000004</v>
      </c>
      <c r="J685" s="8"/>
      <c r="K685" s="7">
        <f>SUM(K656:K684)</f>
        <v>3185.1637600000004</v>
      </c>
      <c r="L685" s="6"/>
      <c r="N685" s="118">
        <f t="shared" si="81"/>
        <v>0</v>
      </c>
      <c r="O685" s="118">
        <f t="shared" si="82"/>
        <v>0</v>
      </c>
    </row>
    <row r="686" spans="1:15" x14ac:dyDescent="0.25">
      <c r="D686" t="s">
        <v>0</v>
      </c>
      <c r="N686" s="118">
        <f t="shared" si="81"/>
        <v>0</v>
      </c>
      <c r="O686" s="118">
        <f t="shared" si="82"/>
        <v>0</v>
      </c>
    </row>
    <row r="687" spans="1:15" x14ac:dyDescent="0.25">
      <c r="D687" s="24" t="s">
        <v>1884</v>
      </c>
      <c r="N687" s="118">
        <f t="shared" si="81"/>
        <v>0</v>
      </c>
      <c r="O687" s="118">
        <f t="shared" si="82"/>
        <v>0</v>
      </c>
    </row>
    <row r="688" spans="1:15" ht="30" x14ac:dyDescent="0.25">
      <c r="C688" s="24" t="s">
        <v>28</v>
      </c>
      <c r="D688" s="24" t="s">
        <v>27</v>
      </c>
      <c r="E688" s="24" t="s">
        <v>26</v>
      </c>
      <c r="F688" s="24" t="s">
        <v>25</v>
      </c>
      <c r="G688" s="24" t="s">
        <v>24</v>
      </c>
      <c r="H688" s="116" t="s">
        <v>21</v>
      </c>
      <c r="I688" s="24" t="s">
        <v>23</v>
      </c>
      <c r="J688" s="24" t="s">
        <v>2928</v>
      </c>
      <c r="K688" s="24" t="s">
        <v>2927</v>
      </c>
      <c r="L688" s="23" t="s">
        <v>22</v>
      </c>
      <c r="N688" s="118" t="e">
        <f t="shared" si="81"/>
        <v>#VALUE!</v>
      </c>
      <c r="O688" s="118" t="e">
        <f t="shared" si="82"/>
        <v>#VALUE!</v>
      </c>
    </row>
    <row r="689" spans="1:15" s="5" customFormat="1" x14ac:dyDescent="0.25">
      <c r="A689" s="5" t="s">
        <v>1883</v>
      </c>
      <c r="B689" t="s">
        <v>422</v>
      </c>
      <c r="C689" s="19">
        <v>1</v>
      </c>
      <c r="D689" s="18" t="s">
        <v>423</v>
      </c>
      <c r="E689" s="13">
        <v>2</v>
      </c>
      <c r="F689" s="25" t="s">
        <v>422</v>
      </c>
      <c r="G689" s="25">
        <v>81897719002</v>
      </c>
      <c r="H689" s="11">
        <v>39.3536</v>
      </c>
      <c r="I689" s="11">
        <f t="shared" ref="I689:I730" si="86">H689*E689</f>
        <v>78.7072</v>
      </c>
      <c r="J689" s="11">
        <f>O689</f>
        <v>39.3536</v>
      </c>
      <c r="K689" s="11">
        <f t="shared" ref="K689:K730" si="87">J689*E689</f>
        <v>78.7072</v>
      </c>
      <c r="L689" s="10">
        <v>0</v>
      </c>
      <c r="N689" s="118">
        <f t="shared" si="81"/>
        <v>0</v>
      </c>
      <c r="O689" s="118">
        <f t="shared" si="82"/>
        <v>39.3536</v>
      </c>
    </row>
    <row r="690" spans="1:15" x14ac:dyDescent="0.25">
      <c r="A690" t="s">
        <v>1882</v>
      </c>
      <c r="B690" s="5" t="s">
        <v>1880</v>
      </c>
      <c r="C690" s="19">
        <v>2</v>
      </c>
      <c r="D690" s="18" t="s">
        <v>1881</v>
      </c>
      <c r="E690" s="13">
        <v>1</v>
      </c>
      <c r="F690" s="25" t="s">
        <v>1880</v>
      </c>
      <c r="G690" s="25">
        <v>81897719002</v>
      </c>
      <c r="H690" s="11">
        <v>643.28</v>
      </c>
      <c r="I690" s="11">
        <f t="shared" si="86"/>
        <v>643.28</v>
      </c>
      <c r="J690" s="11">
        <f t="shared" ref="J690:J730" si="88">O690</f>
        <v>643.28</v>
      </c>
      <c r="K690" s="11">
        <f t="shared" si="87"/>
        <v>643.28</v>
      </c>
      <c r="L690" s="10">
        <v>0</v>
      </c>
      <c r="N690" s="118">
        <f t="shared" si="81"/>
        <v>0</v>
      </c>
      <c r="O690" s="118">
        <f t="shared" si="82"/>
        <v>643.28</v>
      </c>
    </row>
    <row r="691" spans="1:15" x14ac:dyDescent="0.25">
      <c r="A691" t="s">
        <v>1879</v>
      </c>
      <c r="B691" t="s">
        <v>1877</v>
      </c>
      <c r="C691" s="19">
        <v>3</v>
      </c>
      <c r="D691" s="18" t="s">
        <v>1878</v>
      </c>
      <c r="E691" s="13">
        <v>1</v>
      </c>
      <c r="F691" s="25" t="s">
        <v>1877</v>
      </c>
      <c r="G691" s="25">
        <v>81897719002</v>
      </c>
      <c r="H691" s="11">
        <v>1250.8528000000001</v>
      </c>
      <c r="I691" s="11">
        <f t="shared" si="86"/>
        <v>1250.8528000000001</v>
      </c>
      <c r="J691" s="11">
        <f t="shared" si="88"/>
        <v>1250.8528000000001</v>
      </c>
      <c r="K691" s="11">
        <f t="shared" si="87"/>
        <v>1250.8528000000001</v>
      </c>
      <c r="L691" s="10">
        <v>0</v>
      </c>
      <c r="N691" s="118">
        <f t="shared" si="81"/>
        <v>0</v>
      </c>
      <c r="O691" s="118">
        <f t="shared" si="82"/>
        <v>1250.8528000000001</v>
      </c>
    </row>
    <row r="692" spans="1:15" x14ac:dyDescent="0.25">
      <c r="A692" t="s">
        <v>1876</v>
      </c>
      <c r="B692" t="s">
        <v>1874</v>
      </c>
      <c r="C692" s="19">
        <v>4</v>
      </c>
      <c r="D692" s="18" t="s">
        <v>1875</v>
      </c>
      <c r="E692" s="13">
        <v>1</v>
      </c>
      <c r="F692" s="25" t="s">
        <v>1874</v>
      </c>
      <c r="G692" s="25">
        <v>81897719002</v>
      </c>
      <c r="H692" s="11">
        <v>696.89239999999995</v>
      </c>
      <c r="I692" s="11">
        <f t="shared" si="86"/>
        <v>696.89239999999995</v>
      </c>
      <c r="J692" s="11">
        <f t="shared" si="88"/>
        <v>696.89239999999995</v>
      </c>
      <c r="K692" s="11">
        <f t="shared" si="87"/>
        <v>696.89239999999995</v>
      </c>
      <c r="L692" s="10">
        <v>0</v>
      </c>
      <c r="N692" s="118">
        <f t="shared" si="81"/>
        <v>0</v>
      </c>
      <c r="O692" s="118">
        <f t="shared" si="82"/>
        <v>696.89239999999995</v>
      </c>
    </row>
    <row r="693" spans="1:15" x14ac:dyDescent="0.25">
      <c r="A693" t="s">
        <v>1873</v>
      </c>
      <c r="B693" t="s">
        <v>1871</v>
      </c>
      <c r="C693" s="19">
        <v>5</v>
      </c>
      <c r="D693" s="18" t="s">
        <v>1872</v>
      </c>
      <c r="E693" s="13">
        <v>1</v>
      </c>
      <c r="F693" s="25" t="s">
        <v>1871</v>
      </c>
      <c r="G693" s="25">
        <v>81897719002</v>
      </c>
      <c r="H693" s="11">
        <v>714.78039999999999</v>
      </c>
      <c r="I693" s="11">
        <f t="shared" si="86"/>
        <v>714.78039999999999</v>
      </c>
      <c r="J693" s="11">
        <f t="shared" si="88"/>
        <v>714.78039999999999</v>
      </c>
      <c r="K693" s="11">
        <f t="shared" si="87"/>
        <v>714.78039999999999</v>
      </c>
      <c r="L693" s="10">
        <v>0</v>
      </c>
      <c r="N693" s="118">
        <f t="shared" si="81"/>
        <v>0</v>
      </c>
      <c r="O693" s="118">
        <f t="shared" si="82"/>
        <v>714.78039999999999</v>
      </c>
    </row>
    <row r="694" spans="1:15" x14ac:dyDescent="0.25">
      <c r="A694" t="s">
        <v>1870</v>
      </c>
      <c r="B694" t="s">
        <v>1869</v>
      </c>
      <c r="C694" s="19">
        <v>6</v>
      </c>
      <c r="D694" s="18" t="s">
        <v>410</v>
      </c>
      <c r="E694" s="13">
        <v>1</v>
      </c>
      <c r="F694" s="25" t="s">
        <v>1869</v>
      </c>
      <c r="G694" s="25">
        <v>81897719002</v>
      </c>
      <c r="H694" s="11">
        <v>17.905199999999997</v>
      </c>
      <c r="I694" s="11">
        <f t="shared" si="86"/>
        <v>17.905199999999997</v>
      </c>
      <c r="J694" s="11">
        <f t="shared" si="88"/>
        <v>17.905199999999997</v>
      </c>
      <c r="K694" s="11">
        <f t="shared" si="87"/>
        <v>17.905199999999997</v>
      </c>
      <c r="L694" s="10">
        <v>0</v>
      </c>
      <c r="N694" s="118">
        <f t="shared" si="81"/>
        <v>0</v>
      </c>
      <c r="O694" s="118">
        <f t="shared" si="82"/>
        <v>17.905199999999997</v>
      </c>
    </row>
    <row r="695" spans="1:15" x14ac:dyDescent="0.25">
      <c r="A695" t="s">
        <v>1868</v>
      </c>
      <c r="B695" t="s">
        <v>1866</v>
      </c>
      <c r="C695" s="19">
        <v>7</v>
      </c>
      <c r="D695" s="18" t="s">
        <v>1867</v>
      </c>
      <c r="E695" s="13">
        <v>1</v>
      </c>
      <c r="F695" s="25" t="s">
        <v>1866</v>
      </c>
      <c r="G695" s="25">
        <v>81897719002</v>
      </c>
      <c r="H695" s="11">
        <v>134.0224</v>
      </c>
      <c r="I695" s="11">
        <f t="shared" si="86"/>
        <v>134.0224</v>
      </c>
      <c r="J695" s="11">
        <f t="shared" si="88"/>
        <v>134.0224</v>
      </c>
      <c r="K695" s="11">
        <f t="shared" si="87"/>
        <v>134.0224</v>
      </c>
      <c r="L695" s="10">
        <v>0</v>
      </c>
      <c r="N695" s="118">
        <f t="shared" si="81"/>
        <v>0</v>
      </c>
      <c r="O695" s="118">
        <f t="shared" si="82"/>
        <v>134.0224</v>
      </c>
    </row>
    <row r="696" spans="1:15" x14ac:dyDescent="0.25">
      <c r="A696" t="s">
        <v>1865</v>
      </c>
      <c r="B696" t="s">
        <v>1863</v>
      </c>
      <c r="C696" s="19">
        <v>8</v>
      </c>
      <c r="D696" s="18" t="s">
        <v>1864</v>
      </c>
      <c r="E696" s="13">
        <v>1</v>
      </c>
      <c r="F696" t="s">
        <v>1863</v>
      </c>
      <c r="G696" s="25">
        <v>81897719002</v>
      </c>
      <c r="H696" s="11">
        <v>178.72519999999997</v>
      </c>
      <c r="I696" s="11">
        <f t="shared" si="86"/>
        <v>178.72519999999997</v>
      </c>
      <c r="J696" s="11">
        <f t="shared" si="88"/>
        <v>178.72519999999997</v>
      </c>
      <c r="K696" s="11">
        <f t="shared" si="87"/>
        <v>178.72519999999997</v>
      </c>
      <c r="L696" s="10">
        <v>0</v>
      </c>
      <c r="N696" s="118">
        <f t="shared" si="81"/>
        <v>0</v>
      </c>
      <c r="O696" s="118">
        <f t="shared" si="82"/>
        <v>178.72519999999997</v>
      </c>
    </row>
    <row r="697" spans="1:15" x14ac:dyDescent="0.25">
      <c r="A697" t="s">
        <v>1862</v>
      </c>
      <c r="B697" t="s">
        <v>1860</v>
      </c>
      <c r="C697" s="19">
        <v>9</v>
      </c>
      <c r="D697" s="18" t="s">
        <v>1861</v>
      </c>
      <c r="E697" s="13">
        <v>1</v>
      </c>
      <c r="F697" s="25" t="s">
        <v>1860</v>
      </c>
      <c r="G697" s="25">
        <v>81897719002</v>
      </c>
      <c r="H697" s="11">
        <v>116.1172</v>
      </c>
      <c r="I697" s="11">
        <f t="shared" si="86"/>
        <v>116.1172</v>
      </c>
      <c r="J697" s="11">
        <f t="shared" si="88"/>
        <v>116.1172</v>
      </c>
      <c r="K697" s="11">
        <f t="shared" si="87"/>
        <v>116.1172</v>
      </c>
      <c r="L697" s="10">
        <v>0</v>
      </c>
      <c r="N697" s="118">
        <f t="shared" si="81"/>
        <v>0</v>
      </c>
      <c r="O697" s="118">
        <f t="shared" si="82"/>
        <v>116.1172</v>
      </c>
    </row>
    <row r="698" spans="1:15" x14ac:dyDescent="0.25">
      <c r="A698" t="s">
        <v>1859</v>
      </c>
      <c r="B698" t="s">
        <v>1857</v>
      </c>
      <c r="C698" s="19">
        <v>10</v>
      </c>
      <c r="D698" s="18" t="s">
        <v>1858</v>
      </c>
      <c r="E698" s="13">
        <v>2</v>
      </c>
      <c r="F698" s="25" t="s">
        <v>1857</v>
      </c>
      <c r="G698" s="25">
        <v>81897719002</v>
      </c>
      <c r="H698" s="11">
        <v>67.871200000000002</v>
      </c>
      <c r="I698" s="11">
        <f t="shared" si="86"/>
        <v>135.7424</v>
      </c>
      <c r="J698" s="11">
        <f t="shared" si="88"/>
        <v>67.871200000000002</v>
      </c>
      <c r="K698" s="11">
        <f t="shared" si="87"/>
        <v>135.7424</v>
      </c>
      <c r="L698" s="10">
        <v>0</v>
      </c>
      <c r="N698" s="118">
        <f t="shared" si="81"/>
        <v>0</v>
      </c>
      <c r="O698" s="118">
        <f t="shared" si="82"/>
        <v>67.871200000000002</v>
      </c>
    </row>
    <row r="699" spans="1:15" x14ac:dyDescent="0.25">
      <c r="A699" t="s">
        <v>1856</v>
      </c>
      <c r="B699" t="s">
        <v>1854</v>
      </c>
      <c r="C699" s="19">
        <v>11</v>
      </c>
      <c r="D699" s="18" t="s">
        <v>1855</v>
      </c>
      <c r="E699" s="13">
        <v>2</v>
      </c>
      <c r="F699" s="25" t="s">
        <v>1854</v>
      </c>
      <c r="G699" s="25">
        <v>81897719002</v>
      </c>
      <c r="H699" s="11">
        <v>80.41</v>
      </c>
      <c r="I699" s="11">
        <f t="shared" si="86"/>
        <v>160.82</v>
      </c>
      <c r="J699" s="11">
        <f t="shared" si="88"/>
        <v>80.41</v>
      </c>
      <c r="K699" s="11">
        <f t="shared" si="87"/>
        <v>160.82</v>
      </c>
      <c r="L699" s="10">
        <v>0</v>
      </c>
      <c r="N699" s="118">
        <f t="shared" si="81"/>
        <v>0</v>
      </c>
      <c r="O699" s="118">
        <f t="shared" si="82"/>
        <v>80.41</v>
      </c>
    </row>
    <row r="700" spans="1:15" x14ac:dyDescent="0.25">
      <c r="A700" t="s">
        <v>1853</v>
      </c>
      <c r="B700" t="s">
        <v>262</v>
      </c>
      <c r="C700" s="19">
        <v>12</v>
      </c>
      <c r="D700" s="18" t="s">
        <v>263</v>
      </c>
      <c r="E700" s="13">
        <v>2</v>
      </c>
      <c r="F700" s="25" t="s">
        <v>262</v>
      </c>
      <c r="G700" s="25">
        <v>81897719002</v>
      </c>
      <c r="H700" s="11">
        <v>78.586799999999997</v>
      </c>
      <c r="I700" s="11">
        <f t="shared" si="86"/>
        <v>157.17359999999999</v>
      </c>
      <c r="J700" s="11">
        <f t="shared" si="88"/>
        <v>78.586799999999997</v>
      </c>
      <c r="K700" s="11">
        <f t="shared" si="87"/>
        <v>157.17359999999999</v>
      </c>
      <c r="L700" s="10">
        <v>0</v>
      </c>
      <c r="N700" s="118">
        <f t="shared" si="81"/>
        <v>0</v>
      </c>
      <c r="O700" s="118">
        <f t="shared" si="82"/>
        <v>78.586799999999997</v>
      </c>
    </row>
    <row r="701" spans="1:15" x14ac:dyDescent="0.25">
      <c r="A701" s="131" t="s">
        <v>1852</v>
      </c>
      <c r="C701" s="19">
        <v>13</v>
      </c>
      <c r="D701" s="18" t="s">
        <v>1851</v>
      </c>
      <c r="E701" s="13">
        <v>2</v>
      </c>
      <c r="F701" t="s">
        <v>1332</v>
      </c>
      <c r="G701" s="25">
        <v>81897719006</v>
      </c>
      <c r="H701" s="11">
        <v>134.0224</v>
      </c>
      <c r="I701" s="11">
        <f t="shared" si="86"/>
        <v>268.04480000000001</v>
      </c>
      <c r="J701" s="11">
        <f t="shared" si="88"/>
        <v>134.0224</v>
      </c>
      <c r="K701" s="11">
        <f t="shared" si="87"/>
        <v>268.04480000000001</v>
      </c>
      <c r="L701" s="10">
        <v>0</v>
      </c>
      <c r="N701" s="118">
        <f t="shared" si="81"/>
        <v>0</v>
      </c>
      <c r="O701" s="118">
        <f t="shared" si="82"/>
        <v>134.0224</v>
      </c>
    </row>
    <row r="702" spans="1:15" x14ac:dyDescent="0.25">
      <c r="A702" t="s">
        <v>1850</v>
      </c>
      <c r="B702" t="s">
        <v>1848</v>
      </c>
      <c r="C702" s="19">
        <v>14</v>
      </c>
      <c r="D702" s="18" t="s">
        <v>1849</v>
      </c>
      <c r="E702" s="13">
        <v>2</v>
      </c>
      <c r="F702" s="25" t="s">
        <v>1848</v>
      </c>
      <c r="G702" s="25">
        <v>81897719002</v>
      </c>
      <c r="H702" s="11">
        <v>153.63039999999995</v>
      </c>
      <c r="I702" s="11">
        <f t="shared" si="86"/>
        <v>307.2607999999999</v>
      </c>
      <c r="J702" s="11">
        <f t="shared" si="88"/>
        <v>153.63039999999995</v>
      </c>
      <c r="K702" s="11">
        <f t="shared" si="87"/>
        <v>307.2607999999999</v>
      </c>
      <c r="L702" s="10">
        <v>0</v>
      </c>
      <c r="N702" s="118">
        <f t="shared" si="81"/>
        <v>0</v>
      </c>
      <c r="O702" s="118">
        <f t="shared" si="82"/>
        <v>153.63039999999995</v>
      </c>
    </row>
    <row r="703" spans="1:15" x14ac:dyDescent="0.25">
      <c r="A703" t="s">
        <v>1847</v>
      </c>
      <c r="B703" t="s">
        <v>110</v>
      </c>
      <c r="C703" s="19">
        <v>15</v>
      </c>
      <c r="D703" s="18" t="s">
        <v>111</v>
      </c>
      <c r="E703" s="13">
        <v>1</v>
      </c>
      <c r="F703" s="25" t="s">
        <v>110</v>
      </c>
      <c r="G703" s="25">
        <v>81897719002</v>
      </c>
      <c r="H703" s="11">
        <v>100.0352</v>
      </c>
      <c r="I703" s="11">
        <f t="shared" si="86"/>
        <v>100.0352</v>
      </c>
      <c r="J703" s="11">
        <f t="shared" si="88"/>
        <v>100.0352</v>
      </c>
      <c r="K703" s="11">
        <f t="shared" si="87"/>
        <v>100.0352</v>
      </c>
      <c r="L703" s="10">
        <v>0</v>
      </c>
      <c r="N703" s="118">
        <f t="shared" si="81"/>
        <v>0</v>
      </c>
      <c r="O703" s="118">
        <f t="shared" si="82"/>
        <v>100.0352</v>
      </c>
    </row>
    <row r="704" spans="1:15" x14ac:dyDescent="0.25">
      <c r="A704" t="s">
        <v>1846</v>
      </c>
      <c r="B704" t="s">
        <v>155</v>
      </c>
      <c r="C704" s="19">
        <v>16</v>
      </c>
      <c r="D704" s="18" t="s">
        <v>156</v>
      </c>
      <c r="E704" s="13">
        <v>1</v>
      </c>
      <c r="F704" s="25" t="s">
        <v>155</v>
      </c>
      <c r="G704" s="25">
        <v>81897719002</v>
      </c>
      <c r="H704" s="11">
        <v>21.448399999999999</v>
      </c>
      <c r="I704" s="11">
        <f t="shared" si="86"/>
        <v>21.448399999999999</v>
      </c>
      <c r="J704" s="11">
        <f t="shared" si="88"/>
        <v>21.448399999999999</v>
      </c>
      <c r="K704" s="11">
        <f t="shared" si="87"/>
        <v>21.448399999999999</v>
      </c>
      <c r="L704" s="10">
        <v>0</v>
      </c>
      <c r="N704" s="118">
        <f t="shared" si="81"/>
        <v>0</v>
      </c>
      <c r="O704" s="118">
        <f t="shared" si="82"/>
        <v>21.448399999999999</v>
      </c>
    </row>
    <row r="705" spans="1:15" x14ac:dyDescent="0.25">
      <c r="A705" t="s">
        <v>1845</v>
      </c>
      <c r="B705" t="s">
        <v>131</v>
      </c>
      <c r="C705" s="19">
        <v>17</v>
      </c>
      <c r="D705" s="18" t="s">
        <v>132</v>
      </c>
      <c r="E705" s="13">
        <v>5</v>
      </c>
      <c r="F705" s="25" t="s">
        <v>131</v>
      </c>
      <c r="G705" s="25">
        <v>81897719002</v>
      </c>
      <c r="H705" s="11">
        <v>42.879599999999996</v>
      </c>
      <c r="I705" s="11">
        <f t="shared" si="86"/>
        <v>214.39799999999997</v>
      </c>
      <c r="J705" s="11">
        <f t="shared" si="88"/>
        <v>42.879599999999996</v>
      </c>
      <c r="K705" s="11">
        <f t="shared" si="87"/>
        <v>214.39799999999997</v>
      </c>
      <c r="L705" s="10">
        <v>0</v>
      </c>
      <c r="N705" s="118">
        <f t="shared" si="81"/>
        <v>0</v>
      </c>
      <c r="O705" s="118">
        <f t="shared" si="82"/>
        <v>42.879599999999996</v>
      </c>
    </row>
    <row r="706" spans="1:15" x14ac:dyDescent="0.25">
      <c r="A706" t="s">
        <v>1844</v>
      </c>
      <c r="B706" t="s">
        <v>259</v>
      </c>
      <c r="C706" s="19">
        <v>18</v>
      </c>
      <c r="D706" s="18" t="s">
        <v>260</v>
      </c>
      <c r="E706" s="13">
        <v>8</v>
      </c>
      <c r="F706" s="25" t="s">
        <v>259</v>
      </c>
      <c r="G706" s="25">
        <v>81897719002</v>
      </c>
      <c r="H706" s="11">
        <v>42.879599999999996</v>
      </c>
      <c r="I706" s="11">
        <f t="shared" si="86"/>
        <v>343.03679999999997</v>
      </c>
      <c r="J706" s="11">
        <f t="shared" si="88"/>
        <v>42.879599999999996</v>
      </c>
      <c r="K706" s="11">
        <f t="shared" si="87"/>
        <v>343.03679999999997</v>
      </c>
      <c r="L706" s="10">
        <v>0</v>
      </c>
      <c r="N706" s="118">
        <f t="shared" si="81"/>
        <v>0</v>
      </c>
      <c r="O706" s="118">
        <f t="shared" si="82"/>
        <v>42.879599999999996</v>
      </c>
    </row>
    <row r="707" spans="1:15" x14ac:dyDescent="0.25">
      <c r="A707" t="s">
        <v>1843</v>
      </c>
      <c r="B707" t="s">
        <v>116</v>
      </c>
      <c r="C707" s="19">
        <v>19</v>
      </c>
      <c r="D707" s="18" t="s">
        <v>117</v>
      </c>
      <c r="E707" s="13">
        <v>10</v>
      </c>
      <c r="F707" s="25" t="s">
        <v>116</v>
      </c>
      <c r="G707" s="25">
        <v>81897719002</v>
      </c>
      <c r="H707" s="11">
        <v>51.789200000000001</v>
      </c>
      <c r="I707" s="11">
        <f t="shared" si="86"/>
        <v>517.89200000000005</v>
      </c>
      <c r="J707" s="11">
        <f t="shared" si="88"/>
        <v>51.789200000000001</v>
      </c>
      <c r="K707" s="11">
        <f t="shared" si="87"/>
        <v>517.89200000000005</v>
      </c>
      <c r="L707" s="10">
        <v>0</v>
      </c>
      <c r="N707" s="118">
        <f t="shared" si="81"/>
        <v>0</v>
      </c>
      <c r="O707" s="118">
        <f t="shared" si="82"/>
        <v>51.789200000000001</v>
      </c>
    </row>
    <row r="708" spans="1:15" x14ac:dyDescent="0.25">
      <c r="A708" t="s">
        <v>1842</v>
      </c>
      <c r="B708" t="s">
        <v>113</v>
      </c>
      <c r="C708" s="19">
        <v>20</v>
      </c>
      <c r="D708" s="18" t="s">
        <v>114</v>
      </c>
      <c r="E708" s="13">
        <v>6</v>
      </c>
      <c r="F708" s="25" t="s">
        <v>113</v>
      </c>
      <c r="G708" s="25">
        <v>81897719002</v>
      </c>
      <c r="H708" s="11">
        <v>53.612399999999994</v>
      </c>
      <c r="I708" s="11">
        <f t="shared" si="86"/>
        <v>321.67439999999999</v>
      </c>
      <c r="J708" s="11">
        <f t="shared" si="88"/>
        <v>53.612399999999994</v>
      </c>
      <c r="K708" s="11">
        <f t="shared" si="87"/>
        <v>321.67439999999999</v>
      </c>
      <c r="L708" s="10">
        <v>0</v>
      </c>
      <c r="N708" s="118">
        <f t="shared" ref="N708:N771" si="89">H708*L708</f>
        <v>0</v>
      </c>
      <c r="O708" s="118">
        <f t="shared" ref="O708:O771" si="90">H708-N708</f>
        <v>53.612399999999994</v>
      </c>
    </row>
    <row r="709" spans="1:15" x14ac:dyDescent="0.25">
      <c r="A709" t="s">
        <v>1775</v>
      </c>
      <c r="B709" t="s">
        <v>271</v>
      </c>
      <c r="C709" s="19">
        <v>21</v>
      </c>
      <c r="D709" s="18" t="s">
        <v>272</v>
      </c>
      <c r="E709" s="13">
        <v>1</v>
      </c>
      <c r="F709" s="25" t="s">
        <v>271</v>
      </c>
      <c r="G709" s="25">
        <v>81897719002</v>
      </c>
      <c r="H709" s="11">
        <v>89.302400000000006</v>
      </c>
      <c r="I709" s="11">
        <f t="shared" si="86"/>
        <v>89.302400000000006</v>
      </c>
      <c r="J709" s="11">
        <f t="shared" si="88"/>
        <v>89.302400000000006</v>
      </c>
      <c r="K709" s="11">
        <f t="shared" si="87"/>
        <v>89.302400000000006</v>
      </c>
      <c r="L709" s="10">
        <v>0</v>
      </c>
      <c r="N709" s="118">
        <f t="shared" si="89"/>
        <v>0</v>
      </c>
      <c r="O709" s="118">
        <f t="shared" si="90"/>
        <v>89.302400000000006</v>
      </c>
    </row>
    <row r="710" spans="1:15" x14ac:dyDescent="0.25">
      <c r="A710" t="s">
        <v>1841</v>
      </c>
      <c r="B710" t="s">
        <v>1259</v>
      </c>
      <c r="C710" s="19">
        <v>22</v>
      </c>
      <c r="D710" s="18" t="s">
        <v>1840</v>
      </c>
      <c r="E710" s="13">
        <v>1</v>
      </c>
      <c r="F710" s="25" t="s">
        <v>1259</v>
      </c>
      <c r="G710" s="25">
        <v>81897719002</v>
      </c>
      <c r="H710" s="11">
        <v>53.612399999999994</v>
      </c>
      <c r="I710" s="11">
        <f t="shared" si="86"/>
        <v>53.612399999999994</v>
      </c>
      <c r="J710" s="11">
        <f t="shared" si="88"/>
        <v>53.612399999999994</v>
      </c>
      <c r="K710" s="11">
        <f t="shared" si="87"/>
        <v>53.612399999999994</v>
      </c>
      <c r="L710" s="10">
        <v>0</v>
      </c>
      <c r="N710" s="118">
        <f t="shared" si="89"/>
        <v>0</v>
      </c>
      <c r="O710" s="118">
        <f t="shared" si="90"/>
        <v>53.612399999999994</v>
      </c>
    </row>
    <row r="711" spans="1:15" x14ac:dyDescent="0.25">
      <c r="A711" t="s">
        <v>1839</v>
      </c>
      <c r="B711" t="s">
        <v>1837</v>
      </c>
      <c r="C711" s="19">
        <v>23</v>
      </c>
      <c r="D711" s="18" t="s">
        <v>1838</v>
      </c>
      <c r="E711" s="13">
        <v>1</v>
      </c>
      <c r="F711" s="25" t="s">
        <v>1837</v>
      </c>
      <c r="G711" s="25">
        <v>81897719002</v>
      </c>
      <c r="H711" s="11">
        <v>55.435599999999994</v>
      </c>
      <c r="I711" s="11">
        <f t="shared" si="86"/>
        <v>55.435599999999994</v>
      </c>
      <c r="J711" s="11">
        <f t="shared" si="88"/>
        <v>55.435599999999994</v>
      </c>
      <c r="K711" s="11">
        <f t="shared" si="87"/>
        <v>55.435599999999994</v>
      </c>
      <c r="L711" s="10">
        <v>0</v>
      </c>
      <c r="N711" s="118">
        <f t="shared" si="89"/>
        <v>0</v>
      </c>
      <c r="O711" s="118">
        <f t="shared" si="90"/>
        <v>55.435599999999994</v>
      </c>
    </row>
    <row r="712" spans="1:15" x14ac:dyDescent="0.25">
      <c r="A712" t="s">
        <v>1836</v>
      </c>
      <c r="B712" t="s">
        <v>1834</v>
      </c>
      <c r="C712" s="19">
        <v>24</v>
      </c>
      <c r="D712" s="18" t="s">
        <v>1835</v>
      </c>
      <c r="E712" s="13">
        <v>2</v>
      </c>
      <c r="F712" s="25" t="s">
        <v>1834</v>
      </c>
      <c r="G712" s="25">
        <v>81897719002</v>
      </c>
      <c r="H712" s="11">
        <v>80.41</v>
      </c>
      <c r="I712" s="11">
        <f t="shared" si="86"/>
        <v>160.82</v>
      </c>
      <c r="J712" s="11">
        <f t="shared" si="88"/>
        <v>80.41</v>
      </c>
      <c r="K712" s="11">
        <f t="shared" si="87"/>
        <v>160.82</v>
      </c>
      <c r="L712" s="10">
        <v>0</v>
      </c>
      <c r="N712" s="118">
        <f t="shared" si="89"/>
        <v>0</v>
      </c>
      <c r="O712" s="118">
        <f t="shared" si="90"/>
        <v>80.41</v>
      </c>
    </row>
    <row r="713" spans="1:15" x14ac:dyDescent="0.25">
      <c r="A713" t="s">
        <v>1833</v>
      </c>
      <c r="B713" t="s">
        <v>1831</v>
      </c>
      <c r="C713" s="19">
        <v>25</v>
      </c>
      <c r="D713" s="18" t="s">
        <v>1832</v>
      </c>
      <c r="E713" s="13">
        <v>5</v>
      </c>
      <c r="F713" s="25" t="s">
        <v>1831</v>
      </c>
      <c r="G713" s="25">
        <v>81897719002</v>
      </c>
      <c r="H713" s="11">
        <v>134.0224</v>
      </c>
      <c r="I713" s="11">
        <f t="shared" si="86"/>
        <v>670.11200000000008</v>
      </c>
      <c r="J713" s="11">
        <f t="shared" si="88"/>
        <v>134.0224</v>
      </c>
      <c r="K713" s="11">
        <f t="shared" si="87"/>
        <v>670.11200000000008</v>
      </c>
      <c r="L713" s="10">
        <v>0</v>
      </c>
      <c r="N713" s="118">
        <f t="shared" si="89"/>
        <v>0</v>
      </c>
      <c r="O713" s="118">
        <f t="shared" si="90"/>
        <v>134.0224</v>
      </c>
    </row>
    <row r="714" spans="1:15" x14ac:dyDescent="0.25">
      <c r="A714" t="s">
        <v>1830</v>
      </c>
      <c r="B714" t="s">
        <v>1828</v>
      </c>
      <c r="C714" s="19">
        <v>26</v>
      </c>
      <c r="D714" s="18" t="s">
        <v>1829</v>
      </c>
      <c r="E714" s="13">
        <v>2</v>
      </c>
      <c r="F714" s="25" t="s">
        <v>1828</v>
      </c>
      <c r="G714" s="25">
        <v>81897719002</v>
      </c>
      <c r="H714" s="11">
        <v>53.612399999999994</v>
      </c>
      <c r="I714" s="11">
        <f t="shared" si="86"/>
        <v>107.22479999999999</v>
      </c>
      <c r="J714" s="11">
        <f t="shared" si="88"/>
        <v>53.612399999999994</v>
      </c>
      <c r="K714" s="11">
        <f t="shared" si="87"/>
        <v>107.22479999999999</v>
      </c>
      <c r="L714" s="10">
        <v>0</v>
      </c>
      <c r="N714" s="118">
        <f t="shared" si="89"/>
        <v>0</v>
      </c>
      <c r="O714" s="118">
        <f t="shared" si="90"/>
        <v>53.612399999999994</v>
      </c>
    </row>
    <row r="715" spans="1:15" x14ac:dyDescent="0.25">
      <c r="A715" t="s">
        <v>1827</v>
      </c>
      <c r="B715" t="s">
        <v>451</v>
      </c>
      <c r="C715" s="19">
        <v>27</v>
      </c>
      <c r="D715" s="18" t="s">
        <v>452</v>
      </c>
      <c r="E715" s="13">
        <v>1</v>
      </c>
      <c r="F715" s="25" t="s">
        <v>451</v>
      </c>
      <c r="G715" s="25">
        <v>81897719003</v>
      </c>
      <c r="H715" s="11">
        <v>241.23000000000002</v>
      </c>
      <c r="I715" s="11">
        <f t="shared" si="86"/>
        <v>241.23000000000002</v>
      </c>
      <c r="J715" s="11">
        <f t="shared" si="88"/>
        <v>241.23000000000002</v>
      </c>
      <c r="K715" s="11">
        <f t="shared" si="87"/>
        <v>241.23000000000002</v>
      </c>
      <c r="L715" s="10">
        <v>0</v>
      </c>
      <c r="N715" s="118">
        <f t="shared" si="89"/>
        <v>0</v>
      </c>
      <c r="O715" s="118">
        <f t="shared" si="90"/>
        <v>241.23000000000002</v>
      </c>
    </row>
    <row r="716" spans="1:15" x14ac:dyDescent="0.25">
      <c r="A716" t="s">
        <v>1826</v>
      </c>
      <c r="B716" t="s">
        <v>1053</v>
      </c>
      <c r="C716" s="19">
        <v>28</v>
      </c>
      <c r="D716" s="18" t="s">
        <v>1054</v>
      </c>
      <c r="E716" s="13">
        <v>2</v>
      </c>
      <c r="F716" s="25" t="s">
        <v>1053</v>
      </c>
      <c r="G716" s="25">
        <v>81897719003</v>
      </c>
      <c r="H716" s="11">
        <v>268.02760000000001</v>
      </c>
      <c r="I716" s="11">
        <f t="shared" si="86"/>
        <v>536.05520000000001</v>
      </c>
      <c r="J716" s="11">
        <f t="shared" si="88"/>
        <v>268.02760000000001</v>
      </c>
      <c r="K716" s="11">
        <f t="shared" si="87"/>
        <v>536.05520000000001</v>
      </c>
      <c r="L716" s="10">
        <v>0</v>
      </c>
      <c r="N716" s="118">
        <f t="shared" si="89"/>
        <v>0</v>
      </c>
      <c r="O716" s="118">
        <f t="shared" si="90"/>
        <v>268.02760000000001</v>
      </c>
    </row>
    <row r="717" spans="1:15" x14ac:dyDescent="0.25">
      <c r="A717" t="s">
        <v>1825</v>
      </c>
      <c r="B717" t="s">
        <v>107</v>
      </c>
      <c r="C717" s="19">
        <v>29</v>
      </c>
      <c r="D717" s="18" t="s">
        <v>108</v>
      </c>
      <c r="E717" s="13">
        <v>1</v>
      </c>
      <c r="F717" s="25" t="s">
        <v>107</v>
      </c>
      <c r="G717" s="25">
        <v>81897719002</v>
      </c>
      <c r="H717" s="11">
        <v>62.504800000000003</v>
      </c>
      <c r="I717" s="11">
        <f t="shared" si="86"/>
        <v>62.504800000000003</v>
      </c>
      <c r="J717" s="11">
        <f t="shared" si="88"/>
        <v>62.504800000000003</v>
      </c>
      <c r="K717" s="11">
        <f t="shared" si="87"/>
        <v>62.504800000000003</v>
      </c>
      <c r="L717" s="10">
        <v>0</v>
      </c>
      <c r="N717" s="118">
        <f t="shared" si="89"/>
        <v>0</v>
      </c>
      <c r="O717" s="118">
        <f t="shared" si="90"/>
        <v>62.504800000000003</v>
      </c>
    </row>
    <row r="718" spans="1:15" x14ac:dyDescent="0.25">
      <c r="A718" t="s">
        <v>1824</v>
      </c>
      <c r="B718" t="s">
        <v>586</v>
      </c>
      <c r="C718" s="19">
        <v>30</v>
      </c>
      <c r="D718" s="18" t="s">
        <v>587</v>
      </c>
      <c r="E718" s="13">
        <v>1</v>
      </c>
      <c r="F718" s="25" t="s">
        <v>586</v>
      </c>
      <c r="G718" s="25">
        <v>81897719002</v>
      </c>
      <c r="H718" s="11">
        <v>53.612399999999994</v>
      </c>
      <c r="I718" s="11">
        <f t="shared" si="86"/>
        <v>53.612399999999994</v>
      </c>
      <c r="J718" s="11">
        <f t="shared" si="88"/>
        <v>53.612399999999994</v>
      </c>
      <c r="K718" s="11">
        <f t="shared" si="87"/>
        <v>53.612399999999994</v>
      </c>
      <c r="L718" s="10">
        <v>0</v>
      </c>
      <c r="N718" s="118">
        <f t="shared" si="89"/>
        <v>0</v>
      </c>
      <c r="O718" s="118">
        <f t="shared" si="90"/>
        <v>53.612399999999994</v>
      </c>
    </row>
    <row r="719" spans="1:15" x14ac:dyDescent="0.25">
      <c r="A719" t="s">
        <v>1823</v>
      </c>
      <c r="B719" t="s">
        <v>1821</v>
      </c>
      <c r="C719" s="19">
        <v>31</v>
      </c>
      <c r="D719" s="18" t="s">
        <v>1822</v>
      </c>
      <c r="E719" s="13">
        <v>2</v>
      </c>
      <c r="F719" s="25" t="s">
        <v>1821</v>
      </c>
      <c r="G719" s="25">
        <v>81897719002</v>
      </c>
      <c r="H719" s="11">
        <v>78.586799999999997</v>
      </c>
      <c r="I719" s="11">
        <f t="shared" si="86"/>
        <v>157.17359999999999</v>
      </c>
      <c r="J719" s="11">
        <f t="shared" si="88"/>
        <v>78.586799999999997</v>
      </c>
      <c r="K719" s="11">
        <f t="shared" si="87"/>
        <v>157.17359999999999</v>
      </c>
      <c r="L719" s="10">
        <v>0</v>
      </c>
      <c r="N719" s="118">
        <f t="shared" si="89"/>
        <v>0</v>
      </c>
      <c r="O719" s="118">
        <f t="shared" si="90"/>
        <v>78.586799999999997</v>
      </c>
    </row>
    <row r="720" spans="1:15" x14ac:dyDescent="0.25">
      <c r="A720" t="s">
        <v>1820</v>
      </c>
      <c r="B720" t="s">
        <v>1818</v>
      </c>
      <c r="C720" s="19">
        <v>32</v>
      </c>
      <c r="D720" s="18" t="s">
        <v>1819</v>
      </c>
      <c r="E720" s="13">
        <v>1</v>
      </c>
      <c r="F720" s="25" t="s">
        <v>1818</v>
      </c>
      <c r="G720" s="25">
        <v>81897719002</v>
      </c>
      <c r="H720" s="11">
        <v>89.302400000000006</v>
      </c>
      <c r="I720" s="11">
        <f t="shared" si="86"/>
        <v>89.302400000000006</v>
      </c>
      <c r="J720" s="11">
        <f t="shared" si="88"/>
        <v>89.302400000000006</v>
      </c>
      <c r="K720" s="11">
        <f t="shared" si="87"/>
        <v>89.302400000000006</v>
      </c>
      <c r="L720" s="10">
        <v>0</v>
      </c>
      <c r="N720" s="118">
        <f t="shared" si="89"/>
        <v>0</v>
      </c>
      <c r="O720" s="118">
        <f t="shared" si="90"/>
        <v>89.302400000000006</v>
      </c>
    </row>
    <row r="721" spans="1:15" x14ac:dyDescent="0.25">
      <c r="A721" t="s">
        <v>1817</v>
      </c>
      <c r="B721" t="s">
        <v>691</v>
      </c>
      <c r="C721" s="19">
        <v>33</v>
      </c>
      <c r="D721" s="18" t="s">
        <v>692</v>
      </c>
      <c r="E721" s="13">
        <v>1</v>
      </c>
      <c r="F721" s="25" t="s">
        <v>691</v>
      </c>
      <c r="G721" s="25">
        <v>81897719002</v>
      </c>
      <c r="H721" s="11">
        <v>53.612399999999994</v>
      </c>
      <c r="I721" s="11">
        <f t="shared" si="86"/>
        <v>53.612399999999994</v>
      </c>
      <c r="J721" s="11">
        <f t="shared" si="88"/>
        <v>53.612399999999994</v>
      </c>
      <c r="K721" s="11">
        <f t="shared" si="87"/>
        <v>53.612399999999994</v>
      </c>
      <c r="L721" s="10">
        <v>0</v>
      </c>
      <c r="N721" s="118">
        <f t="shared" si="89"/>
        <v>0</v>
      </c>
      <c r="O721" s="118">
        <f t="shared" si="90"/>
        <v>53.612399999999994</v>
      </c>
    </row>
    <row r="722" spans="1:15" x14ac:dyDescent="0.25">
      <c r="A722" t="s">
        <v>1816</v>
      </c>
      <c r="B722" t="s">
        <v>511</v>
      </c>
      <c r="C722" s="19">
        <v>34</v>
      </c>
      <c r="D722" s="18" t="s">
        <v>512</v>
      </c>
      <c r="E722" s="13">
        <v>1</v>
      </c>
      <c r="F722" s="25" t="s">
        <v>511</v>
      </c>
      <c r="G722" s="25">
        <v>81897719002</v>
      </c>
      <c r="H722" s="11">
        <v>58.101600000000005</v>
      </c>
      <c r="I722" s="11">
        <f t="shared" si="86"/>
        <v>58.101600000000005</v>
      </c>
      <c r="J722" s="11">
        <f t="shared" si="88"/>
        <v>58.101600000000005</v>
      </c>
      <c r="K722" s="11">
        <f t="shared" si="87"/>
        <v>58.101600000000005</v>
      </c>
      <c r="L722" s="10">
        <v>0</v>
      </c>
      <c r="N722" s="118">
        <f t="shared" si="89"/>
        <v>0</v>
      </c>
      <c r="O722" s="118">
        <f t="shared" si="90"/>
        <v>58.101600000000005</v>
      </c>
    </row>
    <row r="723" spans="1:15" x14ac:dyDescent="0.25">
      <c r="A723" t="s">
        <v>1815</v>
      </c>
      <c r="B723" t="s">
        <v>1813</v>
      </c>
      <c r="C723" s="19">
        <v>35</v>
      </c>
      <c r="D723" s="18" t="s">
        <v>1814</v>
      </c>
      <c r="E723" s="13">
        <v>1</v>
      </c>
      <c r="F723" s="25" t="s">
        <v>1813</v>
      </c>
      <c r="G723" s="25">
        <v>81897719002</v>
      </c>
      <c r="H723" s="11">
        <v>71.517599999999987</v>
      </c>
      <c r="I723" s="11">
        <f t="shared" si="86"/>
        <v>71.517599999999987</v>
      </c>
      <c r="J723" s="11">
        <f t="shared" si="88"/>
        <v>71.517599999999987</v>
      </c>
      <c r="K723" s="11">
        <f t="shared" si="87"/>
        <v>71.517599999999987</v>
      </c>
      <c r="L723" s="10">
        <v>0</v>
      </c>
      <c r="N723" s="118">
        <f t="shared" si="89"/>
        <v>0</v>
      </c>
      <c r="O723" s="118">
        <f t="shared" si="90"/>
        <v>71.517599999999987</v>
      </c>
    </row>
    <row r="724" spans="1:15" x14ac:dyDescent="0.25">
      <c r="A724" t="s">
        <v>1812</v>
      </c>
      <c r="B724" t="s">
        <v>1810</v>
      </c>
      <c r="C724" s="19">
        <v>36</v>
      </c>
      <c r="D724" s="18" t="s">
        <v>1811</v>
      </c>
      <c r="E724" s="13">
        <v>1</v>
      </c>
      <c r="F724" s="25" t="s">
        <v>1810</v>
      </c>
      <c r="G724" s="25">
        <v>81897719002</v>
      </c>
      <c r="H724" s="11">
        <v>69.264399999999995</v>
      </c>
      <c r="I724" s="11">
        <f t="shared" si="86"/>
        <v>69.264399999999995</v>
      </c>
      <c r="J724" s="11">
        <f t="shared" si="88"/>
        <v>69.264399999999995</v>
      </c>
      <c r="K724" s="11">
        <f t="shared" si="87"/>
        <v>69.264399999999995</v>
      </c>
      <c r="L724" s="10">
        <v>0</v>
      </c>
      <c r="N724" s="118">
        <f t="shared" si="89"/>
        <v>0</v>
      </c>
      <c r="O724" s="118">
        <f t="shared" si="90"/>
        <v>69.264399999999995</v>
      </c>
    </row>
    <row r="725" spans="1:15" x14ac:dyDescent="0.25">
      <c r="A725" t="s">
        <v>1809</v>
      </c>
      <c r="B725" t="s">
        <v>89</v>
      </c>
      <c r="C725" s="19">
        <v>37</v>
      </c>
      <c r="D725" s="18" t="s">
        <v>90</v>
      </c>
      <c r="E725" s="13">
        <v>1</v>
      </c>
      <c r="F725" s="25" t="s">
        <v>89</v>
      </c>
      <c r="G725" s="25">
        <v>81897719002</v>
      </c>
      <c r="H725" s="11">
        <v>51.359199999999994</v>
      </c>
      <c r="I725" s="11">
        <f t="shared" si="86"/>
        <v>51.359199999999994</v>
      </c>
      <c r="J725" s="11">
        <f t="shared" si="88"/>
        <v>51.359199999999994</v>
      </c>
      <c r="K725" s="11">
        <f t="shared" si="87"/>
        <v>51.359199999999994</v>
      </c>
      <c r="L725" s="10">
        <v>0</v>
      </c>
      <c r="N725" s="118">
        <f t="shared" si="89"/>
        <v>0</v>
      </c>
      <c r="O725" s="118">
        <f t="shared" si="90"/>
        <v>51.359199999999994</v>
      </c>
    </row>
    <row r="726" spans="1:15" x14ac:dyDescent="0.25">
      <c r="A726" t="s">
        <v>1808</v>
      </c>
      <c r="B726" t="s">
        <v>1204</v>
      </c>
      <c r="C726" s="19">
        <v>38</v>
      </c>
      <c r="D726" s="18" t="s">
        <v>1205</v>
      </c>
      <c r="E726" s="13">
        <v>2</v>
      </c>
      <c r="F726" s="25" t="s">
        <v>1204</v>
      </c>
      <c r="G726" s="25">
        <v>81897719002</v>
      </c>
      <c r="H726" s="11">
        <v>113.864</v>
      </c>
      <c r="I726" s="11">
        <f t="shared" si="86"/>
        <v>227.72800000000001</v>
      </c>
      <c r="J726" s="11">
        <f t="shared" si="88"/>
        <v>113.864</v>
      </c>
      <c r="K726" s="11">
        <f t="shared" si="87"/>
        <v>227.72800000000001</v>
      </c>
      <c r="L726" s="10">
        <v>0</v>
      </c>
      <c r="N726" s="118">
        <f t="shared" si="89"/>
        <v>0</v>
      </c>
      <c r="O726" s="118">
        <f t="shared" si="90"/>
        <v>113.864</v>
      </c>
    </row>
    <row r="727" spans="1:15" x14ac:dyDescent="0.25">
      <c r="A727" t="s">
        <v>1807</v>
      </c>
      <c r="B727" t="s">
        <v>44</v>
      </c>
      <c r="C727" s="19">
        <v>39</v>
      </c>
      <c r="D727" s="18" t="s">
        <v>45</v>
      </c>
      <c r="E727" s="13">
        <v>1</v>
      </c>
      <c r="F727" s="25" t="s">
        <v>44</v>
      </c>
      <c r="G727" s="25" t="s">
        <v>427</v>
      </c>
      <c r="H727" s="11">
        <v>1020.0115999999999</v>
      </c>
      <c r="I727" s="11">
        <f t="shared" si="86"/>
        <v>1020.0115999999999</v>
      </c>
      <c r="J727" s="11">
        <f t="shared" si="88"/>
        <v>1020.0115999999999</v>
      </c>
      <c r="K727" s="11">
        <f t="shared" si="87"/>
        <v>1020.0115999999999</v>
      </c>
      <c r="L727" s="10">
        <v>0</v>
      </c>
      <c r="N727" s="118">
        <f t="shared" si="89"/>
        <v>0</v>
      </c>
      <c r="O727" s="118">
        <f t="shared" si="90"/>
        <v>1020.0115999999999</v>
      </c>
    </row>
    <row r="728" spans="1:15" x14ac:dyDescent="0.25">
      <c r="A728" t="s">
        <v>1806</v>
      </c>
      <c r="B728" t="s">
        <v>86</v>
      </c>
      <c r="C728" s="19">
        <v>40</v>
      </c>
      <c r="D728" s="18" t="s">
        <v>87</v>
      </c>
      <c r="E728" s="13">
        <v>1</v>
      </c>
      <c r="F728" s="25" t="s">
        <v>86</v>
      </c>
      <c r="G728" s="25" t="s">
        <v>427</v>
      </c>
      <c r="H728" s="11">
        <v>1444.0947999999999</v>
      </c>
      <c r="I728" s="11">
        <f t="shared" si="86"/>
        <v>1444.0947999999999</v>
      </c>
      <c r="J728" s="11">
        <f t="shared" si="88"/>
        <v>1444.0947999999999</v>
      </c>
      <c r="K728" s="11">
        <f t="shared" si="87"/>
        <v>1444.0947999999999</v>
      </c>
      <c r="L728" s="10">
        <v>0</v>
      </c>
      <c r="N728" s="118">
        <f t="shared" si="89"/>
        <v>0</v>
      </c>
      <c r="O728" s="118">
        <f t="shared" si="90"/>
        <v>1444.0947999999999</v>
      </c>
    </row>
    <row r="729" spans="1:15" x14ac:dyDescent="0.25">
      <c r="B729" t="s">
        <v>84</v>
      </c>
      <c r="C729" s="19">
        <v>41</v>
      </c>
      <c r="D729" s="18" t="s">
        <v>85</v>
      </c>
      <c r="E729" s="13">
        <v>1</v>
      </c>
      <c r="F729" s="25" t="s">
        <v>84</v>
      </c>
      <c r="G729" s="25" t="s">
        <v>427</v>
      </c>
      <c r="H729" s="11">
        <v>1567.9864</v>
      </c>
      <c r="I729" s="11">
        <f t="shared" si="86"/>
        <v>1567.9864</v>
      </c>
      <c r="J729" s="11">
        <f t="shared" si="88"/>
        <v>1567.9864</v>
      </c>
      <c r="K729" s="11">
        <f t="shared" si="87"/>
        <v>1567.9864</v>
      </c>
      <c r="L729" s="10">
        <v>0</v>
      </c>
      <c r="N729" s="118">
        <f t="shared" si="89"/>
        <v>0</v>
      </c>
      <c r="O729" s="118">
        <f t="shared" si="90"/>
        <v>1567.9864</v>
      </c>
    </row>
    <row r="730" spans="1:15" x14ac:dyDescent="0.25">
      <c r="B730" t="s">
        <v>82</v>
      </c>
      <c r="C730" s="19">
        <v>42</v>
      </c>
      <c r="D730" s="18" t="s">
        <v>83</v>
      </c>
      <c r="E730" s="13">
        <v>2</v>
      </c>
      <c r="F730" s="25" t="s">
        <v>82</v>
      </c>
      <c r="G730" s="25" t="s">
        <v>427</v>
      </c>
      <c r="H730" s="11">
        <v>25.318399999999997</v>
      </c>
      <c r="I730" s="11">
        <f t="shared" si="86"/>
        <v>50.636799999999994</v>
      </c>
      <c r="J730" s="11">
        <f t="shared" si="88"/>
        <v>25.318399999999997</v>
      </c>
      <c r="K730" s="11">
        <f t="shared" si="87"/>
        <v>50.636799999999994</v>
      </c>
      <c r="L730" s="10">
        <v>0</v>
      </c>
      <c r="N730" s="118">
        <f t="shared" si="89"/>
        <v>0</v>
      </c>
      <c r="O730" s="118">
        <f t="shared" si="90"/>
        <v>25.318399999999997</v>
      </c>
    </row>
    <row r="731" spans="1:15" x14ac:dyDescent="0.25">
      <c r="C731" s="9"/>
      <c r="D731" s="8" t="s">
        <v>1</v>
      </c>
      <c r="E731" s="8">
        <f>SUM(E689:E730)</f>
        <v>83</v>
      </c>
      <c r="F731" s="8"/>
      <c r="G731" s="8"/>
      <c r="H731" s="7"/>
      <c r="I731" s="7">
        <f>SUM(I689:I730)</f>
        <v>13269.507599999999</v>
      </c>
      <c r="J731" s="8"/>
      <c r="K731" s="7">
        <f>SUM(K689:K730)</f>
        <v>13269.507599999999</v>
      </c>
      <c r="L731" s="6"/>
      <c r="N731" s="118">
        <f t="shared" si="89"/>
        <v>0</v>
      </c>
      <c r="O731" s="118">
        <f t="shared" si="90"/>
        <v>0</v>
      </c>
    </row>
    <row r="732" spans="1:15" x14ac:dyDescent="0.25">
      <c r="D732" t="s">
        <v>0</v>
      </c>
      <c r="N732" s="118">
        <f t="shared" si="89"/>
        <v>0</v>
      </c>
      <c r="O732" s="118">
        <f t="shared" si="90"/>
        <v>0</v>
      </c>
    </row>
    <row r="733" spans="1:15" x14ac:dyDescent="0.25">
      <c r="D733" s="24" t="s">
        <v>1805</v>
      </c>
      <c r="N733" s="118">
        <f t="shared" si="89"/>
        <v>0</v>
      </c>
      <c r="O733" s="118">
        <f t="shared" si="90"/>
        <v>0</v>
      </c>
    </row>
    <row r="734" spans="1:15" ht="30" x14ac:dyDescent="0.25">
      <c r="C734" s="24" t="s">
        <v>28</v>
      </c>
      <c r="D734" s="24" t="s">
        <v>27</v>
      </c>
      <c r="E734" s="24" t="s">
        <v>26</v>
      </c>
      <c r="F734" s="24" t="s">
        <v>25</v>
      </c>
      <c r="G734" s="24" t="s">
        <v>24</v>
      </c>
      <c r="H734" s="116" t="s">
        <v>21</v>
      </c>
      <c r="I734" s="24" t="s">
        <v>23</v>
      </c>
      <c r="J734" s="24" t="s">
        <v>2928</v>
      </c>
      <c r="K734" s="24" t="s">
        <v>2927</v>
      </c>
      <c r="L734" s="23" t="s">
        <v>22</v>
      </c>
      <c r="N734" s="118" t="e">
        <f t="shared" si="89"/>
        <v>#VALUE!</v>
      </c>
      <c r="O734" s="118" t="e">
        <f t="shared" si="90"/>
        <v>#VALUE!</v>
      </c>
    </row>
    <row r="735" spans="1:15" x14ac:dyDescent="0.25">
      <c r="A735" t="s">
        <v>772</v>
      </c>
      <c r="B735" t="s">
        <v>422</v>
      </c>
      <c r="C735" s="13">
        <v>1</v>
      </c>
      <c r="D735" s="18" t="s">
        <v>423</v>
      </c>
      <c r="E735" s="13">
        <v>2</v>
      </c>
      <c r="F735" s="25" t="s">
        <v>422</v>
      </c>
      <c r="G735" s="25">
        <v>81897719002</v>
      </c>
      <c r="H735" s="11">
        <v>22.944800000000001</v>
      </c>
      <c r="I735" s="11">
        <f t="shared" ref="I735:I778" si="91">H735*E735</f>
        <v>45.889600000000002</v>
      </c>
      <c r="J735" s="11">
        <f>O735</f>
        <v>22.944800000000001</v>
      </c>
      <c r="K735" s="11">
        <f t="shared" ref="K735:K778" si="92">J735*E735</f>
        <v>45.889600000000002</v>
      </c>
      <c r="L735" s="10">
        <v>0</v>
      </c>
      <c r="N735" s="118">
        <f t="shared" si="89"/>
        <v>0</v>
      </c>
      <c r="O735" s="118">
        <f t="shared" si="90"/>
        <v>22.944800000000001</v>
      </c>
    </row>
    <row r="736" spans="1:15" s="5" customFormat="1" x14ac:dyDescent="0.25">
      <c r="A736" s="5" t="s">
        <v>1804</v>
      </c>
      <c r="B736" t="s">
        <v>961</v>
      </c>
      <c r="C736" s="13">
        <v>2</v>
      </c>
      <c r="D736" s="18" t="s">
        <v>962</v>
      </c>
      <c r="E736" s="13">
        <v>2</v>
      </c>
      <c r="F736" s="25" t="s">
        <v>961</v>
      </c>
      <c r="G736" s="25">
        <v>81897719002</v>
      </c>
      <c r="H736" s="11">
        <v>187.61759999999998</v>
      </c>
      <c r="I736" s="11">
        <f t="shared" si="91"/>
        <v>375.23519999999996</v>
      </c>
      <c r="J736" s="11">
        <f t="shared" ref="J736:J778" si="93">O736</f>
        <v>187.61759999999998</v>
      </c>
      <c r="K736" s="11">
        <f t="shared" si="92"/>
        <v>375.23519999999996</v>
      </c>
      <c r="L736" s="10">
        <v>0</v>
      </c>
      <c r="N736" s="118">
        <f t="shared" si="89"/>
        <v>0</v>
      </c>
      <c r="O736" s="118">
        <f t="shared" si="90"/>
        <v>187.61759999999998</v>
      </c>
    </row>
    <row r="737" spans="1:15" x14ac:dyDescent="0.25">
      <c r="A737" t="s">
        <v>1803</v>
      </c>
      <c r="B737" s="5" t="s">
        <v>1801</v>
      </c>
      <c r="C737" s="13">
        <v>3</v>
      </c>
      <c r="D737" s="18" t="s">
        <v>1802</v>
      </c>
      <c r="E737" s="13">
        <v>1</v>
      </c>
      <c r="F737" s="25" t="s">
        <v>1801</v>
      </c>
      <c r="G737" s="25">
        <v>81897719002</v>
      </c>
      <c r="H737" s="11">
        <v>651.46719999999993</v>
      </c>
      <c r="I737" s="11">
        <f t="shared" si="91"/>
        <v>651.46719999999993</v>
      </c>
      <c r="J737" s="11">
        <f t="shared" si="93"/>
        <v>651.46719999999993</v>
      </c>
      <c r="K737" s="11">
        <f t="shared" si="92"/>
        <v>651.46719999999993</v>
      </c>
      <c r="L737" s="10">
        <v>0</v>
      </c>
      <c r="N737" s="118">
        <f t="shared" si="89"/>
        <v>0</v>
      </c>
      <c r="O737" s="118">
        <f t="shared" si="90"/>
        <v>651.46719999999993</v>
      </c>
    </row>
    <row r="738" spans="1:15" x14ac:dyDescent="0.25">
      <c r="A738" t="s">
        <v>1800</v>
      </c>
      <c r="B738" t="s">
        <v>1798</v>
      </c>
      <c r="C738" s="13">
        <v>4</v>
      </c>
      <c r="D738" s="18" t="s">
        <v>1799</v>
      </c>
      <c r="E738" s="13">
        <v>1</v>
      </c>
      <c r="F738" s="25" t="s">
        <v>1798</v>
      </c>
      <c r="G738" s="25">
        <v>81897719002</v>
      </c>
      <c r="H738" s="11">
        <v>437.77440000000001</v>
      </c>
      <c r="I738" s="11">
        <f t="shared" si="91"/>
        <v>437.77440000000001</v>
      </c>
      <c r="J738" s="11">
        <f t="shared" si="93"/>
        <v>437.77440000000001</v>
      </c>
      <c r="K738" s="11">
        <f t="shared" si="92"/>
        <v>437.77440000000001</v>
      </c>
      <c r="L738" s="10">
        <v>0</v>
      </c>
      <c r="N738" s="118">
        <f t="shared" si="89"/>
        <v>0</v>
      </c>
      <c r="O738" s="118">
        <f t="shared" si="90"/>
        <v>437.77440000000001</v>
      </c>
    </row>
    <row r="739" spans="1:15" x14ac:dyDescent="0.25">
      <c r="A739" t="s">
        <v>1797</v>
      </c>
      <c r="B739" t="s">
        <v>1127</v>
      </c>
      <c r="C739" s="13">
        <v>5</v>
      </c>
      <c r="D739" s="18" t="s">
        <v>1796</v>
      </c>
      <c r="E739" s="13">
        <v>2</v>
      </c>
      <c r="F739" s="25" t="s">
        <v>1127</v>
      </c>
      <c r="G739" s="25">
        <v>81897719002</v>
      </c>
      <c r="H739" s="11">
        <v>83.36839999999998</v>
      </c>
      <c r="I739" s="11">
        <f t="shared" si="91"/>
        <v>166.73679999999996</v>
      </c>
      <c r="J739" s="11">
        <f t="shared" si="93"/>
        <v>83.36839999999998</v>
      </c>
      <c r="K739" s="11">
        <f t="shared" si="92"/>
        <v>166.73679999999996</v>
      </c>
      <c r="L739" s="10">
        <v>0</v>
      </c>
      <c r="N739" s="118">
        <f t="shared" si="89"/>
        <v>0</v>
      </c>
      <c r="O739" s="118">
        <f t="shared" si="90"/>
        <v>83.36839999999998</v>
      </c>
    </row>
    <row r="740" spans="1:15" x14ac:dyDescent="0.25">
      <c r="A740" t="s">
        <v>1795</v>
      </c>
      <c r="B740" t="s">
        <v>941</v>
      </c>
      <c r="C740" s="13">
        <v>7</v>
      </c>
      <c r="D740" s="18" t="s">
        <v>1794</v>
      </c>
      <c r="E740" s="13">
        <v>1</v>
      </c>
      <c r="F740" t="s">
        <v>941</v>
      </c>
      <c r="G740" s="25">
        <v>81897710018</v>
      </c>
      <c r="H740" s="11">
        <v>52.098799999999997</v>
      </c>
      <c r="I740" s="11">
        <f t="shared" si="91"/>
        <v>52.098799999999997</v>
      </c>
      <c r="J740" s="11">
        <f t="shared" si="93"/>
        <v>52.098799999999997</v>
      </c>
      <c r="K740" s="11">
        <f t="shared" si="92"/>
        <v>52.098799999999997</v>
      </c>
      <c r="L740" s="10">
        <v>0</v>
      </c>
      <c r="N740" s="118">
        <f t="shared" si="89"/>
        <v>0</v>
      </c>
      <c r="O740" s="118">
        <f t="shared" si="90"/>
        <v>52.098799999999997</v>
      </c>
    </row>
    <row r="741" spans="1:15" x14ac:dyDescent="0.25">
      <c r="A741" t="s">
        <v>1793</v>
      </c>
      <c r="B741" t="s">
        <v>1791</v>
      </c>
      <c r="C741" s="13">
        <v>8</v>
      </c>
      <c r="D741" s="18" t="s">
        <v>1792</v>
      </c>
      <c r="E741" s="13">
        <v>2</v>
      </c>
      <c r="F741" s="25" t="s">
        <v>1791</v>
      </c>
      <c r="G741" s="25">
        <v>81897719002</v>
      </c>
      <c r="H741" s="11">
        <v>10.4404</v>
      </c>
      <c r="I741" s="11">
        <f t="shared" si="91"/>
        <v>20.880800000000001</v>
      </c>
      <c r="J741" s="11">
        <f t="shared" si="93"/>
        <v>10.4404</v>
      </c>
      <c r="K741" s="11">
        <f t="shared" si="92"/>
        <v>20.880800000000001</v>
      </c>
      <c r="L741" s="10">
        <v>0</v>
      </c>
      <c r="N741" s="118">
        <f t="shared" si="89"/>
        <v>0</v>
      </c>
      <c r="O741" s="118">
        <f t="shared" si="90"/>
        <v>10.4404</v>
      </c>
    </row>
    <row r="742" spans="1:15" x14ac:dyDescent="0.25">
      <c r="A742" t="s">
        <v>1790</v>
      </c>
      <c r="B742" t="s">
        <v>409</v>
      </c>
      <c r="C742" s="13">
        <v>9</v>
      </c>
      <c r="D742" s="18" t="s">
        <v>485</v>
      </c>
      <c r="E742" s="13">
        <v>2</v>
      </c>
      <c r="F742" t="s">
        <v>409</v>
      </c>
      <c r="G742" s="25">
        <v>81897710021</v>
      </c>
      <c r="H742" s="11">
        <v>10.4404</v>
      </c>
      <c r="I742" s="11">
        <f t="shared" si="91"/>
        <v>20.880800000000001</v>
      </c>
      <c r="J742" s="11">
        <f t="shared" si="93"/>
        <v>10.4404</v>
      </c>
      <c r="K742" s="11">
        <f t="shared" si="92"/>
        <v>20.880800000000001</v>
      </c>
      <c r="L742" s="10">
        <v>0</v>
      </c>
      <c r="N742" s="118">
        <f t="shared" si="89"/>
        <v>0</v>
      </c>
      <c r="O742" s="118">
        <f t="shared" si="90"/>
        <v>10.4404</v>
      </c>
    </row>
    <row r="743" spans="1:15" x14ac:dyDescent="0.25">
      <c r="A743" t="s">
        <v>1789</v>
      </c>
      <c r="B743" t="s">
        <v>1102</v>
      </c>
      <c r="C743" s="13">
        <v>10</v>
      </c>
      <c r="D743" s="18" t="s">
        <v>1103</v>
      </c>
      <c r="E743" s="13">
        <v>1</v>
      </c>
      <c r="F743" s="25" t="s">
        <v>1102</v>
      </c>
      <c r="G743" s="25">
        <v>81897719002</v>
      </c>
      <c r="H743" s="11">
        <v>52.098799999999997</v>
      </c>
      <c r="I743" s="11">
        <f t="shared" si="91"/>
        <v>52.098799999999997</v>
      </c>
      <c r="J743" s="11">
        <f t="shared" si="93"/>
        <v>52.098799999999997</v>
      </c>
      <c r="K743" s="11">
        <f t="shared" si="92"/>
        <v>52.098799999999997</v>
      </c>
      <c r="L743" s="10">
        <v>0</v>
      </c>
      <c r="N743" s="118">
        <f t="shared" si="89"/>
        <v>0</v>
      </c>
      <c r="O743" s="118">
        <f t="shared" si="90"/>
        <v>52.098799999999997</v>
      </c>
    </row>
    <row r="744" spans="1:15" x14ac:dyDescent="0.25">
      <c r="A744" t="s">
        <v>1788</v>
      </c>
      <c r="B744" t="s">
        <v>230</v>
      </c>
      <c r="C744" s="13">
        <v>11</v>
      </c>
      <c r="D744" s="18" t="s">
        <v>231</v>
      </c>
      <c r="E744" s="13">
        <v>1</v>
      </c>
      <c r="F744" s="25" t="s">
        <v>230</v>
      </c>
      <c r="G744" s="25">
        <v>81897719002</v>
      </c>
      <c r="H744" s="11">
        <v>14.5684</v>
      </c>
      <c r="I744" s="11">
        <f t="shared" si="91"/>
        <v>14.5684</v>
      </c>
      <c r="J744" s="11">
        <f t="shared" si="93"/>
        <v>14.5684</v>
      </c>
      <c r="K744" s="11">
        <f t="shared" si="92"/>
        <v>14.5684</v>
      </c>
      <c r="L744" s="10">
        <v>0</v>
      </c>
      <c r="N744" s="118">
        <f t="shared" si="89"/>
        <v>0</v>
      </c>
      <c r="O744" s="118">
        <f t="shared" si="90"/>
        <v>14.5684</v>
      </c>
    </row>
    <row r="745" spans="1:15" x14ac:dyDescent="0.25">
      <c r="A745" t="s">
        <v>473</v>
      </c>
      <c r="B745" t="s">
        <v>233</v>
      </c>
      <c r="C745" s="13">
        <v>12</v>
      </c>
      <c r="D745" s="18" t="s">
        <v>234</v>
      </c>
      <c r="E745" s="13">
        <v>1</v>
      </c>
      <c r="F745" s="25" t="s">
        <v>233</v>
      </c>
      <c r="G745" s="25">
        <v>81897719002</v>
      </c>
      <c r="H745" s="11">
        <v>13.570799999999998</v>
      </c>
      <c r="I745" s="11">
        <f t="shared" si="91"/>
        <v>13.570799999999998</v>
      </c>
      <c r="J745" s="11">
        <f t="shared" si="93"/>
        <v>13.570799999999998</v>
      </c>
      <c r="K745" s="11">
        <f t="shared" si="92"/>
        <v>13.570799999999998</v>
      </c>
      <c r="L745" s="10">
        <v>0</v>
      </c>
      <c r="N745" s="118">
        <f t="shared" si="89"/>
        <v>0</v>
      </c>
      <c r="O745" s="118">
        <f t="shared" si="90"/>
        <v>13.570799999999998</v>
      </c>
    </row>
    <row r="746" spans="1:15" x14ac:dyDescent="0.25">
      <c r="A746" t="s">
        <v>1787</v>
      </c>
      <c r="B746" t="s">
        <v>152</v>
      </c>
      <c r="C746" s="13">
        <v>13</v>
      </c>
      <c r="D746" s="18" t="s">
        <v>153</v>
      </c>
      <c r="E746" s="13">
        <v>2</v>
      </c>
      <c r="F746" s="25" t="s">
        <v>152</v>
      </c>
      <c r="G746" s="25">
        <v>81897719002</v>
      </c>
      <c r="H746" s="11">
        <v>14.5684</v>
      </c>
      <c r="I746" s="11">
        <f t="shared" si="91"/>
        <v>29.136800000000001</v>
      </c>
      <c r="J746" s="11">
        <f t="shared" si="93"/>
        <v>14.5684</v>
      </c>
      <c r="K746" s="11">
        <f t="shared" si="92"/>
        <v>29.136800000000001</v>
      </c>
      <c r="L746" s="10">
        <v>0</v>
      </c>
      <c r="N746" s="118">
        <f t="shared" si="89"/>
        <v>0</v>
      </c>
      <c r="O746" s="118">
        <f t="shared" si="90"/>
        <v>14.5684</v>
      </c>
    </row>
    <row r="747" spans="1:15" x14ac:dyDescent="0.25">
      <c r="A747" t="s">
        <v>1786</v>
      </c>
      <c r="B747" t="s">
        <v>155</v>
      </c>
      <c r="C747" s="13">
        <v>14</v>
      </c>
      <c r="D747" s="18" t="s">
        <v>156</v>
      </c>
      <c r="E747" s="13">
        <v>2</v>
      </c>
      <c r="F747" s="25" t="s">
        <v>155</v>
      </c>
      <c r="G747" s="25">
        <v>81897719002</v>
      </c>
      <c r="H747" s="11">
        <v>12.5044</v>
      </c>
      <c r="I747" s="11">
        <f t="shared" si="91"/>
        <v>25.008800000000001</v>
      </c>
      <c r="J747" s="11">
        <f t="shared" si="93"/>
        <v>12.5044</v>
      </c>
      <c r="K747" s="11">
        <f t="shared" si="92"/>
        <v>25.008800000000001</v>
      </c>
      <c r="L747" s="10">
        <v>0</v>
      </c>
      <c r="N747" s="118">
        <f t="shared" si="89"/>
        <v>0</v>
      </c>
      <c r="O747" s="118">
        <f t="shared" si="90"/>
        <v>12.5044</v>
      </c>
    </row>
    <row r="748" spans="1:15" x14ac:dyDescent="0.25">
      <c r="A748" t="s">
        <v>1785</v>
      </c>
      <c r="B748" t="s">
        <v>149</v>
      </c>
      <c r="C748" s="13">
        <v>15</v>
      </c>
      <c r="D748" s="18" t="s">
        <v>150</v>
      </c>
      <c r="E748" s="13">
        <v>2</v>
      </c>
      <c r="F748" s="25" t="s">
        <v>149</v>
      </c>
      <c r="G748" s="25">
        <v>81897719002</v>
      </c>
      <c r="H748" s="11">
        <v>13.570799999999998</v>
      </c>
      <c r="I748" s="11">
        <f t="shared" si="91"/>
        <v>27.141599999999997</v>
      </c>
      <c r="J748" s="11">
        <f t="shared" si="93"/>
        <v>13.570799999999998</v>
      </c>
      <c r="K748" s="11">
        <f t="shared" si="92"/>
        <v>27.141599999999997</v>
      </c>
      <c r="L748" s="10">
        <v>0</v>
      </c>
      <c r="N748" s="118">
        <f t="shared" si="89"/>
        <v>0</v>
      </c>
      <c r="O748" s="118">
        <f t="shared" si="90"/>
        <v>13.570799999999998</v>
      </c>
    </row>
    <row r="749" spans="1:15" x14ac:dyDescent="0.25">
      <c r="A749" t="s">
        <v>1784</v>
      </c>
      <c r="B749" t="s">
        <v>146</v>
      </c>
      <c r="C749" s="13">
        <v>16</v>
      </c>
      <c r="D749" s="18" t="s">
        <v>147</v>
      </c>
      <c r="E749" s="13">
        <v>2</v>
      </c>
      <c r="F749" s="25" t="s">
        <v>146</v>
      </c>
      <c r="G749" s="25">
        <v>81897719002</v>
      </c>
      <c r="H749" s="11">
        <v>15.6348</v>
      </c>
      <c r="I749" s="11">
        <f t="shared" si="91"/>
        <v>31.269600000000001</v>
      </c>
      <c r="J749" s="11">
        <f t="shared" si="93"/>
        <v>15.6348</v>
      </c>
      <c r="K749" s="11">
        <f t="shared" si="92"/>
        <v>31.269600000000001</v>
      </c>
      <c r="L749" s="10">
        <v>0</v>
      </c>
      <c r="N749" s="118">
        <f t="shared" si="89"/>
        <v>0</v>
      </c>
      <c r="O749" s="118">
        <f t="shared" si="90"/>
        <v>15.6348</v>
      </c>
    </row>
    <row r="750" spans="1:15" x14ac:dyDescent="0.25">
      <c r="A750" t="s">
        <v>1783</v>
      </c>
      <c r="B750" t="s">
        <v>1781</v>
      </c>
      <c r="C750" s="13">
        <v>17</v>
      </c>
      <c r="D750" s="18" t="s">
        <v>1782</v>
      </c>
      <c r="E750" s="13">
        <v>2</v>
      </c>
      <c r="F750" s="25" t="s">
        <v>1781</v>
      </c>
      <c r="G750" s="25">
        <v>81897719002</v>
      </c>
      <c r="H750" s="11">
        <v>62.539200000000001</v>
      </c>
      <c r="I750" s="11">
        <f t="shared" si="91"/>
        <v>125.0784</v>
      </c>
      <c r="J750" s="11">
        <f t="shared" si="93"/>
        <v>62.539200000000001</v>
      </c>
      <c r="K750" s="11">
        <f t="shared" si="92"/>
        <v>125.0784</v>
      </c>
      <c r="L750" s="10">
        <v>0</v>
      </c>
      <c r="N750" s="118">
        <f t="shared" si="89"/>
        <v>0</v>
      </c>
      <c r="O750" s="118">
        <f t="shared" si="90"/>
        <v>62.539200000000001</v>
      </c>
    </row>
    <row r="751" spans="1:15" x14ac:dyDescent="0.25">
      <c r="A751" t="s">
        <v>1780</v>
      </c>
      <c r="B751" t="s">
        <v>1778</v>
      </c>
      <c r="C751" s="13">
        <v>18</v>
      </c>
      <c r="D751" s="18" t="s">
        <v>1779</v>
      </c>
      <c r="E751" s="13">
        <v>2</v>
      </c>
      <c r="F751" s="25" t="s">
        <v>1778</v>
      </c>
      <c r="G751" s="25">
        <v>81897719002</v>
      </c>
      <c r="H751" s="11">
        <v>83.36839999999998</v>
      </c>
      <c r="I751" s="11">
        <f t="shared" si="91"/>
        <v>166.73679999999996</v>
      </c>
      <c r="J751" s="11">
        <f t="shared" si="93"/>
        <v>83.36839999999998</v>
      </c>
      <c r="K751" s="11">
        <f t="shared" si="92"/>
        <v>166.73679999999996</v>
      </c>
      <c r="L751" s="10">
        <v>0</v>
      </c>
      <c r="N751" s="118">
        <f t="shared" si="89"/>
        <v>0</v>
      </c>
      <c r="O751" s="118">
        <f t="shared" si="90"/>
        <v>83.36839999999998</v>
      </c>
    </row>
    <row r="752" spans="1:15" x14ac:dyDescent="0.25">
      <c r="A752" t="s">
        <v>1777</v>
      </c>
      <c r="B752" t="s">
        <v>131</v>
      </c>
      <c r="C752" s="13">
        <v>19</v>
      </c>
      <c r="D752" s="18" t="s">
        <v>132</v>
      </c>
      <c r="E752" s="13">
        <v>6</v>
      </c>
      <c r="F752" s="25" t="s">
        <v>131</v>
      </c>
      <c r="G752" s="25">
        <v>81897719002</v>
      </c>
      <c r="H752" s="11">
        <v>25.008800000000001</v>
      </c>
      <c r="I752" s="11">
        <f t="shared" si="91"/>
        <v>150.05279999999999</v>
      </c>
      <c r="J752" s="11">
        <f t="shared" si="93"/>
        <v>25.008800000000001</v>
      </c>
      <c r="K752" s="11">
        <f t="shared" si="92"/>
        <v>150.05279999999999</v>
      </c>
      <c r="L752" s="10">
        <v>0</v>
      </c>
      <c r="N752" s="118">
        <f t="shared" si="89"/>
        <v>0</v>
      </c>
      <c r="O752" s="118">
        <f t="shared" si="90"/>
        <v>25.008800000000001</v>
      </c>
    </row>
    <row r="753" spans="1:15" x14ac:dyDescent="0.25">
      <c r="A753" t="s">
        <v>1776</v>
      </c>
      <c r="B753" t="s">
        <v>110</v>
      </c>
      <c r="C753" s="13">
        <v>20</v>
      </c>
      <c r="D753" s="18" t="s">
        <v>111</v>
      </c>
      <c r="E753" s="13">
        <v>1</v>
      </c>
      <c r="F753" s="25" t="s">
        <v>110</v>
      </c>
      <c r="G753" s="25">
        <v>81897719002</v>
      </c>
      <c r="H753" s="11">
        <v>58.342400000000005</v>
      </c>
      <c r="I753" s="11">
        <f t="shared" si="91"/>
        <v>58.342400000000005</v>
      </c>
      <c r="J753" s="11">
        <f t="shared" si="93"/>
        <v>58.342400000000005</v>
      </c>
      <c r="K753" s="11">
        <f t="shared" si="92"/>
        <v>58.342400000000005</v>
      </c>
      <c r="L753" s="10">
        <v>0</v>
      </c>
      <c r="N753" s="118">
        <f t="shared" si="89"/>
        <v>0</v>
      </c>
      <c r="O753" s="118">
        <f t="shared" si="90"/>
        <v>58.342400000000005</v>
      </c>
    </row>
    <row r="754" spans="1:15" x14ac:dyDescent="0.25">
      <c r="A754" t="s">
        <v>1775</v>
      </c>
      <c r="B754" t="s">
        <v>271</v>
      </c>
      <c r="C754" s="13">
        <v>21</v>
      </c>
      <c r="D754" s="18" t="s">
        <v>272</v>
      </c>
      <c r="E754" s="13">
        <v>1</v>
      </c>
      <c r="F754" s="25" t="s">
        <v>271</v>
      </c>
      <c r="G754" s="25">
        <v>81897719002</v>
      </c>
      <c r="H754" s="11">
        <v>52.098799999999997</v>
      </c>
      <c r="I754" s="11">
        <f t="shared" si="91"/>
        <v>52.098799999999997</v>
      </c>
      <c r="J754" s="11">
        <f t="shared" si="93"/>
        <v>52.098799999999997</v>
      </c>
      <c r="K754" s="11">
        <f t="shared" si="92"/>
        <v>52.098799999999997</v>
      </c>
      <c r="L754" s="10">
        <v>0</v>
      </c>
      <c r="N754" s="118">
        <f t="shared" si="89"/>
        <v>0</v>
      </c>
      <c r="O754" s="118">
        <f t="shared" si="90"/>
        <v>52.098799999999997</v>
      </c>
    </row>
    <row r="755" spans="1:15" x14ac:dyDescent="0.25">
      <c r="A755" t="s">
        <v>1774</v>
      </c>
      <c r="B755" t="s">
        <v>1772</v>
      </c>
      <c r="C755" s="13">
        <v>22</v>
      </c>
      <c r="D755" s="18" t="s">
        <v>1773</v>
      </c>
      <c r="E755" s="13">
        <v>2</v>
      </c>
      <c r="F755" s="25" t="s">
        <v>1772</v>
      </c>
      <c r="G755" s="25">
        <v>81897719002</v>
      </c>
      <c r="H755" s="11">
        <v>60.475199999999987</v>
      </c>
      <c r="I755" s="11">
        <f t="shared" si="91"/>
        <v>120.95039999999997</v>
      </c>
      <c r="J755" s="11">
        <f t="shared" si="93"/>
        <v>60.475199999999987</v>
      </c>
      <c r="K755" s="11">
        <f t="shared" si="92"/>
        <v>120.95039999999997</v>
      </c>
      <c r="L755" s="10">
        <v>0</v>
      </c>
      <c r="N755" s="118">
        <f t="shared" si="89"/>
        <v>0</v>
      </c>
      <c r="O755" s="118">
        <f t="shared" si="90"/>
        <v>60.475199999999987</v>
      </c>
    </row>
    <row r="756" spans="1:15" x14ac:dyDescent="0.25">
      <c r="A756" t="s">
        <v>1771</v>
      </c>
      <c r="B756" t="s">
        <v>368</v>
      </c>
      <c r="C756" s="13">
        <v>23</v>
      </c>
      <c r="D756" s="18" t="s">
        <v>369</v>
      </c>
      <c r="E756" s="13">
        <v>1</v>
      </c>
      <c r="F756" s="25" t="s">
        <v>368</v>
      </c>
      <c r="G756" s="25">
        <v>81897719002</v>
      </c>
      <c r="H756" s="11">
        <v>37.5304</v>
      </c>
      <c r="I756" s="11">
        <f t="shared" si="91"/>
        <v>37.5304</v>
      </c>
      <c r="J756" s="11">
        <f t="shared" si="93"/>
        <v>37.5304</v>
      </c>
      <c r="K756" s="11">
        <f t="shared" si="92"/>
        <v>37.5304</v>
      </c>
      <c r="L756" s="10">
        <v>0</v>
      </c>
      <c r="N756" s="118">
        <f t="shared" si="89"/>
        <v>0</v>
      </c>
      <c r="O756" s="118">
        <f t="shared" si="90"/>
        <v>37.5304</v>
      </c>
    </row>
    <row r="757" spans="1:15" x14ac:dyDescent="0.25">
      <c r="A757" t="s">
        <v>1770</v>
      </c>
      <c r="B757" t="s">
        <v>256</v>
      </c>
      <c r="C757" s="13">
        <v>24</v>
      </c>
      <c r="D757" s="18" t="s">
        <v>257</v>
      </c>
      <c r="E757" s="13">
        <v>6</v>
      </c>
      <c r="F757" s="25" t="s">
        <v>256</v>
      </c>
      <c r="G757" s="25">
        <v>81897719002</v>
      </c>
      <c r="H757" s="11">
        <v>26.075199999999999</v>
      </c>
      <c r="I757" s="11">
        <f t="shared" si="91"/>
        <v>156.4512</v>
      </c>
      <c r="J757" s="11">
        <f t="shared" si="93"/>
        <v>26.075199999999999</v>
      </c>
      <c r="K757" s="11">
        <f t="shared" si="92"/>
        <v>156.4512</v>
      </c>
      <c r="L757" s="10">
        <v>0</v>
      </c>
      <c r="N757" s="118">
        <f t="shared" si="89"/>
        <v>0</v>
      </c>
      <c r="O757" s="118">
        <f t="shared" si="90"/>
        <v>26.075199999999999</v>
      </c>
    </row>
    <row r="758" spans="1:15" x14ac:dyDescent="0.25">
      <c r="A758" t="s">
        <v>1769</v>
      </c>
      <c r="B758" t="s">
        <v>259</v>
      </c>
      <c r="C758" s="13">
        <v>25</v>
      </c>
      <c r="D758" s="18" t="s">
        <v>260</v>
      </c>
      <c r="E758" s="13">
        <v>6</v>
      </c>
      <c r="F758" s="25" t="s">
        <v>259</v>
      </c>
      <c r="G758" s="25">
        <v>81897719002</v>
      </c>
      <c r="H758" s="11">
        <v>25.008800000000001</v>
      </c>
      <c r="I758" s="11">
        <f t="shared" si="91"/>
        <v>150.05279999999999</v>
      </c>
      <c r="J758" s="11">
        <f t="shared" si="93"/>
        <v>25.008800000000001</v>
      </c>
      <c r="K758" s="11">
        <f t="shared" si="92"/>
        <v>150.05279999999999</v>
      </c>
      <c r="L758" s="10">
        <v>0</v>
      </c>
      <c r="N758" s="118">
        <f t="shared" si="89"/>
        <v>0</v>
      </c>
      <c r="O758" s="118">
        <f t="shared" si="90"/>
        <v>25.008800000000001</v>
      </c>
    </row>
    <row r="759" spans="1:15" x14ac:dyDescent="0.25">
      <c r="A759" t="s">
        <v>1768</v>
      </c>
      <c r="B759" t="s">
        <v>119</v>
      </c>
      <c r="C759" s="13">
        <v>26</v>
      </c>
      <c r="D759" s="18" t="s">
        <v>120</v>
      </c>
      <c r="E759" s="13">
        <v>6</v>
      </c>
      <c r="F759" s="25" t="s">
        <v>119</v>
      </c>
      <c r="G759" s="25">
        <v>81897719002</v>
      </c>
      <c r="H759" s="11">
        <v>26.075199999999999</v>
      </c>
      <c r="I759" s="11">
        <f t="shared" si="91"/>
        <v>156.4512</v>
      </c>
      <c r="J759" s="11">
        <f t="shared" si="93"/>
        <v>26.075199999999999</v>
      </c>
      <c r="K759" s="11">
        <f t="shared" si="92"/>
        <v>156.4512</v>
      </c>
      <c r="L759" s="10">
        <v>0</v>
      </c>
      <c r="N759" s="118">
        <f t="shared" si="89"/>
        <v>0</v>
      </c>
      <c r="O759" s="118">
        <f t="shared" si="90"/>
        <v>26.075199999999999</v>
      </c>
    </row>
    <row r="760" spans="1:15" x14ac:dyDescent="0.25">
      <c r="A760" t="s">
        <v>1767</v>
      </c>
      <c r="B760" t="s">
        <v>122</v>
      </c>
      <c r="C760" s="13">
        <v>27</v>
      </c>
      <c r="D760" s="18" t="s">
        <v>123</v>
      </c>
      <c r="E760" s="13">
        <v>6</v>
      </c>
      <c r="F760" s="25" t="s">
        <v>122</v>
      </c>
      <c r="G760" s="25">
        <v>81897719002</v>
      </c>
      <c r="H760" s="11">
        <v>25.008800000000001</v>
      </c>
      <c r="I760" s="11">
        <f t="shared" si="91"/>
        <v>150.05279999999999</v>
      </c>
      <c r="J760" s="11">
        <f t="shared" si="93"/>
        <v>25.008800000000001</v>
      </c>
      <c r="K760" s="11">
        <f t="shared" si="92"/>
        <v>150.05279999999999</v>
      </c>
      <c r="L760" s="10">
        <v>0</v>
      </c>
      <c r="N760" s="118">
        <f t="shared" si="89"/>
        <v>0</v>
      </c>
      <c r="O760" s="118">
        <f t="shared" si="90"/>
        <v>25.008800000000001</v>
      </c>
    </row>
    <row r="761" spans="1:15" x14ac:dyDescent="0.25">
      <c r="A761" t="s">
        <v>1766</v>
      </c>
      <c r="B761" t="s">
        <v>248</v>
      </c>
      <c r="C761" s="13">
        <v>28</v>
      </c>
      <c r="D761" s="18" t="s">
        <v>249</v>
      </c>
      <c r="E761" s="13">
        <v>2</v>
      </c>
      <c r="F761" s="25" t="s">
        <v>248</v>
      </c>
      <c r="G761" s="25">
        <v>81897719002</v>
      </c>
      <c r="H761" s="11">
        <v>28.139199999999995</v>
      </c>
      <c r="I761" s="11">
        <f t="shared" si="91"/>
        <v>56.278399999999991</v>
      </c>
      <c r="J761" s="11">
        <f t="shared" si="93"/>
        <v>28.139199999999995</v>
      </c>
      <c r="K761" s="11">
        <f t="shared" si="92"/>
        <v>56.278399999999991</v>
      </c>
      <c r="L761" s="10">
        <v>0</v>
      </c>
      <c r="N761" s="118">
        <f t="shared" si="89"/>
        <v>0</v>
      </c>
      <c r="O761" s="118">
        <f t="shared" si="90"/>
        <v>28.139199999999995</v>
      </c>
    </row>
    <row r="762" spans="1:15" x14ac:dyDescent="0.25">
      <c r="A762" t="s">
        <v>1765</v>
      </c>
      <c r="B762" t="s">
        <v>251</v>
      </c>
      <c r="C762" s="13">
        <v>29</v>
      </c>
      <c r="D762" s="18" t="s">
        <v>252</v>
      </c>
      <c r="E762" s="13">
        <v>2</v>
      </c>
      <c r="F762" s="25" t="s">
        <v>251</v>
      </c>
      <c r="G762" s="25">
        <v>81897719002</v>
      </c>
      <c r="H762" s="11">
        <v>27.072800000000001</v>
      </c>
      <c r="I762" s="11">
        <f t="shared" si="91"/>
        <v>54.145600000000002</v>
      </c>
      <c r="J762" s="11">
        <f t="shared" si="93"/>
        <v>27.072800000000001</v>
      </c>
      <c r="K762" s="11">
        <f t="shared" si="92"/>
        <v>54.145600000000002</v>
      </c>
      <c r="L762" s="10">
        <v>0</v>
      </c>
      <c r="N762" s="118">
        <f t="shared" si="89"/>
        <v>0</v>
      </c>
      <c r="O762" s="118">
        <f t="shared" si="90"/>
        <v>27.072800000000001</v>
      </c>
    </row>
    <row r="763" spans="1:15" x14ac:dyDescent="0.25">
      <c r="A763" t="s">
        <v>1764</v>
      </c>
      <c r="B763" t="s">
        <v>1762</v>
      </c>
      <c r="C763" s="13">
        <v>30</v>
      </c>
      <c r="D763" s="18" t="s">
        <v>1763</v>
      </c>
      <c r="E763" s="13">
        <v>1</v>
      </c>
      <c r="F763" s="25" t="s">
        <v>1762</v>
      </c>
      <c r="G763" s="25">
        <v>81897719002</v>
      </c>
      <c r="H763" s="11">
        <v>26.075199999999999</v>
      </c>
      <c r="I763" s="11">
        <f t="shared" si="91"/>
        <v>26.075199999999999</v>
      </c>
      <c r="J763" s="11">
        <f t="shared" si="93"/>
        <v>26.075199999999999</v>
      </c>
      <c r="K763" s="11">
        <f t="shared" si="92"/>
        <v>26.075199999999999</v>
      </c>
      <c r="L763" s="10">
        <v>0</v>
      </c>
      <c r="N763" s="118">
        <f t="shared" si="89"/>
        <v>0</v>
      </c>
      <c r="O763" s="118">
        <f t="shared" si="90"/>
        <v>26.075199999999999</v>
      </c>
    </row>
    <row r="764" spans="1:15" x14ac:dyDescent="0.25">
      <c r="A764" t="s">
        <v>1761</v>
      </c>
      <c r="B764" t="s">
        <v>999</v>
      </c>
      <c r="C764" s="13">
        <v>31</v>
      </c>
      <c r="D764" s="18" t="s">
        <v>1000</v>
      </c>
      <c r="E764" s="13">
        <v>2</v>
      </c>
      <c r="F764" s="25" t="s">
        <v>999</v>
      </c>
      <c r="G764" s="25">
        <v>81897719002</v>
      </c>
      <c r="H764" s="11">
        <v>34.4</v>
      </c>
      <c r="I764" s="11">
        <f t="shared" si="91"/>
        <v>68.8</v>
      </c>
      <c r="J764" s="11">
        <f t="shared" si="93"/>
        <v>34.4</v>
      </c>
      <c r="K764" s="11">
        <f t="shared" si="92"/>
        <v>68.8</v>
      </c>
      <c r="L764" s="10">
        <v>0</v>
      </c>
      <c r="N764" s="118">
        <f t="shared" si="89"/>
        <v>0</v>
      </c>
      <c r="O764" s="118">
        <f t="shared" si="90"/>
        <v>34.4</v>
      </c>
    </row>
    <row r="765" spans="1:15" x14ac:dyDescent="0.25">
      <c r="A765" t="s">
        <v>1760</v>
      </c>
      <c r="B765" t="s">
        <v>1758</v>
      </c>
      <c r="C765" s="13">
        <v>32</v>
      </c>
      <c r="D765" s="18" t="s">
        <v>1759</v>
      </c>
      <c r="E765" s="13">
        <v>2</v>
      </c>
      <c r="F765" s="25" t="s">
        <v>1758</v>
      </c>
      <c r="G765" s="25">
        <v>81897719002</v>
      </c>
      <c r="H765" s="11">
        <v>52.098799999999997</v>
      </c>
      <c r="I765" s="11">
        <f t="shared" si="91"/>
        <v>104.19759999999999</v>
      </c>
      <c r="J765" s="11">
        <f t="shared" si="93"/>
        <v>52.098799999999997</v>
      </c>
      <c r="K765" s="11">
        <f t="shared" si="92"/>
        <v>104.19759999999999</v>
      </c>
      <c r="L765" s="10">
        <v>0</v>
      </c>
      <c r="N765" s="118">
        <f t="shared" si="89"/>
        <v>0</v>
      </c>
      <c r="O765" s="118">
        <f t="shared" si="90"/>
        <v>52.098799999999997</v>
      </c>
    </row>
    <row r="766" spans="1:15" x14ac:dyDescent="0.25">
      <c r="A766" t="s">
        <v>1757</v>
      </c>
      <c r="B766" t="s">
        <v>840</v>
      </c>
      <c r="C766" s="13">
        <v>33</v>
      </c>
      <c r="D766" s="18" t="s">
        <v>841</v>
      </c>
      <c r="E766" s="13">
        <v>2</v>
      </c>
      <c r="F766" s="25" t="s">
        <v>840</v>
      </c>
      <c r="G766" s="25">
        <v>81897719002</v>
      </c>
      <c r="H766" s="11">
        <v>33.333599999999997</v>
      </c>
      <c r="I766" s="11">
        <f t="shared" si="91"/>
        <v>66.667199999999994</v>
      </c>
      <c r="J766" s="11">
        <f t="shared" si="93"/>
        <v>33.333599999999997</v>
      </c>
      <c r="K766" s="11">
        <f t="shared" si="92"/>
        <v>66.667199999999994</v>
      </c>
      <c r="L766" s="10">
        <v>0</v>
      </c>
      <c r="N766" s="118">
        <f t="shared" si="89"/>
        <v>0</v>
      </c>
      <c r="O766" s="118">
        <f t="shared" si="90"/>
        <v>33.333599999999997</v>
      </c>
    </row>
    <row r="767" spans="1:15" x14ac:dyDescent="0.25">
      <c r="A767" t="s">
        <v>1756</v>
      </c>
      <c r="B767" t="s">
        <v>107</v>
      </c>
      <c r="C767" s="13">
        <v>34</v>
      </c>
      <c r="D767" s="18" t="s">
        <v>108</v>
      </c>
      <c r="E767" s="13">
        <v>2</v>
      </c>
      <c r="F767" s="25" t="s">
        <v>107</v>
      </c>
      <c r="G767" s="25">
        <v>81897719002</v>
      </c>
      <c r="H767" s="11">
        <v>36.463999999999999</v>
      </c>
      <c r="I767" s="11">
        <f t="shared" si="91"/>
        <v>72.927999999999997</v>
      </c>
      <c r="J767" s="11">
        <f t="shared" si="93"/>
        <v>36.463999999999999</v>
      </c>
      <c r="K767" s="11">
        <f t="shared" si="92"/>
        <v>72.927999999999997</v>
      </c>
      <c r="L767" s="10">
        <v>0</v>
      </c>
      <c r="N767" s="118">
        <f t="shared" si="89"/>
        <v>0</v>
      </c>
      <c r="O767" s="118">
        <f t="shared" si="90"/>
        <v>36.463999999999999</v>
      </c>
    </row>
    <row r="768" spans="1:15" x14ac:dyDescent="0.25">
      <c r="A768" t="s">
        <v>1755</v>
      </c>
      <c r="B768" t="s">
        <v>1753</v>
      </c>
      <c r="C768" s="13">
        <v>35</v>
      </c>
      <c r="D768" s="18" t="s">
        <v>1754</v>
      </c>
      <c r="E768" s="13">
        <v>1</v>
      </c>
      <c r="F768" s="25" t="s">
        <v>1753</v>
      </c>
      <c r="G768" s="25">
        <v>81897719002</v>
      </c>
      <c r="H768" s="11">
        <v>24.768000000000001</v>
      </c>
      <c r="I768" s="11">
        <f t="shared" si="91"/>
        <v>24.768000000000001</v>
      </c>
      <c r="J768" s="11">
        <f t="shared" si="93"/>
        <v>24.768000000000001</v>
      </c>
      <c r="K768" s="11">
        <f t="shared" si="92"/>
        <v>24.768000000000001</v>
      </c>
      <c r="L768" s="10">
        <v>0</v>
      </c>
      <c r="N768" s="118">
        <f t="shared" si="89"/>
        <v>0</v>
      </c>
      <c r="O768" s="118">
        <f t="shared" si="90"/>
        <v>24.768000000000001</v>
      </c>
    </row>
    <row r="769" spans="1:15" x14ac:dyDescent="0.25">
      <c r="A769" t="s">
        <v>1752</v>
      </c>
      <c r="B769" t="s">
        <v>1750</v>
      </c>
      <c r="C769" s="13">
        <v>36</v>
      </c>
      <c r="D769" s="18" t="s">
        <v>1751</v>
      </c>
      <c r="E769" s="13">
        <v>1</v>
      </c>
      <c r="F769" s="25" t="s">
        <v>1750</v>
      </c>
      <c r="G769" s="25">
        <v>81897719002</v>
      </c>
      <c r="H769" s="11">
        <v>23.5124</v>
      </c>
      <c r="I769" s="11">
        <f t="shared" si="91"/>
        <v>23.5124</v>
      </c>
      <c r="J769" s="11">
        <f t="shared" si="93"/>
        <v>23.5124</v>
      </c>
      <c r="K769" s="11">
        <f t="shared" si="92"/>
        <v>23.5124</v>
      </c>
      <c r="L769" s="10">
        <v>0</v>
      </c>
      <c r="N769" s="118">
        <f t="shared" si="89"/>
        <v>0</v>
      </c>
      <c r="O769" s="118">
        <f t="shared" si="90"/>
        <v>23.5124</v>
      </c>
    </row>
    <row r="770" spans="1:15" x14ac:dyDescent="0.25">
      <c r="A770" t="s">
        <v>1749</v>
      </c>
      <c r="B770" t="s">
        <v>803</v>
      </c>
      <c r="C770" s="13">
        <v>37</v>
      </c>
      <c r="D770" s="18" t="s">
        <v>804</v>
      </c>
      <c r="E770" s="13">
        <v>1</v>
      </c>
      <c r="F770" s="25" t="s">
        <v>803</v>
      </c>
      <c r="G770" s="25">
        <v>81897719002</v>
      </c>
      <c r="H770" s="11">
        <v>20.829199999999997</v>
      </c>
      <c r="I770" s="11">
        <f t="shared" si="91"/>
        <v>20.829199999999997</v>
      </c>
      <c r="J770" s="11">
        <f t="shared" si="93"/>
        <v>20.829199999999997</v>
      </c>
      <c r="K770" s="11">
        <f t="shared" si="92"/>
        <v>20.829199999999997</v>
      </c>
      <c r="L770" s="10">
        <v>0</v>
      </c>
      <c r="N770" s="118">
        <f t="shared" si="89"/>
        <v>0</v>
      </c>
      <c r="O770" s="118">
        <f t="shared" si="90"/>
        <v>20.829199999999997</v>
      </c>
    </row>
    <row r="771" spans="1:15" x14ac:dyDescent="0.25">
      <c r="A771" t="s">
        <v>1748</v>
      </c>
      <c r="B771" t="s">
        <v>1746</v>
      </c>
      <c r="C771" s="13">
        <v>38</v>
      </c>
      <c r="D771" s="18" t="s">
        <v>1747</v>
      </c>
      <c r="E771" s="13">
        <v>1</v>
      </c>
      <c r="F771" s="25" t="s">
        <v>1746</v>
      </c>
      <c r="G771" s="25">
        <v>81897719002</v>
      </c>
      <c r="H771" s="11">
        <v>19.504799999999996</v>
      </c>
      <c r="I771" s="11">
        <f t="shared" si="91"/>
        <v>19.504799999999996</v>
      </c>
      <c r="J771" s="11">
        <f t="shared" si="93"/>
        <v>19.504799999999996</v>
      </c>
      <c r="K771" s="11">
        <f t="shared" si="92"/>
        <v>19.504799999999996</v>
      </c>
      <c r="L771" s="10">
        <v>0</v>
      </c>
      <c r="N771" s="118">
        <f t="shared" si="89"/>
        <v>0</v>
      </c>
      <c r="O771" s="118">
        <f t="shared" si="90"/>
        <v>19.504799999999996</v>
      </c>
    </row>
    <row r="772" spans="1:15" x14ac:dyDescent="0.25">
      <c r="A772" t="s">
        <v>1745</v>
      </c>
      <c r="B772" t="s">
        <v>1743</v>
      </c>
      <c r="C772" s="13">
        <v>39</v>
      </c>
      <c r="D772" s="18" t="s">
        <v>1744</v>
      </c>
      <c r="E772" s="13">
        <v>1</v>
      </c>
      <c r="F772" s="25" t="s">
        <v>1743</v>
      </c>
      <c r="G772" s="25">
        <v>81897719003</v>
      </c>
      <c r="H772" s="11">
        <v>212.62639999999999</v>
      </c>
      <c r="I772" s="11">
        <f t="shared" si="91"/>
        <v>212.62639999999999</v>
      </c>
      <c r="J772" s="11">
        <f t="shared" si="93"/>
        <v>212.62639999999999</v>
      </c>
      <c r="K772" s="11">
        <f t="shared" si="92"/>
        <v>212.62639999999999</v>
      </c>
      <c r="L772" s="10">
        <v>0</v>
      </c>
      <c r="N772" s="118">
        <f t="shared" ref="N772:N835" si="94">H772*L772</f>
        <v>0</v>
      </c>
      <c r="O772" s="118">
        <f t="shared" ref="O772:O835" si="95">H772-N772</f>
        <v>212.62639999999999</v>
      </c>
    </row>
    <row r="773" spans="1:15" x14ac:dyDescent="0.25">
      <c r="A773" t="s">
        <v>1742</v>
      </c>
      <c r="B773" t="s">
        <v>177</v>
      </c>
      <c r="C773" s="13">
        <v>40</v>
      </c>
      <c r="D773" s="18" t="s">
        <v>178</v>
      </c>
      <c r="E773" s="13">
        <v>1</v>
      </c>
      <c r="F773" s="25" t="s">
        <v>177</v>
      </c>
      <c r="G773" s="25">
        <v>81897710034</v>
      </c>
      <c r="H773" s="11">
        <v>62.539200000000001</v>
      </c>
      <c r="I773" s="11">
        <f t="shared" si="91"/>
        <v>62.539200000000001</v>
      </c>
      <c r="J773" s="11">
        <f t="shared" si="93"/>
        <v>62.539200000000001</v>
      </c>
      <c r="K773" s="11">
        <f t="shared" si="92"/>
        <v>62.539200000000001</v>
      </c>
      <c r="L773" s="10">
        <v>0</v>
      </c>
      <c r="N773" s="118">
        <f t="shared" si="94"/>
        <v>0</v>
      </c>
      <c r="O773" s="118">
        <f t="shared" si="95"/>
        <v>62.539200000000001</v>
      </c>
    </row>
    <row r="774" spans="1:15" x14ac:dyDescent="0.25">
      <c r="A774" t="s">
        <v>1741</v>
      </c>
      <c r="B774" t="s">
        <v>1739</v>
      </c>
      <c r="C774" s="13">
        <v>41</v>
      </c>
      <c r="D774" s="18" t="s">
        <v>1740</v>
      </c>
      <c r="E774" s="13">
        <v>1</v>
      </c>
      <c r="F774" s="45" t="s">
        <v>1739</v>
      </c>
      <c r="G774" s="25">
        <v>81897710012</v>
      </c>
      <c r="H774" s="11">
        <v>343.10559999999998</v>
      </c>
      <c r="I774" s="11">
        <f t="shared" si="91"/>
        <v>343.10559999999998</v>
      </c>
      <c r="J774" s="11">
        <f t="shared" si="93"/>
        <v>343.10559999999998</v>
      </c>
      <c r="K774" s="11">
        <f t="shared" si="92"/>
        <v>343.10559999999998</v>
      </c>
      <c r="L774" s="10">
        <v>0</v>
      </c>
      <c r="N774" s="118">
        <f t="shared" si="94"/>
        <v>0</v>
      </c>
      <c r="O774" s="118">
        <f t="shared" si="95"/>
        <v>343.10559999999998</v>
      </c>
    </row>
    <row r="775" spans="1:15" x14ac:dyDescent="0.25">
      <c r="A775" t="s">
        <v>1738</v>
      </c>
      <c r="B775" t="s">
        <v>44</v>
      </c>
      <c r="C775" s="13">
        <v>42</v>
      </c>
      <c r="D775" s="18" t="s">
        <v>45</v>
      </c>
      <c r="E775" s="13">
        <v>1</v>
      </c>
      <c r="F775" s="25" t="s">
        <v>44</v>
      </c>
      <c r="G775" s="25" t="s">
        <v>427</v>
      </c>
      <c r="H775" s="11">
        <v>594.9996000000001</v>
      </c>
      <c r="I775" s="11">
        <f t="shared" si="91"/>
        <v>594.9996000000001</v>
      </c>
      <c r="J775" s="11">
        <f t="shared" si="93"/>
        <v>594.9996000000001</v>
      </c>
      <c r="K775" s="11">
        <f t="shared" si="92"/>
        <v>594.9996000000001</v>
      </c>
      <c r="L775" s="10">
        <v>0</v>
      </c>
      <c r="N775" s="118">
        <f t="shared" si="94"/>
        <v>0</v>
      </c>
      <c r="O775" s="118">
        <f t="shared" si="95"/>
        <v>594.9996000000001</v>
      </c>
    </row>
    <row r="776" spans="1:15" x14ac:dyDescent="0.25">
      <c r="A776" t="s">
        <v>1737</v>
      </c>
      <c r="B776" t="s">
        <v>86</v>
      </c>
      <c r="C776" s="13">
        <v>43</v>
      </c>
      <c r="D776" s="18" t="s">
        <v>87</v>
      </c>
      <c r="E776" s="13">
        <v>1</v>
      </c>
      <c r="F776" s="25" t="s">
        <v>86</v>
      </c>
      <c r="G776" s="25" t="s">
        <v>427</v>
      </c>
      <c r="H776" s="11">
        <v>842.37</v>
      </c>
      <c r="I776" s="11">
        <f t="shared" si="91"/>
        <v>842.37</v>
      </c>
      <c r="J776" s="11">
        <f t="shared" si="93"/>
        <v>842.37</v>
      </c>
      <c r="K776" s="11">
        <f t="shared" si="92"/>
        <v>842.37</v>
      </c>
      <c r="L776" s="10">
        <v>0</v>
      </c>
      <c r="N776" s="118">
        <f t="shared" si="94"/>
        <v>0</v>
      </c>
      <c r="O776" s="118">
        <f t="shared" si="95"/>
        <v>842.37</v>
      </c>
    </row>
    <row r="777" spans="1:15" x14ac:dyDescent="0.25">
      <c r="B777" t="s">
        <v>84</v>
      </c>
      <c r="C777" s="13">
        <v>44</v>
      </c>
      <c r="D777" s="18" t="s">
        <v>85</v>
      </c>
      <c r="E777" s="13">
        <v>1</v>
      </c>
      <c r="F777" s="25" t="s">
        <v>84</v>
      </c>
      <c r="G777" s="25" t="s">
        <v>427</v>
      </c>
      <c r="H777" s="11">
        <v>914.64439999999991</v>
      </c>
      <c r="I777" s="11">
        <f t="shared" si="91"/>
        <v>914.64439999999991</v>
      </c>
      <c r="J777" s="11">
        <f t="shared" si="93"/>
        <v>914.64439999999991</v>
      </c>
      <c r="K777" s="11">
        <f t="shared" si="92"/>
        <v>914.64439999999991</v>
      </c>
      <c r="L777" s="10">
        <v>0</v>
      </c>
      <c r="N777" s="118">
        <f t="shared" si="94"/>
        <v>0</v>
      </c>
      <c r="O777" s="118">
        <f t="shared" si="95"/>
        <v>914.64439999999991</v>
      </c>
    </row>
    <row r="778" spans="1:15" x14ac:dyDescent="0.25">
      <c r="B778" t="s">
        <v>82</v>
      </c>
      <c r="C778" s="13">
        <v>45</v>
      </c>
      <c r="D778" s="18" t="s">
        <v>83</v>
      </c>
      <c r="E778" s="13">
        <v>2</v>
      </c>
      <c r="F778" s="25" t="s">
        <v>82</v>
      </c>
      <c r="G778" s="25" t="s">
        <v>427</v>
      </c>
      <c r="H778" s="11">
        <v>14.774799999999999</v>
      </c>
      <c r="I778" s="11">
        <f t="shared" si="91"/>
        <v>29.549599999999998</v>
      </c>
      <c r="J778" s="11">
        <f t="shared" si="93"/>
        <v>14.774799999999999</v>
      </c>
      <c r="K778" s="11">
        <f t="shared" si="92"/>
        <v>29.549599999999998</v>
      </c>
      <c r="L778" s="10">
        <v>0</v>
      </c>
      <c r="N778" s="118">
        <f t="shared" si="94"/>
        <v>0</v>
      </c>
      <c r="O778" s="118">
        <f t="shared" si="95"/>
        <v>14.774799999999999</v>
      </c>
    </row>
    <row r="779" spans="1:15" x14ac:dyDescent="0.25">
      <c r="C779" s="9"/>
      <c r="D779" s="8" t="s">
        <v>1</v>
      </c>
      <c r="E779" s="8">
        <f>SUM(E735:E778)</f>
        <v>88</v>
      </c>
      <c r="F779" s="8"/>
      <c r="G779" s="8"/>
      <c r="H779" s="7"/>
      <c r="I779" s="7">
        <f>SUM(I735:I778)</f>
        <v>6825.097600000001</v>
      </c>
      <c r="J779" s="8"/>
      <c r="K779" s="7">
        <f>SUM(K735:K778)</f>
        <v>6825.097600000001</v>
      </c>
      <c r="L779" s="6"/>
      <c r="N779" s="118">
        <f t="shared" si="94"/>
        <v>0</v>
      </c>
      <c r="O779" s="118">
        <f t="shared" si="95"/>
        <v>0</v>
      </c>
    </row>
    <row r="780" spans="1:15" x14ac:dyDescent="0.25">
      <c r="D780" t="s">
        <v>0</v>
      </c>
      <c r="N780" s="118">
        <f t="shared" si="94"/>
        <v>0</v>
      </c>
      <c r="O780" s="118">
        <f t="shared" si="95"/>
        <v>0</v>
      </c>
    </row>
    <row r="781" spans="1:15" x14ac:dyDescent="0.25">
      <c r="D781" s="24" t="s">
        <v>1736</v>
      </c>
      <c r="N781" s="118">
        <f t="shared" si="94"/>
        <v>0</v>
      </c>
      <c r="O781" s="118">
        <f t="shared" si="95"/>
        <v>0</v>
      </c>
    </row>
    <row r="782" spans="1:15" ht="30" x14ac:dyDescent="0.25">
      <c r="C782" s="24" t="s">
        <v>28</v>
      </c>
      <c r="D782" s="24" t="s">
        <v>27</v>
      </c>
      <c r="E782" s="24" t="s">
        <v>26</v>
      </c>
      <c r="F782" s="24" t="s">
        <v>25</v>
      </c>
      <c r="G782" s="24" t="s">
        <v>24</v>
      </c>
      <c r="H782" s="116" t="s">
        <v>21</v>
      </c>
      <c r="I782" s="24" t="s">
        <v>23</v>
      </c>
      <c r="J782" s="24" t="s">
        <v>2928</v>
      </c>
      <c r="K782" s="24" t="s">
        <v>2927</v>
      </c>
      <c r="L782" s="23" t="s">
        <v>22</v>
      </c>
      <c r="N782" s="118" t="e">
        <f t="shared" si="94"/>
        <v>#VALUE!</v>
      </c>
      <c r="O782" s="118" t="e">
        <f t="shared" si="95"/>
        <v>#VALUE!</v>
      </c>
    </row>
    <row r="783" spans="1:15" x14ac:dyDescent="0.25">
      <c r="A783" t="s">
        <v>1735</v>
      </c>
      <c r="B783" t="s">
        <v>1733</v>
      </c>
      <c r="C783" s="19">
        <v>1</v>
      </c>
      <c r="D783" s="18" t="s">
        <v>1734</v>
      </c>
      <c r="E783" s="13">
        <v>1</v>
      </c>
      <c r="F783" s="25" t="s">
        <v>1733</v>
      </c>
      <c r="G783" s="25">
        <v>81897719002</v>
      </c>
      <c r="H783" s="11">
        <v>48.47</v>
      </c>
      <c r="I783" s="11">
        <f t="shared" ref="I783:I814" si="96">H783*E783</f>
        <v>48.47</v>
      </c>
      <c r="J783" s="11">
        <f>O783</f>
        <v>48.47</v>
      </c>
      <c r="K783" s="11">
        <f t="shared" ref="K783:K814" si="97">J783*E783</f>
        <v>48.47</v>
      </c>
      <c r="L783" s="10">
        <v>0</v>
      </c>
      <c r="N783" s="118">
        <f t="shared" si="94"/>
        <v>0</v>
      </c>
      <c r="O783" s="118">
        <f t="shared" si="95"/>
        <v>48.47</v>
      </c>
    </row>
    <row r="784" spans="1:15" x14ac:dyDescent="0.25">
      <c r="A784" t="s">
        <v>1732</v>
      </c>
      <c r="B784" t="s">
        <v>161</v>
      </c>
      <c r="C784" s="19">
        <v>2</v>
      </c>
      <c r="D784" s="18" t="s">
        <v>162</v>
      </c>
      <c r="E784" s="13">
        <v>1</v>
      </c>
      <c r="F784" s="25" t="s">
        <v>161</v>
      </c>
      <c r="G784" s="25">
        <v>81897719002</v>
      </c>
      <c r="H784" s="11">
        <v>48.47</v>
      </c>
      <c r="I784" s="11">
        <f t="shared" si="96"/>
        <v>48.47</v>
      </c>
      <c r="J784" s="11">
        <f t="shared" ref="J784:J814" si="98">O784</f>
        <v>48.47</v>
      </c>
      <c r="K784" s="11">
        <f t="shared" si="97"/>
        <v>48.47</v>
      </c>
      <c r="L784" s="10">
        <v>0</v>
      </c>
      <c r="N784" s="118">
        <f t="shared" si="94"/>
        <v>0</v>
      </c>
      <c r="O784" s="118">
        <f t="shared" si="95"/>
        <v>48.47</v>
      </c>
    </row>
    <row r="785" spans="1:15" s="5" customFormat="1" x14ac:dyDescent="0.25">
      <c r="A785" s="5" t="s">
        <v>1731</v>
      </c>
      <c r="B785" t="s">
        <v>1729</v>
      </c>
      <c r="C785" s="19">
        <v>3</v>
      </c>
      <c r="D785" s="18" t="s">
        <v>1730</v>
      </c>
      <c r="E785" s="13">
        <v>1</v>
      </c>
      <c r="F785" s="25" t="s">
        <v>1729</v>
      </c>
      <c r="G785" s="25">
        <v>81897719002</v>
      </c>
      <c r="H785" s="11">
        <v>54.54</v>
      </c>
      <c r="I785" s="11">
        <f t="shared" si="96"/>
        <v>54.54</v>
      </c>
      <c r="J785" s="11">
        <f t="shared" si="98"/>
        <v>54.54</v>
      </c>
      <c r="K785" s="11">
        <f t="shared" si="97"/>
        <v>54.54</v>
      </c>
      <c r="L785" s="10">
        <v>0</v>
      </c>
      <c r="N785" s="118">
        <f t="shared" si="94"/>
        <v>0</v>
      </c>
      <c r="O785" s="118">
        <f t="shared" si="95"/>
        <v>54.54</v>
      </c>
    </row>
    <row r="786" spans="1:15" x14ac:dyDescent="0.25">
      <c r="A786" t="s">
        <v>1728</v>
      </c>
      <c r="B786" s="5" t="s">
        <v>1726</v>
      </c>
      <c r="C786" s="19">
        <v>4</v>
      </c>
      <c r="D786" s="18" t="s">
        <v>1727</v>
      </c>
      <c r="E786" s="13">
        <v>1</v>
      </c>
      <c r="F786" s="25" t="s">
        <v>1726</v>
      </c>
      <c r="G786" s="25">
        <v>81897719002</v>
      </c>
      <c r="H786" s="11">
        <v>26.65</v>
      </c>
      <c r="I786" s="11">
        <f t="shared" si="96"/>
        <v>26.65</v>
      </c>
      <c r="J786" s="11">
        <f t="shared" si="98"/>
        <v>26.65</v>
      </c>
      <c r="K786" s="11">
        <f t="shared" si="97"/>
        <v>26.65</v>
      </c>
      <c r="L786" s="10">
        <v>0</v>
      </c>
      <c r="N786" s="118">
        <f t="shared" si="94"/>
        <v>0</v>
      </c>
      <c r="O786" s="118">
        <f t="shared" si="95"/>
        <v>26.65</v>
      </c>
    </row>
    <row r="787" spans="1:15" x14ac:dyDescent="0.25">
      <c r="A787" t="s">
        <v>1725</v>
      </c>
      <c r="B787" t="s">
        <v>1723</v>
      </c>
      <c r="C787" s="19">
        <v>5</v>
      </c>
      <c r="D787" s="18" t="s">
        <v>1724</v>
      </c>
      <c r="E787" s="13">
        <v>1</v>
      </c>
      <c r="F787" s="25" t="s">
        <v>1723</v>
      </c>
      <c r="G787" s="25">
        <v>81897719002</v>
      </c>
      <c r="H787" s="11">
        <v>26.65</v>
      </c>
      <c r="I787" s="11">
        <f t="shared" si="96"/>
        <v>26.65</v>
      </c>
      <c r="J787" s="11">
        <f t="shared" si="98"/>
        <v>26.65</v>
      </c>
      <c r="K787" s="11">
        <f t="shared" si="97"/>
        <v>26.65</v>
      </c>
      <c r="L787" s="10">
        <v>0</v>
      </c>
      <c r="N787" s="118">
        <f t="shared" si="94"/>
        <v>0</v>
      </c>
      <c r="O787" s="118">
        <f t="shared" si="95"/>
        <v>26.65</v>
      </c>
    </row>
    <row r="788" spans="1:15" x14ac:dyDescent="0.25">
      <c r="A788" t="s">
        <v>1722</v>
      </c>
      <c r="B788" t="s">
        <v>1720</v>
      </c>
      <c r="C788" s="19">
        <v>6</v>
      </c>
      <c r="D788" s="18" t="s">
        <v>1721</v>
      </c>
      <c r="E788" s="13">
        <v>1</v>
      </c>
      <c r="F788" s="25" t="s">
        <v>1720</v>
      </c>
      <c r="G788" s="25">
        <v>81897719002</v>
      </c>
      <c r="H788" s="11">
        <v>26.65</v>
      </c>
      <c r="I788" s="11">
        <f t="shared" si="96"/>
        <v>26.65</v>
      </c>
      <c r="J788" s="11">
        <f t="shared" si="98"/>
        <v>26.65</v>
      </c>
      <c r="K788" s="11">
        <f t="shared" si="97"/>
        <v>26.65</v>
      </c>
      <c r="L788" s="10">
        <v>0</v>
      </c>
      <c r="N788" s="118">
        <f t="shared" si="94"/>
        <v>0</v>
      </c>
      <c r="O788" s="118">
        <f t="shared" si="95"/>
        <v>26.65</v>
      </c>
    </row>
    <row r="789" spans="1:15" x14ac:dyDescent="0.25">
      <c r="A789" t="s">
        <v>1719</v>
      </c>
      <c r="B789" t="s">
        <v>1717</v>
      </c>
      <c r="C789" s="19">
        <v>7</v>
      </c>
      <c r="D789" s="18" t="s">
        <v>1718</v>
      </c>
      <c r="E789" s="13">
        <v>1</v>
      </c>
      <c r="F789" s="25" t="s">
        <v>1717</v>
      </c>
      <c r="G789" s="25">
        <v>81897719002</v>
      </c>
      <c r="H789" s="11">
        <v>26.65</v>
      </c>
      <c r="I789" s="11">
        <f t="shared" si="96"/>
        <v>26.65</v>
      </c>
      <c r="J789" s="11">
        <f t="shared" si="98"/>
        <v>26.65</v>
      </c>
      <c r="K789" s="11">
        <f t="shared" si="97"/>
        <v>26.65</v>
      </c>
      <c r="L789" s="10">
        <v>0</v>
      </c>
      <c r="N789" s="118">
        <f t="shared" si="94"/>
        <v>0</v>
      </c>
      <c r="O789" s="118">
        <f t="shared" si="95"/>
        <v>26.65</v>
      </c>
    </row>
    <row r="790" spans="1:15" x14ac:dyDescent="0.25">
      <c r="A790" t="s">
        <v>1716</v>
      </c>
      <c r="B790" t="s">
        <v>1714</v>
      </c>
      <c r="C790" s="19">
        <v>8</v>
      </c>
      <c r="D790" s="18" t="s">
        <v>1715</v>
      </c>
      <c r="E790" s="13">
        <v>1</v>
      </c>
      <c r="F790" s="25" t="s">
        <v>1714</v>
      </c>
      <c r="G790" s="25">
        <v>81897719002</v>
      </c>
      <c r="H790" s="11">
        <v>26.65</v>
      </c>
      <c r="I790" s="11">
        <f t="shared" si="96"/>
        <v>26.65</v>
      </c>
      <c r="J790" s="11">
        <f t="shared" si="98"/>
        <v>26.65</v>
      </c>
      <c r="K790" s="11">
        <f t="shared" si="97"/>
        <v>26.65</v>
      </c>
      <c r="L790" s="10">
        <v>0</v>
      </c>
      <c r="N790" s="118">
        <f t="shared" si="94"/>
        <v>0</v>
      </c>
      <c r="O790" s="118">
        <f t="shared" si="95"/>
        <v>26.65</v>
      </c>
    </row>
    <row r="791" spans="1:15" x14ac:dyDescent="0.25">
      <c r="A791" t="s">
        <v>1713</v>
      </c>
      <c r="B791" t="s">
        <v>1711</v>
      </c>
      <c r="C791" s="19">
        <v>9</v>
      </c>
      <c r="D791" s="18" t="s">
        <v>1712</v>
      </c>
      <c r="E791" s="13">
        <v>1</v>
      </c>
      <c r="F791" s="25" t="s">
        <v>1711</v>
      </c>
      <c r="G791" s="25">
        <v>81897710021</v>
      </c>
      <c r="H791" s="11">
        <v>30.29</v>
      </c>
      <c r="I791" s="11">
        <f t="shared" si="96"/>
        <v>30.29</v>
      </c>
      <c r="J791" s="11">
        <f t="shared" si="98"/>
        <v>30.29</v>
      </c>
      <c r="K791" s="11">
        <f t="shared" si="97"/>
        <v>30.29</v>
      </c>
      <c r="L791" s="10">
        <v>0</v>
      </c>
      <c r="N791" s="118">
        <f t="shared" si="94"/>
        <v>0</v>
      </c>
      <c r="O791" s="118">
        <f t="shared" si="95"/>
        <v>30.29</v>
      </c>
    </row>
    <row r="792" spans="1:15" x14ac:dyDescent="0.25">
      <c r="A792" t="s">
        <v>1710</v>
      </c>
      <c r="B792" t="s">
        <v>1708</v>
      </c>
      <c r="C792" s="19">
        <v>10</v>
      </c>
      <c r="D792" s="18" t="s">
        <v>1709</v>
      </c>
      <c r="E792" s="13">
        <v>1</v>
      </c>
      <c r="F792" s="25" t="s">
        <v>1708</v>
      </c>
      <c r="G792" s="25">
        <v>81897710021</v>
      </c>
      <c r="H792" s="11">
        <v>30.29</v>
      </c>
      <c r="I792" s="11">
        <f t="shared" si="96"/>
        <v>30.29</v>
      </c>
      <c r="J792" s="11">
        <f t="shared" si="98"/>
        <v>30.29</v>
      </c>
      <c r="K792" s="11">
        <f t="shared" si="97"/>
        <v>30.29</v>
      </c>
      <c r="L792" s="10">
        <v>0</v>
      </c>
      <c r="N792" s="118">
        <f t="shared" si="94"/>
        <v>0</v>
      </c>
      <c r="O792" s="118">
        <f t="shared" si="95"/>
        <v>30.29</v>
      </c>
    </row>
    <row r="793" spans="1:15" x14ac:dyDescent="0.25">
      <c r="A793" t="s">
        <v>1707</v>
      </c>
      <c r="B793" t="s">
        <v>1705</v>
      </c>
      <c r="C793" s="19">
        <v>11</v>
      </c>
      <c r="D793" s="18" t="s">
        <v>1706</v>
      </c>
      <c r="E793" s="13">
        <v>1</v>
      </c>
      <c r="F793" s="25" t="s">
        <v>1705</v>
      </c>
      <c r="G793" s="25">
        <v>81897710021</v>
      </c>
      <c r="H793" s="11">
        <v>30.29</v>
      </c>
      <c r="I793" s="11">
        <f t="shared" si="96"/>
        <v>30.29</v>
      </c>
      <c r="J793" s="11">
        <f t="shared" si="98"/>
        <v>30.29</v>
      </c>
      <c r="K793" s="11">
        <f t="shared" si="97"/>
        <v>30.29</v>
      </c>
      <c r="L793" s="10">
        <v>0</v>
      </c>
      <c r="N793" s="118">
        <f t="shared" si="94"/>
        <v>0</v>
      </c>
      <c r="O793" s="118">
        <f t="shared" si="95"/>
        <v>30.29</v>
      </c>
    </row>
    <row r="794" spans="1:15" x14ac:dyDescent="0.25">
      <c r="A794" t="s">
        <v>1704</v>
      </c>
      <c r="B794" t="s">
        <v>1702</v>
      </c>
      <c r="C794" s="19">
        <v>12</v>
      </c>
      <c r="D794" s="18" t="s">
        <v>1703</v>
      </c>
      <c r="E794" s="13">
        <v>1</v>
      </c>
      <c r="F794" s="25" t="s">
        <v>1702</v>
      </c>
      <c r="G794" s="25">
        <v>81897710021</v>
      </c>
      <c r="H794" s="11">
        <v>30.29</v>
      </c>
      <c r="I794" s="11">
        <f t="shared" si="96"/>
        <v>30.29</v>
      </c>
      <c r="J794" s="11">
        <f t="shared" si="98"/>
        <v>30.29</v>
      </c>
      <c r="K794" s="11">
        <f t="shared" si="97"/>
        <v>30.29</v>
      </c>
      <c r="L794" s="10">
        <v>0</v>
      </c>
      <c r="N794" s="118">
        <f t="shared" si="94"/>
        <v>0</v>
      </c>
      <c r="O794" s="118">
        <f t="shared" si="95"/>
        <v>30.29</v>
      </c>
    </row>
    <row r="795" spans="1:15" x14ac:dyDescent="0.25">
      <c r="A795" t="s">
        <v>1701</v>
      </c>
      <c r="B795" t="s">
        <v>1699</v>
      </c>
      <c r="C795" s="19">
        <v>13</v>
      </c>
      <c r="D795" s="18" t="s">
        <v>1700</v>
      </c>
      <c r="E795" s="13">
        <v>1</v>
      </c>
      <c r="F795" s="25" t="s">
        <v>1699</v>
      </c>
      <c r="G795" s="25">
        <v>81897719002</v>
      </c>
      <c r="H795" s="11">
        <v>46.65</v>
      </c>
      <c r="I795" s="11">
        <f t="shared" si="96"/>
        <v>46.65</v>
      </c>
      <c r="J795" s="11">
        <f t="shared" si="98"/>
        <v>46.65</v>
      </c>
      <c r="K795" s="11">
        <f t="shared" si="97"/>
        <v>46.65</v>
      </c>
      <c r="L795" s="10">
        <v>0</v>
      </c>
      <c r="N795" s="118">
        <f t="shared" si="94"/>
        <v>0</v>
      </c>
      <c r="O795" s="118">
        <f t="shared" si="95"/>
        <v>46.65</v>
      </c>
    </row>
    <row r="796" spans="1:15" x14ac:dyDescent="0.25">
      <c r="A796" t="s">
        <v>1698</v>
      </c>
      <c r="B796" t="s">
        <v>134</v>
      </c>
      <c r="C796" s="19">
        <v>14</v>
      </c>
      <c r="D796" s="18" t="s">
        <v>135</v>
      </c>
      <c r="E796" s="13">
        <v>2</v>
      </c>
      <c r="F796" s="25" t="s">
        <v>134</v>
      </c>
      <c r="G796" s="25">
        <v>81897719002</v>
      </c>
      <c r="H796" s="11">
        <v>36.36</v>
      </c>
      <c r="I796" s="11">
        <f t="shared" si="96"/>
        <v>72.72</v>
      </c>
      <c r="J796" s="11">
        <f t="shared" si="98"/>
        <v>36.36</v>
      </c>
      <c r="K796" s="11">
        <f t="shared" si="97"/>
        <v>72.72</v>
      </c>
      <c r="L796" s="10">
        <v>0</v>
      </c>
      <c r="N796" s="118">
        <f t="shared" si="94"/>
        <v>0</v>
      </c>
      <c r="O796" s="118">
        <f t="shared" si="95"/>
        <v>36.36</v>
      </c>
    </row>
    <row r="797" spans="1:15" x14ac:dyDescent="0.25">
      <c r="A797" t="s">
        <v>1697</v>
      </c>
      <c r="B797" t="s">
        <v>137</v>
      </c>
      <c r="C797" s="19">
        <v>15</v>
      </c>
      <c r="D797" s="18" t="s">
        <v>138</v>
      </c>
      <c r="E797" s="13">
        <v>1</v>
      </c>
      <c r="F797" s="25" t="s">
        <v>137</v>
      </c>
      <c r="G797" s="25">
        <v>81897719002</v>
      </c>
      <c r="H797" s="11">
        <v>26.65</v>
      </c>
      <c r="I797" s="11">
        <f t="shared" si="96"/>
        <v>26.65</v>
      </c>
      <c r="J797" s="11">
        <f t="shared" si="98"/>
        <v>26.65</v>
      </c>
      <c r="K797" s="11">
        <f t="shared" si="97"/>
        <v>26.65</v>
      </c>
      <c r="L797" s="10">
        <v>0</v>
      </c>
      <c r="N797" s="118">
        <f t="shared" si="94"/>
        <v>0</v>
      </c>
      <c r="O797" s="118">
        <f t="shared" si="95"/>
        <v>26.65</v>
      </c>
    </row>
    <row r="798" spans="1:15" x14ac:dyDescent="0.25">
      <c r="A798" t="s">
        <v>1696</v>
      </c>
      <c r="B798" t="s">
        <v>1694</v>
      </c>
      <c r="C798" s="19">
        <v>16</v>
      </c>
      <c r="D798" s="18" t="s">
        <v>1695</v>
      </c>
      <c r="E798" s="13">
        <v>1</v>
      </c>
      <c r="F798" s="25" t="s">
        <v>1694</v>
      </c>
      <c r="G798" s="25">
        <v>81897719002</v>
      </c>
      <c r="H798" s="11">
        <v>36.36</v>
      </c>
      <c r="I798" s="11">
        <f t="shared" si="96"/>
        <v>36.36</v>
      </c>
      <c r="J798" s="11">
        <f t="shared" si="98"/>
        <v>36.36</v>
      </c>
      <c r="K798" s="11">
        <f t="shared" si="97"/>
        <v>36.36</v>
      </c>
      <c r="L798" s="10">
        <v>0</v>
      </c>
      <c r="N798" s="118">
        <f t="shared" si="94"/>
        <v>0</v>
      </c>
      <c r="O798" s="118">
        <f t="shared" si="95"/>
        <v>36.36</v>
      </c>
    </row>
    <row r="799" spans="1:15" x14ac:dyDescent="0.25">
      <c r="A799" t="s">
        <v>1693</v>
      </c>
      <c r="B799" t="s">
        <v>1691</v>
      </c>
      <c r="C799" s="19">
        <v>17</v>
      </c>
      <c r="D799" s="18" t="s">
        <v>1692</v>
      </c>
      <c r="E799" s="13">
        <v>1</v>
      </c>
      <c r="F799" s="25" t="s">
        <v>1691</v>
      </c>
      <c r="G799" s="25">
        <v>81897719002</v>
      </c>
      <c r="H799" s="11">
        <v>35.74</v>
      </c>
      <c r="I799" s="11">
        <f t="shared" si="96"/>
        <v>35.74</v>
      </c>
      <c r="J799" s="11">
        <f t="shared" si="98"/>
        <v>35.74</v>
      </c>
      <c r="K799" s="11">
        <f t="shared" si="97"/>
        <v>35.74</v>
      </c>
      <c r="L799" s="10">
        <v>0</v>
      </c>
      <c r="N799" s="118">
        <f t="shared" si="94"/>
        <v>0</v>
      </c>
      <c r="O799" s="118">
        <f t="shared" si="95"/>
        <v>35.74</v>
      </c>
    </row>
    <row r="800" spans="1:15" x14ac:dyDescent="0.25">
      <c r="A800" t="s">
        <v>1690</v>
      </c>
      <c r="B800" t="s">
        <v>1688</v>
      </c>
      <c r="C800" s="19">
        <v>18</v>
      </c>
      <c r="D800" s="18" t="s">
        <v>1689</v>
      </c>
      <c r="E800" s="13">
        <v>1</v>
      </c>
      <c r="F800" s="25" t="s">
        <v>1688</v>
      </c>
      <c r="G800" s="25">
        <v>81897719002</v>
      </c>
      <c r="H800" s="11">
        <v>36.36</v>
      </c>
      <c r="I800" s="11">
        <f t="shared" si="96"/>
        <v>36.36</v>
      </c>
      <c r="J800" s="11">
        <f t="shared" si="98"/>
        <v>36.36</v>
      </c>
      <c r="K800" s="11">
        <f t="shared" si="97"/>
        <v>36.36</v>
      </c>
      <c r="L800" s="10">
        <v>0</v>
      </c>
      <c r="N800" s="118">
        <f t="shared" si="94"/>
        <v>0</v>
      </c>
      <c r="O800" s="118">
        <f t="shared" si="95"/>
        <v>36.36</v>
      </c>
    </row>
    <row r="801" spans="1:15" x14ac:dyDescent="0.25">
      <c r="A801" t="s">
        <v>1687</v>
      </c>
      <c r="B801" t="s">
        <v>1685</v>
      </c>
      <c r="C801" s="19">
        <v>19</v>
      </c>
      <c r="D801" s="18" t="s">
        <v>1686</v>
      </c>
      <c r="E801" s="13">
        <v>1</v>
      </c>
      <c r="F801" s="25" t="s">
        <v>1685</v>
      </c>
      <c r="G801" s="25">
        <v>81897719002</v>
      </c>
      <c r="H801" s="11">
        <v>35.74</v>
      </c>
      <c r="I801" s="11">
        <f t="shared" si="96"/>
        <v>35.74</v>
      </c>
      <c r="J801" s="11">
        <f t="shared" si="98"/>
        <v>35.74</v>
      </c>
      <c r="K801" s="11">
        <f t="shared" si="97"/>
        <v>35.74</v>
      </c>
      <c r="L801" s="10">
        <v>0</v>
      </c>
      <c r="N801" s="118">
        <f t="shared" si="94"/>
        <v>0</v>
      </c>
      <c r="O801" s="118">
        <f t="shared" si="95"/>
        <v>35.74</v>
      </c>
    </row>
    <row r="802" spans="1:15" x14ac:dyDescent="0.25">
      <c r="A802" t="s">
        <v>1684</v>
      </c>
      <c r="B802" t="s">
        <v>140</v>
      </c>
      <c r="C802" s="19">
        <v>20</v>
      </c>
      <c r="D802" s="18" t="s">
        <v>141</v>
      </c>
      <c r="E802" s="13">
        <v>1</v>
      </c>
      <c r="F802" s="25" t="s">
        <v>140</v>
      </c>
      <c r="G802" s="25">
        <v>81897719002</v>
      </c>
      <c r="H802" s="11">
        <v>26.65</v>
      </c>
      <c r="I802" s="11">
        <f t="shared" si="96"/>
        <v>26.65</v>
      </c>
      <c r="J802" s="11">
        <f t="shared" si="98"/>
        <v>26.65</v>
      </c>
      <c r="K802" s="11">
        <f t="shared" si="97"/>
        <v>26.65</v>
      </c>
      <c r="L802" s="10">
        <v>0</v>
      </c>
      <c r="N802" s="118">
        <f t="shared" si="94"/>
        <v>0</v>
      </c>
      <c r="O802" s="118">
        <f t="shared" si="95"/>
        <v>26.65</v>
      </c>
    </row>
    <row r="803" spans="1:15" x14ac:dyDescent="0.25">
      <c r="A803" t="s">
        <v>1683</v>
      </c>
      <c r="B803" t="s">
        <v>119</v>
      </c>
      <c r="C803" s="19">
        <v>21</v>
      </c>
      <c r="D803" s="18" t="s">
        <v>120</v>
      </c>
      <c r="E803" s="13">
        <v>2</v>
      </c>
      <c r="F803" s="25" t="s">
        <v>119</v>
      </c>
      <c r="G803" s="25">
        <v>81897719002</v>
      </c>
      <c r="H803" s="11">
        <v>15.16</v>
      </c>
      <c r="I803" s="11">
        <f t="shared" si="96"/>
        <v>30.32</v>
      </c>
      <c r="J803" s="11">
        <f t="shared" si="98"/>
        <v>15.16</v>
      </c>
      <c r="K803" s="11">
        <f t="shared" si="97"/>
        <v>30.32</v>
      </c>
      <c r="L803" s="10">
        <v>0</v>
      </c>
      <c r="N803" s="118">
        <f t="shared" si="94"/>
        <v>0</v>
      </c>
      <c r="O803" s="118">
        <f t="shared" si="95"/>
        <v>15.16</v>
      </c>
    </row>
    <row r="804" spans="1:15" x14ac:dyDescent="0.25">
      <c r="A804" t="s">
        <v>1682</v>
      </c>
      <c r="B804" t="s">
        <v>137</v>
      </c>
      <c r="C804" s="19">
        <v>22</v>
      </c>
      <c r="D804" s="18" t="s">
        <v>138</v>
      </c>
      <c r="E804" s="13">
        <v>1</v>
      </c>
      <c r="F804" s="25" t="s">
        <v>137</v>
      </c>
      <c r="G804" s="25">
        <v>81897719002</v>
      </c>
      <c r="H804" s="11">
        <v>26.65</v>
      </c>
      <c r="I804" s="11">
        <f t="shared" si="96"/>
        <v>26.65</v>
      </c>
      <c r="J804" s="11">
        <f t="shared" si="98"/>
        <v>26.65</v>
      </c>
      <c r="K804" s="11">
        <f t="shared" si="97"/>
        <v>26.65</v>
      </c>
      <c r="L804" s="10">
        <v>0</v>
      </c>
      <c r="N804" s="118">
        <f t="shared" si="94"/>
        <v>0</v>
      </c>
      <c r="O804" s="118">
        <f t="shared" si="95"/>
        <v>26.65</v>
      </c>
    </row>
    <row r="805" spans="1:15" x14ac:dyDescent="0.25">
      <c r="A805" t="s">
        <v>1681</v>
      </c>
      <c r="B805" t="s">
        <v>1679</v>
      </c>
      <c r="C805" s="19">
        <v>23</v>
      </c>
      <c r="D805" s="18" t="s">
        <v>1680</v>
      </c>
      <c r="E805" s="13">
        <v>1</v>
      </c>
      <c r="F805" s="25" t="s">
        <v>1679</v>
      </c>
      <c r="G805" s="25">
        <v>81897719002</v>
      </c>
      <c r="H805" s="11">
        <v>23.63</v>
      </c>
      <c r="I805" s="11">
        <f t="shared" si="96"/>
        <v>23.63</v>
      </c>
      <c r="J805" s="11">
        <f t="shared" si="98"/>
        <v>23.63</v>
      </c>
      <c r="K805" s="11">
        <f t="shared" si="97"/>
        <v>23.63</v>
      </c>
      <c r="L805" s="10">
        <v>0</v>
      </c>
      <c r="N805" s="118">
        <f t="shared" si="94"/>
        <v>0</v>
      </c>
      <c r="O805" s="118">
        <f t="shared" si="95"/>
        <v>23.63</v>
      </c>
    </row>
    <row r="806" spans="1:15" x14ac:dyDescent="0.25">
      <c r="A806" t="s">
        <v>1678</v>
      </c>
      <c r="B806" t="s">
        <v>107</v>
      </c>
      <c r="C806" s="19">
        <v>24</v>
      </c>
      <c r="D806" s="18" t="s">
        <v>108</v>
      </c>
      <c r="E806" s="13">
        <v>1</v>
      </c>
      <c r="F806" s="25" t="s">
        <v>107</v>
      </c>
      <c r="G806" s="25">
        <v>81897719002</v>
      </c>
      <c r="H806" s="11">
        <v>21.200000000000003</v>
      </c>
      <c r="I806" s="11">
        <f t="shared" si="96"/>
        <v>21.200000000000003</v>
      </c>
      <c r="J806" s="11">
        <f t="shared" si="98"/>
        <v>21.200000000000003</v>
      </c>
      <c r="K806" s="11">
        <f t="shared" si="97"/>
        <v>21.200000000000003</v>
      </c>
      <c r="L806" s="10">
        <v>0</v>
      </c>
      <c r="N806" s="118">
        <f t="shared" si="94"/>
        <v>0</v>
      </c>
      <c r="O806" s="118">
        <f t="shared" si="95"/>
        <v>21.200000000000003</v>
      </c>
    </row>
    <row r="807" spans="1:15" x14ac:dyDescent="0.25">
      <c r="A807" t="s">
        <v>1677</v>
      </c>
      <c r="B807" t="s">
        <v>1675</v>
      </c>
      <c r="C807" s="19">
        <v>25</v>
      </c>
      <c r="D807" s="18" t="s">
        <v>1676</v>
      </c>
      <c r="E807" s="13">
        <v>1</v>
      </c>
      <c r="F807" s="25" t="s">
        <v>1675</v>
      </c>
      <c r="G807" s="25">
        <v>81897719002</v>
      </c>
      <c r="H807" s="11">
        <v>22.43</v>
      </c>
      <c r="I807" s="11">
        <f t="shared" si="96"/>
        <v>22.43</v>
      </c>
      <c r="J807" s="11">
        <f t="shared" si="98"/>
        <v>22.43</v>
      </c>
      <c r="K807" s="11">
        <f t="shared" si="97"/>
        <v>22.43</v>
      </c>
      <c r="L807" s="10">
        <v>0</v>
      </c>
      <c r="N807" s="118">
        <f t="shared" si="94"/>
        <v>0</v>
      </c>
      <c r="O807" s="118">
        <f t="shared" si="95"/>
        <v>22.43</v>
      </c>
    </row>
    <row r="808" spans="1:15" x14ac:dyDescent="0.25">
      <c r="A808" t="s">
        <v>1674</v>
      </c>
      <c r="B808" t="s">
        <v>104</v>
      </c>
      <c r="C808" s="19">
        <v>26</v>
      </c>
      <c r="D808" s="18" t="s">
        <v>1673</v>
      </c>
      <c r="E808" s="13">
        <v>1</v>
      </c>
      <c r="F808" s="25" t="s">
        <v>104</v>
      </c>
      <c r="G808" s="25">
        <v>81897719002</v>
      </c>
      <c r="H808" s="11">
        <v>36.36</v>
      </c>
      <c r="I808" s="11">
        <f t="shared" si="96"/>
        <v>36.36</v>
      </c>
      <c r="J808" s="11">
        <f t="shared" si="98"/>
        <v>36.36</v>
      </c>
      <c r="K808" s="11">
        <f t="shared" si="97"/>
        <v>36.36</v>
      </c>
      <c r="L808" s="10">
        <v>0</v>
      </c>
      <c r="N808" s="118">
        <f t="shared" si="94"/>
        <v>0</v>
      </c>
      <c r="O808" s="118">
        <f t="shared" si="95"/>
        <v>36.36</v>
      </c>
    </row>
    <row r="809" spans="1:15" x14ac:dyDescent="0.25">
      <c r="A809" t="s">
        <v>1672</v>
      </c>
      <c r="B809" t="s">
        <v>92</v>
      </c>
      <c r="C809" s="19">
        <v>27</v>
      </c>
      <c r="D809" s="18" t="s">
        <v>93</v>
      </c>
      <c r="E809" s="13">
        <v>1</v>
      </c>
      <c r="F809" s="25" t="s">
        <v>92</v>
      </c>
      <c r="G809" s="25">
        <v>81897719002</v>
      </c>
      <c r="H809" s="11">
        <v>20.43</v>
      </c>
      <c r="I809" s="11">
        <f t="shared" si="96"/>
        <v>20.43</v>
      </c>
      <c r="J809" s="11">
        <f t="shared" si="98"/>
        <v>20.43</v>
      </c>
      <c r="K809" s="11">
        <f t="shared" si="97"/>
        <v>20.43</v>
      </c>
      <c r="L809" s="10">
        <v>0</v>
      </c>
      <c r="N809" s="118">
        <f t="shared" si="94"/>
        <v>0</v>
      </c>
      <c r="O809" s="118">
        <f t="shared" si="95"/>
        <v>20.43</v>
      </c>
    </row>
    <row r="810" spans="1:15" x14ac:dyDescent="0.25">
      <c r="A810" t="s">
        <v>1671</v>
      </c>
      <c r="B810" t="s">
        <v>89</v>
      </c>
      <c r="C810" s="19">
        <v>28</v>
      </c>
      <c r="D810" s="18" t="s">
        <v>90</v>
      </c>
      <c r="E810" s="13">
        <v>1</v>
      </c>
      <c r="F810" s="25" t="s">
        <v>89</v>
      </c>
      <c r="G810" s="25">
        <v>81897719002</v>
      </c>
      <c r="H810" s="11">
        <v>17.420000000000002</v>
      </c>
      <c r="I810" s="11">
        <f t="shared" si="96"/>
        <v>17.420000000000002</v>
      </c>
      <c r="J810" s="11">
        <f t="shared" si="98"/>
        <v>17.420000000000002</v>
      </c>
      <c r="K810" s="11">
        <f t="shared" si="97"/>
        <v>17.420000000000002</v>
      </c>
      <c r="L810" s="10">
        <v>0</v>
      </c>
      <c r="N810" s="118">
        <f t="shared" si="94"/>
        <v>0</v>
      </c>
      <c r="O810" s="118">
        <f t="shared" si="95"/>
        <v>17.420000000000002</v>
      </c>
    </row>
    <row r="811" spans="1:15" x14ac:dyDescent="0.25">
      <c r="A811" t="s">
        <v>1670</v>
      </c>
      <c r="B811" t="s">
        <v>44</v>
      </c>
      <c r="C811" s="19">
        <v>29</v>
      </c>
      <c r="D811" s="18" t="s">
        <v>45</v>
      </c>
      <c r="E811" s="13">
        <v>1</v>
      </c>
      <c r="F811" s="25" t="s">
        <v>44</v>
      </c>
      <c r="G811" s="25" t="s">
        <v>427</v>
      </c>
      <c r="H811" s="11">
        <v>345.93000000000006</v>
      </c>
      <c r="I811" s="11">
        <f t="shared" si="96"/>
        <v>345.93000000000006</v>
      </c>
      <c r="J811" s="11">
        <f t="shared" si="98"/>
        <v>345.93000000000006</v>
      </c>
      <c r="K811" s="11">
        <f t="shared" si="97"/>
        <v>345.93000000000006</v>
      </c>
      <c r="L811" s="10">
        <v>0</v>
      </c>
      <c r="N811" s="118">
        <f t="shared" si="94"/>
        <v>0</v>
      </c>
      <c r="O811" s="118">
        <f t="shared" si="95"/>
        <v>345.93000000000006</v>
      </c>
    </row>
    <row r="812" spans="1:15" x14ac:dyDescent="0.25">
      <c r="A812" t="s">
        <v>1669</v>
      </c>
      <c r="B812" t="s">
        <v>551</v>
      </c>
      <c r="C812" s="19">
        <v>30</v>
      </c>
      <c r="D812" s="18" t="s">
        <v>552</v>
      </c>
      <c r="E812" s="13">
        <v>1</v>
      </c>
      <c r="F812" s="25" t="s">
        <v>551</v>
      </c>
      <c r="G812" s="25" t="s">
        <v>427</v>
      </c>
      <c r="H812" s="11">
        <v>482.33</v>
      </c>
      <c r="I812" s="11">
        <f t="shared" si="96"/>
        <v>482.33</v>
      </c>
      <c r="J812" s="11">
        <f t="shared" si="98"/>
        <v>482.33</v>
      </c>
      <c r="K812" s="11">
        <f t="shared" si="97"/>
        <v>482.33</v>
      </c>
      <c r="L812" s="10">
        <v>0</v>
      </c>
      <c r="N812" s="118">
        <f t="shared" si="94"/>
        <v>0</v>
      </c>
      <c r="O812" s="118">
        <f t="shared" si="95"/>
        <v>482.33</v>
      </c>
    </row>
    <row r="813" spans="1:15" x14ac:dyDescent="0.25">
      <c r="B813" t="s">
        <v>84</v>
      </c>
      <c r="C813" s="19">
        <v>31</v>
      </c>
      <c r="D813" s="18" t="s">
        <v>85</v>
      </c>
      <c r="E813" s="13">
        <v>1</v>
      </c>
      <c r="F813" s="25" t="s">
        <v>84</v>
      </c>
      <c r="G813" s="25" t="s">
        <v>427</v>
      </c>
      <c r="H813" s="11">
        <v>531.77</v>
      </c>
      <c r="I813" s="11">
        <f t="shared" si="96"/>
        <v>531.77</v>
      </c>
      <c r="J813" s="11">
        <f t="shared" si="98"/>
        <v>531.77</v>
      </c>
      <c r="K813" s="11">
        <f t="shared" si="97"/>
        <v>531.77</v>
      </c>
      <c r="L813" s="10">
        <v>0</v>
      </c>
      <c r="N813" s="118">
        <f t="shared" si="94"/>
        <v>0</v>
      </c>
      <c r="O813" s="118">
        <f t="shared" si="95"/>
        <v>531.77</v>
      </c>
    </row>
    <row r="814" spans="1:15" x14ac:dyDescent="0.25">
      <c r="B814" t="s">
        <v>82</v>
      </c>
      <c r="C814" s="19">
        <v>32</v>
      </c>
      <c r="D814" s="18" t="s">
        <v>83</v>
      </c>
      <c r="E814" s="13">
        <v>2</v>
      </c>
      <c r="F814" s="25" t="s">
        <v>82</v>
      </c>
      <c r="G814" s="25" t="s">
        <v>427</v>
      </c>
      <c r="H814" s="11">
        <v>8.59</v>
      </c>
      <c r="I814" s="11">
        <f t="shared" si="96"/>
        <v>17.18</v>
      </c>
      <c r="J814" s="11">
        <f t="shared" si="98"/>
        <v>8.59</v>
      </c>
      <c r="K814" s="11">
        <f t="shared" si="97"/>
        <v>17.18</v>
      </c>
      <c r="L814" s="10">
        <v>0</v>
      </c>
      <c r="N814" s="118">
        <f t="shared" si="94"/>
        <v>0</v>
      </c>
      <c r="O814" s="118">
        <f t="shared" si="95"/>
        <v>8.59</v>
      </c>
    </row>
    <row r="815" spans="1:15" x14ac:dyDescent="0.25">
      <c r="C815" s="9"/>
      <c r="D815" s="8" t="s">
        <v>1</v>
      </c>
      <c r="E815" s="8">
        <f>SUM(E783:E814)</f>
        <v>35</v>
      </c>
      <c r="F815" s="8"/>
      <c r="G815" s="8"/>
      <c r="H815" s="7"/>
      <c r="I815" s="7">
        <f>SUM(I783:I814)</f>
        <v>2298.41</v>
      </c>
      <c r="J815" s="8"/>
      <c r="K815" s="7">
        <f>SUM(K783:K814)</f>
        <v>2298.41</v>
      </c>
      <c r="L815" s="6"/>
      <c r="N815" s="118">
        <f t="shared" si="94"/>
        <v>0</v>
      </c>
      <c r="O815" s="118">
        <f t="shared" si="95"/>
        <v>0</v>
      </c>
    </row>
    <row r="816" spans="1:15" x14ac:dyDescent="0.25">
      <c r="D816" t="s">
        <v>0</v>
      </c>
      <c r="N816" s="118">
        <f t="shared" si="94"/>
        <v>0</v>
      </c>
      <c r="O816" s="118">
        <f t="shared" si="95"/>
        <v>0</v>
      </c>
    </row>
    <row r="817" spans="1:15" x14ac:dyDescent="0.25">
      <c r="D817" s="24" t="s">
        <v>1668</v>
      </c>
      <c r="N817" s="118">
        <f t="shared" si="94"/>
        <v>0</v>
      </c>
      <c r="O817" s="118">
        <f t="shared" si="95"/>
        <v>0</v>
      </c>
    </row>
    <row r="818" spans="1:15" ht="30" x14ac:dyDescent="0.25">
      <c r="C818" s="24" t="s">
        <v>28</v>
      </c>
      <c r="D818" s="24" t="s">
        <v>27</v>
      </c>
      <c r="E818" s="24" t="s">
        <v>26</v>
      </c>
      <c r="F818" s="24" t="s">
        <v>25</v>
      </c>
      <c r="G818" s="24" t="s">
        <v>24</v>
      </c>
      <c r="H818" s="116" t="s">
        <v>21</v>
      </c>
      <c r="I818" s="24" t="s">
        <v>23</v>
      </c>
      <c r="J818" s="24" t="s">
        <v>2928</v>
      </c>
      <c r="K818" s="24" t="s">
        <v>2927</v>
      </c>
      <c r="L818" s="23" t="s">
        <v>22</v>
      </c>
      <c r="N818" s="118" t="e">
        <f t="shared" si="94"/>
        <v>#VALUE!</v>
      </c>
      <c r="O818" s="118" t="e">
        <f t="shared" si="95"/>
        <v>#VALUE!</v>
      </c>
    </row>
    <row r="819" spans="1:15" x14ac:dyDescent="0.25">
      <c r="A819" t="s">
        <v>1667</v>
      </c>
      <c r="B819" t="s">
        <v>34</v>
      </c>
      <c r="C819" s="19">
        <v>1</v>
      </c>
      <c r="D819" s="18" t="s">
        <v>1666</v>
      </c>
      <c r="E819" s="13">
        <v>1</v>
      </c>
      <c r="F819" s="25" t="s">
        <v>34</v>
      </c>
      <c r="G819" s="25">
        <v>81897719002</v>
      </c>
      <c r="H819" s="11">
        <v>220.21</v>
      </c>
      <c r="I819" s="11">
        <f t="shared" ref="I819:I850" si="99">H819*E819</f>
        <v>220.21</v>
      </c>
      <c r="J819" s="11">
        <f>O819</f>
        <v>220.21</v>
      </c>
      <c r="K819" s="11">
        <f t="shared" ref="K819:K850" si="100">J819*E819</f>
        <v>220.21</v>
      </c>
      <c r="L819" s="10">
        <v>0</v>
      </c>
      <c r="N819" s="118">
        <f t="shared" si="94"/>
        <v>0</v>
      </c>
      <c r="O819" s="118">
        <f t="shared" si="95"/>
        <v>220.21</v>
      </c>
    </row>
    <row r="820" spans="1:15" x14ac:dyDescent="0.25">
      <c r="A820" t="s">
        <v>1665</v>
      </c>
      <c r="B820" t="s">
        <v>1663</v>
      </c>
      <c r="C820" s="19">
        <v>2</v>
      </c>
      <c r="D820" s="18" t="s">
        <v>1664</v>
      </c>
      <c r="E820" s="13">
        <v>2</v>
      </c>
      <c r="F820" s="25" t="s">
        <v>1663</v>
      </c>
      <c r="G820" s="25">
        <v>81897719002</v>
      </c>
      <c r="H820" s="11">
        <v>63.2</v>
      </c>
      <c r="I820" s="11">
        <f t="shared" si="99"/>
        <v>126.4</v>
      </c>
      <c r="J820" s="11">
        <f t="shared" ref="J820:J850" si="101">O820</f>
        <v>63.2</v>
      </c>
      <c r="K820" s="11">
        <f t="shared" si="100"/>
        <v>126.4</v>
      </c>
      <c r="L820" s="10">
        <v>0</v>
      </c>
      <c r="N820" s="118">
        <f t="shared" si="94"/>
        <v>0</v>
      </c>
      <c r="O820" s="118">
        <f t="shared" si="95"/>
        <v>63.2</v>
      </c>
    </row>
    <row r="821" spans="1:15" x14ac:dyDescent="0.25">
      <c r="A821" t="s">
        <v>1662</v>
      </c>
      <c r="B821" t="s">
        <v>1661</v>
      </c>
      <c r="C821" s="19">
        <v>3</v>
      </c>
      <c r="D821" s="18" t="s">
        <v>1660</v>
      </c>
      <c r="E821" s="13">
        <v>3</v>
      </c>
      <c r="F821" s="25">
        <v>10639</v>
      </c>
      <c r="G821" s="25">
        <v>81087610003</v>
      </c>
      <c r="H821" s="11">
        <v>11.99</v>
      </c>
      <c r="I821" s="11">
        <f t="shared" si="99"/>
        <v>35.97</v>
      </c>
      <c r="J821" s="11">
        <f t="shared" si="101"/>
        <v>11.99</v>
      </c>
      <c r="K821" s="11">
        <f t="shared" si="100"/>
        <v>35.97</v>
      </c>
      <c r="L821" s="10">
        <v>0</v>
      </c>
      <c r="N821" s="118">
        <f t="shared" si="94"/>
        <v>0</v>
      </c>
      <c r="O821" s="118">
        <f t="shared" si="95"/>
        <v>11.99</v>
      </c>
    </row>
    <row r="822" spans="1:15" s="5" customFormat="1" x14ac:dyDescent="0.25">
      <c r="A822" s="5" t="s">
        <v>1659</v>
      </c>
      <c r="B822" t="s">
        <v>1658</v>
      </c>
      <c r="C822" s="19">
        <v>4</v>
      </c>
      <c r="D822" s="18" t="s">
        <v>1657</v>
      </c>
      <c r="E822" s="13">
        <v>3</v>
      </c>
      <c r="F822" s="25">
        <v>10641</v>
      </c>
      <c r="G822" s="25">
        <v>81087610003</v>
      </c>
      <c r="H822" s="11">
        <v>15.59</v>
      </c>
      <c r="I822" s="11">
        <f t="shared" si="99"/>
        <v>46.769999999999996</v>
      </c>
      <c r="J822" s="11">
        <f t="shared" si="101"/>
        <v>15.59</v>
      </c>
      <c r="K822" s="11">
        <f t="shared" si="100"/>
        <v>46.769999999999996</v>
      </c>
      <c r="L822" s="10">
        <v>0</v>
      </c>
      <c r="N822" s="118">
        <f t="shared" si="94"/>
        <v>0</v>
      </c>
      <c r="O822" s="118">
        <f t="shared" si="95"/>
        <v>15.59</v>
      </c>
    </row>
    <row r="823" spans="1:15" x14ac:dyDescent="0.25">
      <c r="A823" t="s">
        <v>1656</v>
      </c>
      <c r="B823" s="5" t="s">
        <v>1655</v>
      </c>
      <c r="C823" s="19">
        <v>5</v>
      </c>
      <c r="D823" s="18" t="s">
        <v>1654</v>
      </c>
      <c r="E823" s="13">
        <v>3</v>
      </c>
      <c r="F823" s="25">
        <v>10645</v>
      </c>
      <c r="G823" s="25">
        <v>81087610003</v>
      </c>
      <c r="H823" s="11">
        <v>19.190000000000001</v>
      </c>
      <c r="I823" s="11">
        <f t="shared" si="99"/>
        <v>57.570000000000007</v>
      </c>
      <c r="J823" s="11">
        <f t="shared" si="101"/>
        <v>19.190000000000001</v>
      </c>
      <c r="K823" s="11">
        <f t="shared" si="100"/>
        <v>57.570000000000007</v>
      </c>
      <c r="L823" s="10">
        <v>0</v>
      </c>
      <c r="N823" s="118">
        <f t="shared" si="94"/>
        <v>0</v>
      </c>
      <c r="O823" s="118">
        <f t="shared" si="95"/>
        <v>19.190000000000001</v>
      </c>
    </row>
    <row r="824" spans="1:15" x14ac:dyDescent="0.25">
      <c r="A824" t="s">
        <v>1653</v>
      </c>
      <c r="B824" t="s">
        <v>1102</v>
      </c>
      <c r="C824" s="19">
        <v>6</v>
      </c>
      <c r="D824" s="18" t="s">
        <v>1103</v>
      </c>
      <c r="E824" s="13">
        <v>1</v>
      </c>
      <c r="F824" s="25" t="s">
        <v>1102</v>
      </c>
      <c r="G824" s="25">
        <v>81897719002</v>
      </c>
      <c r="H824" s="11">
        <v>29.989999999999995</v>
      </c>
      <c r="I824" s="11">
        <f t="shared" si="99"/>
        <v>29.989999999999995</v>
      </c>
      <c r="J824" s="11">
        <f t="shared" si="101"/>
        <v>29.989999999999995</v>
      </c>
      <c r="K824" s="11">
        <f t="shared" si="100"/>
        <v>29.989999999999995</v>
      </c>
      <c r="L824" s="10">
        <v>0</v>
      </c>
      <c r="N824" s="118">
        <f t="shared" si="94"/>
        <v>0</v>
      </c>
      <c r="O824" s="118">
        <f t="shared" si="95"/>
        <v>29.989999999999995</v>
      </c>
    </row>
    <row r="825" spans="1:15" x14ac:dyDescent="0.25">
      <c r="A825" t="s">
        <v>1652</v>
      </c>
      <c r="B825" t="s">
        <v>482</v>
      </c>
      <c r="C825" s="19">
        <v>7</v>
      </c>
      <c r="D825" s="18" t="s">
        <v>1651</v>
      </c>
      <c r="E825" s="13">
        <v>1</v>
      </c>
      <c r="F825" s="25" t="s">
        <v>482</v>
      </c>
      <c r="G825" s="25">
        <v>81897719002</v>
      </c>
      <c r="H825" s="11">
        <v>18</v>
      </c>
      <c r="I825" s="11">
        <f t="shared" si="99"/>
        <v>18</v>
      </c>
      <c r="J825" s="11">
        <f t="shared" si="101"/>
        <v>18</v>
      </c>
      <c r="K825" s="11">
        <f t="shared" si="100"/>
        <v>18</v>
      </c>
      <c r="L825" s="10">
        <v>0</v>
      </c>
      <c r="N825" s="118">
        <f t="shared" si="94"/>
        <v>0</v>
      </c>
      <c r="O825" s="118">
        <f t="shared" si="95"/>
        <v>18</v>
      </c>
    </row>
    <row r="826" spans="1:15" x14ac:dyDescent="0.25">
      <c r="A826" t="s">
        <v>1650</v>
      </c>
      <c r="B826" t="s">
        <v>1648</v>
      </c>
      <c r="C826" s="19">
        <v>8</v>
      </c>
      <c r="D826" s="18" t="s">
        <v>1649</v>
      </c>
      <c r="E826" s="13">
        <v>2</v>
      </c>
      <c r="F826" s="25" t="s">
        <v>1648</v>
      </c>
      <c r="G826" s="25">
        <v>81897719002</v>
      </c>
      <c r="H826" s="11">
        <v>11.41</v>
      </c>
      <c r="I826" s="11">
        <f t="shared" si="99"/>
        <v>22.82</v>
      </c>
      <c r="J826" s="11">
        <f t="shared" si="101"/>
        <v>11.41</v>
      </c>
      <c r="K826" s="11">
        <f t="shared" si="100"/>
        <v>22.82</v>
      </c>
      <c r="L826" s="10">
        <v>0</v>
      </c>
      <c r="N826" s="118">
        <f t="shared" si="94"/>
        <v>0</v>
      </c>
      <c r="O826" s="118">
        <f t="shared" si="95"/>
        <v>11.41</v>
      </c>
    </row>
    <row r="827" spans="1:15" x14ac:dyDescent="0.25">
      <c r="A827" t="s">
        <v>1647</v>
      </c>
      <c r="B827" t="s">
        <v>1645</v>
      </c>
      <c r="C827" s="19">
        <v>9</v>
      </c>
      <c r="D827" s="18" t="s">
        <v>1646</v>
      </c>
      <c r="E827" s="13">
        <v>6</v>
      </c>
      <c r="F827" s="25" t="s">
        <v>1645</v>
      </c>
      <c r="G827" s="25">
        <v>81897719002</v>
      </c>
      <c r="H827" s="11">
        <v>29.989999999999995</v>
      </c>
      <c r="I827" s="11">
        <f t="shared" si="99"/>
        <v>179.93999999999997</v>
      </c>
      <c r="J827" s="11">
        <f t="shared" si="101"/>
        <v>29.989999999999995</v>
      </c>
      <c r="K827" s="11">
        <f t="shared" si="100"/>
        <v>179.93999999999997</v>
      </c>
      <c r="L827" s="10">
        <v>0</v>
      </c>
      <c r="N827" s="118">
        <f t="shared" si="94"/>
        <v>0</v>
      </c>
      <c r="O827" s="118">
        <f t="shared" si="95"/>
        <v>29.989999999999995</v>
      </c>
    </row>
    <row r="828" spans="1:15" x14ac:dyDescent="0.25">
      <c r="A828" t="s">
        <v>1644</v>
      </c>
      <c r="B828" t="s">
        <v>1642</v>
      </c>
      <c r="C828" s="19">
        <v>10</v>
      </c>
      <c r="D828" s="18" t="s">
        <v>1643</v>
      </c>
      <c r="E828" s="13">
        <v>1</v>
      </c>
      <c r="F828" s="25" t="s">
        <v>1642</v>
      </c>
      <c r="G828" s="25">
        <v>81897719002</v>
      </c>
      <c r="H828" s="11">
        <v>27</v>
      </c>
      <c r="I828" s="11">
        <f t="shared" si="99"/>
        <v>27</v>
      </c>
      <c r="J828" s="11">
        <f t="shared" si="101"/>
        <v>27</v>
      </c>
      <c r="K828" s="11">
        <f t="shared" si="100"/>
        <v>27</v>
      </c>
      <c r="L828" s="10">
        <v>0</v>
      </c>
      <c r="N828" s="118">
        <f t="shared" si="94"/>
        <v>0</v>
      </c>
      <c r="O828" s="118">
        <f t="shared" si="95"/>
        <v>27</v>
      </c>
    </row>
    <row r="829" spans="1:15" x14ac:dyDescent="0.25">
      <c r="A829" t="s">
        <v>1641</v>
      </c>
      <c r="B829" t="s">
        <v>140</v>
      </c>
      <c r="C829" s="19">
        <v>11</v>
      </c>
      <c r="D829" s="18" t="s">
        <v>141</v>
      </c>
      <c r="E829" s="13">
        <v>1</v>
      </c>
      <c r="F829" s="25" t="s">
        <v>140</v>
      </c>
      <c r="G829" s="25">
        <v>81897719002</v>
      </c>
      <c r="H829" s="11">
        <v>26.39</v>
      </c>
      <c r="I829" s="11">
        <f t="shared" si="99"/>
        <v>26.39</v>
      </c>
      <c r="J829" s="11">
        <f t="shared" si="101"/>
        <v>26.39</v>
      </c>
      <c r="K829" s="11">
        <f t="shared" si="100"/>
        <v>26.39</v>
      </c>
      <c r="L829" s="10">
        <v>0</v>
      </c>
      <c r="N829" s="118">
        <f t="shared" si="94"/>
        <v>0</v>
      </c>
      <c r="O829" s="118">
        <f t="shared" si="95"/>
        <v>26.39</v>
      </c>
    </row>
    <row r="830" spans="1:15" x14ac:dyDescent="0.25">
      <c r="A830" t="s">
        <v>1640</v>
      </c>
      <c r="B830" t="s">
        <v>116</v>
      </c>
      <c r="C830" s="19">
        <v>12</v>
      </c>
      <c r="D830" s="18" t="s">
        <v>117</v>
      </c>
      <c r="E830" s="13">
        <v>6</v>
      </c>
      <c r="F830" s="25" t="s">
        <v>116</v>
      </c>
      <c r="G830" s="25">
        <v>81897719002</v>
      </c>
      <c r="H830" s="11">
        <v>17.39</v>
      </c>
      <c r="I830" s="11">
        <f t="shared" si="99"/>
        <v>104.34</v>
      </c>
      <c r="J830" s="11">
        <f t="shared" si="101"/>
        <v>17.39</v>
      </c>
      <c r="K830" s="11">
        <f t="shared" si="100"/>
        <v>104.34</v>
      </c>
      <c r="L830" s="10">
        <v>0</v>
      </c>
      <c r="N830" s="118">
        <f t="shared" si="94"/>
        <v>0</v>
      </c>
      <c r="O830" s="118">
        <f t="shared" si="95"/>
        <v>17.39</v>
      </c>
    </row>
    <row r="831" spans="1:15" x14ac:dyDescent="0.25">
      <c r="A831" t="s">
        <v>1639</v>
      </c>
      <c r="B831" t="s">
        <v>599</v>
      </c>
      <c r="C831" s="19">
        <v>13</v>
      </c>
      <c r="D831" s="18" t="s">
        <v>600</v>
      </c>
      <c r="E831" s="13">
        <v>6</v>
      </c>
      <c r="F831" s="25" t="s">
        <v>599</v>
      </c>
      <c r="G831" s="25">
        <v>81897719002</v>
      </c>
      <c r="H831" s="11">
        <v>16.809999999999999</v>
      </c>
      <c r="I831" s="11">
        <f t="shared" si="99"/>
        <v>100.85999999999999</v>
      </c>
      <c r="J831" s="11">
        <f t="shared" si="101"/>
        <v>16.809999999999999</v>
      </c>
      <c r="K831" s="11">
        <f t="shared" si="100"/>
        <v>100.85999999999999</v>
      </c>
      <c r="L831" s="10">
        <v>0</v>
      </c>
      <c r="N831" s="118">
        <f t="shared" si="94"/>
        <v>0</v>
      </c>
      <c r="O831" s="118">
        <f t="shared" si="95"/>
        <v>16.809999999999999</v>
      </c>
    </row>
    <row r="832" spans="1:15" x14ac:dyDescent="0.25">
      <c r="A832" t="s">
        <v>1638</v>
      </c>
      <c r="B832" t="s">
        <v>1074</v>
      </c>
      <c r="C832" s="19">
        <v>14</v>
      </c>
      <c r="D832" s="18" t="s">
        <v>1075</v>
      </c>
      <c r="E832" s="13">
        <v>6</v>
      </c>
      <c r="F832" s="25" t="s">
        <v>1074</v>
      </c>
      <c r="G832" s="25">
        <v>81897719002</v>
      </c>
      <c r="H832" s="11">
        <v>21.6</v>
      </c>
      <c r="I832" s="11">
        <f t="shared" si="99"/>
        <v>129.60000000000002</v>
      </c>
      <c r="J832" s="11">
        <f t="shared" si="101"/>
        <v>21.6</v>
      </c>
      <c r="K832" s="11">
        <f t="shared" si="100"/>
        <v>129.60000000000002</v>
      </c>
      <c r="L832" s="10">
        <v>0</v>
      </c>
      <c r="N832" s="118">
        <f t="shared" si="94"/>
        <v>0</v>
      </c>
      <c r="O832" s="118">
        <f t="shared" si="95"/>
        <v>21.6</v>
      </c>
    </row>
    <row r="833" spans="1:15" x14ac:dyDescent="0.25">
      <c r="A833" t="s">
        <v>1637</v>
      </c>
      <c r="B833" t="s">
        <v>1635</v>
      </c>
      <c r="C833" s="19">
        <v>15</v>
      </c>
      <c r="D833" s="18" t="s">
        <v>1636</v>
      </c>
      <c r="E833" s="13">
        <v>4</v>
      </c>
      <c r="F833" s="25" t="s">
        <v>1635</v>
      </c>
      <c r="G833" s="25">
        <v>81897719002</v>
      </c>
      <c r="H833" s="11">
        <v>19.8</v>
      </c>
      <c r="I833" s="11">
        <f t="shared" si="99"/>
        <v>79.2</v>
      </c>
      <c r="J833" s="11">
        <f t="shared" si="101"/>
        <v>19.8</v>
      </c>
      <c r="K833" s="11">
        <f t="shared" si="100"/>
        <v>79.2</v>
      </c>
      <c r="L833" s="10">
        <v>0</v>
      </c>
      <c r="N833" s="118">
        <f t="shared" si="94"/>
        <v>0</v>
      </c>
      <c r="O833" s="118">
        <f t="shared" si="95"/>
        <v>19.8</v>
      </c>
    </row>
    <row r="834" spans="1:15" x14ac:dyDescent="0.25">
      <c r="A834" t="s">
        <v>1634</v>
      </c>
      <c r="B834" t="s">
        <v>525</v>
      </c>
      <c r="C834" s="19">
        <v>16</v>
      </c>
      <c r="D834" s="18" t="s">
        <v>526</v>
      </c>
      <c r="E834" s="13">
        <v>4</v>
      </c>
      <c r="F834" s="25" t="s">
        <v>525</v>
      </c>
      <c r="G834" s="25">
        <v>81897719002</v>
      </c>
      <c r="H834" s="11">
        <v>19.190000000000001</v>
      </c>
      <c r="I834" s="11">
        <f t="shared" si="99"/>
        <v>76.760000000000005</v>
      </c>
      <c r="J834" s="11">
        <f t="shared" si="101"/>
        <v>19.190000000000001</v>
      </c>
      <c r="K834" s="11">
        <f t="shared" si="100"/>
        <v>76.760000000000005</v>
      </c>
      <c r="L834" s="10">
        <v>0</v>
      </c>
      <c r="N834" s="118">
        <f t="shared" si="94"/>
        <v>0</v>
      </c>
      <c r="O834" s="118">
        <f t="shared" si="95"/>
        <v>19.190000000000001</v>
      </c>
    </row>
    <row r="835" spans="1:15" x14ac:dyDescent="0.25">
      <c r="A835" t="s">
        <v>1633</v>
      </c>
      <c r="B835" t="s">
        <v>1631</v>
      </c>
      <c r="C835" s="19">
        <v>17</v>
      </c>
      <c r="D835" s="18" t="s">
        <v>1632</v>
      </c>
      <c r="E835" s="13">
        <v>4</v>
      </c>
      <c r="F835" s="25" t="s">
        <v>1631</v>
      </c>
      <c r="G835" s="25">
        <v>81897719002</v>
      </c>
      <c r="H835" s="11">
        <v>21.6</v>
      </c>
      <c r="I835" s="11">
        <f t="shared" si="99"/>
        <v>86.4</v>
      </c>
      <c r="J835" s="11">
        <f t="shared" si="101"/>
        <v>21.6</v>
      </c>
      <c r="K835" s="11">
        <f t="shared" si="100"/>
        <v>86.4</v>
      </c>
      <c r="L835" s="10">
        <v>0</v>
      </c>
      <c r="N835" s="118">
        <f t="shared" si="94"/>
        <v>0</v>
      </c>
      <c r="O835" s="118">
        <f t="shared" si="95"/>
        <v>21.6</v>
      </c>
    </row>
    <row r="836" spans="1:15" x14ac:dyDescent="0.25">
      <c r="A836" t="s">
        <v>1630</v>
      </c>
      <c r="B836" t="s">
        <v>137</v>
      </c>
      <c r="C836" s="19">
        <v>18</v>
      </c>
      <c r="D836" s="18" t="s">
        <v>138</v>
      </c>
      <c r="E836" s="13">
        <v>1</v>
      </c>
      <c r="F836" s="25" t="s">
        <v>137</v>
      </c>
      <c r="G836" s="25">
        <v>81897719002</v>
      </c>
      <c r="H836" s="11">
        <v>26.39</v>
      </c>
      <c r="I836" s="11">
        <f t="shared" si="99"/>
        <v>26.39</v>
      </c>
      <c r="J836" s="11">
        <f t="shared" si="101"/>
        <v>26.39</v>
      </c>
      <c r="K836" s="11">
        <f t="shared" si="100"/>
        <v>26.39</v>
      </c>
      <c r="L836" s="10">
        <v>0</v>
      </c>
      <c r="N836" s="118">
        <f t="shared" ref="N836:N899" si="102">H836*L836</f>
        <v>0</v>
      </c>
      <c r="O836" s="118">
        <f t="shared" ref="O836:O899" si="103">H836-N836</f>
        <v>26.39</v>
      </c>
    </row>
    <row r="837" spans="1:15" x14ac:dyDescent="0.25">
      <c r="A837" t="s">
        <v>1629</v>
      </c>
      <c r="B837" t="s">
        <v>1588</v>
      </c>
      <c r="C837" s="19">
        <v>19</v>
      </c>
      <c r="D837" s="18" t="s">
        <v>1589</v>
      </c>
      <c r="E837" s="13">
        <v>2</v>
      </c>
      <c r="F837" s="25" t="s">
        <v>1588</v>
      </c>
      <c r="G837" s="25">
        <v>81897719002</v>
      </c>
      <c r="H837" s="11">
        <v>24.01</v>
      </c>
      <c r="I837" s="11">
        <f t="shared" si="99"/>
        <v>48.02</v>
      </c>
      <c r="J837" s="11">
        <f t="shared" si="101"/>
        <v>24.01</v>
      </c>
      <c r="K837" s="11">
        <f t="shared" si="100"/>
        <v>48.02</v>
      </c>
      <c r="L837" s="10">
        <v>0</v>
      </c>
      <c r="N837" s="118">
        <f t="shared" si="102"/>
        <v>0</v>
      </c>
      <c r="O837" s="118">
        <f t="shared" si="103"/>
        <v>24.01</v>
      </c>
    </row>
    <row r="838" spans="1:15" x14ac:dyDescent="0.25">
      <c r="A838" t="s">
        <v>1628</v>
      </c>
      <c r="B838" t="s">
        <v>113</v>
      </c>
      <c r="C838" s="19">
        <v>20</v>
      </c>
      <c r="D838" s="18" t="s">
        <v>114</v>
      </c>
      <c r="E838" s="13">
        <v>2</v>
      </c>
      <c r="F838" s="25" t="s">
        <v>113</v>
      </c>
      <c r="G838" s="25">
        <v>81897719002</v>
      </c>
      <c r="H838" s="11">
        <v>18</v>
      </c>
      <c r="I838" s="11">
        <f t="shared" si="99"/>
        <v>36</v>
      </c>
      <c r="J838" s="11">
        <f t="shared" si="101"/>
        <v>18</v>
      </c>
      <c r="K838" s="11">
        <f t="shared" si="100"/>
        <v>36</v>
      </c>
      <c r="L838" s="10">
        <v>0</v>
      </c>
      <c r="N838" s="118">
        <f t="shared" si="102"/>
        <v>0</v>
      </c>
      <c r="O838" s="118">
        <f t="shared" si="103"/>
        <v>18</v>
      </c>
    </row>
    <row r="839" spans="1:15" x14ac:dyDescent="0.25">
      <c r="A839" t="s">
        <v>1627</v>
      </c>
      <c r="B839" t="s">
        <v>611</v>
      </c>
      <c r="C839" s="19">
        <v>21</v>
      </c>
      <c r="D839" s="18" t="s">
        <v>612</v>
      </c>
      <c r="E839" s="13">
        <v>2</v>
      </c>
      <c r="F839" s="25" t="s">
        <v>611</v>
      </c>
      <c r="G839" s="25">
        <v>81897719002</v>
      </c>
      <c r="H839" s="11">
        <v>29.989999999999995</v>
      </c>
      <c r="I839" s="11">
        <f t="shared" si="99"/>
        <v>59.97999999999999</v>
      </c>
      <c r="J839" s="11">
        <f t="shared" si="101"/>
        <v>29.989999999999995</v>
      </c>
      <c r="K839" s="11">
        <f t="shared" si="100"/>
        <v>59.97999999999999</v>
      </c>
      <c r="L839" s="10">
        <v>0</v>
      </c>
      <c r="N839" s="118">
        <f t="shared" si="102"/>
        <v>0</v>
      </c>
      <c r="O839" s="118">
        <f t="shared" si="103"/>
        <v>29.989999999999995</v>
      </c>
    </row>
    <row r="840" spans="1:15" x14ac:dyDescent="0.25">
      <c r="A840" t="s">
        <v>1626</v>
      </c>
      <c r="B840" t="s">
        <v>107</v>
      </c>
      <c r="C840" s="19">
        <v>22</v>
      </c>
      <c r="D840" s="18" t="s">
        <v>108</v>
      </c>
      <c r="E840" s="13">
        <v>2</v>
      </c>
      <c r="F840" s="25" t="s">
        <v>107</v>
      </c>
      <c r="G840" s="25">
        <v>81897719002</v>
      </c>
      <c r="H840" s="11">
        <v>20.99</v>
      </c>
      <c r="I840" s="11">
        <f t="shared" si="99"/>
        <v>41.98</v>
      </c>
      <c r="J840" s="11">
        <f t="shared" si="101"/>
        <v>20.99</v>
      </c>
      <c r="K840" s="11">
        <f t="shared" si="100"/>
        <v>41.98</v>
      </c>
      <c r="L840" s="10">
        <v>0</v>
      </c>
      <c r="N840" s="118">
        <f t="shared" si="102"/>
        <v>0</v>
      </c>
      <c r="O840" s="118">
        <f t="shared" si="103"/>
        <v>20.99</v>
      </c>
    </row>
    <row r="841" spans="1:15" x14ac:dyDescent="0.25">
      <c r="A841" t="s">
        <v>1625</v>
      </c>
      <c r="B841" t="s">
        <v>1623</v>
      </c>
      <c r="C841" s="19">
        <v>23</v>
      </c>
      <c r="D841" s="18" t="s">
        <v>1624</v>
      </c>
      <c r="E841" s="13">
        <v>1</v>
      </c>
      <c r="F841" s="25" t="s">
        <v>1623</v>
      </c>
      <c r="G841" s="25">
        <v>81897719002</v>
      </c>
      <c r="H841" s="11">
        <v>36</v>
      </c>
      <c r="I841" s="11">
        <f t="shared" si="99"/>
        <v>36</v>
      </c>
      <c r="J841" s="11">
        <f t="shared" si="101"/>
        <v>36</v>
      </c>
      <c r="K841" s="11">
        <f t="shared" si="100"/>
        <v>36</v>
      </c>
      <c r="L841" s="10">
        <v>0</v>
      </c>
      <c r="N841" s="118">
        <f t="shared" si="102"/>
        <v>0</v>
      </c>
      <c r="O841" s="118">
        <f t="shared" si="103"/>
        <v>36</v>
      </c>
    </row>
    <row r="842" spans="1:15" x14ac:dyDescent="0.25">
      <c r="A842" t="s">
        <v>1622</v>
      </c>
      <c r="B842" t="s">
        <v>1621</v>
      </c>
      <c r="C842" s="19">
        <v>24</v>
      </c>
      <c r="D842" s="18" t="s">
        <v>1620</v>
      </c>
      <c r="E842" s="13">
        <v>1</v>
      </c>
      <c r="F842" s="25" t="s">
        <v>1618</v>
      </c>
      <c r="G842" s="25">
        <v>81897719002</v>
      </c>
      <c r="H842" s="11">
        <v>63</v>
      </c>
      <c r="I842" s="11">
        <f t="shared" si="99"/>
        <v>63</v>
      </c>
      <c r="J842" s="11">
        <f t="shared" si="101"/>
        <v>63</v>
      </c>
      <c r="K842" s="11">
        <f t="shared" si="100"/>
        <v>63</v>
      </c>
      <c r="L842" s="10">
        <v>0</v>
      </c>
      <c r="N842" s="118">
        <f t="shared" si="102"/>
        <v>0</v>
      </c>
      <c r="O842" s="118">
        <f t="shared" si="103"/>
        <v>63</v>
      </c>
    </row>
    <row r="843" spans="1:15" x14ac:dyDescent="0.25">
      <c r="A843" t="s">
        <v>1619</v>
      </c>
      <c r="B843" t="s">
        <v>1618</v>
      </c>
      <c r="C843" s="19">
        <v>25</v>
      </c>
      <c r="D843" s="18" t="s">
        <v>1616</v>
      </c>
      <c r="E843" s="13">
        <v>1</v>
      </c>
      <c r="F843" s="25" t="s">
        <v>1614</v>
      </c>
      <c r="G843" s="25">
        <v>81897719002</v>
      </c>
      <c r="H843" s="11">
        <v>24.01</v>
      </c>
      <c r="I843" s="11">
        <f t="shared" si="99"/>
        <v>24.01</v>
      </c>
      <c r="J843" s="11">
        <f t="shared" si="101"/>
        <v>24.01</v>
      </c>
      <c r="K843" s="11">
        <f t="shared" si="100"/>
        <v>24.01</v>
      </c>
      <c r="L843" s="10">
        <v>0</v>
      </c>
      <c r="N843" s="118">
        <f t="shared" si="102"/>
        <v>0</v>
      </c>
      <c r="O843" s="118">
        <f t="shared" si="103"/>
        <v>24.01</v>
      </c>
    </row>
    <row r="844" spans="1:15" x14ac:dyDescent="0.25">
      <c r="A844" t="s">
        <v>1617</v>
      </c>
      <c r="B844" t="s">
        <v>1614</v>
      </c>
      <c r="C844" s="19">
        <v>26</v>
      </c>
      <c r="D844" s="18" t="s">
        <v>1616</v>
      </c>
      <c r="E844" s="13">
        <v>1</v>
      </c>
      <c r="F844" s="25" t="s">
        <v>1614</v>
      </c>
      <c r="G844" s="25">
        <v>81897719002</v>
      </c>
      <c r="H844" s="11">
        <v>24.01</v>
      </c>
      <c r="I844" s="11">
        <f t="shared" si="99"/>
        <v>24.01</v>
      </c>
      <c r="J844" s="11">
        <f t="shared" si="101"/>
        <v>24.01</v>
      </c>
      <c r="K844" s="11">
        <f t="shared" si="100"/>
        <v>24.01</v>
      </c>
      <c r="L844" s="10">
        <v>0</v>
      </c>
      <c r="N844" s="118">
        <f t="shared" si="102"/>
        <v>0</v>
      </c>
      <c r="O844" s="118">
        <f t="shared" si="103"/>
        <v>24.01</v>
      </c>
    </row>
    <row r="845" spans="1:15" x14ac:dyDescent="0.25">
      <c r="A845" t="s">
        <v>1615</v>
      </c>
      <c r="B845" t="s">
        <v>1614</v>
      </c>
      <c r="C845" s="19">
        <v>27</v>
      </c>
      <c r="D845" s="18" t="s">
        <v>679</v>
      </c>
      <c r="E845" s="13">
        <v>1</v>
      </c>
      <c r="F845" s="25" t="s">
        <v>678</v>
      </c>
      <c r="G845" s="25">
        <v>81897719002</v>
      </c>
      <c r="H845" s="11">
        <v>16.52</v>
      </c>
      <c r="I845" s="11">
        <f t="shared" si="99"/>
        <v>16.52</v>
      </c>
      <c r="J845" s="11">
        <f t="shared" si="101"/>
        <v>16.52</v>
      </c>
      <c r="K845" s="11">
        <f t="shared" si="100"/>
        <v>16.52</v>
      </c>
      <c r="L845" s="10">
        <v>0</v>
      </c>
      <c r="N845" s="118">
        <f t="shared" si="102"/>
        <v>0</v>
      </c>
      <c r="O845" s="118">
        <f t="shared" si="103"/>
        <v>16.52</v>
      </c>
    </row>
    <row r="846" spans="1:15" x14ac:dyDescent="0.25">
      <c r="A846" t="s">
        <v>1613</v>
      </c>
      <c r="B846" t="s">
        <v>678</v>
      </c>
      <c r="C846" s="19">
        <v>28</v>
      </c>
      <c r="D846" s="18" t="s">
        <v>1612</v>
      </c>
      <c r="E846" s="13">
        <v>1</v>
      </c>
      <c r="F846" s="25" t="s">
        <v>1610</v>
      </c>
      <c r="G846" s="25">
        <v>81897719002</v>
      </c>
      <c r="H846" s="11">
        <v>18.760000000000002</v>
      </c>
      <c r="I846" s="11">
        <f t="shared" si="99"/>
        <v>18.760000000000002</v>
      </c>
      <c r="J846" s="11">
        <f t="shared" si="101"/>
        <v>18.760000000000002</v>
      </c>
      <c r="K846" s="11">
        <f t="shared" si="100"/>
        <v>18.760000000000002</v>
      </c>
      <c r="L846" s="10">
        <v>0</v>
      </c>
      <c r="N846" s="118">
        <f t="shared" si="102"/>
        <v>0</v>
      </c>
      <c r="O846" s="118">
        <f t="shared" si="103"/>
        <v>18.760000000000002</v>
      </c>
    </row>
    <row r="847" spans="1:15" ht="15.75" customHeight="1" x14ac:dyDescent="0.25">
      <c r="A847" t="s">
        <v>1611</v>
      </c>
      <c r="B847" t="s">
        <v>1610</v>
      </c>
      <c r="C847" s="19">
        <v>29</v>
      </c>
      <c r="D847" s="18" t="s">
        <v>45</v>
      </c>
      <c r="E847" s="13">
        <v>1</v>
      </c>
      <c r="F847" s="25" t="s">
        <v>44</v>
      </c>
      <c r="G847" s="25">
        <v>81897719002</v>
      </c>
      <c r="H847" s="11">
        <v>342.5</v>
      </c>
      <c r="I847" s="11">
        <f t="shared" si="99"/>
        <v>342.5</v>
      </c>
      <c r="J847" s="11">
        <f t="shared" si="101"/>
        <v>342.5</v>
      </c>
      <c r="K847" s="11">
        <f t="shared" si="100"/>
        <v>342.5</v>
      </c>
      <c r="L847" s="10">
        <v>0</v>
      </c>
      <c r="N847" s="118">
        <f t="shared" si="102"/>
        <v>0</v>
      </c>
      <c r="O847" s="118">
        <f t="shared" si="103"/>
        <v>342.5</v>
      </c>
    </row>
    <row r="848" spans="1:15" x14ac:dyDescent="0.25">
      <c r="A848" t="s">
        <v>1195</v>
      </c>
      <c r="B848" t="s">
        <v>44</v>
      </c>
      <c r="C848" s="19">
        <v>30</v>
      </c>
      <c r="D848" s="18" t="s">
        <v>87</v>
      </c>
      <c r="E848" s="13">
        <v>1</v>
      </c>
      <c r="F848" s="25" t="s">
        <v>86</v>
      </c>
      <c r="G848" s="25" t="s">
        <v>427</v>
      </c>
      <c r="H848" s="11">
        <v>484.9</v>
      </c>
      <c r="I848" s="11">
        <f t="shared" si="99"/>
        <v>484.9</v>
      </c>
      <c r="J848" s="11">
        <f t="shared" si="101"/>
        <v>484.9</v>
      </c>
      <c r="K848" s="11">
        <f t="shared" si="100"/>
        <v>484.9</v>
      </c>
      <c r="L848" s="10">
        <v>0</v>
      </c>
      <c r="N848" s="118">
        <f t="shared" si="102"/>
        <v>0</v>
      </c>
      <c r="O848" s="118">
        <f t="shared" si="103"/>
        <v>484.9</v>
      </c>
    </row>
    <row r="849" spans="1:15" x14ac:dyDescent="0.25">
      <c r="A849" t="s">
        <v>1194</v>
      </c>
      <c r="B849" t="s">
        <v>86</v>
      </c>
      <c r="C849" s="19">
        <v>31</v>
      </c>
      <c r="D849" s="18" t="s">
        <v>85</v>
      </c>
      <c r="E849" s="13">
        <v>1</v>
      </c>
      <c r="F849" s="25" t="s">
        <v>84</v>
      </c>
      <c r="G849" s="25" t="s">
        <v>427</v>
      </c>
      <c r="H849" s="11">
        <v>526.5</v>
      </c>
      <c r="I849" s="11">
        <f t="shared" si="99"/>
        <v>526.5</v>
      </c>
      <c r="J849" s="11">
        <f t="shared" si="101"/>
        <v>526.5</v>
      </c>
      <c r="K849" s="11">
        <f t="shared" si="100"/>
        <v>526.5</v>
      </c>
      <c r="L849" s="10">
        <v>0</v>
      </c>
      <c r="N849" s="118">
        <f t="shared" si="102"/>
        <v>0</v>
      </c>
      <c r="O849" s="118">
        <f t="shared" si="103"/>
        <v>526.5</v>
      </c>
    </row>
    <row r="850" spans="1:15" ht="14.45" customHeight="1" x14ac:dyDescent="0.25">
      <c r="B850" t="s">
        <v>84</v>
      </c>
      <c r="C850" s="19">
        <v>32</v>
      </c>
      <c r="D850" s="18" t="s">
        <v>83</v>
      </c>
      <c r="E850" s="13">
        <v>2</v>
      </c>
      <c r="F850" s="25" t="s">
        <v>82</v>
      </c>
      <c r="G850" s="25" t="s">
        <v>427</v>
      </c>
      <c r="H850" s="11">
        <v>8.5</v>
      </c>
      <c r="I850" s="11">
        <f t="shared" si="99"/>
        <v>17</v>
      </c>
      <c r="J850" s="11">
        <f t="shared" si="101"/>
        <v>8.5</v>
      </c>
      <c r="K850" s="11">
        <f t="shared" si="100"/>
        <v>17</v>
      </c>
      <c r="L850" s="10">
        <v>0</v>
      </c>
      <c r="N850" s="118">
        <f t="shared" si="102"/>
        <v>0</v>
      </c>
      <c r="O850" s="118">
        <f t="shared" si="103"/>
        <v>8.5</v>
      </c>
    </row>
    <row r="851" spans="1:15" x14ac:dyDescent="0.25">
      <c r="B851" t="s">
        <v>82</v>
      </c>
      <c r="C851" s="9"/>
      <c r="D851" s="8" t="s">
        <v>1</v>
      </c>
      <c r="E851" s="8">
        <f>SUM(E819:E850)</f>
        <v>74</v>
      </c>
      <c r="F851" s="8"/>
      <c r="G851" s="8"/>
      <c r="H851" s="7"/>
      <c r="I851" s="7">
        <f>SUM(I819:I850)</f>
        <v>3133.7900000000004</v>
      </c>
      <c r="J851" s="8"/>
      <c r="K851" s="7">
        <f>SUM(K819:K850)</f>
        <v>3133.7900000000004</v>
      </c>
      <c r="L851" s="6"/>
      <c r="N851" s="118">
        <f t="shared" si="102"/>
        <v>0</v>
      </c>
      <c r="O851" s="118">
        <f t="shared" si="103"/>
        <v>0</v>
      </c>
    </row>
    <row r="852" spans="1:15" ht="14.45" customHeight="1" x14ac:dyDescent="0.25">
      <c r="D852" t="s">
        <v>0</v>
      </c>
      <c r="N852" s="118">
        <f t="shared" si="102"/>
        <v>0</v>
      </c>
      <c r="O852" s="118">
        <f t="shared" si="103"/>
        <v>0</v>
      </c>
    </row>
    <row r="853" spans="1:15" x14ac:dyDescent="0.25">
      <c r="D853" s="24" t="s">
        <v>1609</v>
      </c>
      <c r="N853" s="118">
        <f t="shared" si="102"/>
        <v>0</v>
      </c>
      <c r="O853" s="118">
        <f t="shared" si="103"/>
        <v>0</v>
      </c>
    </row>
    <row r="854" spans="1:15" ht="30" x14ac:dyDescent="0.25">
      <c r="C854" s="24" t="s">
        <v>28</v>
      </c>
      <c r="D854" s="24" t="s">
        <v>27</v>
      </c>
      <c r="E854" s="24" t="s">
        <v>26</v>
      </c>
      <c r="F854" s="24" t="s">
        <v>25</v>
      </c>
      <c r="G854" s="24" t="s">
        <v>24</v>
      </c>
      <c r="H854" s="116" t="s">
        <v>21</v>
      </c>
      <c r="I854" s="24" t="s">
        <v>23</v>
      </c>
      <c r="J854" s="24" t="s">
        <v>2928</v>
      </c>
      <c r="K854" s="24" t="s">
        <v>2927</v>
      </c>
      <c r="L854" s="23" t="s">
        <v>22</v>
      </c>
      <c r="N854" s="118" t="e">
        <f t="shared" si="102"/>
        <v>#VALUE!</v>
      </c>
      <c r="O854" s="118" t="e">
        <f t="shared" si="103"/>
        <v>#VALUE!</v>
      </c>
    </row>
    <row r="855" spans="1:15" x14ac:dyDescent="0.25">
      <c r="A855" t="s">
        <v>1608</v>
      </c>
      <c r="B855" t="s">
        <v>1606</v>
      </c>
      <c r="C855" s="19">
        <v>1</v>
      </c>
      <c r="D855" s="18" t="s">
        <v>1607</v>
      </c>
      <c r="E855" s="13">
        <v>1</v>
      </c>
      <c r="F855" s="25" t="s">
        <v>1606</v>
      </c>
      <c r="G855" s="25">
        <v>81897719002</v>
      </c>
      <c r="H855" s="11">
        <v>63</v>
      </c>
      <c r="I855" s="11">
        <f t="shared" ref="I855:I879" si="104">H855*E855</f>
        <v>63</v>
      </c>
      <c r="J855" s="11">
        <f>O855</f>
        <v>63</v>
      </c>
      <c r="K855" s="11">
        <f t="shared" ref="K855:K879" si="105">J855*E855</f>
        <v>63</v>
      </c>
      <c r="L855" s="10">
        <v>0</v>
      </c>
      <c r="N855" s="118">
        <f t="shared" si="102"/>
        <v>0</v>
      </c>
      <c r="O855" s="118">
        <f t="shared" si="103"/>
        <v>63</v>
      </c>
    </row>
    <row r="856" spans="1:15" x14ac:dyDescent="0.25">
      <c r="A856" t="s">
        <v>671</v>
      </c>
      <c r="B856" t="s">
        <v>309</v>
      </c>
      <c r="C856" s="19">
        <v>2</v>
      </c>
      <c r="D856" s="18" t="s">
        <v>310</v>
      </c>
      <c r="E856" s="13">
        <v>2</v>
      </c>
      <c r="F856" s="25" t="s">
        <v>309</v>
      </c>
      <c r="G856" s="25">
        <v>81897719002</v>
      </c>
      <c r="H856" s="11">
        <v>15.009999999999998</v>
      </c>
      <c r="I856" s="11">
        <f t="shared" si="104"/>
        <v>30.019999999999996</v>
      </c>
      <c r="J856" s="11">
        <f t="shared" ref="J856:J879" si="106">O856</f>
        <v>15.009999999999998</v>
      </c>
      <c r="K856" s="11">
        <f t="shared" si="105"/>
        <v>30.019999999999996</v>
      </c>
      <c r="L856" s="10">
        <v>0</v>
      </c>
      <c r="N856" s="118">
        <f t="shared" si="102"/>
        <v>0</v>
      </c>
      <c r="O856" s="118">
        <f t="shared" si="103"/>
        <v>15.009999999999998</v>
      </c>
    </row>
    <row r="857" spans="1:15" x14ac:dyDescent="0.25">
      <c r="A857" t="s">
        <v>1605</v>
      </c>
      <c r="B857" t="s">
        <v>1262</v>
      </c>
      <c r="C857" s="19">
        <v>3</v>
      </c>
      <c r="D857" s="18" t="s">
        <v>1604</v>
      </c>
      <c r="E857" s="13">
        <v>1</v>
      </c>
      <c r="F857" s="25" t="s">
        <v>1262</v>
      </c>
      <c r="G857" s="25">
        <v>81897719002</v>
      </c>
      <c r="H857" s="11">
        <v>43.2</v>
      </c>
      <c r="I857" s="11">
        <f t="shared" si="104"/>
        <v>43.2</v>
      </c>
      <c r="J857" s="11">
        <f t="shared" si="106"/>
        <v>43.2</v>
      </c>
      <c r="K857" s="11">
        <f t="shared" si="105"/>
        <v>43.2</v>
      </c>
      <c r="L857" s="10">
        <v>0</v>
      </c>
      <c r="N857" s="118">
        <f t="shared" si="102"/>
        <v>0</v>
      </c>
      <c r="O857" s="118">
        <f t="shared" si="103"/>
        <v>43.2</v>
      </c>
    </row>
    <row r="858" spans="1:15" x14ac:dyDescent="0.25">
      <c r="A858" t="s">
        <v>1603</v>
      </c>
      <c r="B858" t="s">
        <v>34</v>
      </c>
      <c r="C858" s="19">
        <v>4</v>
      </c>
      <c r="D858" s="18" t="s">
        <v>1602</v>
      </c>
      <c r="E858" s="13">
        <v>1</v>
      </c>
      <c r="F858" s="25" t="s">
        <v>34</v>
      </c>
      <c r="G858" s="25">
        <v>81897719002</v>
      </c>
      <c r="H858" s="11">
        <v>216</v>
      </c>
      <c r="I858" s="11">
        <f t="shared" si="104"/>
        <v>216</v>
      </c>
      <c r="J858" s="11">
        <f t="shared" si="106"/>
        <v>216</v>
      </c>
      <c r="K858" s="11">
        <f t="shared" si="105"/>
        <v>216</v>
      </c>
      <c r="L858" s="10">
        <v>0</v>
      </c>
      <c r="N858" s="118">
        <f t="shared" si="102"/>
        <v>0</v>
      </c>
      <c r="O858" s="118">
        <f t="shared" si="103"/>
        <v>216</v>
      </c>
    </row>
    <row r="859" spans="1:15" s="5" customFormat="1" x14ac:dyDescent="0.25">
      <c r="A859" s="5" t="s">
        <v>1601</v>
      </c>
      <c r="B859" t="s">
        <v>642</v>
      </c>
      <c r="C859" s="19">
        <v>5</v>
      </c>
      <c r="D859" s="18" t="s">
        <v>1600</v>
      </c>
      <c r="E859" s="13">
        <v>1</v>
      </c>
      <c r="F859" s="25" t="s">
        <v>158</v>
      </c>
      <c r="G859" s="25" t="s">
        <v>427</v>
      </c>
      <c r="H859" s="11">
        <v>4.5999999999999996</v>
      </c>
      <c r="I859" s="11">
        <f t="shared" si="104"/>
        <v>4.5999999999999996</v>
      </c>
      <c r="J859" s="11">
        <f t="shared" si="106"/>
        <v>4.5999999999999996</v>
      </c>
      <c r="K859" s="11">
        <f t="shared" si="105"/>
        <v>4.5999999999999996</v>
      </c>
      <c r="L859" s="10">
        <v>0</v>
      </c>
      <c r="N859" s="118">
        <f t="shared" si="102"/>
        <v>0</v>
      </c>
      <c r="O859" s="118">
        <f t="shared" si="103"/>
        <v>4.5999999999999996</v>
      </c>
    </row>
    <row r="860" spans="1:15" x14ac:dyDescent="0.25">
      <c r="A860" t="s">
        <v>1599</v>
      </c>
      <c r="B860" s="5" t="s">
        <v>110</v>
      </c>
      <c r="C860" s="19">
        <v>6</v>
      </c>
      <c r="D860" s="18" t="s">
        <v>111</v>
      </c>
      <c r="E860" s="13">
        <v>1</v>
      </c>
      <c r="F860" s="25" t="s">
        <v>110</v>
      </c>
      <c r="G860" s="25">
        <v>81897719002</v>
      </c>
      <c r="H860" s="11">
        <v>33.590000000000003</v>
      </c>
      <c r="I860" s="11">
        <f t="shared" si="104"/>
        <v>33.590000000000003</v>
      </c>
      <c r="J860" s="11">
        <f t="shared" si="106"/>
        <v>33.590000000000003</v>
      </c>
      <c r="K860" s="11">
        <f t="shared" si="105"/>
        <v>33.590000000000003</v>
      </c>
      <c r="L860" s="10">
        <v>0</v>
      </c>
      <c r="N860" s="118">
        <f t="shared" si="102"/>
        <v>0</v>
      </c>
      <c r="O860" s="118">
        <f t="shared" si="103"/>
        <v>33.590000000000003</v>
      </c>
    </row>
    <row r="861" spans="1:15" x14ac:dyDescent="0.25">
      <c r="A861" t="s">
        <v>1598</v>
      </c>
      <c r="B861" t="s">
        <v>155</v>
      </c>
      <c r="C861" s="19">
        <v>7</v>
      </c>
      <c r="D861" s="18" t="s">
        <v>156</v>
      </c>
      <c r="E861" s="13">
        <v>1</v>
      </c>
      <c r="F861" s="25" t="s">
        <v>155</v>
      </c>
      <c r="G861" s="25">
        <v>81897719002</v>
      </c>
      <c r="H861" s="11">
        <v>7.1999999999999993</v>
      </c>
      <c r="I861" s="11">
        <f t="shared" si="104"/>
        <v>7.1999999999999993</v>
      </c>
      <c r="J861" s="11">
        <f t="shared" si="106"/>
        <v>7.1999999999999993</v>
      </c>
      <c r="K861" s="11">
        <f t="shared" si="105"/>
        <v>7.1999999999999993</v>
      </c>
      <c r="L861" s="10">
        <v>0</v>
      </c>
      <c r="N861" s="118">
        <f t="shared" si="102"/>
        <v>0</v>
      </c>
      <c r="O861" s="118">
        <f t="shared" si="103"/>
        <v>7.1999999999999993</v>
      </c>
    </row>
    <row r="862" spans="1:15" x14ac:dyDescent="0.25">
      <c r="A862" t="s">
        <v>1597</v>
      </c>
      <c r="B862" t="s">
        <v>149</v>
      </c>
      <c r="C862" s="19">
        <v>8</v>
      </c>
      <c r="D862" s="18" t="s">
        <v>150</v>
      </c>
      <c r="E862" s="13">
        <v>1</v>
      </c>
      <c r="F862" s="25" t="s">
        <v>149</v>
      </c>
      <c r="G862" s="25">
        <v>81897719002</v>
      </c>
      <c r="H862" s="11">
        <v>7.8099999999999987</v>
      </c>
      <c r="I862" s="11">
        <f t="shared" si="104"/>
        <v>7.8099999999999987</v>
      </c>
      <c r="J862" s="11">
        <f t="shared" si="106"/>
        <v>7.8099999999999987</v>
      </c>
      <c r="K862" s="11">
        <f t="shared" si="105"/>
        <v>7.8099999999999987</v>
      </c>
      <c r="L862" s="10">
        <v>0</v>
      </c>
      <c r="N862" s="118">
        <f t="shared" si="102"/>
        <v>0</v>
      </c>
      <c r="O862" s="118">
        <f t="shared" si="103"/>
        <v>7.8099999999999987</v>
      </c>
    </row>
    <row r="863" spans="1:15" x14ac:dyDescent="0.25">
      <c r="A863" t="s">
        <v>1596</v>
      </c>
      <c r="B863" t="s">
        <v>140</v>
      </c>
      <c r="C863" s="19">
        <v>9</v>
      </c>
      <c r="D863" s="18" t="s">
        <v>141</v>
      </c>
      <c r="E863" s="13">
        <v>1</v>
      </c>
      <c r="F863" s="25" t="s">
        <v>140</v>
      </c>
      <c r="G863" s="25">
        <v>81897719002</v>
      </c>
      <c r="H863" s="11">
        <v>26.39</v>
      </c>
      <c r="I863" s="11">
        <f t="shared" si="104"/>
        <v>26.39</v>
      </c>
      <c r="J863" s="11">
        <f t="shared" si="106"/>
        <v>26.39</v>
      </c>
      <c r="K863" s="11">
        <f t="shared" si="105"/>
        <v>26.39</v>
      </c>
      <c r="L863" s="10">
        <v>0</v>
      </c>
      <c r="N863" s="118">
        <f t="shared" si="102"/>
        <v>0</v>
      </c>
      <c r="O863" s="118">
        <f t="shared" si="103"/>
        <v>26.39</v>
      </c>
    </row>
    <row r="864" spans="1:15" x14ac:dyDescent="0.25">
      <c r="A864" t="s">
        <v>1595</v>
      </c>
      <c r="B864" t="s">
        <v>113</v>
      </c>
      <c r="C864" s="19">
        <v>10</v>
      </c>
      <c r="D864" s="18" t="s">
        <v>114</v>
      </c>
      <c r="E864" s="13">
        <v>6</v>
      </c>
      <c r="F864" s="25" t="s">
        <v>113</v>
      </c>
      <c r="G864" s="25">
        <v>81897719002</v>
      </c>
      <c r="H864" s="11">
        <v>18</v>
      </c>
      <c r="I864" s="11">
        <f t="shared" si="104"/>
        <v>108</v>
      </c>
      <c r="J864" s="11">
        <f t="shared" si="106"/>
        <v>18</v>
      </c>
      <c r="K864" s="11">
        <f t="shared" si="105"/>
        <v>108</v>
      </c>
      <c r="L864" s="10">
        <v>0</v>
      </c>
      <c r="N864" s="118">
        <f t="shared" si="102"/>
        <v>0</v>
      </c>
      <c r="O864" s="118">
        <f t="shared" si="103"/>
        <v>18</v>
      </c>
    </row>
    <row r="865" spans="1:15" x14ac:dyDescent="0.25">
      <c r="A865" t="s">
        <v>1594</v>
      </c>
      <c r="B865" t="s">
        <v>131</v>
      </c>
      <c r="C865" s="19">
        <v>11</v>
      </c>
      <c r="D865" s="18" t="s">
        <v>132</v>
      </c>
      <c r="E865" s="13">
        <v>4</v>
      </c>
      <c r="F865" s="25" t="s">
        <v>131</v>
      </c>
      <c r="G865" s="25">
        <v>81897719002</v>
      </c>
      <c r="H865" s="11">
        <v>14.399999999999999</v>
      </c>
      <c r="I865" s="11">
        <f t="shared" si="104"/>
        <v>57.599999999999994</v>
      </c>
      <c r="J865" s="11">
        <f t="shared" si="106"/>
        <v>14.399999999999999</v>
      </c>
      <c r="K865" s="11">
        <f t="shared" si="105"/>
        <v>57.599999999999994</v>
      </c>
      <c r="L865" s="10">
        <v>0</v>
      </c>
      <c r="N865" s="118">
        <f t="shared" si="102"/>
        <v>0</v>
      </c>
      <c r="O865" s="118">
        <f t="shared" si="103"/>
        <v>14.399999999999999</v>
      </c>
    </row>
    <row r="866" spans="1:15" ht="14.25" customHeight="1" x14ac:dyDescent="0.25">
      <c r="A866" t="s">
        <v>1593</v>
      </c>
      <c r="B866" t="s">
        <v>116</v>
      </c>
      <c r="C866" s="19">
        <v>12</v>
      </c>
      <c r="D866" s="18" t="s">
        <v>117</v>
      </c>
      <c r="E866" s="13">
        <v>4</v>
      </c>
      <c r="F866" s="25" t="s">
        <v>116</v>
      </c>
      <c r="G866" s="25">
        <v>81897719002</v>
      </c>
      <c r="H866" s="11">
        <v>17.39</v>
      </c>
      <c r="I866" s="11">
        <f t="shared" si="104"/>
        <v>69.56</v>
      </c>
      <c r="J866" s="11">
        <f t="shared" si="106"/>
        <v>17.39</v>
      </c>
      <c r="K866" s="11">
        <f t="shared" si="105"/>
        <v>69.56</v>
      </c>
      <c r="L866" s="10">
        <v>0</v>
      </c>
      <c r="N866" s="118">
        <f t="shared" si="102"/>
        <v>0</v>
      </c>
      <c r="O866" s="118">
        <f t="shared" si="103"/>
        <v>17.39</v>
      </c>
    </row>
    <row r="867" spans="1:15" x14ac:dyDescent="0.25">
      <c r="A867" t="s">
        <v>1592</v>
      </c>
      <c r="B867" t="s">
        <v>599</v>
      </c>
      <c r="C867" s="19">
        <v>13</v>
      </c>
      <c r="D867" s="18" t="s">
        <v>600</v>
      </c>
      <c r="E867" s="13">
        <v>4</v>
      </c>
      <c r="F867" s="25" t="s">
        <v>599</v>
      </c>
      <c r="G867" s="25">
        <v>81897719002</v>
      </c>
      <c r="H867" s="11">
        <v>16.809999999999999</v>
      </c>
      <c r="I867" s="11">
        <f t="shared" si="104"/>
        <v>67.239999999999995</v>
      </c>
      <c r="J867" s="11">
        <f t="shared" si="106"/>
        <v>16.809999999999999</v>
      </c>
      <c r="K867" s="11">
        <f t="shared" si="105"/>
        <v>67.239999999999995</v>
      </c>
      <c r="L867" s="10">
        <v>0</v>
      </c>
      <c r="N867" s="118">
        <f t="shared" si="102"/>
        <v>0</v>
      </c>
      <c r="O867" s="118">
        <f t="shared" si="103"/>
        <v>16.809999999999999</v>
      </c>
    </row>
    <row r="868" spans="1:15" x14ac:dyDescent="0.25">
      <c r="A868" t="s">
        <v>1591</v>
      </c>
      <c r="B868" t="s">
        <v>125</v>
      </c>
      <c r="C868" s="19">
        <v>14</v>
      </c>
      <c r="D868" s="18" t="s">
        <v>126</v>
      </c>
      <c r="E868" s="13">
        <v>4</v>
      </c>
      <c r="F868" s="25" t="s">
        <v>125</v>
      </c>
      <c r="G868" s="25">
        <v>81897719002</v>
      </c>
      <c r="H868" s="11">
        <v>18</v>
      </c>
      <c r="I868" s="11">
        <f t="shared" si="104"/>
        <v>72</v>
      </c>
      <c r="J868" s="11">
        <f t="shared" si="106"/>
        <v>18</v>
      </c>
      <c r="K868" s="11">
        <f t="shared" si="105"/>
        <v>72</v>
      </c>
      <c r="L868" s="10">
        <v>0</v>
      </c>
      <c r="N868" s="118">
        <f t="shared" si="102"/>
        <v>0</v>
      </c>
      <c r="O868" s="118">
        <f t="shared" si="103"/>
        <v>18</v>
      </c>
    </row>
    <row r="869" spans="1:15" x14ac:dyDescent="0.25">
      <c r="A869" t="s">
        <v>1590</v>
      </c>
      <c r="B869" t="s">
        <v>1588</v>
      </c>
      <c r="C869" s="19">
        <v>15</v>
      </c>
      <c r="D869" s="18" t="s">
        <v>1589</v>
      </c>
      <c r="E869" s="13">
        <v>2</v>
      </c>
      <c r="F869" s="25" t="s">
        <v>1588</v>
      </c>
      <c r="G869" s="25">
        <v>81897719002</v>
      </c>
      <c r="H869" s="11">
        <v>24.01</v>
      </c>
      <c r="I869" s="11">
        <f t="shared" si="104"/>
        <v>48.02</v>
      </c>
      <c r="J869" s="11">
        <f t="shared" si="106"/>
        <v>24.01</v>
      </c>
      <c r="K869" s="11">
        <f t="shared" si="105"/>
        <v>48.02</v>
      </c>
      <c r="L869" s="10">
        <v>0</v>
      </c>
      <c r="N869" s="118">
        <f t="shared" si="102"/>
        <v>0</v>
      </c>
      <c r="O869" s="118">
        <f t="shared" si="103"/>
        <v>24.01</v>
      </c>
    </row>
    <row r="870" spans="1:15" x14ac:dyDescent="0.25">
      <c r="A870" t="s">
        <v>1587</v>
      </c>
      <c r="B870" t="s">
        <v>113</v>
      </c>
      <c r="C870" s="19">
        <v>16</v>
      </c>
      <c r="D870" s="18" t="s">
        <v>114</v>
      </c>
      <c r="E870" s="13">
        <v>2</v>
      </c>
      <c r="F870" s="25" t="s">
        <v>113</v>
      </c>
      <c r="G870" s="25">
        <v>81897719002</v>
      </c>
      <c r="H870" s="11">
        <v>18</v>
      </c>
      <c r="I870" s="11">
        <f t="shared" si="104"/>
        <v>36</v>
      </c>
      <c r="J870" s="11">
        <f t="shared" si="106"/>
        <v>18</v>
      </c>
      <c r="K870" s="11">
        <f t="shared" si="105"/>
        <v>36</v>
      </c>
      <c r="L870" s="10">
        <v>0</v>
      </c>
      <c r="N870" s="118">
        <f t="shared" si="102"/>
        <v>0</v>
      </c>
      <c r="O870" s="118">
        <f t="shared" si="103"/>
        <v>18</v>
      </c>
    </row>
    <row r="871" spans="1:15" x14ac:dyDescent="0.25">
      <c r="A871" t="s">
        <v>1586</v>
      </c>
      <c r="B871" t="s">
        <v>611</v>
      </c>
      <c r="C871" s="19">
        <v>17</v>
      </c>
      <c r="D871" s="18" t="s">
        <v>612</v>
      </c>
      <c r="E871" s="13">
        <v>2</v>
      </c>
      <c r="F871" s="25" t="s">
        <v>611</v>
      </c>
      <c r="G871" s="25">
        <v>81897719002</v>
      </c>
      <c r="H871" s="11">
        <v>29.989999999999995</v>
      </c>
      <c r="I871" s="11">
        <f t="shared" si="104"/>
        <v>59.97999999999999</v>
      </c>
      <c r="J871" s="11">
        <f t="shared" si="106"/>
        <v>29.989999999999995</v>
      </c>
      <c r="K871" s="11">
        <f t="shared" si="105"/>
        <v>59.97999999999999</v>
      </c>
      <c r="L871" s="10">
        <v>0</v>
      </c>
      <c r="N871" s="118">
        <f t="shared" si="102"/>
        <v>0</v>
      </c>
      <c r="O871" s="118">
        <f t="shared" si="103"/>
        <v>29.989999999999995</v>
      </c>
    </row>
    <row r="872" spans="1:15" x14ac:dyDescent="0.25">
      <c r="A872" t="s">
        <v>1585</v>
      </c>
      <c r="B872" t="s">
        <v>454</v>
      </c>
      <c r="C872" s="19">
        <v>18</v>
      </c>
      <c r="D872" s="18" t="s">
        <v>455</v>
      </c>
      <c r="E872" s="13">
        <v>2</v>
      </c>
      <c r="F872" s="18" t="s">
        <v>454</v>
      </c>
      <c r="G872" s="25">
        <v>81897719003</v>
      </c>
      <c r="H872" s="11">
        <v>20.99</v>
      </c>
      <c r="I872" s="11">
        <f t="shared" si="104"/>
        <v>41.98</v>
      </c>
      <c r="J872" s="11">
        <f t="shared" si="106"/>
        <v>20.99</v>
      </c>
      <c r="K872" s="11">
        <f t="shared" si="105"/>
        <v>41.98</v>
      </c>
      <c r="L872" s="10">
        <v>0</v>
      </c>
      <c r="N872" s="118">
        <f t="shared" si="102"/>
        <v>0</v>
      </c>
      <c r="O872" s="118">
        <f t="shared" si="103"/>
        <v>20.99</v>
      </c>
    </row>
    <row r="873" spans="1:15" x14ac:dyDescent="0.25">
      <c r="A873" t="s">
        <v>1584</v>
      </c>
      <c r="B873" t="s">
        <v>92</v>
      </c>
      <c r="C873" s="19">
        <v>19</v>
      </c>
      <c r="D873" s="18" t="s">
        <v>93</v>
      </c>
      <c r="E873" s="13">
        <v>1</v>
      </c>
      <c r="F873" s="25" t="s">
        <v>92</v>
      </c>
      <c r="G873" s="25">
        <v>81897719002</v>
      </c>
      <c r="H873" s="11">
        <v>20.23</v>
      </c>
      <c r="I873" s="11">
        <f t="shared" si="104"/>
        <v>20.23</v>
      </c>
      <c r="J873" s="11">
        <f t="shared" si="106"/>
        <v>20.23</v>
      </c>
      <c r="K873" s="11">
        <f t="shared" si="105"/>
        <v>20.23</v>
      </c>
      <c r="L873" s="10">
        <v>0</v>
      </c>
      <c r="N873" s="118">
        <f t="shared" si="102"/>
        <v>0</v>
      </c>
      <c r="O873" s="118">
        <f t="shared" si="103"/>
        <v>20.23</v>
      </c>
    </row>
    <row r="874" spans="1:15" x14ac:dyDescent="0.25">
      <c r="A874" t="s">
        <v>1583</v>
      </c>
      <c r="B874" t="s">
        <v>438</v>
      </c>
      <c r="C874" s="19">
        <v>20</v>
      </c>
      <c r="D874" s="18" t="s">
        <v>439</v>
      </c>
      <c r="E874" s="13">
        <v>1</v>
      </c>
      <c r="F874" s="25" t="s">
        <v>438</v>
      </c>
      <c r="G874" s="25">
        <v>81897719002</v>
      </c>
      <c r="H874" s="11">
        <v>19.510000000000002</v>
      </c>
      <c r="I874" s="11">
        <f t="shared" si="104"/>
        <v>19.510000000000002</v>
      </c>
      <c r="J874" s="11">
        <f t="shared" si="106"/>
        <v>19.510000000000002</v>
      </c>
      <c r="K874" s="11">
        <f t="shared" si="105"/>
        <v>19.510000000000002</v>
      </c>
      <c r="L874" s="10">
        <v>0</v>
      </c>
      <c r="N874" s="118">
        <f t="shared" si="102"/>
        <v>0</v>
      </c>
      <c r="O874" s="118">
        <f t="shared" si="103"/>
        <v>19.510000000000002</v>
      </c>
    </row>
    <row r="875" spans="1:15" x14ac:dyDescent="0.25">
      <c r="A875" t="s">
        <v>1582</v>
      </c>
      <c r="B875" t="s">
        <v>678</v>
      </c>
      <c r="C875" s="19">
        <v>21</v>
      </c>
      <c r="D875" s="18" t="s">
        <v>679</v>
      </c>
      <c r="E875" s="13">
        <v>1</v>
      </c>
      <c r="F875" s="25" t="s">
        <v>678</v>
      </c>
      <c r="G875" s="25">
        <v>81897719002</v>
      </c>
      <c r="H875" s="11">
        <v>16.52</v>
      </c>
      <c r="I875" s="11">
        <f t="shared" si="104"/>
        <v>16.52</v>
      </c>
      <c r="J875" s="11">
        <f t="shared" si="106"/>
        <v>16.52</v>
      </c>
      <c r="K875" s="11">
        <f t="shared" si="105"/>
        <v>16.52</v>
      </c>
      <c r="L875" s="10">
        <v>0</v>
      </c>
      <c r="N875" s="118">
        <f t="shared" si="102"/>
        <v>0</v>
      </c>
      <c r="O875" s="118">
        <f t="shared" si="103"/>
        <v>16.52</v>
      </c>
    </row>
    <row r="876" spans="1:15" x14ac:dyDescent="0.25">
      <c r="A876" t="s">
        <v>1581</v>
      </c>
      <c r="B876" t="s">
        <v>86</v>
      </c>
      <c r="C876" s="19">
        <v>22</v>
      </c>
      <c r="D876" s="18" t="s">
        <v>45</v>
      </c>
      <c r="E876" s="13">
        <v>1</v>
      </c>
      <c r="F876" s="25" t="s">
        <v>44</v>
      </c>
      <c r="G876" s="25" t="s">
        <v>427</v>
      </c>
      <c r="H876" s="11">
        <v>342.5</v>
      </c>
      <c r="I876" s="11">
        <f t="shared" si="104"/>
        <v>342.5</v>
      </c>
      <c r="J876" s="11">
        <f t="shared" si="106"/>
        <v>342.5</v>
      </c>
      <c r="K876" s="11">
        <f t="shared" si="105"/>
        <v>342.5</v>
      </c>
      <c r="L876" s="10">
        <v>0</v>
      </c>
      <c r="N876" s="118">
        <f t="shared" si="102"/>
        <v>0</v>
      </c>
      <c r="O876" s="118">
        <f t="shared" si="103"/>
        <v>342.5</v>
      </c>
    </row>
    <row r="877" spans="1:15" x14ac:dyDescent="0.25">
      <c r="A877" t="s">
        <v>1580</v>
      </c>
      <c r="B877" t="s">
        <v>84</v>
      </c>
      <c r="C877" s="19">
        <v>23</v>
      </c>
      <c r="D877" s="18" t="s">
        <v>87</v>
      </c>
      <c r="E877" s="13">
        <v>1</v>
      </c>
      <c r="F877" s="25" t="s">
        <v>86</v>
      </c>
      <c r="G877" s="25" t="s">
        <v>427</v>
      </c>
      <c r="H877" s="11">
        <v>484.9</v>
      </c>
      <c r="I877" s="11">
        <f t="shared" si="104"/>
        <v>484.9</v>
      </c>
      <c r="J877" s="11">
        <f t="shared" si="106"/>
        <v>484.9</v>
      </c>
      <c r="K877" s="11">
        <f t="shared" si="105"/>
        <v>484.9</v>
      </c>
      <c r="L877" s="10">
        <v>0</v>
      </c>
      <c r="N877" s="118">
        <f t="shared" si="102"/>
        <v>0</v>
      </c>
      <c r="O877" s="118">
        <f t="shared" si="103"/>
        <v>484.9</v>
      </c>
    </row>
    <row r="878" spans="1:15" x14ac:dyDescent="0.25">
      <c r="B878" t="s">
        <v>82</v>
      </c>
      <c r="C878" s="19">
        <v>24</v>
      </c>
      <c r="D878" s="18" t="s">
        <v>85</v>
      </c>
      <c r="E878" s="13">
        <v>1</v>
      </c>
      <c r="F878" s="25" t="s">
        <v>84</v>
      </c>
      <c r="G878" s="25" t="s">
        <v>427</v>
      </c>
      <c r="H878" s="11">
        <v>526.5</v>
      </c>
      <c r="I878" s="11">
        <f t="shared" si="104"/>
        <v>526.5</v>
      </c>
      <c r="J878" s="11">
        <f t="shared" si="106"/>
        <v>526.5</v>
      </c>
      <c r="K878" s="11">
        <f t="shared" si="105"/>
        <v>526.5</v>
      </c>
      <c r="L878" s="10">
        <v>0</v>
      </c>
      <c r="N878" s="118">
        <f t="shared" si="102"/>
        <v>0</v>
      </c>
      <c r="O878" s="118">
        <f t="shared" si="103"/>
        <v>526.5</v>
      </c>
    </row>
    <row r="879" spans="1:15" x14ac:dyDescent="0.25">
      <c r="C879" s="19">
        <v>25</v>
      </c>
      <c r="D879" s="18" t="s">
        <v>83</v>
      </c>
      <c r="E879" s="13">
        <v>2</v>
      </c>
      <c r="F879" s="25" t="s">
        <v>82</v>
      </c>
      <c r="G879" s="25" t="s">
        <v>427</v>
      </c>
      <c r="H879" s="11">
        <v>8.5</v>
      </c>
      <c r="I879" s="11">
        <f t="shared" si="104"/>
        <v>17</v>
      </c>
      <c r="J879" s="11">
        <f t="shared" si="106"/>
        <v>8.5</v>
      </c>
      <c r="K879" s="11">
        <f t="shared" si="105"/>
        <v>17</v>
      </c>
      <c r="L879" s="10">
        <v>0</v>
      </c>
      <c r="N879" s="118">
        <f t="shared" si="102"/>
        <v>0</v>
      </c>
      <c r="O879" s="118">
        <f t="shared" si="103"/>
        <v>8.5</v>
      </c>
    </row>
    <row r="880" spans="1:15" x14ac:dyDescent="0.25">
      <c r="C880" s="9"/>
      <c r="D880" s="8" t="s">
        <v>1</v>
      </c>
      <c r="E880" s="8">
        <f>SUM(E855:E879)</f>
        <v>48</v>
      </c>
      <c r="F880" s="8"/>
      <c r="G880" s="8"/>
      <c r="H880" s="7"/>
      <c r="I880" s="7">
        <f>SUM(I855:I879)</f>
        <v>2419.35</v>
      </c>
      <c r="J880" s="8"/>
      <c r="K880" s="7">
        <f>SUM(K855:K879)</f>
        <v>2419.35</v>
      </c>
      <c r="L880" s="6"/>
      <c r="N880" s="118">
        <f t="shared" si="102"/>
        <v>0</v>
      </c>
      <c r="O880" s="118">
        <f t="shared" si="103"/>
        <v>0</v>
      </c>
    </row>
    <row r="881" spans="1:15" x14ac:dyDescent="0.25">
      <c r="D881" t="s">
        <v>0</v>
      </c>
      <c r="N881" s="118">
        <f t="shared" si="102"/>
        <v>0</v>
      </c>
      <c r="O881" s="118">
        <f t="shared" si="103"/>
        <v>0</v>
      </c>
    </row>
    <row r="882" spans="1:15" x14ac:dyDescent="0.25">
      <c r="D882" s="24" t="s">
        <v>1579</v>
      </c>
      <c r="N882" s="118">
        <f t="shared" si="102"/>
        <v>0</v>
      </c>
      <c r="O882" s="118">
        <f t="shared" si="103"/>
        <v>0</v>
      </c>
    </row>
    <row r="883" spans="1:15" ht="30" x14ac:dyDescent="0.25">
      <c r="C883" s="24" t="s">
        <v>28</v>
      </c>
      <c r="D883" s="24" t="s">
        <v>27</v>
      </c>
      <c r="E883" s="24" t="s">
        <v>26</v>
      </c>
      <c r="F883" s="24" t="s">
        <v>25</v>
      </c>
      <c r="G883" s="24" t="s">
        <v>24</v>
      </c>
      <c r="H883" s="116" t="s">
        <v>21</v>
      </c>
      <c r="I883" s="24" t="s">
        <v>23</v>
      </c>
      <c r="J883" s="24" t="s">
        <v>2928</v>
      </c>
      <c r="K883" s="24" t="s">
        <v>2927</v>
      </c>
      <c r="L883" s="23" t="s">
        <v>22</v>
      </c>
      <c r="N883" s="118" t="e">
        <f t="shared" si="102"/>
        <v>#VALUE!</v>
      </c>
      <c r="O883" s="118" t="e">
        <f t="shared" si="103"/>
        <v>#VALUE!</v>
      </c>
    </row>
    <row r="884" spans="1:15" x14ac:dyDescent="0.25">
      <c r="A884" t="s">
        <v>1578</v>
      </c>
      <c r="B884" t="s">
        <v>1576</v>
      </c>
      <c r="C884" s="19">
        <v>1</v>
      </c>
      <c r="D884" s="18" t="s">
        <v>1577</v>
      </c>
      <c r="E884" s="13">
        <v>1</v>
      </c>
      <c r="F884" s="25" t="s">
        <v>1576</v>
      </c>
      <c r="G884" s="25">
        <v>81897719002</v>
      </c>
      <c r="H884" s="11">
        <v>22.552880000000002</v>
      </c>
      <c r="I884" s="11">
        <f t="shared" ref="I884:I915" si="107">H884*E884</f>
        <v>22.552880000000002</v>
      </c>
      <c r="J884" s="11">
        <f>O884</f>
        <v>22.552880000000002</v>
      </c>
      <c r="K884" s="11">
        <f t="shared" ref="K884:K915" si="108">J884*E884</f>
        <v>22.552880000000002</v>
      </c>
      <c r="L884" s="10">
        <v>0</v>
      </c>
      <c r="N884" s="118">
        <f t="shared" si="102"/>
        <v>0</v>
      </c>
      <c r="O884" s="118">
        <f t="shared" si="103"/>
        <v>22.552880000000002</v>
      </c>
    </row>
    <row r="885" spans="1:15" x14ac:dyDescent="0.25">
      <c r="A885" t="s">
        <v>1575</v>
      </c>
      <c r="B885" t="s">
        <v>1573</v>
      </c>
      <c r="C885" s="19">
        <v>2</v>
      </c>
      <c r="D885" s="18" t="s">
        <v>1574</v>
      </c>
      <c r="E885" s="13">
        <v>1</v>
      </c>
      <c r="F885" s="25" t="s">
        <v>1573</v>
      </c>
      <c r="G885" s="25">
        <v>81897719002</v>
      </c>
      <c r="H885" s="11">
        <v>92.996639999999999</v>
      </c>
      <c r="I885" s="11">
        <f t="shared" si="107"/>
        <v>92.996639999999999</v>
      </c>
      <c r="J885" s="11">
        <f t="shared" ref="J885:J948" si="109">O885</f>
        <v>92.996639999999999</v>
      </c>
      <c r="K885" s="11">
        <f t="shared" si="108"/>
        <v>92.996639999999999</v>
      </c>
      <c r="L885" s="10">
        <v>0</v>
      </c>
      <c r="N885" s="118">
        <f t="shared" si="102"/>
        <v>0</v>
      </c>
      <c r="O885" s="118">
        <f t="shared" si="103"/>
        <v>92.996639999999999</v>
      </c>
    </row>
    <row r="886" spans="1:15" x14ac:dyDescent="0.25">
      <c r="A886" t="s">
        <v>1572</v>
      </c>
      <c r="B886" t="s">
        <v>479</v>
      </c>
      <c r="C886" s="19">
        <v>3</v>
      </c>
      <c r="D886" s="18" t="s">
        <v>480</v>
      </c>
      <c r="E886" s="13">
        <v>1</v>
      </c>
      <c r="F886" s="25" t="s">
        <v>479</v>
      </c>
      <c r="G886" s="25">
        <v>81897719002</v>
      </c>
      <c r="H886" s="11">
        <v>20.28688</v>
      </c>
      <c r="I886" s="11">
        <f t="shared" si="107"/>
        <v>20.28688</v>
      </c>
      <c r="J886" s="11">
        <f t="shared" si="109"/>
        <v>20.28688</v>
      </c>
      <c r="K886" s="11">
        <f t="shared" si="108"/>
        <v>20.28688</v>
      </c>
      <c r="L886" s="10">
        <v>0</v>
      </c>
      <c r="N886" s="118">
        <f t="shared" si="102"/>
        <v>0</v>
      </c>
      <c r="O886" s="118">
        <f t="shared" si="103"/>
        <v>20.28688</v>
      </c>
    </row>
    <row r="887" spans="1:15" x14ac:dyDescent="0.25">
      <c r="A887" t="s">
        <v>1571</v>
      </c>
      <c r="B887" t="s">
        <v>1184</v>
      </c>
      <c r="C887" s="19">
        <v>4</v>
      </c>
      <c r="D887" s="18" t="s">
        <v>1570</v>
      </c>
      <c r="E887" s="13">
        <v>1</v>
      </c>
      <c r="F887" s="25" t="s">
        <v>1184</v>
      </c>
      <c r="G887" s="25">
        <v>81897719002</v>
      </c>
      <c r="H887" s="11">
        <v>6.7650400000000008</v>
      </c>
      <c r="I887" s="11">
        <f t="shared" si="107"/>
        <v>6.7650400000000008</v>
      </c>
      <c r="J887" s="11">
        <f t="shared" si="109"/>
        <v>6.7650400000000008</v>
      </c>
      <c r="K887" s="11">
        <f t="shared" si="108"/>
        <v>6.7650400000000008</v>
      </c>
      <c r="L887" s="10">
        <v>0</v>
      </c>
      <c r="N887" s="118">
        <f t="shared" si="102"/>
        <v>0</v>
      </c>
      <c r="O887" s="118">
        <f t="shared" si="103"/>
        <v>6.7650400000000008</v>
      </c>
    </row>
    <row r="888" spans="1:15" x14ac:dyDescent="0.25">
      <c r="A888" t="s">
        <v>1569</v>
      </c>
      <c r="B888" t="s">
        <v>309</v>
      </c>
      <c r="C888" s="19">
        <v>5</v>
      </c>
      <c r="D888" s="18" t="s">
        <v>310</v>
      </c>
      <c r="E888" s="13">
        <v>1</v>
      </c>
      <c r="F888" s="25" t="s">
        <v>309</v>
      </c>
      <c r="G888" s="25">
        <v>81897719002</v>
      </c>
      <c r="H888" s="11">
        <v>14.09864</v>
      </c>
      <c r="I888" s="11">
        <f t="shared" si="107"/>
        <v>14.09864</v>
      </c>
      <c r="J888" s="11">
        <f t="shared" si="109"/>
        <v>14.09864</v>
      </c>
      <c r="K888" s="11">
        <f t="shared" si="108"/>
        <v>14.09864</v>
      </c>
      <c r="L888" s="10">
        <v>0</v>
      </c>
      <c r="N888" s="118">
        <f t="shared" si="102"/>
        <v>0</v>
      </c>
      <c r="O888" s="118">
        <f t="shared" si="103"/>
        <v>14.09864</v>
      </c>
    </row>
    <row r="889" spans="1:15" s="5" customFormat="1" x14ac:dyDescent="0.25">
      <c r="A889" s="5" t="s">
        <v>1568</v>
      </c>
      <c r="B889" s="5" t="s">
        <v>309</v>
      </c>
      <c r="C889" s="19">
        <v>6</v>
      </c>
      <c r="D889" s="18" t="s">
        <v>310</v>
      </c>
      <c r="E889" s="13">
        <v>1</v>
      </c>
      <c r="F889" s="25" t="s">
        <v>309</v>
      </c>
      <c r="G889" s="25">
        <v>81897719002</v>
      </c>
      <c r="H889" s="11">
        <v>14.09864</v>
      </c>
      <c r="I889" s="11">
        <f t="shared" si="107"/>
        <v>14.09864</v>
      </c>
      <c r="J889" s="11">
        <f t="shared" si="109"/>
        <v>14.09864</v>
      </c>
      <c r="K889" s="11">
        <f t="shared" si="108"/>
        <v>14.09864</v>
      </c>
      <c r="L889" s="10">
        <v>0</v>
      </c>
      <c r="N889" s="118">
        <f t="shared" si="102"/>
        <v>0</v>
      </c>
      <c r="O889" s="118">
        <f t="shared" si="103"/>
        <v>14.09864</v>
      </c>
    </row>
    <row r="890" spans="1:15" x14ac:dyDescent="0.25">
      <c r="A890" t="s">
        <v>1567</v>
      </c>
      <c r="B890" t="s">
        <v>309</v>
      </c>
      <c r="C890" s="19">
        <v>7</v>
      </c>
      <c r="D890" s="18" t="s">
        <v>310</v>
      </c>
      <c r="E890" s="13">
        <v>1</v>
      </c>
      <c r="F890" s="25" t="s">
        <v>309</v>
      </c>
      <c r="G890" s="25">
        <v>81897719002</v>
      </c>
      <c r="H890" s="11">
        <v>14.09864</v>
      </c>
      <c r="I890" s="11">
        <f t="shared" si="107"/>
        <v>14.09864</v>
      </c>
      <c r="J890" s="11">
        <f t="shared" si="109"/>
        <v>14.09864</v>
      </c>
      <c r="K890" s="11">
        <f t="shared" si="108"/>
        <v>14.09864</v>
      </c>
      <c r="L890" s="10">
        <v>0</v>
      </c>
      <c r="N890" s="118">
        <f t="shared" si="102"/>
        <v>0</v>
      </c>
      <c r="O890" s="118">
        <f t="shared" si="103"/>
        <v>14.09864</v>
      </c>
    </row>
    <row r="891" spans="1:15" x14ac:dyDescent="0.25">
      <c r="A891" t="s">
        <v>1566</v>
      </c>
      <c r="B891" t="s">
        <v>1564</v>
      </c>
      <c r="C891" s="19">
        <v>8</v>
      </c>
      <c r="D891" s="18" t="s">
        <v>1565</v>
      </c>
      <c r="E891" s="13">
        <v>1</v>
      </c>
      <c r="F891" s="18" t="s">
        <v>1564</v>
      </c>
      <c r="G891" s="25">
        <v>81897719002</v>
      </c>
      <c r="H891" s="11">
        <v>16.908480000000001</v>
      </c>
      <c r="I891" s="11">
        <f t="shared" si="107"/>
        <v>16.908480000000001</v>
      </c>
      <c r="J891" s="11">
        <f t="shared" si="109"/>
        <v>16.908480000000001</v>
      </c>
      <c r="K891" s="11">
        <f t="shared" si="108"/>
        <v>16.908480000000001</v>
      </c>
      <c r="L891" s="10">
        <v>0</v>
      </c>
      <c r="N891" s="118">
        <f t="shared" si="102"/>
        <v>0</v>
      </c>
      <c r="O891" s="118">
        <f t="shared" si="103"/>
        <v>16.908480000000001</v>
      </c>
    </row>
    <row r="892" spans="1:15" x14ac:dyDescent="0.25">
      <c r="A892" t="s">
        <v>1563</v>
      </c>
      <c r="B892" t="s">
        <v>1561</v>
      </c>
      <c r="C892" s="19">
        <v>9</v>
      </c>
      <c r="D892" s="18" t="s">
        <v>1562</v>
      </c>
      <c r="E892" s="13">
        <v>1</v>
      </c>
      <c r="F892" s="18" t="s">
        <v>1561</v>
      </c>
      <c r="G892" s="25">
        <v>81897719002</v>
      </c>
      <c r="H892" s="11">
        <v>13.530080000000002</v>
      </c>
      <c r="I892" s="11">
        <f t="shared" si="107"/>
        <v>13.530080000000002</v>
      </c>
      <c r="J892" s="11">
        <f t="shared" si="109"/>
        <v>13.530080000000002</v>
      </c>
      <c r="K892" s="11">
        <f t="shared" si="108"/>
        <v>13.530080000000002</v>
      </c>
      <c r="L892" s="10">
        <v>0</v>
      </c>
      <c r="N892" s="118">
        <f t="shared" si="102"/>
        <v>0</v>
      </c>
      <c r="O892" s="118">
        <f t="shared" si="103"/>
        <v>13.530080000000002</v>
      </c>
    </row>
    <row r="893" spans="1:15" x14ac:dyDescent="0.25">
      <c r="A893" t="s">
        <v>1560</v>
      </c>
      <c r="B893" t="s">
        <v>1558</v>
      </c>
      <c r="C893" s="19">
        <v>10</v>
      </c>
      <c r="D893" s="18" t="s">
        <v>1559</v>
      </c>
      <c r="E893" s="13">
        <v>2</v>
      </c>
      <c r="F893" s="25" t="s">
        <v>1558</v>
      </c>
      <c r="G893" s="25">
        <v>81897719002</v>
      </c>
      <c r="H893" s="11">
        <v>25.362720000000003</v>
      </c>
      <c r="I893" s="11">
        <f t="shared" si="107"/>
        <v>50.725440000000006</v>
      </c>
      <c r="J893" s="11">
        <f t="shared" si="109"/>
        <v>25.362720000000003</v>
      </c>
      <c r="K893" s="11">
        <f t="shared" si="108"/>
        <v>50.725440000000006</v>
      </c>
      <c r="L893" s="10">
        <v>0</v>
      </c>
      <c r="N893" s="118">
        <f t="shared" si="102"/>
        <v>0</v>
      </c>
      <c r="O893" s="118">
        <f t="shared" si="103"/>
        <v>25.362720000000003</v>
      </c>
    </row>
    <row r="894" spans="1:15" x14ac:dyDescent="0.25">
      <c r="A894" t="s">
        <v>1557</v>
      </c>
      <c r="B894" t="s">
        <v>1555</v>
      </c>
      <c r="C894" s="19">
        <v>11</v>
      </c>
      <c r="D894" s="18" t="s">
        <v>1556</v>
      </c>
      <c r="E894" s="13">
        <v>2</v>
      </c>
      <c r="F894" s="25" t="s">
        <v>1555</v>
      </c>
      <c r="G894" s="25">
        <v>81897719002</v>
      </c>
      <c r="H894" s="11">
        <v>25.362720000000003</v>
      </c>
      <c r="I894" s="11">
        <f t="shared" si="107"/>
        <v>50.725440000000006</v>
      </c>
      <c r="J894" s="11">
        <f t="shared" si="109"/>
        <v>25.362720000000003</v>
      </c>
      <c r="K894" s="11">
        <f t="shared" si="108"/>
        <v>50.725440000000006</v>
      </c>
      <c r="L894" s="10">
        <v>0</v>
      </c>
      <c r="N894" s="118">
        <f t="shared" si="102"/>
        <v>0</v>
      </c>
      <c r="O894" s="118">
        <f t="shared" si="103"/>
        <v>25.362720000000003</v>
      </c>
    </row>
    <row r="895" spans="1:15" x14ac:dyDescent="0.25">
      <c r="A895" t="s">
        <v>1554</v>
      </c>
      <c r="B895" t="s">
        <v>1552</v>
      </c>
      <c r="C895" s="19">
        <v>12</v>
      </c>
      <c r="D895" s="18" t="s">
        <v>1553</v>
      </c>
      <c r="E895" s="13">
        <v>2</v>
      </c>
      <c r="F895" s="25" t="s">
        <v>1552</v>
      </c>
      <c r="G895" s="25">
        <v>81897719002</v>
      </c>
      <c r="H895" s="11">
        <v>33.816960000000002</v>
      </c>
      <c r="I895" s="11">
        <f t="shared" si="107"/>
        <v>67.633920000000003</v>
      </c>
      <c r="J895" s="11">
        <f t="shared" si="109"/>
        <v>33.816960000000002</v>
      </c>
      <c r="K895" s="11">
        <f t="shared" si="108"/>
        <v>67.633920000000003</v>
      </c>
      <c r="L895" s="10">
        <v>0</v>
      </c>
      <c r="N895" s="118">
        <f t="shared" si="102"/>
        <v>0</v>
      </c>
      <c r="O895" s="118">
        <f t="shared" si="103"/>
        <v>33.816960000000002</v>
      </c>
    </row>
    <row r="896" spans="1:15" x14ac:dyDescent="0.25">
      <c r="A896" t="s">
        <v>1551</v>
      </c>
      <c r="B896" t="s">
        <v>1549</v>
      </c>
      <c r="C896" s="19">
        <v>13</v>
      </c>
      <c r="D896" s="18" t="s">
        <v>1550</v>
      </c>
      <c r="E896" s="13">
        <v>2</v>
      </c>
      <c r="F896" s="25" t="s">
        <v>1549</v>
      </c>
      <c r="G896" s="25">
        <v>81897719002</v>
      </c>
      <c r="H896" s="11">
        <v>33.816960000000002</v>
      </c>
      <c r="I896" s="11">
        <f t="shared" si="107"/>
        <v>67.633920000000003</v>
      </c>
      <c r="J896" s="11">
        <f t="shared" si="109"/>
        <v>33.816960000000002</v>
      </c>
      <c r="K896" s="11">
        <f t="shared" si="108"/>
        <v>67.633920000000003</v>
      </c>
      <c r="L896" s="10">
        <v>0</v>
      </c>
      <c r="N896" s="118">
        <f t="shared" si="102"/>
        <v>0</v>
      </c>
      <c r="O896" s="118">
        <f t="shared" si="103"/>
        <v>33.816960000000002</v>
      </c>
    </row>
    <row r="897" spans="1:15" x14ac:dyDescent="0.25">
      <c r="A897" t="s">
        <v>1548</v>
      </c>
      <c r="B897" t="s">
        <v>1546</v>
      </c>
      <c r="C897" s="19">
        <v>14</v>
      </c>
      <c r="D897" s="18" t="s">
        <v>1547</v>
      </c>
      <c r="E897" s="13">
        <v>1</v>
      </c>
      <c r="F897" s="25" t="s">
        <v>1546</v>
      </c>
      <c r="G897" s="25">
        <v>81897719002</v>
      </c>
      <c r="H897" s="11">
        <v>24.785920000000001</v>
      </c>
      <c r="I897" s="11">
        <f t="shared" si="107"/>
        <v>24.785920000000001</v>
      </c>
      <c r="J897" s="11">
        <f t="shared" si="109"/>
        <v>24.785920000000001</v>
      </c>
      <c r="K897" s="11">
        <f t="shared" si="108"/>
        <v>24.785920000000001</v>
      </c>
      <c r="L897" s="10">
        <v>0</v>
      </c>
      <c r="N897" s="118">
        <f t="shared" si="102"/>
        <v>0</v>
      </c>
      <c r="O897" s="118">
        <f t="shared" si="103"/>
        <v>24.785920000000001</v>
      </c>
    </row>
    <row r="898" spans="1:15" x14ac:dyDescent="0.25">
      <c r="A898" t="s">
        <v>1545</v>
      </c>
      <c r="B898" t="s">
        <v>1543</v>
      </c>
      <c r="C898" s="19">
        <v>15</v>
      </c>
      <c r="D898" s="18" t="s">
        <v>1544</v>
      </c>
      <c r="E898" s="13">
        <v>1</v>
      </c>
      <c r="F898" s="25" t="s">
        <v>1543</v>
      </c>
      <c r="G898" s="25">
        <v>81897719002</v>
      </c>
      <c r="H898" s="11">
        <v>10.720239999999999</v>
      </c>
      <c r="I898" s="11">
        <f t="shared" si="107"/>
        <v>10.720239999999999</v>
      </c>
      <c r="J898" s="11">
        <f t="shared" si="109"/>
        <v>10.720239999999999</v>
      </c>
      <c r="K898" s="11">
        <f t="shared" si="108"/>
        <v>10.720239999999999</v>
      </c>
      <c r="L898" s="10">
        <v>0</v>
      </c>
      <c r="N898" s="118">
        <f t="shared" si="102"/>
        <v>0</v>
      </c>
      <c r="O898" s="118">
        <f t="shared" si="103"/>
        <v>10.720239999999999</v>
      </c>
    </row>
    <row r="899" spans="1:15" x14ac:dyDescent="0.25">
      <c r="A899" t="s">
        <v>1542</v>
      </c>
      <c r="B899" t="s">
        <v>757</v>
      </c>
      <c r="C899" s="19">
        <v>16</v>
      </c>
      <c r="D899" s="18" t="s">
        <v>758</v>
      </c>
      <c r="E899" s="13">
        <v>1</v>
      </c>
      <c r="F899" s="25" t="s">
        <v>757</v>
      </c>
      <c r="G899" s="25">
        <v>81897719002</v>
      </c>
      <c r="H899" s="11">
        <v>12.40944</v>
      </c>
      <c r="I899" s="11">
        <f t="shared" si="107"/>
        <v>12.40944</v>
      </c>
      <c r="J899" s="11">
        <f t="shared" si="109"/>
        <v>12.40944</v>
      </c>
      <c r="K899" s="11">
        <f t="shared" si="108"/>
        <v>12.40944</v>
      </c>
      <c r="L899" s="10">
        <v>0</v>
      </c>
      <c r="N899" s="118">
        <f t="shared" si="102"/>
        <v>0</v>
      </c>
      <c r="O899" s="118">
        <f t="shared" si="103"/>
        <v>12.40944</v>
      </c>
    </row>
    <row r="900" spans="1:15" x14ac:dyDescent="0.25">
      <c r="A900" t="s">
        <v>1541</v>
      </c>
      <c r="B900" t="s">
        <v>757</v>
      </c>
      <c r="C900" s="19">
        <v>17</v>
      </c>
      <c r="D900" s="18" t="s">
        <v>758</v>
      </c>
      <c r="E900" s="13">
        <v>3</v>
      </c>
      <c r="F900" s="25" t="s">
        <v>757</v>
      </c>
      <c r="G900" s="25">
        <v>81897719002</v>
      </c>
      <c r="H900" s="11">
        <v>12.40944</v>
      </c>
      <c r="I900" s="11">
        <f t="shared" si="107"/>
        <v>37.228319999999997</v>
      </c>
      <c r="J900" s="11">
        <f t="shared" si="109"/>
        <v>12.40944</v>
      </c>
      <c r="K900" s="11">
        <f t="shared" si="108"/>
        <v>37.228319999999997</v>
      </c>
      <c r="L900" s="10">
        <v>0</v>
      </c>
      <c r="N900" s="118">
        <f t="shared" ref="N900:N963" si="110">H900*L900</f>
        <v>0</v>
      </c>
      <c r="O900" s="118">
        <f t="shared" ref="O900:O963" si="111">H900-N900</f>
        <v>12.40944</v>
      </c>
    </row>
    <row r="901" spans="1:15" x14ac:dyDescent="0.25">
      <c r="A901" t="s">
        <v>1540</v>
      </c>
      <c r="B901" t="s">
        <v>1538</v>
      </c>
      <c r="C901" s="19">
        <v>18</v>
      </c>
      <c r="D901" s="18" t="s">
        <v>1539</v>
      </c>
      <c r="E901" s="13">
        <v>1</v>
      </c>
      <c r="F901" t="s">
        <v>1538</v>
      </c>
      <c r="G901" s="25">
        <v>10301950042</v>
      </c>
      <c r="H901" s="11">
        <v>89.239199999999997</v>
      </c>
      <c r="I901" s="11">
        <f t="shared" si="107"/>
        <v>89.239199999999997</v>
      </c>
      <c r="J901" s="11">
        <f t="shared" si="109"/>
        <v>89.239199999999997</v>
      </c>
      <c r="K901" s="11">
        <f t="shared" si="108"/>
        <v>89.239199999999997</v>
      </c>
      <c r="L901" s="10">
        <v>0</v>
      </c>
      <c r="N901" s="118">
        <f t="shared" si="110"/>
        <v>0</v>
      </c>
      <c r="O901" s="118">
        <f t="shared" si="111"/>
        <v>89.239199999999997</v>
      </c>
    </row>
    <row r="902" spans="1:15" x14ac:dyDescent="0.25">
      <c r="A902" t="s">
        <v>1537</v>
      </c>
      <c r="B902" t="s">
        <v>1535</v>
      </c>
      <c r="C902" s="19">
        <v>19</v>
      </c>
      <c r="D902" s="18" t="s">
        <v>1536</v>
      </c>
      <c r="E902" s="13">
        <v>1</v>
      </c>
      <c r="F902" s="25" t="s">
        <v>1535</v>
      </c>
      <c r="G902" s="25">
        <v>81897719002</v>
      </c>
      <c r="H902" s="11">
        <v>50.725440000000006</v>
      </c>
      <c r="I902" s="11">
        <f t="shared" si="107"/>
        <v>50.725440000000006</v>
      </c>
      <c r="J902" s="11">
        <f t="shared" si="109"/>
        <v>50.725440000000006</v>
      </c>
      <c r="K902" s="11">
        <f t="shared" si="108"/>
        <v>50.725440000000006</v>
      </c>
      <c r="L902" s="10">
        <v>0</v>
      </c>
      <c r="N902" s="118">
        <f t="shared" si="110"/>
        <v>0</v>
      </c>
      <c r="O902" s="118">
        <f t="shared" si="111"/>
        <v>50.725440000000006</v>
      </c>
    </row>
    <row r="903" spans="1:15" x14ac:dyDescent="0.25">
      <c r="A903" t="s">
        <v>1534</v>
      </c>
      <c r="B903" t="s">
        <v>286</v>
      </c>
      <c r="C903" s="19">
        <v>20</v>
      </c>
      <c r="D903" s="18" t="s">
        <v>287</v>
      </c>
      <c r="E903" s="13">
        <v>3</v>
      </c>
      <c r="F903" s="25" t="s">
        <v>286</v>
      </c>
      <c r="G903" s="25">
        <v>81897719002</v>
      </c>
      <c r="H903" s="11">
        <v>8.4542400000000004</v>
      </c>
      <c r="I903" s="11">
        <f t="shared" si="107"/>
        <v>25.362720000000003</v>
      </c>
      <c r="J903" s="11">
        <f t="shared" si="109"/>
        <v>8.4542400000000004</v>
      </c>
      <c r="K903" s="11">
        <f t="shared" si="108"/>
        <v>25.362720000000003</v>
      </c>
      <c r="L903" s="10">
        <v>0</v>
      </c>
      <c r="N903" s="118">
        <f t="shared" si="110"/>
        <v>0</v>
      </c>
      <c r="O903" s="118">
        <f t="shared" si="111"/>
        <v>8.4542400000000004</v>
      </c>
    </row>
    <row r="904" spans="1:15" x14ac:dyDescent="0.25">
      <c r="A904" t="s">
        <v>1533</v>
      </c>
      <c r="B904" t="s">
        <v>1528</v>
      </c>
      <c r="C904" s="19">
        <v>21</v>
      </c>
      <c r="D904" s="18" t="s">
        <v>1532</v>
      </c>
      <c r="E904" s="13">
        <v>1</v>
      </c>
      <c r="F904" s="25" t="s">
        <v>1528</v>
      </c>
      <c r="G904" s="25">
        <v>81897710034</v>
      </c>
      <c r="H904" s="11">
        <v>20.28688</v>
      </c>
      <c r="I904" s="11">
        <f t="shared" si="107"/>
        <v>20.28688</v>
      </c>
      <c r="J904" s="11">
        <f t="shared" si="109"/>
        <v>20.28688</v>
      </c>
      <c r="K904" s="11">
        <f t="shared" si="108"/>
        <v>20.28688</v>
      </c>
      <c r="L904" s="10">
        <v>0</v>
      </c>
      <c r="N904" s="118">
        <f t="shared" si="110"/>
        <v>0</v>
      </c>
      <c r="O904" s="118">
        <f t="shared" si="111"/>
        <v>20.28688</v>
      </c>
    </row>
    <row r="905" spans="1:15" x14ac:dyDescent="0.25">
      <c r="A905" t="s">
        <v>1531</v>
      </c>
      <c r="B905" t="s">
        <v>1530</v>
      </c>
      <c r="C905" s="19">
        <v>22</v>
      </c>
      <c r="D905" s="18" t="s">
        <v>1529</v>
      </c>
      <c r="E905" s="13">
        <v>1</v>
      </c>
      <c r="F905" s="25" t="s">
        <v>1528</v>
      </c>
      <c r="G905" s="25">
        <v>81897710034</v>
      </c>
      <c r="H905" s="11">
        <v>20.28688</v>
      </c>
      <c r="I905" s="11">
        <f t="shared" si="107"/>
        <v>20.28688</v>
      </c>
      <c r="J905" s="11">
        <f t="shared" si="109"/>
        <v>20.28688</v>
      </c>
      <c r="K905" s="11">
        <f t="shared" si="108"/>
        <v>20.28688</v>
      </c>
      <c r="L905" s="10">
        <v>0</v>
      </c>
      <c r="N905" s="118">
        <f t="shared" si="110"/>
        <v>0</v>
      </c>
      <c r="O905" s="118">
        <f t="shared" si="111"/>
        <v>20.28688</v>
      </c>
    </row>
    <row r="906" spans="1:15" x14ac:dyDescent="0.25">
      <c r="A906" s="131" t="s">
        <v>1527</v>
      </c>
      <c r="C906" s="19">
        <v>23</v>
      </c>
      <c r="D906" s="18" t="s">
        <v>1526</v>
      </c>
      <c r="E906" s="13">
        <v>1</v>
      </c>
      <c r="F906" s="25" t="s">
        <v>3052</v>
      </c>
      <c r="G906" s="25">
        <v>81897719006</v>
      </c>
      <c r="H906" s="11">
        <v>56.369839999999996</v>
      </c>
      <c r="I906" s="11">
        <f t="shared" si="107"/>
        <v>56.369839999999996</v>
      </c>
      <c r="J906" s="11">
        <f t="shared" si="109"/>
        <v>56.369839999999996</v>
      </c>
      <c r="K906" s="11">
        <f t="shared" si="108"/>
        <v>56.369839999999996</v>
      </c>
      <c r="L906" s="10">
        <v>0</v>
      </c>
      <c r="N906" s="118">
        <f t="shared" si="110"/>
        <v>0</v>
      </c>
      <c r="O906" s="118">
        <f t="shared" si="111"/>
        <v>56.369839999999996</v>
      </c>
    </row>
    <row r="907" spans="1:15" x14ac:dyDescent="0.25">
      <c r="A907" t="s">
        <v>1525</v>
      </c>
      <c r="B907" t="s">
        <v>1523</v>
      </c>
      <c r="C907" s="19">
        <v>24</v>
      </c>
      <c r="D907" s="18" t="s">
        <v>1524</v>
      </c>
      <c r="E907" s="13">
        <v>1</v>
      </c>
      <c r="F907" s="18" t="s">
        <v>1523</v>
      </c>
      <c r="G907" s="25">
        <v>10301950024</v>
      </c>
      <c r="H907" s="11">
        <v>43.037520000000001</v>
      </c>
      <c r="I907" s="11">
        <f t="shared" si="107"/>
        <v>43.037520000000001</v>
      </c>
      <c r="J907" s="11">
        <f t="shared" si="109"/>
        <v>43.037520000000001</v>
      </c>
      <c r="K907" s="11">
        <f t="shared" si="108"/>
        <v>43.037520000000001</v>
      </c>
      <c r="L907" s="10">
        <v>0</v>
      </c>
      <c r="N907" s="118">
        <f t="shared" si="110"/>
        <v>0</v>
      </c>
      <c r="O907" s="118">
        <f t="shared" si="111"/>
        <v>43.037520000000001</v>
      </c>
    </row>
    <row r="908" spans="1:15" x14ac:dyDescent="0.25">
      <c r="A908" t="s">
        <v>1522</v>
      </c>
      <c r="B908" t="s">
        <v>1383</v>
      </c>
      <c r="C908" s="19">
        <v>25</v>
      </c>
      <c r="D908" s="18" t="s">
        <v>1521</v>
      </c>
      <c r="E908" s="13">
        <v>1</v>
      </c>
      <c r="F908" s="25" t="s">
        <v>1383</v>
      </c>
      <c r="G908" s="25">
        <v>81897719002</v>
      </c>
      <c r="H908" s="11">
        <v>45.081040000000002</v>
      </c>
      <c r="I908" s="11">
        <f t="shared" si="107"/>
        <v>45.081040000000002</v>
      </c>
      <c r="J908" s="11">
        <f t="shared" si="109"/>
        <v>45.081040000000002</v>
      </c>
      <c r="K908" s="11">
        <f t="shared" si="108"/>
        <v>45.081040000000002</v>
      </c>
      <c r="L908" s="10">
        <v>0</v>
      </c>
      <c r="N908" s="118">
        <f t="shared" si="110"/>
        <v>0</v>
      </c>
      <c r="O908" s="118">
        <f t="shared" si="111"/>
        <v>45.081040000000002</v>
      </c>
    </row>
    <row r="909" spans="1:15" x14ac:dyDescent="0.25">
      <c r="A909" t="s">
        <v>1520</v>
      </c>
      <c r="B909" t="s">
        <v>1380</v>
      </c>
      <c r="C909" s="19">
        <v>26</v>
      </c>
      <c r="D909" s="18" t="s">
        <v>1519</v>
      </c>
      <c r="E909" s="13">
        <v>1</v>
      </c>
      <c r="F909" s="25" t="s">
        <v>1380</v>
      </c>
      <c r="G909" s="25">
        <v>81897719002</v>
      </c>
      <c r="H909" s="11">
        <v>20.863679999999999</v>
      </c>
      <c r="I909" s="11">
        <f t="shared" si="107"/>
        <v>20.863679999999999</v>
      </c>
      <c r="J909" s="11">
        <f t="shared" si="109"/>
        <v>20.863679999999999</v>
      </c>
      <c r="K909" s="11">
        <f t="shared" si="108"/>
        <v>20.863679999999999</v>
      </c>
      <c r="L909" s="10">
        <v>0</v>
      </c>
      <c r="N909" s="118">
        <f t="shared" si="110"/>
        <v>0</v>
      </c>
      <c r="O909" s="118">
        <f t="shared" si="111"/>
        <v>20.863679999999999</v>
      </c>
    </row>
    <row r="910" spans="1:15" x14ac:dyDescent="0.25">
      <c r="A910" t="s">
        <v>1518</v>
      </c>
      <c r="B910" t="s">
        <v>1516</v>
      </c>
      <c r="C910" s="19">
        <v>27</v>
      </c>
      <c r="D910" s="18" t="s">
        <v>1517</v>
      </c>
      <c r="E910" s="13">
        <v>1</v>
      </c>
      <c r="F910" s="18" t="s">
        <v>1516</v>
      </c>
      <c r="G910" s="25">
        <v>10301950024</v>
      </c>
      <c r="H910" s="11">
        <v>43.037520000000001</v>
      </c>
      <c r="I910" s="11">
        <f t="shared" si="107"/>
        <v>43.037520000000001</v>
      </c>
      <c r="J910" s="11">
        <f t="shared" si="109"/>
        <v>43.037520000000001</v>
      </c>
      <c r="K910" s="11">
        <f t="shared" si="108"/>
        <v>43.037520000000001</v>
      </c>
      <c r="L910" s="10">
        <v>0</v>
      </c>
      <c r="N910" s="118">
        <f t="shared" si="110"/>
        <v>0</v>
      </c>
      <c r="O910" s="118">
        <f t="shared" si="111"/>
        <v>43.037520000000001</v>
      </c>
    </row>
    <row r="911" spans="1:15" x14ac:dyDescent="0.25">
      <c r="A911" t="s">
        <v>1515</v>
      </c>
      <c r="B911" t="s">
        <v>1513</v>
      </c>
      <c r="C911" s="19">
        <v>28</v>
      </c>
      <c r="D911" s="18" t="s">
        <v>1514</v>
      </c>
      <c r="E911" s="13">
        <v>1</v>
      </c>
      <c r="F911" s="18" t="s">
        <v>1513</v>
      </c>
      <c r="G911" s="25">
        <v>10301950024</v>
      </c>
      <c r="H911" s="11">
        <v>46.481839999999998</v>
      </c>
      <c r="I911" s="11">
        <f t="shared" si="107"/>
        <v>46.481839999999998</v>
      </c>
      <c r="J911" s="11">
        <f t="shared" si="109"/>
        <v>46.481839999999998</v>
      </c>
      <c r="K911" s="11">
        <f t="shared" si="108"/>
        <v>46.481839999999998</v>
      </c>
      <c r="L911" s="10">
        <v>0</v>
      </c>
      <c r="N911" s="118">
        <f t="shared" si="110"/>
        <v>0</v>
      </c>
      <c r="O911" s="118">
        <f t="shared" si="111"/>
        <v>46.481839999999998</v>
      </c>
    </row>
    <row r="912" spans="1:15" x14ac:dyDescent="0.25">
      <c r="A912" t="s">
        <v>1512</v>
      </c>
      <c r="B912" t="s">
        <v>1510</v>
      </c>
      <c r="C912" s="19">
        <v>29</v>
      </c>
      <c r="D912" s="18" t="s">
        <v>1511</v>
      </c>
      <c r="E912" s="13">
        <v>1</v>
      </c>
      <c r="F912" s="18" t="s">
        <v>1510</v>
      </c>
      <c r="G912" s="25">
        <v>10301950024</v>
      </c>
      <c r="H912" s="11">
        <v>46.481839999999998</v>
      </c>
      <c r="I912" s="11">
        <f t="shared" si="107"/>
        <v>46.481839999999998</v>
      </c>
      <c r="J912" s="11">
        <f t="shared" si="109"/>
        <v>46.481839999999998</v>
      </c>
      <c r="K912" s="11">
        <f t="shared" si="108"/>
        <v>46.481839999999998</v>
      </c>
      <c r="L912" s="10">
        <v>0</v>
      </c>
      <c r="N912" s="118">
        <f t="shared" si="110"/>
        <v>0</v>
      </c>
      <c r="O912" s="118">
        <f t="shared" si="111"/>
        <v>46.481839999999998</v>
      </c>
    </row>
    <row r="913" spans="1:15" x14ac:dyDescent="0.25">
      <c r="A913" t="s">
        <v>1509</v>
      </c>
      <c r="B913" t="s">
        <v>1507</v>
      </c>
      <c r="C913" s="19">
        <v>30</v>
      </c>
      <c r="D913" s="18" t="s">
        <v>1508</v>
      </c>
      <c r="E913" s="13">
        <v>1</v>
      </c>
      <c r="F913" s="18" t="s">
        <v>1507</v>
      </c>
      <c r="G913" s="25">
        <v>10301950024</v>
      </c>
      <c r="H913" s="11">
        <v>46.481839999999998</v>
      </c>
      <c r="I913" s="11">
        <f t="shared" si="107"/>
        <v>46.481839999999998</v>
      </c>
      <c r="J913" s="11">
        <f t="shared" si="109"/>
        <v>46.481839999999998</v>
      </c>
      <c r="K913" s="11">
        <f t="shared" si="108"/>
        <v>46.481839999999998</v>
      </c>
      <c r="L913" s="10">
        <v>0</v>
      </c>
      <c r="N913" s="118">
        <f t="shared" si="110"/>
        <v>0</v>
      </c>
      <c r="O913" s="118">
        <f t="shared" si="111"/>
        <v>46.481839999999998</v>
      </c>
    </row>
    <row r="914" spans="1:15" x14ac:dyDescent="0.25">
      <c r="A914" t="s">
        <v>1506</v>
      </c>
      <c r="B914" t="s">
        <v>1504</v>
      </c>
      <c r="C914" s="19">
        <v>31</v>
      </c>
      <c r="D914" s="18" t="s">
        <v>1505</v>
      </c>
      <c r="E914" s="13">
        <v>1</v>
      </c>
      <c r="F914" s="18" t="s">
        <v>1504</v>
      </c>
      <c r="G914" s="25">
        <v>10301950024</v>
      </c>
      <c r="H914" s="11">
        <v>46.481839999999998</v>
      </c>
      <c r="I914" s="11">
        <f t="shared" si="107"/>
        <v>46.481839999999998</v>
      </c>
      <c r="J914" s="11">
        <f t="shared" si="109"/>
        <v>46.481839999999998</v>
      </c>
      <c r="K914" s="11">
        <f t="shared" si="108"/>
        <v>46.481839999999998</v>
      </c>
      <c r="L914" s="10">
        <v>0</v>
      </c>
      <c r="N914" s="118">
        <f t="shared" si="110"/>
        <v>0</v>
      </c>
      <c r="O914" s="118">
        <f t="shared" si="111"/>
        <v>46.481839999999998</v>
      </c>
    </row>
    <row r="915" spans="1:15" x14ac:dyDescent="0.25">
      <c r="A915" t="s">
        <v>1503</v>
      </c>
      <c r="B915" t="s">
        <v>1501</v>
      </c>
      <c r="C915" s="19">
        <v>32</v>
      </c>
      <c r="D915" s="18" t="s">
        <v>1502</v>
      </c>
      <c r="E915" s="13">
        <v>1</v>
      </c>
      <c r="F915" s="18" t="s">
        <v>1501</v>
      </c>
      <c r="G915" s="25">
        <v>10301950024</v>
      </c>
      <c r="H915" s="11">
        <v>46.481839999999998</v>
      </c>
      <c r="I915" s="11">
        <f t="shared" si="107"/>
        <v>46.481839999999998</v>
      </c>
      <c r="J915" s="11">
        <f t="shared" si="109"/>
        <v>46.481839999999998</v>
      </c>
      <c r="K915" s="11">
        <f t="shared" si="108"/>
        <v>46.481839999999998</v>
      </c>
      <c r="L915" s="10">
        <v>0</v>
      </c>
      <c r="N915" s="118">
        <f t="shared" si="110"/>
        <v>0</v>
      </c>
      <c r="O915" s="118">
        <f t="shared" si="111"/>
        <v>46.481839999999998</v>
      </c>
    </row>
    <row r="916" spans="1:15" x14ac:dyDescent="0.25">
      <c r="A916" t="s">
        <v>1500</v>
      </c>
      <c r="B916" t="s">
        <v>1498</v>
      </c>
      <c r="C916" s="19">
        <v>33</v>
      </c>
      <c r="D916" s="18" t="s">
        <v>1499</v>
      </c>
      <c r="E916" s="13">
        <v>1</v>
      </c>
      <c r="F916" s="18" t="s">
        <v>1498</v>
      </c>
      <c r="G916" s="25">
        <v>10301950024</v>
      </c>
      <c r="H916" s="11">
        <v>46.481839999999998</v>
      </c>
      <c r="I916" s="11">
        <f t="shared" ref="I916:I947" si="112">H916*E916</f>
        <v>46.481839999999998</v>
      </c>
      <c r="J916" s="11">
        <f t="shared" si="109"/>
        <v>46.481839999999998</v>
      </c>
      <c r="K916" s="11">
        <f t="shared" ref="K916:K947" si="113">J916*E916</f>
        <v>46.481839999999998</v>
      </c>
      <c r="L916" s="10">
        <v>0</v>
      </c>
      <c r="N916" s="118">
        <f t="shared" si="110"/>
        <v>0</v>
      </c>
      <c r="O916" s="118">
        <f t="shared" si="111"/>
        <v>46.481839999999998</v>
      </c>
    </row>
    <row r="917" spans="1:15" x14ac:dyDescent="0.25">
      <c r="A917" t="s">
        <v>1497</v>
      </c>
      <c r="B917" t="s">
        <v>1495</v>
      </c>
      <c r="C917" s="19">
        <v>34</v>
      </c>
      <c r="D917" s="18" t="s">
        <v>1496</v>
      </c>
      <c r="E917" s="13">
        <v>1</v>
      </c>
      <c r="F917" s="25" t="s">
        <v>1495</v>
      </c>
      <c r="G917" s="25">
        <v>81897719002</v>
      </c>
      <c r="H917" s="11">
        <v>56.369839999999996</v>
      </c>
      <c r="I917" s="11">
        <f t="shared" si="112"/>
        <v>56.369839999999996</v>
      </c>
      <c r="J917" s="11">
        <f t="shared" si="109"/>
        <v>56.369839999999996</v>
      </c>
      <c r="K917" s="11">
        <f t="shared" si="113"/>
        <v>56.369839999999996</v>
      </c>
      <c r="L917" s="10">
        <v>0</v>
      </c>
      <c r="N917" s="118">
        <f t="shared" si="110"/>
        <v>0</v>
      </c>
      <c r="O917" s="118">
        <f t="shared" si="111"/>
        <v>56.369839999999996</v>
      </c>
    </row>
    <row r="918" spans="1:15" x14ac:dyDescent="0.25">
      <c r="A918" t="s">
        <v>1494</v>
      </c>
      <c r="B918" t="s">
        <v>1492</v>
      </c>
      <c r="C918" s="19">
        <v>35</v>
      </c>
      <c r="D918" s="18" t="s">
        <v>1493</v>
      </c>
      <c r="E918" s="13">
        <v>2</v>
      </c>
      <c r="F918" s="18" t="s">
        <v>1492</v>
      </c>
      <c r="G918" s="25">
        <v>10301950024</v>
      </c>
      <c r="H918" s="11">
        <v>183.38944000000001</v>
      </c>
      <c r="I918" s="11">
        <f t="shared" si="112"/>
        <v>366.77888000000002</v>
      </c>
      <c r="J918" s="11">
        <f t="shared" si="109"/>
        <v>183.38944000000001</v>
      </c>
      <c r="K918" s="11">
        <f t="shared" si="113"/>
        <v>366.77888000000002</v>
      </c>
      <c r="L918" s="10">
        <v>0</v>
      </c>
      <c r="N918" s="118">
        <f t="shared" si="110"/>
        <v>0</v>
      </c>
      <c r="O918" s="118">
        <f t="shared" si="111"/>
        <v>183.38944000000001</v>
      </c>
    </row>
    <row r="919" spans="1:15" x14ac:dyDescent="0.25">
      <c r="A919" t="s">
        <v>1491</v>
      </c>
      <c r="B919" t="s">
        <v>1489</v>
      </c>
      <c r="C919" s="19">
        <v>36</v>
      </c>
      <c r="D919" s="18" t="s">
        <v>1490</v>
      </c>
      <c r="E919" s="13">
        <v>1</v>
      </c>
      <c r="F919" s="25" t="s">
        <v>1489</v>
      </c>
      <c r="G919" s="25">
        <v>81897719002</v>
      </c>
      <c r="H919" s="11">
        <v>23.673520000000003</v>
      </c>
      <c r="I919" s="11">
        <f t="shared" si="112"/>
        <v>23.673520000000003</v>
      </c>
      <c r="J919" s="11">
        <f t="shared" si="109"/>
        <v>23.673520000000003</v>
      </c>
      <c r="K919" s="11">
        <f t="shared" si="113"/>
        <v>23.673520000000003</v>
      </c>
      <c r="L919" s="10">
        <v>0</v>
      </c>
      <c r="N919" s="118">
        <f t="shared" si="110"/>
        <v>0</v>
      </c>
      <c r="O919" s="118">
        <f t="shared" si="111"/>
        <v>23.673520000000003</v>
      </c>
    </row>
    <row r="920" spans="1:15" x14ac:dyDescent="0.25">
      <c r="A920" t="s">
        <v>1488</v>
      </c>
      <c r="B920" t="s">
        <v>1486</v>
      </c>
      <c r="C920" s="19">
        <v>37</v>
      </c>
      <c r="D920" s="18" t="s">
        <v>1487</v>
      </c>
      <c r="E920" s="13">
        <v>1</v>
      </c>
      <c r="F920" s="25" t="s">
        <v>1486</v>
      </c>
      <c r="G920" s="25">
        <v>81897719002</v>
      </c>
      <c r="H920" s="11">
        <v>23.673520000000003</v>
      </c>
      <c r="I920" s="11">
        <f t="shared" si="112"/>
        <v>23.673520000000003</v>
      </c>
      <c r="J920" s="11">
        <f t="shared" si="109"/>
        <v>23.673520000000003</v>
      </c>
      <c r="K920" s="11">
        <f t="shared" si="113"/>
        <v>23.673520000000003</v>
      </c>
      <c r="L920" s="10">
        <v>0</v>
      </c>
      <c r="N920" s="118">
        <f t="shared" si="110"/>
        <v>0</v>
      </c>
      <c r="O920" s="118">
        <f t="shared" si="111"/>
        <v>23.673520000000003</v>
      </c>
    </row>
    <row r="921" spans="1:15" x14ac:dyDescent="0.25">
      <c r="A921" t="s">
        <v>1485</v>
      </c>
      <c r="B921" t="s">
        <v>1483</v>
      </c>
      <c r="C921" s="19">
        <v>38</v>
      </c>
      <c r="D921" s="18" t="s">
        <v>1484</v>
      </c>
      <c r="E921" s="13">
        <v>1</v>
      </c>
      <c r="F921" s="18" t="s">
        <v>1483</v>
      </c>
      <c r="G921" s="25">
        <v>10301950024</v>
      </c>
      <c r="H921" s="11">
        <v>31.550959999999996</v>
      </c>
      <c r="I921" s="11">
        <f t="shared" si="112"/>
        <v>31.550959999999996</v>
      </c>
      <c r="J921" s="11">
        <f t="shared" si="109"/>
        <v>31.550959999999996</v>
      </c>
      <c r="K921" s="11">
        <f t="shared" si="113"/>
        <v>31.550959999999996</v>
      </c>
      <c r="L921" s="10">
        <v>0</v>
      </c>
      <c r="N921" s="118">
        <f t="shared" si="110"/>
        <v>0</v>
      </c>
      <c r="O921" s="118">
        <f t="shared" si="111"/>
        <v>31.550959999999996</v>
      </c>
    </row>
    <row r="922" spans="1:15" x14ac:dyDescent="0.25">
      <c r="A922" t="s">
        <v>1482</v>
      </c>
      <c r="B922" t="s">
        <v>1371</v>
      </c>
      <c r="C922" s="19">
        <v>39</v>
      </c>
      <c r="D922" s="18" t="s">
        <v>1481</v>
      </c>
      <c r="E922" s="13">
        <v>1</v>
      </c>
      <c r="F922" s="18" t="s">
        <v>1371</v>
      </c>
      <c r="G922" s="25">
        <v>10301950024</v>
      </c>
      <c r="H922" s="11">
        <v>31.550959999999996</v>
      </c>
      <c r="I922" s="11">
        <f t="shared" si="112"/>
        <v>31.550959999999996</v>
      </c>
      <c r="J922" s="11">
        <f t="shared" si="109"/>
        <v>31.550959999999996</v>
      </c>
      <c r="K922" s="11">
        <f t="shared" si="113"/>
        <v>31.550959999999996</v>
      </c>
      <c r="L922" s="10">
        <v>0</v>
      </c>
      <c r="N922" s="118">
        <f t="shared" si="110"/>
        <v>0</v>
      </c>
      <c r="O922" s="118">
        <f t="shared" si="111"/>
        <v>31.550959999999996</v>
      </c>
    </row>
    <row r="923" spans="1:15" x14ac:dyDescent="0.25">
      <c r="A923" t="s">
        <v>1480</v>
      </c>
      <c r="B923" t="s">
        <v>1478</v>
      </c>
      <c r="C923" s="19">
        <v>40</v>
      </c>
      <c r="D923" s="18" t="s">
        <v>1479</v>
      </c>
      <c r="E923" s="13">
        <v>2</v>
      </c>
      <c r="F923" s="18" t="s">
        <v>1478</v>
      </c>
      <c r="G923" s="25">
        <v>10301950024</v>
      </c>
      <c r="H923" s="11">
        <v>100.23</v>
      </c>
      <c r="I923" s="11">
        <f t="shared" si="112"/>
        <v>200.46</v>
      </c>
      <c r="J923" s="11">
        <f t="shared" si="109"/>
        <v>100.23</v>
      </c>
      <c r="K923" s="11">
        <f t="shared" si="113"/>
        <v>200.46</v>
      </c>
      <c r="L923" s="10">
        <v>0</v>
      </c>
      <c r="N923" s="118">
        <f t="shared" si="110"/>
        <v>0</v>
      </c>
      <c r="O923" s="118">
        <f t="shared" si="111"/>
        <v>100.23</v>
      </c>
    </row>
    <row r="924" spans="1:15" x14ac:dyDescent="0.25">
      <c r="A924" t="s">
        <v>1477</v>
      </c>
      <c r="B924" t="s">
        <v>1475</v>
      </c>
      <c r="C924" s="19">
        <v>41</v>
      </c>
      <c r="D924" s="18" t="s">
        <v>1476</v>
      </c>
      <c r="E924" s="13">
        <v>2</v>
      </c>
      <c r="F924" t="s">
        <v>1475</v>
      </c>
      <c r="G924" s="25">
        <v>10301950024</v>
      </c>
      <c r="H924" s="11">
        <v>17.724240000000002</v>
      </c>
      <c r="I924" s="11">
        <f t="shared" si="112"/>
        <v>35.448480000000004</v>
      </c>
      <c r="J924" s="11">
        <f t="shared" si="109"/>
        <v>17.724240000000002</v>
      </c>
      <c r="K924" s="11">
        <f t="shared" si="113"/>
        <v>35.448480000000004</v>
      </c>
      <c r="L924" s="10">
        <v>0</v>
      </c>
      <c r="N924" s="118">
        <f t="shared" si="110"/>
        <v>0</v>
      </c>
      <c r="O924" s="118">
        <f t="shared" si="111"/>
        <v>17.724240000000002</v>
      </c>
    </row>
    <row r="925" spans="1:15" x14ac:dyDescent="0.25">
      <c r="A925" t="s">
        <v>1474</v>
      </c>
      <c r="B925" t="s">
        <v>1368</v>
      </c>
      <c r="C925" s="19">
        <v>42</v>
      </c>
      <c r="D925" s="18" t="s">
        <v>1369</v>
      </c>
      <c r="E925" s="13">
        <v>1</v>
      </c>
      <c r="F925" s="25" t="s">
        <v>1368</v>
      </c>
      <c r="G925" s="25">
        <v>81897719002</v>
      </c>
      <c r="H925" s="11">
        <v>20.28688</v>
      </c>
      <c r="I925" s="11">
        <f t="shared" si="112"/>
        <v>20.28688</v>
      </c>
      <c r="J925" s="11">
        <f t="shared" si="109"/>
        <v>20.28688</v>
      </c>
      <c r="K925" s="11">
        <f t="shared" si="113"/>
        <v>20.28688</v>
      </c>
      <c r="L925" s="10">
        <v>0</v>
      </c>
      <c r="N925" s="118">
        <f t="shared" si="110"/>
        <v>0</v>
      </c>
      <c r="O925" s="118">
        <f t="shared" si="111"/>
        <v>20.28688</v>
      </c>
    </row>
    <row r="926" spans="1:15" x14ac:dyDescent="0.25">
      <c r="A926" t="s">
        <v>1473</v>
      </c>
      <c r="B926" t="s">
        <v>626</v>
      </c>
      <c r="C926" s="19">
        <v>43</v>
      </c>
      <c r="D926" s="18" t="s">
        <v>908</v>
      </c>
      <c r="E926" s="13">
        <v>2</v>
      </c>
      <c r="F926" s="25" t="s">
        <v>626</v>
      </c>
      <c r="G926" s="25">
        <v>81897719002</v>
      </c>
      <c r="H926" s="11">
        <v>20.28688</v>
      </c>
      <c r="I926" s="11">
        <f t="shared" si="112"/>
        <v>40.57376</v>
      </c>
      <c r="J926" s="11">
        <f t="shared" si="109"/>
        <v>20.28688</v>
      </c>
      <c r="K926" s="11">
        <f t="shared" si="113"/>
        <v>40.57376</v>
      </c>
      <c r="L926" s="10">
        <v>0</v>
      </c>
      <c r="N926" s="118">
        <f t="shared" si="110"/>
        <v>0</v>
      </c>
      <c r="O926" s="118">
        <f t="shared" si="111"/>
        <v>20.28688</v>
      </c>
    </row>
    <row r="927" spans="1:15" x14ac:dyDescent="0.25">
      <c r="A927" t="s">
        <v>1472</v>
      </c>
      <c r="C927" s="19">
        <v>44</v>
      </c>
      <c r="D927" s="18" t="s">
        <v>1471</v>
      </c>
      <c r="E927" s="13">
        <v>1</v>
      </c>
      <c r="F927" s="25" t="s">
        <v>1470</v>
      </c>
      <c r="G927" s="25">
        <v>10301950027</v>
      </c>
      <c r="H927" s="11">
        <v>58.850080000000005</v>
      </c>
      <c r="I927" s="11">
        <f t="shared" si="112"/>
        <v>58.850080000000005</v>
      </c>
      <c r="J927" s="11">
        <f t="shared" si="109"/>
        <v>58.850080000000005</v>
      </c>
      <c r="K927" s="11">
        <f t="shared" si="113"/>
        <v>58.850080000000005</v>
      </c>
      <c r="L927" s="10">
        <v>0</v>
      </c>
      <c r="N927" s="118">
        <f t="shared" si="110"/>
        <v>0</v>
      </c>
      <c r="O927" s="118">
        <f t="shared" si="111"/>
        <v>58.850080000000005</v>
      </c>
    </row>
    <row r="928" spans="1:15" x14ac:dyDescent="0.25">
      <c r="A928" t="s">
        <v>1469</v>
      </c>
      <c r="C928" s="19">
        <v>45</v>
      </c>
      <c r="D928" s="18" t="s">
        <v>1468</v>
      </c>
      <c r="E928" s="13">
        <v>2</v>
      </c>
      <c r="F928" t="s">
        <v>1467</v>
      </c>
      <c r="G928" s="25">
        <v>10301950027</v>
      </c>
      <c r="H928" s="11">
        <v>58.850080000000005</v>
      </c>
      <c r="I928" s="11">
        <f t="shared" si="112"/>
        <v>117.70016000000001</v>
      </c>
      <c r="J928" s="11">
        <f t="shared" si="109"/>
        <v>58.850080000000005</v>
      </c>
      <c r="K928" s="11">
        <f t="shared" si="113"/>
        <v>117.70016000000001</v>
      </c>
      <c r="L928" s="10">
        <v>0</v>
      </c>
      <c r="N928" s="118">
        <f t="shared" si="110"/>
        <v>0</v>
      </c>
      <c r="O928" s="118">
        <f t="shared" si="111"/>
        <v>58.850080000000005</v>
      </c>
    </row>
    <row r="929" spans="1:15" x14ac:dyDescent="0.25">
      <c r="A929" t="s">
        <v>1466</v>
      </c>
      <c r="B929" t="s">
        <v>1464</v>
      </c>
      <c r="C929" s="19">
        <v>46</v>
      </c>
      <c r="D929" s="18" t="s">
        <v>1465</v>
      </c>
      <c r="E929" s="13">
        <v>1</v>
      </c>
      <c r="F929" s="18" t="s">
        <v>1464</v>
      </c>
      <c r="G929" s="25">
        <v>10301950027</v>
      </c>
      <c r="H929" s="11">
        <v>66.043599999999998</v>
      </c>
      <c r="I929" s="11">
        <f t="shared" si="112"/>
        <v>66.043599999999998</v>
      </c>
      <c r="J929" s="11">
        <f t="shared" si="109"/>
        <v>66.043599999999998</v>
      </c>
      <c r="K929" s="11">
        <f t="shared" si="113"/>
        <v>66.043599999999998</v>
      </c>
      <c r="L929" s="10">
        <v>0</v>
      </c>
      <c r="N929" s="118">
        <f t="shared" si="110"/>
        <v>0</v>
      </c>
      <c r="O929" s="118">
        <f t="shared" si="111"/>
        <v>66.043599999999998</v>
      </c>
    </row>
    <row r="930" spans="1:15" x14ac:dyDescent="0.25">
      <c r="A930" t="s">
        <v>1463</v>
      </c>
      <c r="B930" t="s">
        <v>1461</v>
      </c>
      <c r="C930" s="19">
        <v>47</v>
      </c>
      <c r="D930" s="18" t="s">
        <v>1462</v>
      </c>
      <c r="E930" s="13">
        <v>1</v>
      </c>
      <c r="F930" s="18" t="s">
        <v>1461</v>
      </c>
      <c r="G930" s="25">
        <v>10301950027</v>
      </c>
      <c r="H930" s="11">
        <v>72.973439999999997</v>
      </c>
      <c r="I930" s="11">
        <f t="shared" si="112"/>
        <v>72.973439999999997</v>
      </c>
      <c r="J930" s="11">
        <f t="shared" si="109"/>
        <v>72.973439999999997</v>
      </c>
      <c r="K930" s="11">
        <f t="shared" si="113"/>
        <v>72.973439999999997</v>
      </c>
      <c r="L930" s="10">
        <v>0</v>
      </c>
      <c r="N930" s="118">
        <f t="shared" si="110"/>
        <v>0</v>
      </c>
      <c r="O930" s="118">
        <f t="shared" si="111"/>
        <v>72.973439999999997</v>
      </c>
    </row>
    <row r="931" spans="1:15" x14ac:dyDescent="0.25">
      <c r="A931" t="s">
        <v>1460</v>
      </c>
      <c r="B931" t="s">
        <v>1458</v>
      </c>
      <c r="C931" s="19">
        <v>48</v>
      </c>
      <c r="D931" s="18" t="s">
        <v>1459</v>
      </c>
      <c r="E931" s="13">
        <v>1</v>
      </c>
      <c r="F931" s="18" t="s">
        <v>1458</v>
      </c>
      <c r="G931" s="25">
        <v>10301950027</v>
      </c>
      <c r="H931" s="11">
        <v>75.404240000000001</v>
      </c>
      <c r="I931" s="11">
        <f t="shared" si="112"/>
        <v>75.404240000000001</v>
      </c>
      <c r="J931" s="11">
        <f t="shared" si="109"/>
        <v>75.404240000000001</v>
      </c>
      <c r="K931" s="11">
        <f t="shared" si="113"/>
        <v>75.404240000000001</v>
      </c>
      <c r="L931" s="10">
        <v>0</v>
      </c>
      <c r="N931" s="118">
        <f t="shared" si="110"/>
        <v>0</v>
      </c>
      <c r="O931" s="118">
        <f t="shared" si="111"/>
        <v>75.404240000000001</v>
      </c>
    </row>
    <row r="932" spans="1:15" x14ac:dyDescent="0.25">
      <c r="A932" t="s">
        <v>1457</v>
      </c>
      <c r="B932" t="s">
        <v>1455</v>
      </c>
      <c r="C932" s="19">
        <v>49</v>
      </c>
      <c r="D932" s="18" t="s">
        <v>1456</v>
      </c>
      <c r="E932" s="13">
        <v>2</v>
      </c>
      <c r="F932" s="18" t="s">
        <v>1455</v>
      </c>
      <c r="G932" s="25">
        <v>10301950027</v>
      </c>
      <c r="H932" s="11">
        <v>28.642240000000001</v>
      </c>
      <c r="I932" s="11">
        <f t="shared" si="112"/>
        <v>57.284480000000002</v>
      </c>
      <c r="J932" s="11">
        <f t="shared" si="109"/>
        <v>28.642240000000001</v>
      </c>
      <c r="K932" s="11">
        <f t="shared" si="113"/>
        <v>57.284480000000002</v>
      </c>
      <c r="L932" s="10">
        <v>0</v>
      </c>
      <c r="N932" s="118">
        <f t="shared" si="110"/>
        <v>0</v>
      </c>
      <c r="O932" s="118">
        <f t="shared" si="111"/>
        <v>28.642240000000001</v>
      </c>
    </row>
    <row r="933" spans="1:15" x14ac:dyDescent="0.25">
      <c r="A933" t="s">
        <v>1454</v>
      </c>
      <c r="B933" t="s">
        <v>1452</v>
      </c>
      <c r="C933" s="19">
        <v>50</v>
      </c>
      <c r="D933" s="18" t="s">
        <v>1453</v>
      </c>
      <c r="E933" s="13">
        <v>2</v>
      </c>
      <c r="F933" s="18" t="s">
        <v>1452</v>
      </c>
      <c r="G933" s="25">
        <v>10301950027</v>
      </c>
      <c r="H933" s="11">
        <v>68.869920000000008</v>
      </c>
      <c r="I933" s="11">
        <f t="shared" si="112"/>
        <v>137.73984000000002</v>
      </c>
      <c r="J933" s="11">
        <f t="shared" si="109"/>
        <v>68.869920000000008</v>
      </c>
      <c r="K933" s="11">
        <f t="shared" si="113"/>
        <v>137.73984000000002</v>
      </c>
      <c r="L933" s="10">
        <v>0</v>
      </c>
      <c r="N933" s="118">
        <f t="shared" si="110"/>
        <v>0</v>
      </c>
      <c r="O933" s="118">
        <f t="shared" si="111"/>
        <v>68.869920000000008</v>
      </c>
    </row>
    <row r="934" spans="1:15" x14ac:dyDescent="0.25">
      <c r="A934" t="s">
        <v>1451</v>
      </c>
      <c r="B934" t="s">
        <v>1449</v>
      </c>
      <c r="C934" s="19">
        <v>51</v>
      </c>
      <c r="D934" s="18" t="s">
        <v>1450</v>
      </c>
      <c r="E934" s="13">
        <v>1</v>
      </c>
      <c r="F934" s="25" t="s">
        <v>1449</v>
      </c>
      <c r="G934" s="25">
        <v>81897719002</v>
      </c>
      <c r="H934" s="11">
        <v>8.4542400000000004</v>
      </c>
      <c r="I934" s="11">
        <f t="shared" si="112"/>
        <v>8.4542400000000004</v>
      </c>
      <c r="J934" s="11">
        <f t="shared" si="109"/>
        <v>8.4542400000000004</v>
      </c>
      <c r="K934" s="11">
        <f t="shared" si="113"/>
        <v>8.4542400000000004</v>
      </c>
      <c r="L934" s="10">
        <v>0</v>
      </c>
      <c r="N934" s="118">
        <f t="shared" si="110"/>
        <v>0</v>
      </c>
      <c r="O934" s="118">
        <f t="shared" si="111"/>
        <v>8.4542400000000004</v>
      </c>
    </row>
    <row r="935" spans="1:15" x14ac:dyDescent="0.25">
      <c r="A935" t="s">
        <v>1448</v>
      </c>
      <c r="B935" t="s">
        <v>1446</v>
      </c>
      <c r="C935" s="19">
        <v>52</v>
      </c>
      <c r="D935" s="18" t="s">
        <v>1447</v>
      </c>
      <c r="E935" s="13">
        <v>1</v>
      </c>
      <c r="F935" t="s">
        <v>1446</v>
      </c>
      <c r="G935" s="25">
        <v>81897710023</v>
      </c>
      <c r="H935" s="11">
        <v>9.5666399999999996</v>
      </c>
      <c r="I935" s="11">
        <f t="shared" si="112"/>
        <v>9.5666399999999996</v>
      </c>
      <c r="J935" s="11">
        <f t="shared" si="109"/>
        <v>9.5666399999999996</v>
      </c>
      <c r="K935" s="11">
        <f t="shared" si="113"/>
        <v>9.5666399999999996</v>
      </c>
      <c r="L935" s="10">
        <v>0</v>
      </c>
      <c r="N935" s="118">
        <f t="shared" si="110"/>
        <v>0</v>
      </c>
      <c r="O935" s="118">
        <f t="shared" si="111"/>
        <v>9.5666399999999996</v>
      </c>
    </row>
    <row r="936" spans="1:15" x14ac:dyDescent="0.25">
      <c r="A936" t="s">
        <v>1445</v>
      </c>
      <c r="B936" t="s">
        <v>1443</v>
      </c>
      <c r="C936" s="19">
        <v>53</v>
      </c>
      <c r="D936" s="18" t="s">
        <v>1444</v>
      </c>
      <c r="E936" s="13">
        <v>1</v>
      </c>
      <c r="F936" s="18" t="s">
        <v>1443</v>
      </c>
      <c r="G936" s="25">
        <v>10301950027</v>
      </c>
      <c r="H936" s="11">
        <v>88.283360000000002</v>
      </c>
      <c r="I936" s="11">
        <f t="shared" si="112"/>
        <v>88.283360000000002</v>
      </c>
      <c r="J936" s="11">
        <f t="shared" si="109"/>
        <v>88.283360000000002</v>
      </c>
      <c r="K936" s="11">
        <f t="shared" si="113"/>
        <v>88.283360000000002</v>
      </c>
      <c r="L936" s="10">
        <v>0</v>
      </c>
      <c r="N936" s="118">
        <f t="shared" si="110"/>
        <v>0</v>
      </c>
      <c r="O936" s="118">
        <f t="shared" si="111"/>
        <v>88.283360000000002</v>
      </c>
    </row>
    <row r="937" spans="1:15" x14ac:dyDescent="0.25">
      <c r="A937" t="s">
        <v>1442</v>
      </c>
      <c r="B937" t="s">
        <v>589</v>
      </c>
      <c r="C937" s="19">
        <v>54</v>
      </c>
      <c r="D937" s="18" t="s">
        <v>1441</v>
      </c>
      <c r="E937" s="13">
        <v>1</v>
      </c>
      <c r="F937" s="25" t="s">
        <v>589</v>
      </c>
      <c r="G937" s="25">
        <v>81897719003</v>
      </c>
      <c r="H937" s="11">
        <v>157.82071999999999</v>
      </c>
      <c r="I937" s="11">
        <f t="shared" si="112"/>
        <v>157.82071999999999</v>
      </c>
      <c r="J937" s="11">
        <f t="shared" si="109"/>
        <v>157.82071999999999</v>
      </c>
      <c r="K937" s="11">
        <f t="shared" si="113"/>
        <v>157.82071999999999</v>
      </c>
      <c r="L937" s="10">
        <v>0</v>
      </c>
      <c r="N937" s="118">
        <f t="shared" si="110"/>
        <v>0</v>
      </c>
      <c r="O937" s="118">
        <f t="shared" si="111"/>
        <v>157.82071999999999</v>
      </c>
    </row>
    <row r="938" spans="1:15" x14ac:dyDescent="0.25">
      <c r="A938" t="s">
        <v>1440</v>
      </c>
      <c r="B938" t="s">
        <v>1438</v>
      </c>
      <c r="C938" s="19">
        <v>55</v>
      </c>
      <c r="D938" s="18" t="s">
        <v>1439</v>
      </c>
      <c r="E938" s="13">
        <v>1</v>
      </c>
      <c r="F938" s="18" t="s">
        <v>1438</v>
      </c>
      <c r="G938" s="25">
        <v>10301950042</v>
      </c>
      <c r="H938" s="11">
        <v>130.95007999999999</v>
      </c>
      <c r="I938" s="11">
        <f t="shared" si="112"/>
        <v>130.95007999999999</v>
      </c>
      <c r="J938" s="11">
        <f t="shared" si="109"/>
        <v>130.95007999999999</v>
      </c>
      <c r="K938" s="11">
        <f t="shared" si="113"/>
        <v>130.95007999999999</v>
      </c>
      <c r="L938" s="10">
        <v>0</v>
      </c>
      <c r="N938" s="118">
        <f t="shared" si="110"/>
        <v>0</v>
      </c>
      <c r="O938" s="118">
        <f t="shared" si="111"/>
        <v>130.95007999999999</v>
      </c>
    </row>
    <row r="939" spans="1:15" x14ac:dyDescent="0.25">
      <c r="A939" t="s">
        <v>1437</v>
      </c>
      <c r="B939" t="s">
        <v>1435</v>
      </c>
      <c r="C939" s="19">
        <v>56</v>
      </c>
      <c r="D939" s="18" t="s">
        <v>1436</v>
      </c>
      <c r="E939" s="13">
        <v>1</v>
      </c>
      <c r="F939" s="25" t="s">
        <v>1435</v>
      </c>
      <c r="G939" s="25">
        <v>81897719002</v>
      </c>
      <c r="H939" s="11">
        <v>67.633920000000003</v>
      </c>
      <c r="I939" s="11">
        <f t="shared" si="112"/>
        <v>67.633920000000003</v>
      </c>
      <c r="J939" s="11">
        <f t="shared" si="109"/>
        <v>67.633920000000003</v>
      </c>
      <c r="K939" s="11">
        <f t="shared" si="113"/>
        <v>67.633920000000003</v>
      </c>
      <c r="L939" s="10">
        <v>0</v>
      </c>
      <c r="N939" s="118">
        <f t="shared" si="110"/>
        <v>0</v>
      </c>
      <c r="O939" s="118">
        <f t="shared" si="111"/>
        <v>67.633920000000003</v>
      </c>
    </row>
    <row r="940" spans="1:15" x14ac:dyDescent="0.25">
      <c r="A940" t="s">
        <v>1434</v>
      </c>
      <c r="B940" t="s">
        <v>1432</v>
      </c>
      <c r="C940" s="19">
        <v>57</v>
      </c>
      <c r="D940" s="18" t="s">
        <v>1433</v>
      </c>
      <c r="E940" s="13">
        <v>1</v>
      </c>
      <c r="F940" s="25" t="s">
        <v>1432</v>
      </c>
      <c r="G940" s="25">
        <v>81897719002</v>
      </c>
      <c r="H940" s="11">
        <v>74.975760000000008</v>
      </c>
      <c r="I940" s="11">
        <f t="shared" si="112"/>
        <v>74.975760000000008</v>
      </c>
      <c r="J940" s="11">
        <f t="shared" si="109"/>
        <v>74.975760000000008</v>
      </c>
      <c r="K940" s="11">
        <f t="shared" si="113"/>
        <v>74.975760000000008</v>
      </c>
      <c r="L940" s="10">
        <v>0</v>
      </c>
      <c r="N940" s="118">
        <f t="shared" si="110"/>
        <v>0</v>
      </c>
      <c r="O940" s="118">
        <f t="shared" si="111"/>
        <v>74.975760000000008</v>
      </c>
    </row>
    <row r="941" spans="1:15" x14ac:dyDescent="0.25">
      <c r="A941" t="s">
        <v>1431</v>
      </c>
      <c r="B941" t="s">
        <v>1429</v>
      </c>
      <c r="C941" s="19">
        <v>58</v>
      </c>
      <c r="D941" s="18" t="s">
        <v>1430</v>
      </c>
      <c r="E941" s="13">
        <v>2</v>
      </c>
      <c r="F941" s="18" t="s">
        <v>1429</v>
      </c>
      <c r="G941" s="25">
        <v>10301950024</v>
      </c>
      <c r="H941" s="11">
        <v>297.03552000000002</v>
      </c>
      <c r="I941" s="11">
        <f t="shared" si="112"/>
        <v>594.07104000000004</v>
      </c>
      <c r="J941" s="11">
        <f t="shared" si="109"/>
        <v>297.03552000000002</v>
      </c>
      <c r="K941" s="11">
        <f t="shared" si="113"/>
        <v>594.07104000000004</v>
      </c>
      <c r="L941" s="10">
        <v>0</v>
      </c>
      <c r="N941" s="118">
        <f t="shared" si="110"/>
        <v>0</v>
      </c>
      <c r="O941" s="118">
        <f t="shared" si="111"/>
        <v>297.03552000000002</v>
      </c>
    </row>
    <row r="942" spans="1:15" x14ac:dyDescent="0.25">
      <c r="A942" t="s">
        <v>1428</v>
      </c>
      <c r="B942" t="s">
        <v>1426</v>
      </c>
      <c r="C942" s="19">
        <v>59</v>
      </c>
      <c r="D942" s="18" t="s">
        <v>1427</v>
      </c>
      <c r="E942" s="13">
        <v>1</v>
      </c>
      <c r="F942" t="s">
        <v>1426</v>
      </c>
      <c r="G942" s="25">
        <v>81897710009</v>
      </c>
      <c r="H942" s="11">
        <v>290.89671999999996</v>
      </c>
      <c r="I942" s="11">
        <f t="shared" si="112"/>
        <v>290.89671999999996</v>
      </c>
      <c r="J942" s="11">
        <f t="shared" si="109"/>
        <v>290.89671999999996</v>
      </c>
      <c r="K942" s="11">
        <f t="shared" si="113"/>
        <v>290.89671999999996</v>
      </c>
      <c r="L942" s="10">
        <v>0</v>
      </c>
      <c r="N942" s="118">
        <f t="shared" si="110"/>
        <v>0</v>
      </c>
      <c r="O942" s="118">
        <f t="shared" si="111"/>
        <v>290.89671999999996</v>
      </c>
    </row>
    <row r="943" spans="1:15" x14ac:dyDescent="0.25">
      <c r="A943" t="s">
        <v>1425</v>
      </c>
      <c r="B943" t="s">
        <v>230</v>
      </c>
      <c r="C943" s="19">
        <v>60</v>
      </c>
      <c r="D943" s="18" t="s">
        <v>231</v>
      </c>
      <c r="E943" s="13">
        <v>1</v>
      </c>
      <c r="F943" s="25" t="s">
        <v>230</v>
      </c>
      <c r="G943" s="25">
        <v>81897719002</v>
      </c>
      <c r="H943" s="11">
        <v>7.8774400000000009</v>
      </c>
      <c r="I943" s="11">
        <f t="shared" si="112"/>
        <v>7.8774400000000009</v>
      </c>
      <c r="J943" s="11">
        <f t="shared" si="109"/>
        <v>7.8774400000000009</v>
      </c>
      <c r="K943" s="11">
        <f t="shared" si="113"/>
        <v>7.8774400000000009</v>
      </c>
      <c r="L943" s="10">
        <v>0</v>
      </c>
      <c r="N943" s="118">
        <f t="shared" si="110"/>
        <v>0</v>
      </c>
      <c r="O943" s="118">
        <f t="shared" si="111"/>
        <v>7.8774400000000009</v>
      </c>
    </row>
    <row r="944" spans="1:15" x14ac:dyDescent="0.25">
      <c r="A944" t="s">
        <v>1424</v>
      </c>
      <c r="B944" t="s">
        <v>233</v>
      </c>
      <c r="C944" s="19">
        <v>61</v>
      </c>
      <c r="D944" s="18" t="s">
        <v>234</v>
      </c>
      <c r="E944" s="13">
        <v>1</v>
      </c>
      <c r="F944" s="25" t="s">
        <v>233</v>
      </c>
      <c r="G944" s="25">
        <v>81897719002</v>
      </c>
      <c r="H944" s="11">
        <v>7.3418400000000004</v>
      </c>
      <c r="I944" s="11">
        <f t="shared" si="112"/>
        <v>7.3418400000000004</v>
      </c>
      <c r="J944" s="11">
        <f t="shared" si="109"/>
        <v>7.3418400000000004</v>
      </c>
      <c r="K944" s="11">
        <f t="shared" si="113"/>
        <v>7.3418400000000004</v>
      </c>
      <c r="L944" s="10">
        <v>0</v>
      </c>
      <c r="N944" s="118">
        <f t="shared" si="110"/>
        <v>0</v>
      </c>
      <c r="O944" s="118">
        <f t="shared" si="111"/>
        <v>7.3418400000000004</v>
      </c>
    </row>
    <row r="945" spans="1:15" x14ac:dyDescent="0.25">
      <c r="A945" t="s">
        <v>1423</v>
      </c>
      <c r="B945" t="s">
        <v>152</v>
      </c>
      <c r="C945" s="19">
        <v>62</v>
      </c>
      <c r="D945" s="18" t="s">
        <v>153</v>
      </c>
      <c r="E945" s="13">
        <v>1</v>
      </c>
      <c r="F945" s="25" t="s">
        <v>152</v>
      </c>
      <c r="G945" s="25">
        <v>81897719002</v>
      </c>
      <c r="H945" s="11">
        <v>7.8774400000000009</v>
      </c>
      <c r="I945" s="11">
        <f t="shared" si="112"/>
        <v>7.8774400000000009</v>
      </c>
      <c r="J945" s="11">
        <f t="shared" si="109"/>
        <v>7.8774400000000009</v>
      </c>
      <c r="K945" s="11">
        <f t="shared" si="113"/>
        <v>7.8774400000000009</v>
      </c>
      <c r="L945" s="10">
        <v>0</v>
      </c>
      <c r="N945" s="118">
        <f t="shared" si="110"/>
        <v>0</v>
      </c>
      <c r="O945" s="118">
        <f t="shared" si="111"/>
        <v>7.8774400000000009</v>
      </c>
    </row>
    <row r="946" spans="1:15" x14ac:dyDescent="0.25">
      <c r="A946" t="s">
        <v>1422</v>
      </c>
      <c r="B946" t="s">
        <v>1174</v>
      </c>
      <c r="C946" s="19">
        <v>63</v>
      </c>
      <c r="D946" s="18" t="s">
        <v>1175</v>
      </c>
      <c r="E946" s="13">
        <v>1</v>
      </c>
      <c r="F946" s="25" t="s">
        <v>1174</v>
      </c>
      <c r="G946" s="25">
        <v>81897719002</v>
      </c>
      <c r="H946" s="11">
        <v>10.14344</v>
      </c>
      <c r="I946" s="11">
        <f t="shared" si="112"/>
        <v>10.14344</v>
      </c>
      <c r="J946" s="11">
        <f t="shared" si="109"/>
        <v>10.14344</v>
      </c>
      <c r="K946" s="11">
        <f t="shared" si="113"/>
        <v>10.14344</v>
      </c>
      <c r="L946" s="10">
        <v>0</v>
      </c>
      <c r="N946" s="118">
        <f t="shared" si="110"/>
        <v>0</v>
      </c>
      <c r="O946" s="118">
        <f t="shared" si="111"/>
        <v>10.14344</v>
      </c>
    </row>
    <row r="947" spans="1:15" x14ac:dyDescent="0.25">
      <c r="A947" t="s">
        <v>1421</v>
      </c>
      <c r="B947" t="s">
        <v>1419</v>
      </c>
      <c r="C947" s="19">
        <v>64</v>
      </c>
      <c r="D947" s="18" t="s">
        <v>1420</v>
      </c>
      <c r="E947" s="13">
        <v>2</v>
      </c>
      <c r="F947" t="s">
        <v>1419</v>
      </c>
      <c r="G947" s="25">
        <v>10301950027</v>
      </c>
      <c r="H947" s="11">
        <v>39.461359999999999</v>
      </c>
      <c r="I947" s="11">
        <f t="shared" si="112"/>
        <v>78.922719999999998</v>
      </c>
      <c r="J947" s="11">
        <f t="shared" si="109"/>
        <v>39.461359999999999</v>
      </c>
      <c r="K947" s="11">
        <f t="shared" si="113"/>
        <v>78.922719999999998</v>
      </c>
      <c r="L947" s="10">
        <v>0</v>
      </c>
      <c r="N947" s="118">
        <f t="shared" si="110"/>
        <v>0</v>
      </c>
      <c r="O947" s="118">
        <f t="shared" si="111"/>
        <v>39.461359999999999</v>
      </c>
    </row>
    <row r="948" spans="1:15" x14ac:dyDescent="0.25">
      <c r="A948" t="s">
        <v>1418</v>
      </c>
      <c r="B948" t="s">
        <v>131</v>
      </c>
      <c r="C948" s="19">
        <v>65</v>
      </c>
      <c r="D948" s="18" t="s">
        <v>132</v>
      </c>
      <c r="E948" s="13">
        <v>6</v>
      </c>
      <c r="F948" s="25" t="s">
        <v>131</v>
      </c>
      <c r="G948" s="25">
        <v>81897719002</v>
      </c>
      <c r="H948" s="11">
        <v>13.530080000000002</v>
      </c>
      <c r="I948" s="11">
        <f t="shared" ref="I948:I979" si="114">H948*E948</f>
        <v>81.180480000000017</v>
      </c>
      <c r="J948" s="11">
        <f t="shared" si="109"/>
        <v>13.530080000000002</v>
      </c>
      <c r="K948" s="11">
        <f t="shared" ref="K948:K979" si="115">J948*E948</f>
        <v>81.180480000000017</v>
      </c>
      <c r="L948" s="10">
        <v>0</v>
      </c>
      <c r="N948" s="118">
        <f t="shared" si="110"/>
        <v>0</v>
      </c>
      <c r="O948" s="118">
        <f t="shared" si="111"/>
        <v>13.530080000000002</v>
      </c>
    </row>
    <row r="949" spans="1:15" x14ac:dyDescent="0.25">
      <c r="A949" t="s">
        <v>1417</v>
      </c>
      <c r="B949" t="s">
        <v>119</v>
      </c>
      <c r="C949" s="19">
        <v>66</v>
      </c>
      <c r="D949" s="18" t="s">
        <v>120</v>
      </c>
      <c r="E949" s="13">
        <v>4</v>
      </c>
      <c r="F949" s="25" t="s">
        <v>119</v>
      </c>
      <c r="G949" s="25">
        <v>81897719002</v>
      </c>
      <c r="H949" s="11">
        <v>14.09864</v>
      </c>
      <c r="I949" s="11">
        <f t="shared" si="114"/>
        <v>56.394559999999998</v>
      </c>
      <c r="J949" s="11">
        <f t="shared" ref="J949:J962" si="116">O949</f>
        <v>14.09864</v>
      </c>
      <c r="K949" s="11">
        <f t="shared" si="115"/>
        <v>56.394559999999998</v>
      </c>
      <c r="L949" s="10">
        <v>0</v>
      </c>
      <c r="N949" s="118">
        <f t="shared" si="110"/>
        <v>0</v>
      </c>
      <c r="O949" s="118">
        <f t="shared" si="111"/>
        <v>14.09864</v>
      </c>
    </row>
    <row r="950" spans="1:15" x14ac:dyDescent="0.25">
      <c r="A950" t="s">
        <v>1416</v>
      </c>
      <c r="B950" t="s">
        <v>1414</v>
      </c>
      <c r="C950" s="19">
        <v>67</v>
      </c>
      <c r="D950" s="18" t="s">
        <v>1415</v>
      </c>
      <c r="E950" s="13">
        <v>1</v>
      </c>
      <c r="F950" s="18" t="s">
        <v>1414</v>
      </c>
      <c r="G950" s="25">
        <v>10301950026</v>
      </c>
      <c r="H950" s="11">
        <v>137.74807999999999</v>
      </c>
      <c r="I950" s="11">
        <f t="shared" si="114"/>
        <v>137.74807999999999</v>
      </c>
      <c r="J950" s="11">
        <f t="shared" si="116"/>
        <v>137.74807999999999</v>
      </c>
      <c r="K950" s="11">
        <f t="shared" si="115"/>
        <v>137.74807999999999</v>
      </c>
      <c r="L950" s="10">
        <v>0</v>
      </c>
      <c r="N950" s="118">
        <f t="shared" si="110"/>
        <v>0</v>
      </c>
      <c r="O950" s="118">
        <f t="shared" si="111"/>
        <v>137.74807999999999</v>
      </c>
    </row>
    <row r="951" spans="1:15" x14ac:dyDescent="0.25">
      <c r="A951" t="s">
        <v>1413</v>
      </c>
      <c r="B951" t="s">
        <v>708</v>
      </c>
      <c r="C951" s="19">
        <v>68</v>
      </c>
      <c r="D951" s="18" t="s">
        <v>709</v>
      </c>
      <c r="E951" s="13">
        <v>1</v>
      </c>
      <c r="F951" s="25" t="s">
        <v>708</v>
      </c>
      <c r="G951" s="25">
        <v>81897719002</v>
      </c>
      <c r="H951" s="11">
        <v>169.0848</v>
      </c>
      <c r="I951" s="11">
        <f t="shared" si="114"/>
        <v>169.0848</v>
      </c>
      <c r="J951" s="11">
        <f t="shared" si="116"/>
        <v>169.0848</v>
      </c>
      <c r="K951" s="11">
        <f t="shared" si="115"/>
        <v>169.0848</v>
      </c>
      <c r="L951" s="10">
        <v>0</v>
      </c>
      <c r="N951" s="118">
        <f t="shared" si="110"/>
        <v>0</v>
      </c>
      <c r="O951" s="118">
        <f t="shared" si="111"/>
        <v>169.0848</v>
      </c>
    </row>
    <row r="952" spans="1:15" x14ac:dyDescent="0.25">
      <c r="A952" t="s">
        <v>1412</v>
      </c>
      <c r="B952" t="s">
        <v>1410</v>
      </c>
      <c r="C952" s="19">
        <v>69</v>
      </c>
      <c r="D952" s="18" t="s">
        <v>1411</v>
      </c>
      <c r="E952" s="13">
        <v>2</v>
      </c>
      <c r="F952" s="25" t="s">
        <v>1410</v>
      </c>
      <c r="G952" s="25">
        <v>81897719003</v>
      </c>
      <c r="H952" s="11">
        <v>70.443759999999997</v>
      </c>
      <c r="I952" s="11">
        <f t="shared" si="114"/>
        <v>140.88751999999999</v>
      </c>
      <c r="J952" s="11">
        <f t="shared" si="116"/>
        <v>70.443759999999997</v>
      </c>
      <c r="K952" s="11">
        <f t="shared" si="115"/>
        <v>140.88751999999999</v>
      </c>
      <c r="L952" s="10">
        <v>0</v>
      </c>
      <c r="N952" s="118">
        <f t="shared" si="110"/>
        <v>0</v>
      </c>
      <c r="O952" s="118">
        <f t="shared" si="111"/>
        <v>70.443759999999997</v>
      </c>
    </row>
    <row r="953" spans="1:15" x14ac:dyDescent="0.25">
      <c r="A953" t="s">
        <v>1409</v>
      </c>
      <c r="B953" t="s">
        <v>1407</v>
      </c>
      <c r="C953" s="19">
        <v>70</v>
      </c>
      <c r="D953" s="18" t="s">
        <v>1408</v>
      </c>
      <c r="E953" s="13">
        <v>2</v>
      </c>
      <c r="F953" s="25" t="s">
        <v>1407</v>
      </c>
      <c r="G953" s="25">
        <v>81897719003</v>
      </c>
      <c r="H953" s="11">
        <v>118.35936</v>
      </c>
      <c r="I953" s="11">
        <f t="shared" si="114"/>
        <v>236.71871999999999</v>
      </c>
      <c r="J953" s="11">
        <f t="shared" si="116"/>
        <v>118.35936</v>
      </c>
      <c r="K953" s="11">
        <f t="shared" si="115"/>
        <v>236.71871999999999</v>
      </c>
      <c r="L953" s="10">
        <v>0</v>
      </c>
      <c r="N953" s="118">
        <f t="shared" si="110"/>
        <v>0</v>
      </c>
      <c r="O953" s="118">
        <f t="shared" si="111"/>
        <v>118.35936</v>
      </c>
    </row>
    <row r="954" spans="1:15" x14ac:dyDescent="0.25">
      <c r="A954" t="s">
        <v>1406</v>
      </c>
      <c r="B954" t="s">
        <v>1404</v>
      </c>
      <c r="C954" s="19">
        <v>71</v>
      </c>
      <c r="D954" s="18" t="s">
        <v>1405</v>
      </c>
      <c r="E954" s="13">
        <v>1</v>
      </c>
      <c r="F954" s="25" t="s">
        <v>1404</v>
      </c>
      <c r="G954" s="25">
        <v>81897719003</v>
      </c>
      <c r="H954" s="11">
        <v>92.996639999999999</v>
      </c>
      <c r="I954" s="11">
        <f t="shared" si="114"/>
        <v>92.996639999999999</v>
      </c>
      <c r="J954" s="11">
        <f t="shared" si="116"/>
        <v>92.996639999999999</v>
      </c>
      <c r="K954" s="11">
        <f t="shared" si="115"/>
        <v>92.996639999999999</v>
      </c>
      <c r="L954" s="10">
        <v>0</v>
      </c>
      <c r="N954" s="118">
        <f t="shared" si="110"/>
        <v>0</v>
      </c>
      <c r="O954" s="118">
        <f t="shared" si="111"/>
        <v>92.996639999999999</v>
      </c>
    </row>
    <row r="955" spans="1:15" x14ac:dyDescent="0.25">
      <c r="A955" t="s">
        <v>1403</v>
      </c>
      <c r="B955" t="s">
        <v>442</v>
      </c>
      <c r="C955" s="19">
        <v>72</v>
      </c>
      <c r="D955" s="18" t="s">
        <v>443</v>
      </c>
      <c r="E955" s="13">
        <v>2</v>
      </c>
      <c r="F955" s="25" t="s">
        <v>442</v>
      </c>
      <c r="G955" s="25">
        <v>81897719002</v>
      </c>
      <c r="H955" s="11">
        <v>10.5472</v>
      </c>
      <c r="I955" s="11">
        <f t="shared" si="114"/>
        <v>21.0944</v>
      </c>
      <c r="J955" s="11">
        <f t="shared" si="116"/>
        <v>10.5472</v>
      </c>
      <c r="K955" s="11">
        <f t="shared" si="115"/>
        <v>21.0944</v>
      </c>
      <c r="L955" s="10">
        <v>0</v>
      </c>
      <c r="N955" s="118">
        <f t="shared" si="110"/>
        <v>0</v>
      </c>
      <c r="O955" s="118">
        <f t="shared" si="111"/>
        <v>10.5472</v>
      </c>
    </row>
    <row r="956" spans="1:15" x14ac:dyDescent="0.25">
      <c r="A956" t="s">
        <v>1402</v>
      </c>
      <c r="B956" t="s">
        <v>684</v>
      </c>
      <c r="C956" s="19">
        <v>73</v>
      </c>
      <c r="D956" s="18" t="s">
        <v>685</v>
      </c>
      <c r="E956" s="13">
        <v>2</v>
      </c>
      <c r="F956" s="25" t="s">
        <v>684</v>
      </c>
      <c r="G956" s="25">
        <v>81897719002</v>
      </c>
      <c r="H956" s="11">
        <v>11.26408</v>
      </c>
      <c r="I956" s="11">
        <f t="shared" si="114"/>
        <v>22.52816</v>
      </c>
      <c r="J956" s="11">
        <f t="shared" si="116"/>
        <v>11.26408</v>
      </c>
      <c r="K956" s="11">
        <f t="shared" si="115"/>
        <v>22.52816</v>
      </c>
      <c r="L956" s="10">
        <v>0</v>
      </c>
      <c r="N956" s="118">
        <f t="shared" si="110"/>
        <v>0</v>
      </c>
      <c r="O956" s="118">
        <f t="shared" si="111"/>
        <v>11.26408</v>
      </c>
    </row>
    <row r="957" spans="1:15" x14ac:dyDescent="0.25">
      <c r="A957" t="s">
        <v>1401</v>
      </c>
      <c r="B957" t="s">
        <v>89</v>
      </c>
      <c r="C957" s="19">
        <v>74</v>
      </c>
      <c r="D957" s="18" t="s">
        <v>90</v>
      </c>
      <c r="E957" s="13">
        <v>2</v>
      </c>
      <c r="F957" s="25" t="s">
        <v>89</v>
      </c>
      <c r="G957" s="25">
        <v>81897719002</v>
      </c>
      <c r="H957" s="11">
        <v>16.199839999999998</v>
      </c>
      <c r="I957" s="11">
        <f t="shared" si="114"/>
        <v>32.399679999999996</v>
      </c>
      <c r="J957" s="11">
        <f t="shared" si="116"/>
        <v>16.199839999999998</v>
      </c>
      <c r="K957" s="11">
        <f t="shared" si="115"/>
        <v>32.399679999999996</v>
      </c>
      <c r="L957" s="10">
        <v>0</v>
      </c>
      <c r="N957" s="118">
        <f t="shared" si="110"/>
        <v>0</v>
      </c>
      <c r="O957" s="118">
        <f t="shared" si="111"/>
        <v>16.199839999999998</v>
      </c>
    </row>
    <row r="958" spans="1:15" x14ac:dyDescent="0.25">
      <c r="A958" t="s">
        <v>1400</v>
      </c>
      <c r="B958" t="s">
        <v>1398</v>
      </c>
      <c r="C958" s="19">
        <v>75</v>
      </c>
      <c r="D958" s="18" t="s">
        <v>1399</v>
      </c>
      <c r="E958" s="13">
        <v>1</v>
      </c>
      <c r="F958" s="25" t="s">
        <v>1398</v>
      </c>
      <c r="G958" s="25">
        <v>81897719002</v>
      </c>
      <c r="H958" s="11">
        <v>27.933599999999998</v>
      </c>
      <c r="I958" s="11">
        <f t="shared" si="114"/>
        <v>27.933599999999998</v>
      </c>
      <c r="J958" s="11">
        <f t="shared" si="116"/>
        <v>27.933599999999998</v>
      </c>
      <c r="K958" s="11">
        <f t="shared" si="115"/>
        <v>27.933599999999998</v>
      </c>
      <c r="L958" s="10">
        <v>0</v>
      </c>
      <c r="N958" s="118">
        <f t="shared" si="110"/>
        <v>0</v>
      </c>
      <c r="O958" s="118">
        <f t="shared" si="111"/>
        <v>27.933599999999998</v>
      </c>
    </row>
    <row r="959" spans="1:15" x14ac:dyDescent="0.25">
      <c r="A959" t="s">
        <v>1397</v>
      </c>
      <c r="B959" t="s">
        <v>86</v>
      </c>
      <c r="C959" s="19">
        <v>76</v>
      </c>
      <c r="D959" s="18" t="s">
        <v>45</v>
      </c>
      <c r="E959" s="13">
        <v>2</v>
      </c>
      <c r="F959" s="25" t="s">
        <v>44</v>
      </c>
      <c r="G959" s="25" t="s">
        <v>427</v>
      </c>
      <c r="H959" s="11">
        <v>321.73079999999999</v>
      </c>
      <c r="I959" s="11">
        <f t="shared" si="114"/>
        <v>643.46159999999998</v>
      </c>
      <c r="J959" s="11">
        <f t="shared" si="116"/>
        <v>321.73079999999999</v>
      </c>
      <c r="K959" s="11">
        <f t="shared" si="115"/>
        <v>643.46159999999998</v>
      </c>
      <c r="L959" s="10">
        <v>0</v>
      </c>
      <c r="N959" s="118">
        <f t="shared" si="110"/>
        <v>0</v>
      </c>
      <c r="O959" s="118">
        <f t="shared" si="111"/>
        <v>321.73079999999999</v>
      </c>
    </row>
    <row r="960" spans="1:15" x14ac:dyDescent="0.25">
      <c r="A960" t="s">
        <v>1396</v>
      </c>
      <c r="B960" t="s">
        <v>576</v>
      </c>
      <c r="C960" s="19">
        <v>77</v>
      </c>
      <c r="D960" s="18" t="s">
        <v>49</v>
      </c>
      <c r="E960" s="13">
        <v>2</v>
      </c>
      <c r="F960" s="25" t="s">
        <v>48</v>
      </c>
      <c r="G960" s="25" t="s">
        <v>427</v>
      </c>
      <c r="H960" s="11">
        <v>458.17696000000001</v>
      </c>
      <c r="I960" s="11">
        <f t="shared" si="114"/>
        <v>916.35392000000002</v>
      </c>
      <c r="J960" s="11">
        <f t="shared" si="116"/>
        <v>458.17696000000001</v>
      </c>
      <c r="K960" s="11">
        <f t="shared" si="115"/>
        <v>916.35392000000002</v>
      </c>
      <c r="L960" s="10">
        <v>0</v>
      </c>
      <c r="N960" s="118">
        <f t="shared" si="110"/>
        <v>0</v>
      </c>
      <c r="O960" s="118">
        <f t="shared" si="111"/>
        <v>458.17696000000001</v>
      </c>
    </row>
    <row r="961" spans="1:15" x14ac:dyDescent="0.25">
      <c r="B961" t="s">
        <v>574</v>
      </c>
      <c r="C961" s="19">
        <v>78</v>
      </c>
      <c r="D961" s="18" t="s">
        <v>577</v>
      </c>
      <c r="E961" s="13">
        <v>2</v>
      </c>
      <c r="F961" s="25" t="s">
        <v>576</v>
      </c>
      <c r="G961" s="25" t="s">
        <v>427</v>
      </c>
      <c r="H961" s="11">
        <v>494.57303999999999</v>
      </c>
      <c r="I961" s="11">
        <f t="shared" si="114"/>
        <v>989.14607999999998</v>
      </c>
      <c r="J961" s="11">
        <f t="shared" si="116"/>
        <v>494.57303999999999</v>
      </c>
      <c r="K961" s="11">
        <f t="shared" si="115"/>
        <v>989.14607999999998</v>
      </c>
      <c r="L961" s="10">
        <v>0</v>
      </c>
      <c r="N961" s="118">
        <f t="shared" si="110"/>
        <v>0</v>
      </c>
      <c r="O961" s="118">
        <f t="shared" si="111"/>
        <v>494.57303999999999</v>
      </c>
    </row>
    <row r="962" spans="1:15" x14ac:dyDescent="0.25">
      <c r="C962" s="19">
        <v>79</v>
      </c>
      <c r="D962" s="18" t="s">
        <v>575</v>
      </c>
      <c r="E962" s="13">
        <v>4</v>
      </c>
      <c r="F962" s="25" t="s">
        <v>574</v>
      </c>
      <c r="G962" s="25" t="s">
        <v>427</v>
      </c>
      <c r="H962" s="11">
        <v>7.9845600000000001</v>
      </c>
      <c r="I962" s="11">
        <f t="shared" si="114"/>
        <v>31.93824</v>
      </c>
      <c r="J962" s="11">
        <f t="shared" si="116"/>
        <v>7.9845600000000001</v>
      </c>
      <c r="K962" s="11">
        <f t="shared" si="115"/>
        <v>31.93824</v>
      </c>
      <c r="L962" s="10">
        <v>0</v>
      </c>
      <c r="N962" s="118">
        <f t="shared" si="110"/>
        <v>0</v>
      </c>
      <c r="O962" s="118">
        <f t="shared" si="111"/>
        <v>7.9845600000000001</v>
      </c>
    </row>
    <row r="963" spans="1:15" x14ac:dyDescent="0.25">
      <c r="C963" s="9"/>
      <c r="D963" s="8" t="s">
        <v>1</v>
      </c>
      <c r="E963" s="8">
        <f>SUM(E884:E962)</f>
        <v>115</v>
      </c>
      <c r="F963" s="8"/>
      <c r="G963" s="8"/>
      <c r="H963" s="7"/>
      <c r="I963" s="7">
        <f>SUM(I884:I962)</f>
        <v>7781.4248000000016</v>
      </c>
      <c r="J963" s="8"/>
      <c r="K963" s="7">
        <f>SUM(K884:K962)</f>
        <v>7781.4248000000016</v>
      </c>
      <c r="L963" s="6"/>
      <c r="N963" s="118">
        <f t="shared" si="110"/>
        <v>0</v>
      </c>
      <c r="O963" s="118">
        <f t="shared" si="111"/>
        <v>0</v>
      </c>
    </row>
    <row r="964" spans="1:15" x14ac:dyDescent="0.25">
      <c r="D964" t="s">
        <v>0</v>
      </c>
      <c r="N964" s="118">
        <f t="shared" ref="N964:N1027" si="117">H964*L964</f>
        <v>0</v>
      </c>
      <c r="O964" s="118">
        <f t="shared" ref="O964:O1027" si="118">H964-N964</f>
        <v>0</v>
      </c>
    </row>
    <row r="965" spans="1:15" x14ac:dyDescent="0.25">
      <c r="D965" s="24" t="s">
        <v>1395</v>
      </c>
      <c r="N965" s="118">
        <f t="shared" si="117"/>
        <v>0</v>
      </c>
      <c r="O965" s="118">
        <f t="shared" si="118"/>
        <v>0</v>
      </c>
    </row>
    <row r="966" spans="1:15" ht="30" x14ac:dyDescent="0.25">
      <c r="C966" s="24" t="s">
        <v>28</v>
      </c>
      <c r="D966" s="24" t="s">
        <v>27</v>
      </c>
      <c r="E966" s="24" t="s">
        <v>26</v>
      </c>
      <c r="F966" s="24" t="s">
        <v>25</v>
      </c>
      <c r="G966" s="24" t="s">
        <v>24</v>
      </c>
      <c r="H966" s="116" t="s">
        <v>21</v>
      </c>
      <c r="I966" s="24" t="s">
        <v>23</v>
      </c>
      <c r="J966" s="24" t="s">
        <v>2928</v>
      </c>
      <c r="K966" s="24" t="s">
        <v>2927</v>
      </c>
      <c r="L966" s="23" t="s">
        <v>22</v>
      </c>
      <c r="N966" s="118" t="e">
        <f t="shared" si="117"/>
        <v>#VALUE!</v>
      </c>
      <c r="O966" s="118" t="e">
        <f t="shared" si="118"/>
        <v>#VALUE!</v>
      </c>
    </row>
    <row r="967" spans="1:15" ht="14.25" customHeight="1" x14ac:dyDescent="0.25">
      <c r="A967" t="s">
        <v>1394</v>
      </c>
      <c r="B967" t="s">
        <v>309</v>
      </c>
      <c r="C967" s="19">
        <v>1</v>
      </c>
      <c r="D967" s="18" t="s">
        <v>1393</v>
      </c>
      <c r="E967" s="13">
        <v>1</v>
      </c>
      <c r="F967" s="25" t="s">
        <v>309</v>
      </c>
      <c r="G967" s="25">
        <v>81897719002</v>
      </c>
      <c r="H967" s="11">
        <v>110.17704000000001</v>
      </c>
      <c r="I967" s="11">
        <f t="shared" ref="I967:I1008" si="119">H967*E967</f>
        <v>110.17704000000001</v>
      </c>
      <c r="J967" s="11">
        <f>O967</f>
        <v>110.17704000000001</v>
      </c>
      <c r="K967" s="11">
        <f t="shared" ref="K967:K1008" si="120">J967*E967</f>
        <v>110.17704000000001</v>
      </c>
      <c r="L967" s="10">
        <v>0</v>
      </c>
      <c r="N967" s="118">
        <f t="shared" si="117"/>
        <v>0</v>
      </c>
      <c r="O967" s="118">
        <f t="shared" si="118"/>
        <v>110.17704000000001</v>
      </c>
    </row>
    <row r="968" spans="1:15" ht="14.25" customHeight="1" x14ac:dyDescent="0.25">
      <c r="A968" t="s">
        <v>1392</v>
      </c>
      <c r="B968" t="s">
        <v>1390</v>
      </c>
      <c r="C968" s="19">
        <v>2</v>
      </c>
      <c r="D968" s="18" t="s">
        <v>1391</v>
      </c>
      <c r="E968" s="13">
        <v>1</v>
      </c>
      <c r="F968" s="25" t="s">
        <v>1390</v>
      </c>
      <c r="G968" s="25">
        <v>81897719002</v>
      </c>
      <c r="H968" s="11">
        <v>79.384160000000008</v>
      </c>
      <c r="I968" s="11">
        <f t="shared" si="119"/>
        <v>79.384160000000008</v>
      </c>
      <c r="J968" s="11">
        <f t="shared" ref="J968:J1008" si="121">O968</f>
        <v>79.384160000000008</v>
      </c>
      <c r="K968" s="11">
        <f t="shared" si="120"/>
        <v>79.384160000000008</v>
      </c>
      <c r="L968" s="10">
        <v>0</v>
      </c>
      <c r="N968" s="118">
        <f t="shared" si="117"/>
        <v>0</v>
      </c>
      <c r="O968" s="118">
        <f t="shared" si="118"/>
        <v>79.384160000000008</v>
      </c>
    </row>
    <row r="969" spans="1:15" ht="14.25" customHeight="1" x14ac:dyDescent="0.25">
      <c r="A969" t="s">
        <v>1389</v>
      </c>
      <c r="B969" t="s">
        <v>1387</v>
      </c>
      <c r="C969" s="19">
        <v>3</v>
      </c>
      <c r="D969" s="18" t="s">
        <v>1388</v>
      </c>
      <c r="E969" s="13">
        <v>1</v>
      </c>
      <c r="F969" s="25" t="s">
        <v>1387</v>
      </c>
      <c r="G969" s="25">
        <v>81897719002</v>
      </c>
      <c r="H969" s="11">
        <v>45.081040000000002</v>
      </c>
      <c r="I969" s="11">
        <f t="shared" si="119"/>
        <v>45.081040000000002</v>
      </c>
      <c r="J969" s="11">
        <f t="shared" si="121"/>
        <v>45.081040000000002</v>
      </c>
      <c r="K969" s="11">
        <f t="shared" si="120"/>
        <v>45.081040000000002</v>
      </c>
      <c r="L969" s="10">
        <v>0</v>
      </c>
      <c r="N969" s="118">
        <f t="shared" si="117"/>
        <v>0</v>
      </c>
      <c r="O969" s="118">
        <f t="shared" si="118"/>
        <v>45.081040000000002</v>
      </c>
    </row>
    <row r="970" spans="1:15" x14ac:dyDescent="0.25">
      <c r="A970" t="s">
        <v>1386</v>
      </c>
      <c r="B970" t="s">
        <v>286</v>
      </c>
      <c r="C970" s="19">
        <v>4</v>
      </c>
      <c r="D970" s="18" t="s">
        <v>287</v>
      </c>
      <c r="E970" s="13">
        <v>1</v>
      </c>
      <c r="F970" s="25" t="s">
        <v>286</v>
      </c>
      <c r="G970" s="25">
        <v>81897719002</v>
      </c>
      <c r="H970" s="11">
        <v>8.4542400000000004</v>
      </c>
      <c r="I970" s="11">
        <f t="shared" si="119"/>
        <v>8.4542400000000004</v>
      </c>
      <c r="J970" s="11">
        <f t="shared" si="121"/>
        <v>8.4542400000000004</v>
      </c>
      <c r="K970" s="11">
        <f t="shared" si="120"/>
        <v>8.4542400000000004</v>
      </c>
      <c r="L970" s="10">
        <v>0</v>
      </c>
      <c r="N970" s="118">
        <f t="shared" si="117"/>
        <v>0</v>
      </c>
      <c r="O970" s="118">
        <f t="shared" si="118"/>
        <v>8.4542400000000004</v>
      </c>
    </row>
    <row r="971" spans="1:15" x14ac:dyDescent="0.25">
      <c r="A971" t="s">
        <v>1385</v>
      </c>
      <c r="B971" t="s">
        <v>1383</v>
      </c>
      <c r="C971" s="19">
        <v>5</v>
      </c>
      <c r="D971" s="18" t="s">
        <v>1384</v>
      </c>
      <c r="E971" s="13">
        <v>1</v>
      </c>
      <c r="F971" s="25" t="s">
        <v>1383</v>
      </c>
      <c r="G971" s="25">
        <v>81897719002</v>
      </c>
      <c r="H971" s="11">
        <v>45.081040000000002</v>
      </c>
      <c r="I971" s="11">
        <f t="shared" si="119"/>
        <v>45.081040000000002</v>
      </c>
      <c r="J971" s="11">
        <f t="shared" si="121"/>
        <v>45.081040000000002</v>
      </c>
      <c r="K971" s="11">
        <f t="shared" si="120"/>
        <v>45.081040000000002</v>
      </c>
      <c r="L971" s="10">
        <v>0</v>
      </c>
      <c r="N971" s="118">
        <f t="shared" si="117"/>
        <v>0</v>
      </c>
      <c r="O971" s="118">
        <f t="shared" si="118"/>
        <v>45.081040000000002</v>
      </c>
    </row>
    <row r="972" spans="1:15" x14ac:dyDescent="0.25">
      <c r="A972" t="s">
        <v>1382</v>
      </c>
      <c r="B972" s="5" t="s">
        <v>1380</v>
      </c>
      <c r="C972" s="19">
        <v>6</v>
      </c>
      <c r="D972" s="18" t="s">
        <v>1381</v>
      </c>
      <c r="E972" s="13">
        <v>1</v>
      </c>
      <c r="F972" s="25" t="s">
        <v>1380</v>
      </c>
      <c r="G972" s="25">
        <v>81897719002</v>
      </c>
      <c r="H972" s="11">
        <v>20.863679999999999</v>
      </c>
      <c r="I972" s="11">
        <f t="shared" si="119"/>
        <v>20.863679999999999</v>
      </c>
      <c r="J972" s="11">
        <f t="shared" si="121"/>
        <v>20.863679999999999</v>
      </c>
      <c r="K972" s="11">
        <f t="shared" si="120"/>
        <v>20.863679999999999</v>
      </c>
      <c r="L972" s="10">
        <v>0</v>
      </c>
      <c r="N972" s="118">
        <f t="shared" si="117"/>
        <v>0</v>
      </c>
      <c r="O972" s="118">
        <f t="shared" si="118"/>
        <v>20.863679999999999</v>
      </c>
    </row>
    <row r="973" spans="1:15" s="5" customFormat="1" x14ac:dyDescent="0.25">
      <c r="A973" s="5" t="s">
        <v>1379</v>
      </c>
      <c r="B973" t="s">
        <v>1377</v>
      </c>
      <c r="C973" s="19">
        <v>7</v>
      </c>
      <c r="D973" s="18" t="s">
        <v>1378</v>
      </c>
      <c r="E973" s="13">
        <v>1</v>
      </c>
      <c r="F973" s="25" t="s">
        <v>1377</v>
      </c>
      <c r="G973" s="25">
        <v>81897719002</v>
      </c>
      <c r="H973" s="11">
        <v>44.537199999999991</v>
      </c>
      <c r="I973" s="11">
        <f t="shared" si="119"/>
        <v>44.537199999999991</v>
      </c>
      <c r="J973" s="11">
        <f t="shared" si="121"/>
        <v>44.537199999999991</v>
      </c>
      <c r="K973" s="11">
        <f t="shared" si="120"/>
        <v>44.537199999999991</v>
      </c>
      <c r="L973" s="10">
        <v>0</v>
      </c>
      <c r="N973" s="118">
        <f t="shared" si="117"/>
        <v>0</v>
      </c>
      <c r="O973" s="118">
        <f t="shared" si="118"/>
        <v>44.537199999999991</v>
      </c>
    </row>
    <row r="974" spans="1:15" x14ac:dyDescent="0.25">
      <c r="A974" t="s">
        <v>1376</v>
      </c>
      <c r="B974" t="s">
        <v>1374</v>
      </c>
      <c r="C974" s="19">
        <v>8</v>
      </c>
      <c r="D974" s="18" t="s">
        <v>1375</v>
      </c>
      <c r="E974" s="13">
        <v>1</v>
      </c>
      <c r="F974" t="s">
        <v>1374</v>
      </c>
      <c r="G974" s="25">
        <v>10301950024</v>
      </c>
      <c r="H974" s="11">
        <v>90.738880000000009</v>
      </c>
      <c r="I974" s="11">
        <f t="shared" si="119"/>
        <v>90.738880000000009</v>
      </c>
      <c r="J974" s="11">
        <f t="shared" si="121"/>
        <v>90.738880000000009</v>
      </c>
      <c r="K974" s="11">
        <f t="shared" si="120"/>
        <v>90.738880000000009</v>
      </c>
      <c r="L974" s="10">
        <v>0</v>
      </c>
      <c r="N974" s="118">
        <f t="shared" si="117"/>
        <v>0</v>
      </c>
      <c r="O974" s="118">
        <f t="shared" si="118"/>
        <v>90.738880000000009</v>
      </c>
    </row>
    <row r="975" spans="1:15" x14ac:dyDescent="0.25">
      <c r="A975" t="s">
        <v>1373</v>
      </c>
      <c r="B975" t="s">
        <v>1371</v>
      </c>
      <c r="C975" s="19">
        <v>9</v>
      </c>
      <c r="D975" s="18" t="s">
        <v>1372</v>
      </c>
      <c r="E975" s="13">
        <v>1</v>
      </c>
      <c r="F975" s="18" t="s">
        <v>1371</v>
      </c>
      <c r="G975" s="25">
        <v>10301950024</v>
      </c>
      <c r="H975" s="11">
        <v>31.550959999999996</v>
      </c>
      <c r="I975" s="11">
        <f t="shared" si="119"/>
        <v>31.550959999999996</v>
      </c>
      <c r="J975" s="11">
        <f t="shared" si="121"/>
        <v>31.550959999999996</v>
      </c>
      <c r="K975" s="11">
        <f t="shared" si="120"/>
        <v>31.550959999999996</v>
      </c>
      <c r="L975" s="10">
        <v>0</v>
      </c>
      <c r="N975" s="118">
        <f t="shared" si="117"/>
        <v>0</v>
      </c>
      <c r="O975" s="118">
        <f t="shared" si="118"/>
        <v>31.550959999999996</v>
      </c>
    </row>
    <row r="976" spans="1:15" x14ac:dyDescent="0.25">
      <c r="A976" t="s">
        <v>1370</v>
      </c>
      <c r="B976" t="s">
        <v>1368</v>
      </c>
      <c r="C976" s="19">
        <v>10</v>
      </c>
      <c r="D976" s="18" t="s">
        <v>1369</v>
      </c>
      <c r="E976" s="13">
        <v>1</v>
      </c>
      <c r="F976" s="25" t="s">
        <v>1368</v>
      </c>
      <c r="G976" s="25">
        <v>81897719002</v>
      </c>
      <c r="H976" s="11">
        <v>20.28688</v>
      </c>
      <c r="I976" s="11">
        <f t="shared" si="119"/>
        <v>20.28688</v>
      </c>
      <c r="J976" s="11">
        <f t="shared" si="121"/>
        <v>20.28688</v>
      </c>
      <c r="K976" s="11">
        <f t="shared" si="120"/>
        <v>20.28688</v>
      </c>
      <c r="L976" s="10">
        <v>0</v>
      </c>
      <c r="N976" s="118">
        <f t="shared" si="117"/>
        <v>0</v>
      </c>
      <c r="O976" s="118">
        <f t="shared" si="118"/>
        <v>20.28688</v>
      </c>
    </row>
    <row r="977" spans="1:15" x14ac:dyDescent="0.25">
      <c r="A977" t="s">
        <v>1367</v>
      </c>
      <c r="C977" s="19">
        <v>11</v>
      </c>
      <c r="D977" s="18" t="s">
        <v>1366</v>
      </c>
      <c r="E977" s="13">
        <v>1</v>
      </c>
      <c r="F977" s="25" t="s">
        <v>1365</v>
      </c>
      <c r="G977" s="25">
        <v>81897710012</v>
      </c>
      <c r="H977" s="11">
        <v>58.850080000000005</v>
      </c>
      <c r="I977" s="11">
        <f t="shared" si="119"/>
        <v>58.850080000000005</v>
      </c>
      <c r="J977" s="11">
        <f t="shared" si="121"/>
        <v>58.850080000000005</v>
      </c>
      <c r="K977" s="11">
        <f t="shared" si="120"/>
        <v>58.850080000000005</v>
      </c>
      <c r="L977" s="10">
        <v>0</v>
      </c>
      <c r="N977" s="118">
        <f t="shared" si="117"/>
        <v>0</v>
      </c>
      <c r="O977" s="118">
        <f t="shared" si="118"/>
        <v>58.850080000000005</v>
      </c>
    </row>
    <row r="978" spans="1:15" x14ac:dyDescent="0.25">
      <c r="A978" t="s">
        <v>1364</v>
      </c>
      <c r="C978" s="19">
        <v>12</v>
      </c>
      <c r="D978" s="18" t="s">
        <v>1363</v>
      </c>
      <c r="E978" s="13">
        <v>1</v>
      </c>
      <c r="F978" s="25" t="s">
        <v>1360</v>
      </c>
      <c r="G978" s="25">
        <f>VLOOKUP(F978,'[2]atualizar planilha cotaç'!$B:$C,2,0)</f>
        <v>81897719002</v>
      </c>
      <c r="H978" s="11">
        <v>24.423359999999999</v>
      </c>
      <c r="I978" s="11">
        <f t="shared" si="119"/>
        <v>24.423359999999999</v>
      </c>
      <c r="J978" s="11">
        <f t="shared" si="121"/>
        <v>24.423359999999999</v>
      </c>
      <c r="K978" s="11">
        <f t="shared" si="120"/>
        <v>24.423359999999999</v>
      </c>
      <c r="L978" s="10">
        <v>0</v>
      </c>
      <c r="N978" s="118">
        <f t="shared" si="117"/>
        <v>0</v>
      </c>
      <c r="O978" s="118">
        <f t="shared" si="118"/>
        <v>24.423359999999999</v>
      </c>
    </row>
    <row r="979" spans="1:15" x14ac:dyDescent="0.25">
      <c r="A979" t="s">
        <v>1362</v>
      </c>
      <c r="C979" s="19">
        <v>13</v>
      </c>
      <c r="D979" s="18" t="s">
        <v>1361</v>
      </c>
      <c r="E979" s="13">
        <v>1</v>
      </c>
      <c r="F979" s="25" t="s">
        <v>1360</v>
      </c>
      <c r="G979" s="25">
        <f>VLOOKUP(F979,'[2]atualizar planilha cotaç'!$B:$C,2,0)</f>
        <v>81897719002</v>
      </c>
      <c r="H979" s="11">
        <v>24.423359999999999</v>
      </c>
      <c r="I979" s="11">
        <f t="shared" si="119"/>
        <v>24.423359999999999</v>
      </c>
      <c r="J979" s="11">
        <f t="shared" si="121"/>
        <v>24.423359999999999</v>
      </c>
      <c r="K979" s="11">
        <f t="shared" si="120"/>
        <v>24.423359999999999</v>
      </c>
      <c r="L979" s="10">
        <v>0</v>
      </c>
      <c r="N979" s="118">
        <f t="shared" si="117"/>
        <v>0</v>
      </c>
      <c r="O979" s="118">
        <f t="shared" si="118"/>
        <v>24.423359999999999</v>
      </c>
    </row>
    <row r="980" spans="1:15" x14ac:dyDescent="0.25">
      <c r="A980" t="s">
        <v>1359</v>
      </c>
      <c r="C980" s="19">
        <v>14</v>
      </c>
      <c r="D980" s="18" t="s">
        <v>1358</v>
      </c>
      <c r="E980" s="13">
        <v>1</v>
      </c>
      <c r="F980" s="25" t="s">
        <v>1357</v>
      </c>
      <c r="G980" s="25">
        <f>VLOOKUP(F980,'[2]atualizar planilha cotaç'!$B:$C,2,0)</f>
        <v>81897719002</v>
      </c>
      <c r="H980" s="11">
        <v>24.423359999999999</v>
      </c>
      <c r="I980" s="11">
        <f t="shared" si="119"/>
        <v>24.423359999999999</v>
      </c>
      <c r="J980" s="11">
        <f t="shared" si="121"/>
        <v>24.423359999999999</v>
      </c>
      <c r="K980" s="11">
        <f t="shared" si="120"/>
        <v>24.423359999999999</v>
      </c>
      <c r="L980" s="10">
        <v>0</v>
      </c>
      <c r="N980" s="118">
        <f t="shared" si="117"/>
        <v>0</v>
      </c>
      <c r="O980" s="118">
        <f t="shared" si="118"/>
        <v>24.423359999999999</v>
      </c>
    </row>
    <row r="981" spans="1:15" x14ac:dyDescent="0.25">
      <c r="A981" t="s">
        <v>1356</v>
      </c>
      <c r="C981" s="19">
        <v>15</v>
      </c>
      <c r="D981" s="18" t="s">
        <v>1355</v>
      </c>
      <c r="E981" s="13">
        <v>1</v>
      </c>
      <c r="F981" s="25" t="s">
        <v>1354</v>
      </c>
      <c r="G981" s="25">
        <f>VLOOKUP(F981,'[2]atualizar planilha cotaç'!$B:$C,2,0)</f>
        <v>81897719002</v>
      </c>
      <c r="H981" s="11">
        <v>24.423359999999999</v>
      </c>
      <c r="I981" s="11">
        <f t="shared" si="119"/>
        <v>24.423359999999999</v>
      </c>
      <c r="J981" s="11">
        <f t="shared" si="121"/>
        <v>24.423359999999999</v>
      </c>
      <c r="K981" s="11">
        <f t="shared" si="120"/>
        <v>24.423359999999999</v>
      </c>
      <c r="L981" s="10">
        <v>0</v>
      </c>
      <c r="N981" s="118">
        <f t="shared" si="117"/>
        <v>0</v>
      </c>
      <c r="O981" s="118">
        <f t="shared" si="118"/>
        <v>24.423359999999999</v>
      </c>
    </row>
    <row r="982" spans="1:15" x14ac:dyDescent="0.25">
      <c r="A982" t="s">
        <v>1353</v>
      </c>
      <c r="C982" s="19">
        <v>16</v>
      </c>
      <c r="D982" s="18" t="s">
        <v>1352</v>
      </c>
      <c r="E982" s="13">
        <v>1</v>
      </c>
      <c r="F982" s="25" t="s">
        <v>1351</v>
      </c>
      <c r="G982" s="25">
        <f>VLOOKUP(F982,'[2]atualizar planilha cotaç'!$B:$C,2,0)</f>
        <v>81897719002</v>
      </c>
      <c r="H982" s="11">
        <v>24.423359999999999</v>
      </c>
      <c r="I982" s="11">
        <f t="shared" si="119"/>
        <v>24.423359999999999</v>
      </c>
      <c r="J982" s="11">
        <f t="shared" si="121"/>
        <v>24.423359999999999</v>
      </c>
      <c r="K982" s="11">
        <f t="shared" si="120"/>
        <v>24.423359999999999</v>
      </c>
      <c r="L982" s="10">
        <v>0</v>
      </c>
      <c r="N982" s="118">
        <f t="shared" si="117"/>
        <v>0</v>
      </c>
      <c r="O982" s="118">
        <f t="shared" si="118"/>
        <v>24.423359999999999</v>
      </c>
    </row>
    <row r="983" spans="1:15" x14ac:dyDescent="0.25">
      <c r="A983" t="s">
        <v>1350</v>
      </c>
      <c r="C983" s="19">
        <v>17</v>
      </c>
      <c r="D983" s="18" t="s">
        <v>1349</v>
      </c>
      <c r="E983" s="13">
        <v>1</v>
      </c>
      <c r="F983" s="25" t="s">
        <v>1348</v>
      </c>
      <c r="G983" s="25">
        <f>VLOOKUP(F983,'[2]atualizar planilha cotaç'!$B:$C,2,0)</f>
        <v>81897719002</v>
      </c>
      <c r="H983" s="11">
        <v>24.423359999999999</v>
      </c>
      <c r="I983" s="11">
        <f t="shared" si="119"/>
        <v>24.423359999999999</v>
      </c>
      <c r="J983" s="11">
        <f t="shared" si="121"/>
        <v>24.423359999999999</v>
      </c>
      <c r="K983" s="11">
        <f t="shared" si="120"/>
        <v>24.423359999999999</v>
      </c>
      <c r="L983" s="10">
        <v>0</v>
      </c>
      <c r="N983" s="118">
        <f t="shared" si="117"/>
        <v>0</v>
      </c>
      <c r="O983" s="118">
        <f t="shared" si="118"/>
        <v>24.423359999999999</v>
      </c>
    </row>
    <row r="984" spans="1:15" x14ac:dyDescent="0.25">
      <c r="A984" t="s">
        <v>1347</v>
      </c>
      <c r="C984" s="19">
        <v>18</v>
      </c>
      <c r="D984" s="18" t="s">
        <v>1346</v>
      </c>
      <c r="E984" s="13">
        <v>1</v>
      </c>
      <c r="F984" s="25" t="s">
        <v>1345</v>
      </c>
      <c r="G984" s="25">
        <f>VLOOKUP(F984,'[2]atualizar planilha cotaç'!$B:$C,2,0)</f>
        <v>81897719002</v>
      </c>
      <c r="H984" s="11">
        <v>24.423359999999999</v>
      </c>
      <c r="I984" s="11">
        <f t="shared" si="119"/>
        <v>24.423359999999999</v>
      </c>
      <c r="J984" s="11">
        <f t="shared" si="121"/>
        <v>24.423359999999999</v>
      </c>
      <c r="K984" s="11">
        <f t="shared" si="120"/>
        <v>24.423359999999999</v>
      </c>
      <c r="L984" s="10">
        <v>0</v>
      </c>
      <c r="N984" s="118">
        <f t="shared" si="117"/>
        <v>0</v>
      </c>
      <c r="O984" s="118">
        <f t="shared" si="118"/>
        <v>24.423359999999999</v>
      </c>
    </row>
    <row r="985" spans="1:15" x14ac:dyDescent="0.25">
      <c r="A985" t="s">
        <v>1344</v>
      </c>
      <c r="C985" s="19">
        <v>19</v>
      </c>
      <c r="D985" s="18" t="s">
        <v>1343</v>
      </c>
      <c r="E985" s="13">
        <v>1</v>
      </c>
      <c r="F985" s="25" t="s">
        <v>1342</v>
      </c>
      <c r="G985" s="25">
        <f>VLOOKUP(F985,'[2]atualizar planilha cotaç'!$B:$C,2,0)</f>
        <v>81897719002</v>
      </c>
      <c r="H985" s="11">
        <v>61.058399999999992</v>
      </c>
      <c r="I985" s="11">
        <f t="shared" si="119"/>
        <v>61.058399999999992</v>
      </c>
      <c r="J985" s="11">
        <f t="shared" si="121"/>
        <v>61.058399999999992</v>
      </c>
      <c r="K985" s="11">
        <f t="shared" si="120"/>
        <v>61.058399999999992</v>
      </c>
      <c r="L985" s="10">
        <v>0</v>
      </c>
      <c r="N985" s="118">
        <f t="shared" si="117"/>
        <v>0</v>
      </c>
      <c r="O985" s="118">
        <f t="shared" si="118"/>
        <v>61.058399999999992</v>
      </c>
    </row>
    <row r="986" spans="1:15" x14ac:dyDescent="0.25">
      <c r="A986" t="s">
        <v>1341</v>
      </c>
      <c r="B986" t="s">
        <v>1340</v>
      </c>
      <c r="C986" s="19">
        <v>20</v>
      </c>
      <c r="D986" s="18" t="s">
        <v>1339</v>
      </c>
      <c r="E986" s="13">
        <v>1</v>
      </c>
      <c r="F986" s="25" t="s">
        <v>1338</v>
      </c>
      <c r="G986" s="25">
        <f>VLOOKUP(F986,'[2]atualizar planilha cotaç'!$B:$C,2,0)</f>
        <v>81897719002</v>
      </c>
      <c r="H986" s="11">
        <v>56.369839999999996</v>
      </c>
      <c r="I986" s="11">
        <f t="shared" si="119"/>
        <v>56.369839999999996</v>
      </c>
      <c r="J986" s="11">
        <f t="shared" si="121"/>
        <v>56.369839999999996</v>
      </c>
      <c r="K986" s="11">
        <f t="shared" si="120"/>
        <v>56.369839999999996</v>
      </c>
      <c r="L986" s="10">
        <v>0</v>
      </c>
      <c r="N986" s="118">
        <f t="shared" si="117"/>
        <v>0</v>
      </c>
      <c r="O986" s="118">
        <f t="shared" si="118"/>
        <v>56.369839999999996</v>
      </c>
    </row>
    <row r="987" spans="1:15" x14ac:dyDescent="0.25">
      <c r="A987" t="s">
        <v>1337</v>
      </c>
      <c r="C987" s="19">
        <v>21</v>
      </c>
      <c r="D987" s="18" t="s">
        <v>1336</v>
      </c>
      <c r="E987" s="13">
        <v>1</v>
      </c>
      <c r="F987" s="25" t="s">
        <v>1335</v>
      </c>
      <c r="G987" s="25">
        <f>VLOOKUP(F987,'[2]atualizar planilha cotaç'!$B:$C,2,0)</f>
        <v>81897719002</v>
      </c>
      <c r="H987" s="11">
        <v>61.058399999999992</v>
      </c>
      <c r="I987" s="11">
        <f t="shared" si="119"/>
        <v>61.058399999999992</v>
      </c>
      <c r="J987" s="11">
        <f t="shared" si="121"/>
        <v>61.058399999999992</v>
      </c>
      <c r="K987" s="11">
        <f t="shared" si="120"/>
        <v>61.058399999999992</v>
      </c>
      <c r="L987" s="10">
        <v>0</v>
      </c>
      <c r="N987" s="118">
        <f t="shared" si="117"/>
        <v>0</v>
      </c>
      <c r="O987" s="118">
        <f t="shared" si="118"/>
        <v>61.058399999999992</v>
      </c>
    </row>
    <row r="988" spans="1:15" x14ac:dyDescent="0.25">
      <c r="A988" t="s">
        <v>1334</v>
      </c>
      <c r="C988" s="19">
        <v>22</v>
      </c>
      <c r="D988" s="18" t="s">
        <v>1333</v>
      </c>
      <c r="E988" s="13">
        <v>1</v>
      </c>
      <c r="F988" s="25" t="s">
        <v>1332</v>
      </c>
      <c r="G988" s="25">
        <f>VLOOKUP(F988,'[2]atualizar planilha cotaç'!$B:$C,2,0)</f>
        <v>81897719002</v>
      </c>
      <c r="H988" s="11">
        <v>61.058399999999992</v>
      </c>
      <c r="I988" s="11">
        <f t="shared" si="119"/>
        <v>61.058399999999992</v>
      </c>
      <c r="J988" s="11">
        <f t="shared" si="121"/>
        <v>61.058399999999992</v>
      </c>
      <c r="K988" s="11">
        <f t="shared" si="120"/>
        <v>61.058399999999992</v>
      </c>
      <c r="L988" s="10">
        <v>0</v>
      </c>
      <c r="N988" s="118">
        <f t="shared" si="117"/>
        <v>0</v>
      </c>
      <c r="O988" s="118">
        <f t="shared" si="118"/>
        <v>61.058399999999992</v>
      </c>
    </row>
    <row r="989" spans="1:15" x14ac:dyDescent="0.25">
      <c r="A989" t="s">
        <v>1331</v>
      </c>
      <c r="C989" s="19">
        <v>23</v>
      </c>
      <c r="D989" s="18" t="s">
        <v>1330</v>
      </c>
      <c r="E989" s="13">
        <v>1</v>
      </c>
      <c r="F989" s="25" t="s">
        <v>1329</v>
      </c>
      <c r="G989" s="25">
        <f>VLOOKUP(F989,'[2]atualizar planilha cotaç'!$B:$C,2,0)</f>
        <v>81897719002</v>
      </c>
      <c r="H989" s="11">
        <v>61.058399999999992</v>
      </c>
      <c r="I989" s="11">
        <f t="shared" si="119"/>
        <v>61.058399999999992</v>
      </c>
      <c r="J989" s="11">
        <f t="shared" si="121"/>
        <v>61.058399999999992</v>
      </c>
      <c r="K989" s="11">
        <f t="shared" si="120"/>
        <v>61.058399999999992</v>
      </c>
      <c r="L989" s="10">
        <v>0</v>
      </c>
      <c r="N989" s="118">
        <f t="shared" si="117"/>
        <v>0</v>
      </c>
      <c r="O989" s="118">
        <f t="shared" si="118"/>
        <v>61.058399999999992</v>
      </c>
    </row>
    <row r="990" spans="1:15" x14ac:dyDescent="0.25">
      <c r="A990" t="s">
        <v>1328</v>
      </c>
      <c r="C990" s="19">
        <v>24</v>
      </c>
      <c r="D990" s="18" t="s">
        <v>1327</v>
      </c>
      <c r="E990" s="13">
        <v>1</v>
      </c>
      <c r="F990" s="25" t="s">
        <v>1326</v>
      </c>
      <c r="G990" s="25">
        <f>VLOOKUP(F990,'[2]atualizar planilha cotaç'!$B:$C,2,0)</f>
        <v>81897719002</v>
      </c>
      <c r="H990" s="11">
        <v>61.058399999999992</v>
      </c>
      <c r="I990" s="11">
        <f t="shared" si="119"/>
        <v>61.058399999999992</v>
      </c>
      <c r="J990" s="11">
        <f t="shared" si="121"/>
        <v>61.058399999999992</v>
      </c>
      <c r="K990" s="11">
        <f t="shared" si="120"/>
        <v>61.058399999999992</v>
      </c>
      <c r="L990" s="10">
        <v>0</v>
      </c>
      <c r="N990" s="118">
        <f t="shared" si="117"/>
        <v>0</v>
      </c>
      <c r="O990" s="118">
        <f t="shared" si="118"/>
        <v>61.058399999999992</v>
      </c>
    </row>
    <row r="991" spans="1:15" x14ac:dyDescent="0.25">
      <c r="A991" t="s">
        <v>1325</v>
      </c>
      <c r="C991" s="19">
        <v>25</v>
      </c>
      <c r="D991" s="18" t="s">
        <v>1324</v>
      </c>
      <c r="E991" s="13">
        <v>1</v>
      </c>
      <c r="F991" s="25" t="s">
        <v>1323</v>
      </c>
      <c r="G991" s="25">
        <f>VLOOKUP(F991,'[2]atualizar planilha cotaç'!$B:$C,2,0)</f>
        <v>81897719002</v>
      </c>
      <c r="H991" s="11">
        <v>61.058399999999992</v>
      </c>
      <c r="I991" s="11">
        <f t="shared" si="119"/>
        <v>61.058399999999992</v>
      </c>
      <c r="J991" s="11">
        <f t="shared" si="121"/>
        <v>61.058399999999992</v>
      </c>
      <c r="K991" s="11">
        <f t="shared" si="120"/>
        <v>61.058399999999992</v>
      </c>
      <c r="L991" s="10">
        <v>0</v>
      </c>
      <c r="N991" s="118">
        <f t="shared" si="117"/>
        <v>0</v>
      </c>
      <c r="O991" s="118">
        <f t="shared" si="118"/>
        <v>61.058399999999992</v>
      </c>
    </row>
    <row r="992" spans="1:15" x14ac:dyDescent="0.25">
      <c r="A992" t="s">
        <v>1322</v>
      </c>
      <c r="C992" s="19">
        <v>26</v>
      </c>
      <c r="D992" s="18" t="s">
        <v>1321</v>
      </c>
      <c r="E992" s="13">
        <v>1</v>
      </c>
      <c r="F992" s="25" t="s">
        <v>1320</v>
      </c>
      <c r="G992" s="25">
        <f>VLOOKUP(F992,'[2]atualizar planilha cotaç'!$B:$C,2,0)</f>
        <v>81897719002</v>
      </c>
      <c r="H992" s="11">
        <v>61.058399999999992</v>
      </c>
      <c r="I992" s="11">
        <f t="shared" si="119"/>
        <v>61.058399999999992</v>
      </c>
      <c r="J992" s="11">
        <f t="shared" si="121"/>
        <v>61.058399999999992</v>
      </c>
      <c r="K992" s="11">
        <f t="shared" si="120"/>
        <v>61.058399999999992</v>
      </c>
      <c r="L992" s="10">
        <v>0</v>
      </c>
      <c r="N992" s="118">
        <f t="shared" si="117"/>
        <v>0</v>
      </c>
      <c r="O992" s="118">
        <f t="shared" si="118"/>
        <v>61.058399999999992</v>
      </c>
    </row>
    <row r="993" spans="1:15" x14ac:dyDescent="0.25">
      <c r="A993" t="s">
        <v>1319</v>
      </c>
      <c r="C993" s="19">
        <v>27</v>
      </c>
      <c r="D993" s="18" t="s">
        <v>1318</v>
      </c>
      <c r="E993" s="13">
        <v>1</v>
      </c>
      <c r="F993" s="18" t="s">
        <v>1317</v>
      </c>
      <c r="G993" s="25">
        <v>10301950042</v>
      </c>
      <c r="H993" s="11">
        <v>38.662080000000003</v>
      </c>
      <c r="I993" s="11">
        <f t="shared" si="119"/>
        <v>38.662080000000003</v>
      </c>
      <c r="J993" s="11">
        <f t="shared" si="121"/>
        <v>38.662080000000003</v>
      </c>
      <c r="K993" s="11">
        <f t="shared" si="120"/>
        <v>38.662080000000003</v>
      </c>
      <c r="L993" s="10">
        <v>0</v>
      </c>
      <c r="N993" s="118">
        <f t="shared" si="117"/>
        <v>0</v>
      </c>
      <c r="O993" s="118">
        <f t="shared" si="118"/>
        <v>38.662080000000003</v>
      </c>
    </row>
    <row r="994" spans="1:15" x14ac:dyDescent="0.25">
      <c r="A994" t="s">
        <v>1316</v>
      </c>
      <c r="B994" t="s">
        <v>1314</v>
      </c>
      <c r="C994" s="19">
        <v>28</v>
      </c>
      <c r="D994" s="18" t="s">
        <v>1315</v>
      </c>
      <c r="E994" s="13">
        <v>1</v>
      </c>
      <c r="F994" t="s">
        <v>1314</v>
      </c>
      <c r="G994" s="25">
        <v>81897710012</v>
      </c>
      <c r="H994" s="11">
        <v>79.565440000000009</v>
      </c>
      <c r="I994" s="11">
        <f t="shared" si="119"/>
        <v>79.565440000000009</v>
      </c>
      <c r="J994" s="11">
        <f t="shared" si="121"/>
        <v>79.565440000000009</v>
      </c>
      <c r="K994" s="11">
        <f t="shared" si="120"/>
        <v>79.565440000000009</v>
      </c>
      <c r="L994" s="10">
        <v>0</v>
      </c>
      <c r="N994" s="118">
        <f t="shared" si="117"/>
        <v>0</v>
      </c>
      <c r="O994" s="118">
        <f t="shared" si="118"/>
        <v>79.565440000000009</v>
      </c>
    </row>
    <row r="995" spans="1:15" x14ac:dyDescent="0.25">
      <c r="A995" t="s">
        <v>1313</v>
      </c>
      <c r="B995" t="s">
        <v>152</v>
      </c>
      <c r="C995" s="19">
        <v>29</v>
      </c>
      <c r="D995" s="18" t="s">
        <v>153</v>
      </c>
      <c r="E995" s="13">
        <v>1</v>
      </c>
      <c r="F995" s="25" t="s">
        <v>152</v>
      </c>
      <c r="G995" s="25">
        <v>81897719002</v>
      </c>
      <c r="H995" s="11">
        <v>7.8774400000000009</v>
      </c>
      <c r="I995" s="11">
        <f t="shared" si="119"/>
        <v>7.8774400000000009</v>
      </c>
      <c r="J995" s="11">
        <f t="shared" si="121"/>
        <v>7.8774400000000009</v>
      </c>
      <c r="K995" s="11">
        <f t="shared" si="120"/>
        <v>7.8774400000000009</v>
      </c>
      <c r="L995" s="10">
        <v>0</v>
      </c>
      <c r="N995" s="118">
        <f t="shared" si="117"/>
        <v>0</v>
      </c>
      <c r="O995" s="118">
        <f t="shared" si="118"/>
        <v>7.8774400000000009</v>
      </c>
    </row>
    <row r="996" spans="1:15" x14ac:dyDescent="0.25">
      <c r="A996" t="s">
        <v>1312</v>
      </c>
      <c r="B996" t="s">
        <v>1174</v>
      </c>
      <c r="C996" s="19">
        <v>30</v>
      </c>
      <c r="D996" s="18" t="s">
        <v>1175</v>
      </c>
      <c r="E996" s="13">
        <v>1</v>
      </c>
      <c r="F996" s="25" t="s">
        <v>1174</v>
      </c>
      <c r="G996" s="25">
        <v>81897719002</v>
      </c>
      <c r="H996" s="11">
        <v>10.14344</v>
      </c>
      <c r="I996" s="11">
        <f t="shared" si="119"/>
        <v>10.14344</v>
      </c>
      <c r="J996" s="11">
        <f t="shared" si="121"/>
        <v>10.14344</v>
      </c>
      <c r="K996" s="11">
        <f t="shared" si="120"/>
        <v>10.14344</v>
      </c>
      <c r="L996" s="10">
        <v>0</v>
      </c>
      <c r="N996" s="118">
        <f t="shared" si="117"/>
        <v>0</v>
      </c>
      <c r="O996" s="118">
        <f t="shared" si="118"/>
        <v>10.14344</v>
      </c>
    </row>
    <row r="997" spans="1:15" x14ac:dyDescent="0.25">
      <c r="A997" t="s">
        <v>1311</v>
      </c>
      <c r="B997" t="s">
        <v>1309</v>
      </c>
      <c r="C997" s="19">
        <v>31</v>
      </c>
      <c r="D997" s="18" t="s">
        <v>1310</v>
      </c>
      <c r="E997" s="13">
        <v>1</v>
      </c>
      <c r="F997" s="25" t="s">
        <v>1309</v>
      </c>
      <c r="G997" s="25">
        <v>81897719002</v>
      </c>
      <c r="H997" s="11">
        <v>28.172559999999997</v>
      </c>
      <c r="I997" s="11">
        <f t="shared" si="119"/>
        <v>28.172559999999997</v>
      </c>
      <c r="J997" s="11">
        <f t="shared" si="121"/>
        <v>28.172559999999997</v>
      </c>
      <c r="K997" s="11">
        <f t="shared" si="120"/>
        <v>28.172559999999997</v>
      </c>
      <c r="L997" s="10">
        <v>0</v>
      </c>
      <c r="N997" s="118">
        <f t="shared" si="117"/>
        <v>0</v>
      </c>
      <c r="O997" s="118">
        <f t="shared" si="118"/>
        <v>28.172559999999997</v>
      </c>
    </row>
    <row r="998" spans="1:15" x14ac:dyDescent="0.25">
      <c r="A998" t="s">
        <v>1308</v>
      </c>
      <c r="B998" t="s">
        <v>113</v>
      </c>
      <c r="C998" s="19">
        <v>32</v>
      </c>
      <c r="D998" s="18" t="s">
        <v>114</v>
      </c>
      <c r="E998" s="13">
        <v>1</v>
      </c>
      <c r="F998" s="25" t="s">
        <v>113</v>
      </c>
      <c r="G998" s="25">
        <v>81897719002</v>
      </c>
      <c r="H998" s="11">
        <v>16.908480000000001</v>
      </c>
      <c r="I998" s="11">
        <f t="shared" si="119"/>
        <v>16.908480000000001</v>
      </c>
      <c r="J998" s="11">
        <f t="shared" si="121"/>
        <v>16.908480000000001</v>
      </c>
      <c r="K998" s="11">
        <f t="shared" si="120"/>
        <v>16.908480000000001</v>
      </c>
      <c r="L998" s="10">
        <v>0</v>
      </c>
      <c r="N998" s="118">
        <f t="shared" si="117"/>
        <v>0</v>
      </c>
      <c r="O998" s="118">
        <f t="shared" si="118"/>
        <v>16.908480000000001</v>
      </c>
    </row>
    <row r="999" spans="1:15" x14ac:dyDescent="0.25">
      <c r="A999" t="s">
        <v>1307</v>
      </c>
      <c r="B999" t="s">
        <v>378</v>
      </c>
      <c r="C999" s="19">
        <v>33</v>
      </c>
      <c r="D999" s="18" t="s">
        <v>379</v>
      </c>
      <c r="E999" s="13">
        <v>2</v>
      </c>
      <c r="F999" s="25" t="s">
        <v>378</v>
      </c>
      <c r="G999" s="25">
        <v>81897719002</v>
      </c>
      <c r="H999" s="11">
        <v>13.530080000000002</v>
      </c>
      <c r="I999" s="11">
        <f t="shared" si="119"/>
        <v>27.060160000000003</v>
      </c>
      <c r="J999" s="11">
        <f t="shared" si="121"/>
        <v>13.530080000000002</v>
      </c>
      <c r="K999" s="11">
        <f t="shared" si="120"/>
        <v>27.060160000000003</v>
      </c>
      <c r="L999" s="10">
        <v>0</v>
      </c>
      <c r="N999" s="118">
        <f t="shared" si="117"/>
        <v>0</v>
      </c>
      <c r="O999" s="118">
        <f t="shared" si="118"/>
        <v>13.530080000000002</v>
      </c>
    </row>
    <row r="1000" spans="1:15" x14ac:dyDescent="0.25">
      <c r="A1000" t="s">
        <v>1306</v>
      </c>
      <c r="B1000" t="s">
        <v>256</v>
      </c>
      <c r="C1000" s="19">
        <v>34</v>
      </c>
      <c r="D1000" s="18" t="s">
        <v>257</v>
      </c>
      <c r="E1000" s="13">
        <v>1</v>
      </c>
      <c r="F1000" s="25" t="s">
        <v>256</v>
      </c>
      <c r="G1000" s="25">
        <v>81897719002</v>
      </c>
      <c r="H1000" s="11">
        <v>14.09864</v>
      </c>
      <c r="I1000" s="11">
        <f t="shared" si="119"/>
        <v>14.09864</v>
      </c>
      <c r="J1000" s="11">
        <f t="shared" si="121"/>
        <v>14.09864</v>
      </c>
      <c r="K1000" s="11">
        <f t="shared" si="120"/>
        <v>14.09864</v>
      </c>
      <c r="L1000" s="10">
        <v>0</v>
      </c>
      <c r="N1000" s="118">
        <f t="shared" si="117"/>
        <v>0</v>
      </c>
      <c r="O1000" s="118">
        <f t="shared" si="118"/>
        <v>14.09864</v>
      </c>
    </row>
    <row r="1001" spans="1:15" x14ac:dyDescent="0.25">
      <c r="A1001" t="s">
        <v>1305</v>
      </c>
      <c r="B1001" t="s">
        <v>259</v>
      </c>
      <c r="C1001" s="19">
        <v>35</v>
      </c>
      <c r="D1001" s="18" t="s">
        <v>260</v>
      </c>
      <c r="E1001" s="13">
        <v>1</v>
      </c>
      <c r="F1001" s="25" t="s">
        <v>259</v>
      </c>
      <c r="G1001" s="25">
        <v>81897719002</v>
      </c>
      <c r="H1001" s="11">
        <v>13.530080000000002</v>
      </c>
      <c r="I1001" s="11">
        <f t="shared" si="119"/>
        <v>13.530080000000002</v>
      </c>
      <c r="J1001" s="11">
        <f t="shared" si="121"/>
        <v>13.530080000000002</v>
      </c>
      <c r="K1001" s="11">
        <f t="shared" si="120"/>
        <v>13.530080000000002</v>
      </c>
      <c r="L1001" s="10">
        <v>0</v>
      </c>
      <c r="N1001" s="118">
        <f t="shared" si="117"/>
        <v>0</v>
      </c>
      <c r="O1001" s="118">
        <f t="shared" si="118"/>
        <v>13.530080000000002</v>
      </c>
    </row>
    <row r="1002" spans="1:15" x14ac:dyDescent="0.25">
      <c r="A1002" t="s">
        <v>1304</v>
      </c>
      <c r="B1002" t="s">
        <v>986</v>
      </c>
      <c r="C1002" s="19">
        <v>36</v>
      </c>
      <c r="D1002" s="18" t="s">
        <v>987</v>
      </c>
      <c r="E1002" s="13">
        <v>1</v>
      </c>
      <c r="F1002" s="25" t="s">
        <v>986</v>
      </c>
      <c r="G1002" s="25">
        <v>81897719003</v>
      </c>
      <c r="H1002" s="11">
        <v>59.179679999999998</v>
      </c>
      <c r="I1002" s="11">
        <f t="shared" si="119"/>
        <v>59.179679999999998</v>
      </c>
      <c r="J1002" s="11">
        <f t="shared" si="121"/>
        <v>59.179679999999998</v>
      </c>
      <c r="K1002" s="11">
        <f t="shared" si="120"/>
        <v>59.179679999999998</v>
      </c>
      <c r="L1002" s="10">
        <v>0</v>
      </c>
      <c r="N1002" s="118">
        <f t="shared" si="117"/>
        <v>0</v>
      </c>
      <c r="O1002" s="118">
        <f t="shared" si="118"/>
        <v>59.179679999999998</v>
      </c>
    </row>
    <row r="1003" spans="1:15" x14ac:dyDescent="0.25">
      <c r="A1003" t="s">
        <v>1303</v>
      </c>
      <c r="B1003" t="s">
        <v>442</v>
      </c>
      <c r="C1003" s="19">
        <v>37</v>
      </c>
      <c r="D1003" s="18" t="s">
        <v>443</v>
      </c>
      <c r="E1003" s="13">
        <v>1</v>
      </c>
      <c r="F1003" s="25" t="s">
        <v>442</v>
      </c>
      <c r="G1003" s="25">
        <v>81897719002</v>
      </c>
      <c r="H1003" s="11">
        <v>10.5472</v>
      </c>
      <c r="I1003" s="11">
        <f t="shared" si="119"/>
        <v>10.5472</v>
      </c>
      <c r="J1003" s="11">
        <f t="shared" si="121"/>
        <v>10.5472</v>
      </c>
      <c r="K1003" s="11">
        <f t="shared" si="120"/>
        <v>10.5472</v>
      </c>
      <c r="L1003" s="10">
        <v>0</v>
      </c>
      <c r="N1003" s="118">
        <f t="shared" si="117"/>
        <v>0</v>
      </c>
      <c r="O1003" s="118">
        <f t="shared" si="118"/>
        <v>10.5472</v>
      </c>
    </row>
    <row r="1004" spans="1:15" x14ac:dyDescent="0.25">
      <c r="A1004" t="s">
        <v>1302</v>
      </c>
      <c r="B1004" t="s">
        <v>1300</v>
      </c>
      <c r="C1004" s="19">
        <v>38</v>
      </c>
      <c r="D1004" s="18" t="s">
        <v>1301</v>
      </c>
      <c r="E1004" s="13">
        <v>1</v>
      </c>
      <c r="F1004" s="25" t="s">
        <v>1300</v>
      </c>
      <c r="G1004" s="25">
        <v>81897719002</v>
      </c>
      <c r="H1004" s="11">
        <v>12.714319999999999</v>
      </c>
      <c r="I1004" s="11">
        <f t="shared" si="119"/>
        <v>12.714319999999999</v>
      </c>
      <c r="J1004" s="11">
        <f t="shared" si="121"/>
        <v>12.714319999999999</v>
      </c>
      <c r="K1004" s="11">
        <f t="shared" si="120"/>
        <v>12.714319999999999</v>
      </c>
      <c r="L1004" s="10">
        <v>0</v>
      </c>
      <c r="N1004" s="118">
        <f t="shared" si="117"/>
        <v>0</v>
      </c>
      <c r="O1004" s="118">
        <f t="shared" si="118"/>
        <v>12.714319999999999</v>
      </c>
    </row>
    <row r="1005" spans="1:15" x14ac:dyDescent="0.25">
      <c r="A1005" t="s">
        <v>1299</v>
      </c>
      <c r="B1005" t="s">
        <v>433</v>
      </c>
      <c r="C1005" s="19">
        <v>39</v>
      </c>
      <c r="D1005" s="18" t="s">
        <v>500</v>
      </c>
      <c r="E1005" s="13">
        <v>1</v>
      </c>
      <c r="F1005" s="25" t="s">
        <v>433</v>
      </c>
      <c r="G1005" s="25" t="s">
        <v>427</v>
      </c>
      <c r="H1005" s="11">
        <v>338.02952000000005</v>
      </c>
      <c r="I1005" s="11">
        <f t="shared" si="119"/>
        <v>338.02952000000005</v>
      </c>
      <c r="J1005" s="11">
        <f t="shared" si="121"/>
        <v>338.02952000000005</v>
      </c>
      <c r="K1005" s="11">
        <f t="shared" si="120"/>
        <v>338.02952000000005</v>
      </c>
      <c r="L1005" s="10">
        <v>0</v>
      </c>
      <c r="N1005" s="118">
        <f t="shared" si="117"/>
        <v>0</v>
      </c>
      <c r="O1005" s="118">
        <f t="shared" si="118"/>
        <v>338.02952000000005</v>
      </c>
    </row>
    <row r="1006" spans="1:15" x14ac:dyDescent="0.25">
      <c r="B1006" t="s">
        <v>435</v>
      </c>
      <c r="C1006" s="19">
        <v>40</v>
      </c>
      <c r="D1006" s="18" t="s">
        <v>502</v>
      </c>
      <c r="E1006" s="13">
        <v>1</v>
      </c>
      <c r="F1006" s="25" t="s">
        <v>435</v>
      </c>
      <c r="G1006" s="25" t="s">
        <v>427</v>
      </c>
      <c r="H1006" s="11">
        <v>282.22823999999997</v>
      </c>
      <c r="I1006" s="11">
        <f t="shared" si="119"/>
        <v>282.22823999999997</v>
      </c>
      <c r="J1006" s="11">
        <f t="shared" si="121"/>
        <v>282.22823999999997</v>
      </c>
      <c r="K1006" s="11">
        <f t="shared" si="120"/>
        <v>282.22823999999997</v>
      </c>
      <c r="L1006" s="10">
        <v>0</v>
      </c>
      <c r="N1006" s="118">
        <f t="shared" si="117"/>
        <v>0</v>
      </c>
      <c r="O1006" s="118">
        <f t="shared" si="118"/>
        <v>282.22823999999997</v>
      </c>
    </row>
    <row r="1007" spans="1:15" x14ac:dyDescent="0.25">
      <c r="B1007" t="s">
        <v>1297</v>
      </c>
      <c r="C1007" s="19">
        <v>41</v>
      </c>
      <c r="D1007" s="18" t="s">
        <v>1298</v>
      </c>
      <c r="E1007" s="13">
        <v>1</v>
      </c>
      <c r="F1007" s="25" t="s">
        <v>1297</v>
      </c>
      <c r="G1007" s="25" t="s">
        <v>427</v>
      </c>
      <c r="H1007" s="11">
        <v>366.16087999999996</v>
      </c>
      <c r="I1007" s="11">
        <f t="shared" si="119"/>
        <v>366.16087999999996</v>
      </c>
      <c r="J1007" s="11">
        <f t="shared" si="121"/>
        <v>366.16087999999996</v>
      </c>
      <c r="K1007" s="11">
        <f t="shared" si="120"/>
        <v>366.16087999999996</v>
      </c>
      <c r="L1007" s="10">
        <v>0</v>
      </c>
      <c r="N1007" s="118">
        <f t="shared" si="117"/>
        <v>0</v>
      </c>
      <c r="O1007" s="118">
        <f t="shared" si="118"/>
        <v>366.16087999999996</v>
      </c>
    </row>
    <row r="1008" spans="1:15" x14ac:dyDescent="0.25">
      <c r="B1008" t="s">
        <v>574</v>
      </c>
      <c r="C1008" s="19">
        <v>42</v>
      </c>
      <c r="D1008" s="18" t="s">
        <v>575</v>
      </c>
      <c r="E1008" s="13">
        <v>2</v>
      </c>
      <c r="F1008" s="25" t="s">
        <v>574</v>
      </c>
      <c r="G1008" s="25" t="s">
        <v>427</v>
      </c>
      <c r="H1008" s="11">
        <v>7.9845600000000001</v>
      </c>
      <c r="I1008" s="11">
        <f t="shared" si="119"/>
        <v>15.96912</v>
      </c>
      <c r="J1008" s="11">
        <f t="shared" si="121"/>
        <v>7.9845600000000001</v>
      </c>
      <c r="K1008" s="11">
        <f t="shared" si="120"/>
        <v>15.96912</v>
      </c>
      <c r="L1008" s="10">
        <v>0</v>
      </c>
      <c r="N1008" s="118">
        <f t="shared" si="117"/>
        <v>0</v>
      </c>
      <c r="O1008" s="118">
        <f t="shared" si="118"/>
        <v>7.9845600000000001</v>
      </c>
    </row>
    <row r="1009" spans="1:15" x14ac:dyDescent="0.25">
      <c r="C1009" s="9"/>
      <c r="D1009" s="8" t="s">
        <v>1</v>
      </c>
      <c r="E1009" s="8">
        <f>SUM(E967:E1008)</f>
        <v>44</v>
      </c>
      <c r="F1009" s="8"/>
      <c r="G1009" s="8"/>
      <c r="H1009" s="7"/>
      <c r="I1009" s="7">
        <f>SUM(I967:I1008)</f>
        <v>2530.5946399999998</v>
      </c>
      <c r="J1009" s="8"/>
      <c r="K1009" s="7">
        <f>SUM(K967:K1008)</f>
        <v>2530.5946399999998</v>
      </c>
      <c r="L1009" s="6"/>
      <c r="N1009" s="118">
        <f t="shared" si="117"/>
        <v>0</v>
      </c>
      <c r="O1009" s="118">
        <f t="shared" si="118"/>
        <v>0</v>
      </c>
    </row>
    <row r="1010" spans="1:15" x14ac:dyDescent="0.25">
      <c r="D1010" t="s">
        <v>0</v>
      </c>
      <c r="N1010" s="118">
        <f t="shared" si="117"/>
        <v>0</v>
      </c>
      <c r="O1010" s="118">
        <f t="shared" si="118"/>
        <v>0</v>
      </c>
    </row>
    <row r="1011" spans="1:15" x14ac:dyDescent="0.25">
      <c r="D1011" s="24" t="s">
        <v>1296</v>
      </c>
      <c r="N1011" s="118">
        <f t="shared" si="117"/>
        <v>0</v>
      </c>
      <c r="O1011" s="118">
        <f t="shared" si="118"/>
        <v>0</v>
      </c>
    </row>
    <row r="1012" spans="1:15" ht="30" x14ac:dyDescent="0.25">
      <c r="C1012" s="24" t="s">
        <v>28</v>
      </c>
      <c r="D1012" s="24" t="s">
        <v>27</v>
      </c>
      <c r="E1012" s="24" t="s">
        <v>26</v>
      </c>
      <c r="F1012" s="24" t="s">
        <v>25</v>
      </c>
      <c r="G1012" s="24" t="s">
        <v>24</v>
      </c>
      <c r="H1012" s="116" t="s">
        <v>21</v>
      </c>
      <c r="I1012" s="24" t="s">
        <v>23</v>
      </c>
      <c r="J1012" s="24" t="s">
        <v>2928</v>
      </c>
      <c r="K1012" s="24" t="s">
        <v>2927</v>
      </c>
      <c r="L1012" s="23" t="s">
        <v>22</v>
      </c>
      <c r="N1012" s="118" t="e">
        <f t="shared" si="117"/>
        <v>#VALUE!</v>
      </c>
      <c r="O1012" s="118" t="e">
        <f t="shared" si="118"/>
        <v>#VALUE!</v>
      </c>
    </row>
    <row r="1013" spans="1:15" x14ac:dyDescent="0.25">
      <c r="A1013" t="s">
        <v>1295</v>
      </c>
      <c r="B1013" t="s">
        <v>409</v>
      </c>
      <c r="C1013" s="19">
        <v>1</v>
      </c>
      <c r="D1013" s="18" t="s">
        <v>485</v>
      </c>
      <c r="E1013" s="13">
        <v>1</v>
      </c>
      <c r="F1013" s="18" t="s">
        <v>409</v>
      </c>
      <c r="G1013" s="25">
        <v>81897710021</v>
      </c>
      <c r="H1013" s="11">
        <v>7.5807999999999991</v>
      </c>
      <c r="I1013" s="11">
        <f t="shared" ref="I1013:I1033" si="122">H1013*E1013</f>
        <v>7.5807999999999991</v>
      </c>
      <c r="J1013" s="11">
        <f>O1013</f>
        <v>7.5807999999999991</v>
      </c>
      <c r="K1013" s="11">
        <f t="shared" ref="K1013:K1033" si="123">J1013*E1013</f>
        <v>7.5807999999999991</v>
      </c>
      <c r="L1013" s="10">
        <v>0</v>
      </c>
      <c r="N1013" s="118">
        <f t="shared" si="117"/>
        <v>0</v>
      </c>
      <c r="O1013" s="118">
        <f t="shared" si="118"/>
        <v>7.5807999999999991</v>
      </c>
    </row>
    <row r="1014" spans="1:15" x14ac:dyDescent="0.25">
      <c r="A1014" t="s">
        <v>1294</v>
      </c>
      <c r="B1014" t="s">
        <v>286</v>
      </c>
      <c r="C1014" s="19">
        <v>2</v>
      </c>
      <c r="D1014" s="18" t="s">
        <v>287</v>
      </c>
      <c r="E1014" s="13">
        <v>1</v>
      </c>
      <c r="F1014" s="25" t="s">
        <v>286</v>
      </c>
      <c r="G1014" s="25">
        <v>81897719002</v>
      </c>
      <c r="H1014" s="11">
        <v>11.34648</v>
      </c>
      <c r="I1014" s="11">
        <f t="shared" si="122"/>
        <v>11.34648</v>
      </c>
      <c r="J1014" s="11">
        <f t="shared" ref="J1014:J1033" si="124">O1014</f>
        <v>11.34648</v>
      </c>
      <c r="K1014" s="11">
        <f t="shared" si="123"/>
        <v>11.34648</v>
      </c>
      <c r="L1014" s="10">
        <v>0</v>
      </c>
      <c r="N1014" s="118">
        <f t="shared" si="117"/>
        <v>0</v>
      </c>
      <c r="O1014" s="118">
        <f t="shared" si="118"/>
        <v>11.34648</v>
      </c>
    </row>
    <row r="1015" spans="1:15" x14ac:dyDescent="0.25">
      <c r="A1015" t="s">
        <v>1293</v>
      </c>
      <c r="B1015" t="s">
        <v>113</v>
      </c>
      <c r="C1015" s="19">
        <v>3</v>
      </c>
      <c r="D1015" s="18" t="s">
        <v>114</v>
      </c>
      <c r="E1015" s="13">
        <v>2</v>
      </c>
      <c r="F1015" s="25" t="s">
        <v>113</v>
      </c>
      <c r="G1015" s="25">
        <v>81897719002</v>
      </c>
      <c r="H1015" s="11">
        <v>22.692959999999999</v>
      </c>
      <c r="I1015" s="11">
        <f t="shared" si="122"/>
        <v>45.385919999999999</v>
      </c>
      <c r="J1015" s="11">
        <f t="shared" si="124"/>
        <v>22.692959999999999</v>
      </c>
      <c r="K1015" s="11">
        <f t="shared" si="123"/>
        <v>45.385919999999999</v>
      </c>
      <c r="L1015" s="10">
        <v>0</v>
      </c>
      <c r="N1015" s="118">
        <f t="shared" si="117"/>
        <v>0</v>
      </c>
      <c r="O1015" s="118">
        <f t="shared" si="118"/>
        <v>22.692959999999999</v>
      </c>
    </row>
    <row r="1016" spans="1:15" x14ac:dyDescent="0.25">
      <c r="A1016" t="s">
        <v>1292</v>
      </c>
      <c r="B1016" t="s">
        <v>259</v>
      </c>
      <c r="C1016" s="19">
        <v>4</v>
      </c>
      <c r="D1016" s="18" t="s">
        <v>260</v>
      </c>
      <c r="E1016" s="13">
        <v>4</v>
      </c>
      <c r="F1016" s="25" t="s">
        <v>259</v>
      </c>
      <c r="G1016" s="25">
        <v>81897719002</v>
      </c>
      <c r="H1016" s="11">
        <v>18.152720000000002</v>
      </c>
      <c r="I1016" s="11">
        <f t="shared" si="122"/>
        <v>72.610880000000009</v>
      </c>
      <c r="J1016" s="11">
        <f t="shared" si="124"/>
        <v>18.152720000000002</v>
      </c>
      <c r="K1016" s="11">
        <f t="shared" si="123"/>
        <v>72.610880000000009</v>
      </c>
      <c r="L1016" s="10">
        <v>0</v>
      </c>
      <c r="N1016" s="118">
        <f t="shared" si="117"/>
        <v>0</v>
      </c>
      <c r="O1016" s="118">
        <f t="shared" si="118"/>
        <v>18.152720000000002</v>
      </c>
    </row>
    <row r="1017" spans="1:15" x14ac:dyDescent="0.25">
      <c r="A1017" t="s">
        <v>1291</v>
      </c>
      <c r="B1017" t="s">
        <v>256</v>
      </c>
      <c r="C1017" s="19">
        <v>5</v>
      </c>
      <c r="D1017" s="18" t="s">
        <v>257</v>
      </c>
      <c r="E1017" s="13">
        <v>6</v>
      </c>
      <c r="F1017" s="25" t="s">
        <v>256</v>
      </c>
      <c r="G1017" s="25">
        <v>81897719002</v>
      </c>
      <c r="H1017" s="11">
        <v>18.927279999999996</v>
      </c>
      <c r="I1017" s="11">
        <f t="shared" si="122"/>
        <v>113.56367999999998</v>
      </c>
      <c r="J1017" s="11">
        <f t="shared" si="124"/>
        <v>18.927279999999996</v>
      </c>
      <c r="K1017" s="11">
        <f t="shared" si="123"/>
        <v>113.56367999999998</v>
      </c>
      <c r="L1017" s="10">
        <v>0</v>
      </c>
      <c r="N1017" s="118">
        <f t="shared" si="117"/>
        <v>0</v>
      </c>
      <c r="O1017" s="118">
        <f t="shared" si="118"/>
        <v>18.927279999999996</v>
      </c>
    </row>
    <row r="1018" spans="1:15" x14ac:dyDescent="0.25">
      <c r="A1018" t="s">
        <v>1290</v>
      </c>
      <c r="B1018" s="5" t="s">
        <v>119</v>
      </c>
      <c r="C1018" s="19">
        <v>6</v>
      </c>
      <c r="D1018" s="18" t="s">
        <v>120</v>
      </c>
      <c r="E1018" s="13">
        <v>6</v>
      </c>
      <c r="F1018" s="25" t="s">
        <v>119</v>
      </c>
      <c r="G1018" s="25">
        <v>81897719002</v>
      </c>
      <c r="H1018" s="11">
        <v>18.927279999999996</v>
      </c>
      <c r="I1018" s="11">
        <f t="shared" si="122"/>
        <v>113.56367999999998</v>
      </c>
      <c r="J1018" s="11">
        <f t="shared" si="124"/>
        <v>18.927279999999996</v>
      </c>
      <c r="K1018" s="11">
        <f t="shared" si="123"/>
        <v>113.56367999999998</v>
      </c>
      <c r="L1018" s="10">
        <v>0</v>
      </c>
      <c r="N1018" s="118">
        <f t="shared" si="117"/>
        <v>0</v>
      </c>
      <c r="O1018" s="118">
        <f t="shared" si="118"/>
        <v>18.927279999999996</v>
      </c>
    </row>
    <row r="1019" spans="1:15" s="5" customFormat="1" x14ac:dyDescent="0.25">
      <c r="A1019" s="5" t="s">
        <v>1289</v>
      </c>
      <c r="B1019" s="5" t="s">
        <v>110</v>
      </c>
      <c r="C1019" s="19">
        <v>7</v>
      </c>
      <c r="D1019" s="18" t="s">
        <v>111</v>
      </c>
      <c r="E1019" s="13">
        <v>1</v>
      </c>
      <c r="F1019" s="25" t="s">
        <v>110</v>
      </c>
      <c r="G1019" s="25">
        <v>81897719002</v>
      </c>
      <c r="H1019" s="11">
        <v>40.01</v>
      </c>
      <c r="I1019" s="11">
        <f t="shared" si="122"/>
        <v>40.01</v>
      </c>
      <c r="J1019" s="11">
        <f t="shared" si="124"/>
        <v>40.01</v>
      </c>
      <c r="K1019" s="11">
        <f t="shared" si="123"/>
        <v>40.01</v>
      </c>
      <c r="L1019" s="10">
        <v>0</v>
      </c>
      <c r="N1019" s="118">
        <f t="shared" si="117"/>
        <v>0</v>
      </c>
      <c r="O1019" s="118">
        <f t="shared" si="118"/>
        <v>40.01</v>
      </c>
    </row>
    <row r="1020" spans="1:15" s="5" customFormat="1" x14ac:dyDescent="0.25">
      <c r="A1020" s="5" t="s">
        <v>1288</v>
      </c>
      <c r="B1020" t="s">
        <v>233</v>
      </c>
      <c r="C1020" s="19">
        <v>8</v>
      </c>
      <c r="D1020" s="18" t="s">
        <v>234</v>
      </c>
      <c r="E1020" s="13">
        <v>2</v>
      </c>
      <c r="F1020" s="25" t="s">
        <v>233</v>
      </c>
      <c r="G1020" s="25">
        <v>81897719002</v>
      </c>
      <c r="H1020" s="11">
        <v>9.8467999999999982</v>
      </c>
      <c r="I1020" s="11">
        <f t="shared" si="122"/>
        <v>19.693599999999996</v>
      </c>
      <c r="J1020" s="11">
        <f t="shared" si="124"/>
        <v>9.8467999999999982</v>
      </c>
      <c r="K1020" s="11">
        <f t="shared" si="123"/>
        <v>19.693599999999996</v>
      </c>
      <c r="L1020" s="10">
        <v>0</v>
      </c>
      <c r="N1020" s="118">
        <f t="shared" si="117"/>
        <v>0</v>
      </c>
      <c r="O1020" s="118">
        <f t="shared" si="118"/>
        <v>9.8467999999999982</v>
      </c>
    </row>
    <row r="1021" spans="1:15" x14ac:dyDescent="0.25">
      <c r="A1021" t="s">
        <v>1287</v>
      </c>
      <c r="B1021" t="s">
        <v>230</v>
      </c>
      <c r="C1021" s="19">
        <v>9</v>
      </c>
      <c r="D1021" s="18" t="s">
        <v>231</v>
      </c>
      <c r="E1021" s="13">
        <v>2</v>
      </c>
      <c r="F1021" s="25" t="s">
        <v>230</v>
      </c>
      <c r="G1021" s="25">
        <v>81897719002</v>
      </c>
      <c r="H1021" s="11">
        <v>10.571919999999999</v>
      </c>
      <c r="I1021" s="11">
        <f t="shared" si="122"/>
        <v>21.143839999999997</v>
      </c>
      <c r="J1021" s="11">
        <f t="shared" si="124"/>
        <v>10.571919999999999</v>
      </c>
      <c r="K1021" s="11">
        <f t="shared" si="123"/>
        <v>21.143839999999997</v>
      </c>
      <c r="L1021" s="10">
        <v>0</v>
      </c>
      <c r="N1021" s="118">
        <f t="shared" si="117"/>
        <v>0</v>
      </c>
      <c r="O1021" s="118">
        <f t="shared" si="118"/>
        <v>10.571919999999999</v>
      </c>
    </row>
    <row r="1022" spans="1:15" ht="15.75" customHeight="1" x14ac:dyDescent="0.25">
      <c r="A1022" t="s">
        <v>1286</v>
      </c>
      <c r="B1022" t="s">
        <v>155</v>
      </c>
      <c r="C1022" s="19">
        <v>10</v>
      </c>
      <c r="D1022" s="18" t="s">
        <v>156</v>
      </c>
      <c r="E1022" s="13">
        <v>1</v>
      </c>
      <c r="F1022" s="25" t="s">
        <v>155</v>
      </c>
      <c r="G1022" s="25">
        <v>81897719002</v>
      </c>
      <c r="H1022" s="11">
        <v>9.0804799999999997</v>
      </c>
      <c r="I1022" s="11">
        <f t="shared" si="122"/>
        <v>9.0804799999999997</v>
      </c>
      <c r="J1022" s="11">
        <f t="shared" si="124"/>
        <v>9.0804799999999997</v>
      </c>
      <c r="K1022" s="11">
        <f t="shared" si="123"/>
        <v>9.0804799999999997</v>
      </c>
      <c r="L1022" s="10">
        <v>0</v>
      </c>
      <c r="N1022" s="118">
        <f t="shared" si="117"/>
        <v>0</v>
      </c>
      <c r="O1022" s="118">
        <f t="shared" si="118"/>
        <v>9.0804799999999997</v>
      </c>
    </row>
    <row r="1023" spans="1:15" x14ac:dyDescent="0.25">
      <c r="A1023" t="s">
        <v>1285</v>
      </c>
      <c r="B1023" t="s">
        <v>149</v>
      </c>
      <c r="C1023" s="19">
        <v>11</v>
      </c>
      <c r="D1023" s="18" t="s">
        <v>150</v>
      </c>
      <c r="E1023" s="13">
        <v>1</v>
      </c>
      <c r="F1023" s="25" t="s">
        <v>149</v>
      </c>
      <c r="G1023" s="25">
        <v>81897719002</v>
      </c>
      <c r="H1023" s="11">
        <v>9.8467999999999982</v>
      </c>
      <c r="I1023" s="11">
        <f t="shared" si="122"/>
        <v>9.8467999999999982</v>
      </c>
      <c r="J1023" s="11">
        <f t="shared" si="124"/>
        <v>9.8467999999999982</v>
      </c>
      <c r="K1023" s="11">
        <f t="shared" si="123"/>
        <v>9.8467999999999982</v>
      </c>
      <c r="L1023" s="10">
        <v>0</v>
      </c>
      <c r="N1023" s="118">
        <f t="shared" si="117"/>
        <v>0</v>
      </c>
      <c r="O1023" s="118">
        <f t="shared" si="118"/>
        <v>9.8467999999999982</v>
      </c>
    </row>
    <row r="1024" spans="1:15" x14ac:dyDescent="0.25">
      <c r="A1024" t="s">
        <v>1284</v>
      </c>
      <c r="B1024" t="s">
        <v>357</v>
      </c>
      <c r="C1024" s="19">
        <v>12</v>
      </c>
      <c r="D1024" s="18" t="s">
        <v>358</v>
      </c>
      <c r="E1024" s="13">
        <v>2</v>
      </c>
      <c r="F1024" s="25" t="s">
        <v>357</v>
      </c>
      <c r="G1024" s="25">
        <v>81897719002</v>
      </c>
      <c r="H1024" s="11">
        <v>21.193280000000001</v>
      </c>
      <c r="I1024" s="11">
        <f t="shared" si="122"/>
        <v>42.386560000000003</v>
      </c>
      <c r="J1024" s="11">
        <f t="shared" si="124"/>
        <v>21.193280000000001</v>
      </c>
      <c r="K1024" s="11">
        <f t="shared" si="123"/>
        <v>42.386560000000003</v>
      </c>
      <c r="L1024" s="10">
        <v>0</v>
      </c>
      <c r="N1024" s="118">
        <f t="shared" si="117"/>
        <v>0</v>
      </c>
      <c r="O1024" s="118">
        <f t="shared" si="118"/>
        <v>21.193280000000001</v>
      </c>
    </row>
    <row r="1025" spans="1:15" x14ac:dyDescent="0.25">
      <c r="A1025" t="s">
        <v>1283</v>
      </c>
      <c r="B1025" t="s">
        <v>840</v>
      </c>
      <c r="C1025" s="19">
        <v>13</v>
      </c>
      <c r="D1025" s="18" t="s">
        <v>841</v>
      </c>
      <c r="E1025" s="13">
        <v>1</v>
      </c>
      <c r="F1025" s="25" t="s">
        <v>840</v>
      </c>
      <c r="G1025" s="25">
        <v>81897719002</v>
      </c>
      <c r="H1025" s="11">
        <v>24.192640000000001</v>
      </c>
      <c r="I1025" s="11">
        <f t="shared" si="122"/>
        <v>24.192640000000001</v>
      </c>
      <c r="J1025" s="11">
        <f t="shared" si="124"/>
        <v>24.192640000000001</v>
      </c>
      <c r="K1025" s="11">
        <f t="shared" si="123"/>
        <v>24.192640000000001</v>
      </c>
      <c r="L1025" s="10">
        <v>0</v>
      </c>
      <c r="N1025" s="118">
        <f t="shared" si="117"/>
        <v>0</v>
      </c>
      <c r="O1025" s="118">
        <f t="shared" si="118"/>
        <v>24.192640000000001</v>
      </c>
    </row>
    <row r="1026" spans="1:15" x14ac:dyDescent="0.25">
      <c r="A1026" t="s">
        <v>1282</v>
      </c>
      <c r="B1026" t="s">
        <v>1280</v>
      </c>
      <c r="C1026" s="19">
        <v>14</v>
      </c>
      <c r="D1026" s="18" t="s">
        <v>1281</v>
      </c>
      <c r="E1026" s="13">
        <v>1</v>
      </c>
      <c r="F1026" s="25" t="s">
        <v>1280</v>
      </c>
      <c r="G1026" s="25">
        <v>81897719002</v>
      </c>
      <c r="H1026" s="11">
        <v>20.830719999999999</v>
      </c>
      <c r="I1026" s="11">
        <f t="shared" si="122"/>
        <v>20.830719999999999</v>
      </c>
      <c r="J1026" s="11">
        <f t="shared" si="124"/>
        <v>20.830719999999999</v>
      </c>
      <c r="K1026" s="11">
        <f t="shared" si="123"/>
        <v>20.830719999999999</v>
      </c>
      <c r="L1026" s="10">
        <v>0</v>
      </c>
      <c r="N1026" s="118">
        <f t="shared" si="117"/>
        <v>0</v>
      </c>
      <c r="O1026" s="118">
        <f t="shared" si="118"/>
        <v>20.830719999999999</v>
      </c>
    </row>
    <row r="1027" spans="1:15" x14ac:dyDescent="0.25">
      <c r="A1027" t="s">
        <v>1279</v>
      </c>
      <c r="B1027" t="s">
        <v>186</v>
      </c>
      <c r="C1027" s="19">
        <v>15</v>
      </c>
      <c r="D1027" s="18" t="s">
        <v>187</v>
      </c>
      <c r="E1027" s="13">
        <v>1</v>
      </c>
      <c r="F1027" s="25" t="s">
        <v>186</v>
      </c>
      <c r="G1027" s="25">
        <v>81897719002</v>
      </c>
      <c r="H1027" s="11">
        <v>26.458639999999999</v>
      </c>
      <c r="I1027" s="11">
        <f t="shared" si="122"/>
        <v>26.458639999999999</v>
      </c>
      <c r="J1027" s="11">
        <f t="shared" si="124"/>
        <v>26.458639999999999</v>
      </c>
      <c r="K1027" s="11">
        <f t="shared" si="123"/>
        <v>26.458639999999999</v>
      </c>
      <c r="L1027" s="10">
        <v>0</v>
      </c>
      <c r="N1027" s="118">
        <f t="shared" si="117"/>
        <v>0</v>
      </c>
      <c r="O1027" s="118">
        <f t="shared" si="118"/>
        <v>26.458639999999999</v>
      </c>
    </row>
    <row r="1028" spans="1:15" x14ac:dyDescent="0.25">
      <c r="A1028" t="s">
        <v>1278</v>
      </c>
      <c r="B1028" t="s">
        <v>180</v>
      </c>
      <c r="C1028" s="19">
        <v>16</v>
      </c>
      <c r="D1028" s="18" t="s">
        <v>181</v>
      </c>
      <c r="E1028" s="13">
        <v>2</v>
      </c>
      <c r="F1028" s="25" t="s">
        <v>180</v>
      </c>
      <c r="G1028" s="25">
        <v>81897719002</v>
      </c>
      <c r="H1028" s="11">
        <v>25.502799999999997</v>
      </c>
      <c r="I1028" s="11">
        <f t="shared" si="122"/>
        <v>51.005599999999994</v>
      </c>
      <c r="J1028" s="11">
        <f t="shared" si="124"/>
        <v>25.502799999999997</v>
      </c>
      <c r="K1028" s="11">
        <f t="shared" si="123"/>
        <v>51.005599999999994</v>
      </c>
      <c r="L1028" s="10">
        <v>0</v>
      </c>
      <c r="N1028" s="118">
        <f t="shared" ref="N1028:N1091" si="125">H1028*L1028</f>
        <v>0</v>
      </c>
      <c r="O1028" s="118">
        <f t="shared" ref="O1028:O1091" si="126">H1028-N1028</f>
        <v>25.502799999999997</v>
      </c>
    </row>
    <row r="1029" spans="1:15" x14ac:dyDescent="0.25">
      <c r="A1029" t="s">
        <v>1277</v>
      </c>
      <c r="B1029" t="s">
        <v>204</v>
      </c>
      <c r="C1029" s="19">
        <v>17</v>
      </c>
      <c r="D1029" s="18" t="s">
        <v>205</v>
      </c>
      <c r="E1029" s="13">
        <v>1</v>
      </c>
      <c r="F1029" s="25" t="s">
        <v>204</v>
      </c>
      <c r="G1029" s="25">
        <v>81897719002</v>
      </c>
      <c r="H1029" s="11">
        <v>4.944</v>
      </c>
      <c r="I1029" s="11">
        <f t="shared" si="122"/>
        <v>4.944</v>
      </c>
      <c r="J1029" s="11">
        <f t="shared" si="124"/>
        <v>4.944</v>
      </c>
      <c r="K1029" s="11">
        <f t="shared" si="123"/>
        <v>4.944</v>
      </c>
      <c r="L1029" s="10">
        <v>0</v>
      </c>
      <c r="N1029" s="118">
        <f t="shared" si="125"/>
        <v>0</v>
      </c>
      <c r="O1029" s="118">
        <f t="shared" si="126"/>
        <v>4.944</v>
      </c>
    </row>
    <row r="1030" spans="1:15" x14ac:dyDescent="0.25">
      <c r="A1030" t="s">
        <v>1276</v>
      </c>
      <c r="B1030" t="s">
        <v>1274</v>
      </c>
      <c r="C1030" s="19">
        <v>18</v>
      </c>
      <c r="D1030" s="18" t="s">
        <v>1275</v>
      </c>
      <c r="E1030" s="13">
        <v>1</v>
      </c>
      <c r="F1030" s="25" t="s">
        <v>1274</v>
      </c>
      <c r="G1030" s="25" t="s">
        <v>427</v>
      </c>
      <c r="H1030" s="11">
        <v>403.80944</v>
      </c>
      <c r="I1030" s="11">
        <f t="shared" si="122"/>
        <v>403.80944</v>
      </c>
      <c r="J1030" s="11">
        <f t="shared" si="124"/>
        <v>403.80944</v>
      </c>
      <c r="K1030" s="11">
        <f t="shared" si="123"/>
        <v>403.80944</v>
      </c>
      <c r="L1030" s="10">
        <v>0</v>
      </c>
      <c r="N1030" s="118">
        <f t="shared" si="125"/>
        <v>0</v>
      </c>
      <c r="O1030" s="118">
        <f t="shared" si="126"/>
        <v>403.80944</v>
      </c>
    </row>
    <row r="1031" spans="1:15" x14ac:dyDescent="0.25">
      <c r="A1031" t="s">
        <v>1273</v>
      </c>
      <c r="B1031" t="s">
        <v>433</v>
      </c>
      <c r="C1031" s="19">
        <v>19</v>
      </c>
      <c r="D1031" s="18" t="s">
        <v>500</v>
      </c>
      <c r="E1031" s="13">
        <v>1</v>
      </c>
      <c r="F1031" s="25" t="s">
        <v>433</v>
      </c>
      <c r="G1031" s="25" t="s">
        <v>427</v>
      </c>
      <c r="H1031" s="11">
        <v>453.66968000000003</v>
      </c>
      <c r="I1031" s="11">
        <f t="shared" si="122"/>
        <v>453.66968000000003</v>
      </c>
      <c r="J1031" s="11">
        <f t="shared" si="124"/>
        <v>453.66968000000003</v>
      </c>
      <c r="K1031" s="11">
        <f t="shared" si="123"/>
        <v>453.66968000000003</v>
      </c>
      <c r="L1031" s="10">
        <v>0</v>
      </c>
      <c r="N1031" s="118">
        <f t="shared" si="125"/>
        <v>0</v>
      </c>
      <c r="O1031" s="118">
        <f t="shared" si="126"/>
        <v>453.66968000000003</v>
      </c>
    </row>
    <row r="1032" spans="1:15" x14ac:dyDescent="0.25">
      <c r="B1032" t="s">
        <v>1271</v>
      </c>
      <c r="C1032" s="19">
        <v>20</v>
      </c>
      <c r="D1032" s="18" t="s">
        <v>1272</v>
      </c>
      <c r="E1032" s="13">
        <v>1</v>
      </c>
      <c r="F1032" s="25" t="s">
        <v>1271</v>
      </c>
      <c r="G1032" s="25" t="s">
        <v>427</v>
      </c>
      <c r="H1032" s="11">
        <v>491.42535999999996</v>
      </c>
      <c r="I1032" s="11">
        <f t="shared" si="122"/>
        <v>491.42535999999996</v>
      </c>
      <c r="J1032" s="11">
        <f t="shared" si="124"/>
        <v>491.42535999999996</v>
      </c>
      <c r="K1032" s="11">
        <f t="shared" si="123"/>
        <v>491.42535999999996</v>
      </c>
      <c r="L1032" s="10">
        <v>0</v>
      </c>
      <c r="N1032" s="118">
        <f t="shared" si="125"/>
        <v>0</v>
      </c>
      <c r="O1032" s="118">
        <f t="shared" si="126"/>
        <v>491.42535999999996</v>
      </c>
    </row>
    <row r="1033" spans="1:15" x14ac:dyDescent="0.25">
      <c r="B1033" t="s">
        <v>82</v>
      </c>
      <c r="C1033" s="19">
        <v>21</v>
      </c>
      <c r="D1033" s="18" t="s">
        <v>83</v>
      </c>
      <c r="E1033" s="13">
        <v>2</v>
      </c>
      <c r="F1033" s="25" t="s">
        <v>82</v>
      </c>
      <c r="G1033" s="25" t="s">
        <v>427</v>
      </c>
      <c r="H1033" s="11">
        <v>10.720239999999999</v>
      </c>
      <c r="I1033" s="11">
        <f t="shared" si="122"/>
        <v>21.440479999999997</v>
      </c>
      <c r="J1033" s="11">
        <f t="shared" si="124"/>
        <v>10.720239999999999</v>
      </c>
      <c r="K1033" s="11">
        <f t="shared" si="123"/>
        <v>21.440479999999997</v>
      </c>
      <c r="L1033" s="10">
        <v>0</v>
      </c>
      <c r="N1033" s="118">
        <f t="shared" si="125"/>
        <v>0</v>
      </c>
      <c r="O1033" s="118">
        <f t="shared" si="126"/>
        <v>10.720239999999999</v>
      </c>
    </row>
    <row r="1034" spans="1:15" x14ac:dyDescent="0.25">
      <c r="C1034" s="9"/>
      <c r="D1034" s="8" t="s">
        <v>1</v>
      </c>
      <c r="E1034" s="8">
        <f>SUM(E1013:E1033)</f>
        <v>40</v>
      </c>
      <c r="F1034" s="8"/>
      <c r="G1034" s="8"/>
      <c r="H1034" s="7"/>
      <c r="I1034" s="7">
        <f>SUM(I1013:I1033)</f>
        <v>2003.9892799999998</v>
      </c>
      <c r="J1034" s="8"/>
      <c r="K1034" s="7">
        <f>SUM(K1013:K1033)</f>
        <v>2003.9892799999998</v>
      </c>
      <c r="L1034" s="6"/>
      <c r="N1034" s="118">
        <f t="shared" si="125"/>
        <v>0</v>
      </c>
      <c r="O1034" s="118">
        <f t="shared" si="126"/>
        <v>0</v>
      </c>
    </row>
    <row r="1035" spans="1:15" x14ac:dyDescent="0.25">
      <c r="D1035" t="s">
        <v>0</v>
      </c>
      <c r="N1035" s="118">
        <f t="shared" si="125"/>
        <v>0</v>
      </c>
      <c r="O1035" s="118">
        <f t="shared" si="126"/>
        <v>0</v>
      </c>
    </row>
    <row r="1036" spans="1:15" x14ac:dyDescent="0.25">
      <c r="C1036" s="44"/>
      <c r="D1036" s="24" t="s">
        <v>1270</v>
      </c>
      <c r="F1036" s="27"/>
      <c r="G1036" s="27"/>
      <c r="N1036" s="118">
        <f t="shared" si="125"/>
        <v>0</v>
      </c>
      <c r="O1036" s="118">
        <f t="shared" si="126"/>
        <v>0</v>
      </c>
    </row>
    <row r="1037" spans="1:15" ht="30" x14ac:dyDescent="0.25">
      <c r="C1037" s="24" t="s">
        <v>28</v>
      </c>
      <c r="D1037" s="24" t="s">
        <v>27</v>
      </c>
      <c r="E1037" s="24" t="s">
        <v>26</v>
      </c>
      <c r="F1037" s="24" t="s">
        <v>25</v>
      </c>
      <c r="G1037" s="24" t="s">
        <v>24</v>
      </c>
      <c r="H1037" s="116" t="s">
        <v>21</v>
      </c>
      <c r="I1037" s="24" t="s">
        <v>23</v>
      </c>
      <c r="J1037" s="24" t="s">
        <v>2928</v>
      </c>
      <c r="K1037" s="24" t="s">
        <v>2927</v>
      </c>
      <c r="L1037" s="23" t="s">
        <v>22</v>
      </c>
      <c r="N1037" s="118" t="e">
        <f t="shared" si="125"/>
        <v>#VALUE!</v>
      </c>
      <c r="O1037" s="118" t="e">
        <f t="shared" si="126"/>
        <v>#VALUE!</v>
      </c>
    </row>
    <row r="1038" spans="1:15" x14ac:dyDescent="0.25">
      <c r="A1038" t="s">
        <v>1269</v>
      </c>
      <c r="B1038" t="s">
        <v>1267</v>
      </c>
      <c r="C1038" s="19">
        <v>1</v>
      </c>
      <c r="D1038" s="18" t="s">
        <v>1268</v>
      </c>
      <c r="E1038" s="13">
        <v>4</v>
      </c>
      <c r="F1038" t="s">
        <v>1267</v>
      </c>
      <c r="G1038" s="25">
        <v>81897710023</v>
      </c>
      <c r="H1038" s="11">
        <v>23.492239999999999</v>
      </c>
      <c r="I1038" s="11">
        <f t="shared" ref="I1038:I1070" si="127">H1038*E1038</f>
        <v>93.968959999999996</v>
      </c>
      <c r="J1038" s="11">
        <f>O1038</f>
        <v>23.492239999999999</v>
      </c>
      <c r="K1038" s="11">
        <f t="shared" ref="K1038:K1070" si="128">J1038*E1038</f>
        <v>93.968959999999996</v>
      </c>
      <c r="L1038" s="10">
        <v>0</v>
      </c>
      <c r="N1038" s="118">
        <f t="shared" si="125"/>
        <v>0</v>
      </c>
      <c r="O1038" s="118">
        <f t="shared" si="126"/>
        <v>23.492239999999999</v>
      </c>
    </row>
    <row r="1039" spans="1:15" x14ac:dyDescent="0.25">
      <c r="A1039" s="131" t="s">
        <v>1266</v>
      </c>
      <c r="C1039" s="19">
        <v>2</v>
      </c>
      <c r="D1039" s="18" t="s">
        <v>1265</v>
      </c>
      <c r="E1039" s="13">
        <v>1</v>
      </c>
      <c r="F1039" s="18" t="s">
        <v>1360</v>
      </c>
      <c r="G1039" s="25">
        <v>81897719006</v>
      </c>
      <c r="H1039" s="11">
        <v>150.02000000000001</v>
      </c>
      <c r="I1039" s="11">
        <f t="shared" si="127"/>
        <v>150.02000000000001</v>
      </c>
      <c r="J1039" s="11">
        <f t="shared" ref="J1039:J1070" si="129">O1039</f>
        <v>150.02000000000001</v>
      </c>
      <c r="K1039" s="11">
        <f t="shared" si="128"/>
        <v>150.02000000000001</v>
      </c>
      <c r="L1039" s="10">
        <v>0</v>
      </c>
      <c r="N1039" s="118">
        <f t="shared" si="125"/>
        <v>0</v>
      </c>
      <c r="O1039" s="118">
        <f t="shared" si="126"/>
        <v>150.02000000000001</v>
      </c>
    </row>
    <row r="1040" spans="1:15" x14ac:dyDescent="0.25">
      <c r="A1040" t="s">
        <v>1264</v>
      </c>
      <c r="B1040" t="s">
        <v>1262</v>
      </c>
      <c r="C1040" s="19">
        <v>3</v>
      </c>
      <c r="D1040" s="18" t="s">
        <v>1263</v>
      </c>
      <c r="E1040" s="13">
        <v>1</v>
      </c>
      <c r="F1040" s="25" t="s">
        <v>1262</v>
      </c>
      <c r="G1040" s="25">
        <v>81897719002</v>
      </c>
      <c r="H1040" s="11">
        <v>23.492239999999999</v>
      </c>
      <c r="I1040" s="11">
        <f t="shared" si="127"/>
        <v>23.492239999999999</v>
      </c>
      <c r="J1040" s="11">
        <f t="shared" si="129"/>
        <v>23.492239999999999</v>
      </c>
      <c r="K1040" s="11">
        <f t="shared" si="128"/>
        <v>23.492239999999999</v>
      </c>
      <c r="L1040" s="10">
        <v>0</v>
      </c>
      <c r="N1040" s="118">
        <f t="shared" si="125"/>
        <v>0</v>
      </c>
      <c r="O1040" s="118">
        <f t="shared" si="126"/>
        <v>23.492239999999999</v>
      </c>
    </row>
    <row r="1041" spans="1:15" x14ac:dyDescent="0.25">
      <c r="A1041" t="s">
        <v>1261</v>
      </c>
      <c r="B1041" t="s">
        <v>1259</v>
      </c>
      <c r="C1041" s="19">
        <v>4</v>
      </c>
      <c r="D1041" s="18" t="s">
        <v>1260</v>
      </c>
      <c r="E1041" s="13">
        <v>1</v>
      </c>
      <c r="F1041" t="s">
        <v>1259</v>
      </c>
      <c r="G1041" s="25">
        <v>81897719002</v>
      </c>
      <c r="H1041" s="11">
        <v>30.965920000000001</v>
      </c>
      <c r="I1041" s="11">
        <f t="shared" si="127"/>
        <v>30.965920000000001</v>
      </c>
      <c r="J1041" s="11">
        <f t="shared" si="129"/>
        <v>30.965920000000001</v>
      </c>
      <c r="K1041" s="11">
        <f t="shared" si="128"/>
        <v>30.965920000000001</v>
      </c>
      <c r="L1041" s="10">
        <v>0</v>
      </c>
      <c r="N1041" s="118">
        <f t="shared" si="125"/>
        <v>0</v>
      </c>
      <c r="O1041" s="118">
        <f t="shared" si="126"/>
        <v>30.965920000000001</v>
      </c>
    </row>
    <row r="1042" spans="1:15" x14ac:dyDescent="0.25">
      <c r="A1042" s="131" t="s">
        <v>1258</v>
      </c>
      <c r="C1042" s="19">
        <v>5</v>
      </c>
      <c r="D1042" s="18" t="s">
        <v>1257</v>
      </c>
      <c r="E1042" s="13">
        <v>1</v>
      </c>
      <c r="F1042" s="25" t="s">
        <v>1354</v>
      </c>
      <c r="G1042" s="25">
        <v>81897719006</v>
      </c>
      <c r="H1042" s="11">
        <v>30.965920000000001</v>
      </c>
      <c r="I1042" s="11">
        <f t="shared" si="127"/>
        <v>30.965920000000001</v>
      </c>
      <c r="J1042" s="11">
        <f t="shared" si="129"/>
        <v>30.965920000000001</v>
      </c>
      <c r="K1042" s="11">
        <f t="shared" si="128"/>
        <v>30.965920000000001</v>
      </c>
      <c r="L1042" s="10">
        <v>0</v>
      </c>
      <c r="N1042" s="118">
        <f t="shared" si="125"/>
        <v>0</v>
      </c>
      <c r="O1042" s="118">
        <f t="shared" si="126"/>
        <v>30.965920000000001</v>
      </c>
    </row>
    <row r="1043" spans="1:15" x14ac:dyDescent="0.25">
      <c r="A1043" s="131" t="s">
        <v>1256</v>
      </c>
      <c r="B1043" t="s">
        <v>1255</v>
      </c>
      <c r="C1043" s="19">
        <v>6</v>
      </c>
      <c r="D1043" s="18" t="s">
        <v>1254</v>
      </c>
      <c r="E1043" s="13">
        <v>1</v>
      </c>
      <c r="F1043" s="18" t="s">
        <v>3053</v>
      </c>
      <c r="G1043" s="25">
        <v>81897719006</v>
      </c>
      <c r="H1043" s="11">
        <v>35.143599999999999</v>
      </c>
      <c r="I1043" s="11">
        <f t="shared" si="127"/>
        <v>35.143599999999999</v>
      </c>
      <c r="J1043" s="11">
        <f t="shared" si="129"/>
        <v>35.143599999999999</v>
      </c>
      <c r="K1043" s="11">
        <f t="shared" si="128"/>
        <v>35.143599999999999</v>
      </c>
      <c r="L1043" s="10">
        <v>0</v>
      </c>
      <c r="N1043" s="118">
        <f t="shared" si="125"/>
        <v>0</v>
      </c>
      <c r="O1043" s="118">
        <f t="shared" si="126"/>
        <v>35.143599999999999</v>
      </c>
    </row>
    <row r="1044" spans="1:15" x14ac:dyDescent="0.25">
      <c r="A1044" s="131" t="s">
        <v>1253</v>
      </c>
      <c r="B1044" t="s">
        <v>1252</v>
      </c>
      <c r="C1044" s="19">
        <v>7</v>
      </c>
      <c r="D1044" s="18" t="s">
        <v>1251</v>
      </c>
      <c r="E1044" s="13">
        <v>1</v>
      </c>
      <c r="F1044" s="18" t="s">
        <v>3054</v>
      </c>
      <c r="G1044" s="25">
        <v>81897719006</v>
      </c>
      <c r="H1044" s="11">
        <v>35.143599999999999</v>
      </c>
      <c r="I1044" s="11">
        <f t="shared" si="127"/>
        <v>35.143599999999999</v>
      </c>
      <c r="J1044" s="11">
        <f t="shared" si="129"/>
        <v>35.143599999999999</v>
      </c>
      <c r="K1044" s="11">
        <f t="shared" si="128"/>
        <v>35.143599999999999</v>
      </c>
      <c r="L1044" s="10">
        <v>0</v>
      </c>
      <c r="N1044" s="118">
        <f t="shared" si="125"/>
        <v>0</v>
      </c>
      <c r="O1044" s="118">
        <f t="shared" si="126"/>
        <v>35.143599999999999</v>
      </c>
    </row>
    <row r="1045" spans="1:15" x14ac:dyDescent="0.25">
      <c r="A1045" s="131" t="s">
        <v>1250</v>
      </c>
      <c r="B1045" s="5" t="s">
        <v>1249</v>
      </c>
      <c r="C1045" s="19">
        <v>8</v>
      </c>
      <c r="D1045" s="18" t="s">
        <v>1248</v>
      </c>
      <c r="E1045" s="13">
        <v>2</v>
      </c>
      <c r="F1045" s="18" t="s">
        <v>1335</v>
      </c>
      <c r="G1045" s="25">
        <v>81897719006</v>
      </c>
      <c r="H1045" s="11">
        <v>34.04768</v>
      </c>
      <c r="I1045" s="11">
        <f t="shared" si="127"/>
        <v>68.095359999999999</v>
      </c>
      <c r="J1045" s="11">
        <f t="shared" si="129"/>
        <v>34.04768</v>
      </c>
      <c r="K1045" s="11">
        <f t="shared" si="128"/>
        <v>68.095359999999999</v>
      </c>
      <c r="L1045" s="10">
        <v>0</v>
      </c>
      <c r="N1045" s="118">
        <f t="shared" si="125"/>
        <v>0</v>
      </c>
      <c r="O1045" s="118">
        <f t="shared" si="126"/>
        <v>34.04768</v>
      </c>
    </row>
    <row r="1046" spans="1:15" s="5" customFormat="1" x14ac:dyDescent="0.25">
      <c r="A1046" s="133" t="s">
        <v>1247</v>
      </c>
      <c r="B1046" t="s">
        <v>1246</v>
      </c>
      <c r="C1046" s="19">
        <v>9</v>
      </c>
      <c r="D1046" s="18" t="s">
        <v>1245</v>
      </c>
      <c r="E1046" s="13">
        <v>2</v>
      </c>
      <c r="F1046" s="18" t="s">
        <v>1332</v>
      </c>
      <c r="G1046" s="25">
        <v>81897719006</v>
      </c>
      <c r="H1046" s="11">
        <v>34.04768</v>
      </c>
      <c r="I1046" s="11">
        <f t="shared" si="127"/>
        <v>68.095359999999999</v>
      </c>
      <c r="J1046" s="11">
        <f t="shared" si="129"/>
        <v>34.04768</v>
      </c>
      <c r="K1046" s="11">
        <f t="shared" si="128"/>
        <v>68.095359999999999</v>
      </c>
      <c r="L1046" s="10">
        <v>0</v>
      </c>
      <c r="N1046" s="118">
        <f t="shared" si="125"/>
        <v>0</v>
      </c>
      <c r="O1046" s="118">
        <f t="shared" si="126"/>
        <v>34.04768</v>
      </c>
    </row>
    <row r="1047" spans="1:15" x14ac:dyDescent="0.25">
      <c r="A1047" t="s">
        <v>1244</v>
      </c>
      <c r="B1047" t="s">
        <v>1242</v>
      </c>
      <c r="C1047" s="19">
        <v>10</v>
      </c>
      <c r="D1047" s="18" t="s">
        <v>1243</v>
      </c>
      <c r="E1047" s="13">
        <v>4</v>
      </c>
      <c r="F1047" s="25" t="s">
        <v>1242</v>
      </c>
      <c r="G1047" s="25">
        <v>81897719002</v>
      </c>
      <c r="H1047" s="11">
        <v>19.578240000000001</v>
      </c>
      <c r="I1047" s="11">
        <f t="shared" si="127"/>
        <v>78.312960000000004</v>
      </c>
      <c r="J1047" s="11">
        <f t="shared" si="129"/>
        <v>19.578240000000001</v>
      </c>
      <c r="K1047" s="11">
        <f t="shared" si="128"/>
        <v>78.312960000000004</v>
      </c>
      <c r="L1047" s="10">
        <v>0</v>
      </c>
      <c r="N1047" s="118">
        <f t="shared" si="125"/>
        <v>0</v>
      </c>
      <c r="O1047" s="118">
        <f t="shared" si="126"/>
        <v>19.578240000000001</v>
      </c>
    </row>
    <row r="1048" spans="1:15" x14ac:dyDescent="0.25">
      <c r="A1048" t="s">
        <v>1241</v>
      </c>
      <c r="B1048" t="s">
        <v>1239</v>
      </c>
      <c r="C1048" s="19">
        <v>11</v>
      </c>
      <c r="D1048" s="18" t="s">
        <v>1240</v>
      </c>
      <c r="E1048" s="13">
        <v>4</v>
      </c>
      <c r="F1048" s="25" t="s">
        <v>1239</v>
      </c>
      <c r="G1048" s="25">
        <v>81897719002</v>
      </c>
      <c r="H1048" s="11">
        <v>14.683680000000001</v>
      </c>
      <c r="I1048" s="11">
        <f t="shared" si="127"/>
        <v>58.734720000000003</v>
      </c>
      <c r="J1048" s="11">
        <f t="shared" si="129"/>
        <v>14.683680000000001</v>
      </c>
      <c r="K1048" s="11">
        <f t="shared" si="128"/>
        <v>58.734720000000003</v>
      </c>
      <c r="L1048" s="10">
        <v>0</v>
      </c>
      <c r="N1048" s="118">
        <f t="shared" si="125"/>
        <v>0</v>
      </c>
      <c r="O1048" s="118">
        <f t="shared" si="126"/>
        <v>14.683680000000001</v>
      </c>
    </row>
    <row r="1049" spans="1:15" x14ac:dyDescent="0.25">
      <c r="A1049" t="s">
        <v>1238</v>
      </c>
      <c r="B1049" t="s">
        <v>1236</v>
      </c>
      <c r="C1049" s="19">
        <v>12</v>
      </c>
      <c r="D1049" s="18" t="s">
        <v>1237</v>
      </c>
      <c r="E1049" s="13">
        <v>4</v>
      </c>
      <c r="F1049" s="25" t="s">
        <v>1236</v>
      </c>
      <c r="G1049" s="25">
        <v>81897719002</v>
      </c>
      <c r="H1049" s="11">
        <v>16.30696</v>
      </c>
      <c r="I1049" s="11">
        <f t="shared" si="127"/>
        <v>65.22784</v>
      </c>
      <c r="J1049" s="11">
        <f t="shared" si="129"/>
        <v>16.30696</v>
      </c>
      <c r="K1049" s="11">
        <f t="shared" si="128"/>
        <v>65.22784</v>
      </c>
      <c r="L1049" s="10">
        <v>0</v>
      </c>
      <c r="N1049" s="118">
        <f t="shared" si="125"/>
        <v>0</v>
      </c>
      <c r="O1049" s="118">
        <f t="shared" si="126"/>
        <v>16.30696</v>
      </c>
    </row>
    <row r="1050" spans="1:15" x14ac:dyDescent="0.25">
      <c r="A1050" t="s">
        <v>1235</v>
      </c>
      <c r="B1050" t="s">
        <v>1233</v>
      </c>
      <c r="C1050" s="19">
        <v>13</v>
      </c>
      <c r="D1050" s="18" t="s">
        <v>1234</v>
      </c>
      <c r="E1050" s="13">
        <v>5</v>
      </c>
      <c r="F1050" s="25" t="s">
        <v>1233</v>
      </c>
      <c r="G1050" s="25">
        <v>81897719002</v>
      </c>
      <c r="H1050" s="11">
        <v>16.6448</v>
      </c>
      <c r="I1050" s="11">
        <f t="shared" si="127"/>
        <v>83.224000000000004</v>
      </c>
      <c r="J1050" s="11">
        <f t="shared" si="129"/>
        <v>16.6448</v>
      </c>
      <c r="K1050" s="11">
        <f t="shared" si="128"/>
        <v>83.224000000000004</v>
      </c>
      <c r="L1050" s="10">
        <v>0</v>
      </c>
      <c r="N1050" s="118">
        <f t="shared" si="125"/>
        <v>0</v>
      </c>
      <c r="O1050" s="118">
        <f t="shared" si="126"/>
        <v>16.6448</v>
      </c>
    </row>
    <row r="1051" spans="1:15" x14ac:dyDescent="0.25">
      <c r="A1051" t="s">
        <v>1232</v>
      </c>
      <c r="B1051" t="s">
        <v>259</v>
      </c>
      <c r="C1051" s="19">
        <v>14</v>
      </c>
      <c r="D1051" s="18" t="s">
        <v>260</v>
      </c>
      <c r="E1051" s="13">
        <v>5</v>
      </c>
      <c r="F1051" s="25" t="s">
        <v>259</v>
      </c>
      <c r="G1051" s="25">
        <v>81897719002</v>
      </c>
      <c r="H1051" s="11">
        <v>7.8279999999999994</v>
      </c>
      <c r="I1051" s="11">
        <f t="shared" si="127"/>
        <v>39.14</v>
      </c>
      <c r="J1051" s="11">
        <f t="shared" si="129"/>
        <v>7.8279999999999994</v>
      </c>
      <c r="K1051" s="11">
        <f t="shared" si="128"/>
        <v>39.14</v>
      </c>
      <c r="L1051" s="10">
        <v>0</v>
      </c>
      <c r="N1051" s="118">
        <f t="shared" si="125"/>
        <v>0</v>
      </c>
      <c r="O1051" s="118">
        <f t="shared" si="126"/>
        <v>7.8279999999999994</v>
      </c>
    </row>
    <row r="1052" spans="1:15" x14ac:dyDescent="0.25">
      <c r="A1052" t="s">
        <v>1231</v>
      </c>
      <c r="B1052" t="s">
        <v>256</v>
      </c>
      <c r="C1052" s="19">
        <v>15</v>
      </c>
      <c r="D1052" s="18" t="s">
        <v>257</v>
      </c>
      <c r="E1052" s="13">
        <v>5</v>
      </c>
      <c r="F1052" s="25" t="s">
        <v>256</v>
      </c>
      <c r="G1052" s="25">
        <v>81897719002</v>
      </c>
      <c r="H1052" s="11">
        <v>8.1658399999999993</v>
      </c>
      <c r="I1052" s="11">
        <f t="shared" si="127"/>
        <v>40.8292</v>
      </c>
      <c r="J1052" s="11">
        <f t="shared" si="129"/>
        <v>8.1658399999999993</v>
      </c>
      <c r="K1052" s="11">
        <f t="shared" si="128"/>
        <v>40.8292</v>
      </c>
      <c r="L1052" s="10">
        <v>0</v>
      </c>
      <c r="N1052" s="118">
        <f t="shared" si="125"/>
        <v>0</v>
      </c>
      <c r="O1052" s="118">
        <f t="shared" si="126"/>
        <v>8.1658399999999993</v>
      </c>
    </row>
    <row r="1053" spans="1:15" x14ac:dyDescent="0.25">
      <c r="A1053" t="s">
        <v>1230</v>
      </c>
      <c r="B1053" t="s">
        <v>1223</v>
      </c>
      <c r="C1053" s="19">
        <v>16</v>
      </c>
      <c r="D1053" s="18" t="s">
        <v>1224</v>
      </c>
      <c r="E1053" s="13">
        <v>4</v>
      </c>
      <c r="F1053" s="25" t="s">
        <v>1223</v>
      </c>
      <c r="G1053" s="25">
        <v>81897719003</v>
      </c>
      <c r="H1053" s="11">
        <v>58.734720000000003</v>
      </c>
      <c r="I1053" s="11">
        <f t="shared" si="127"/>
        <v>234.93888000000001</v>
      </c>
      <c r="J1053" s="11">
        <f t="shared" si="129"/>
        <v>58.734720000000003</v>
      </c>
      <c r="K1053" s="11">
        <f t="shared" si="128"/>
        <v>234.93888000000001</v>
      </c>
      <c r="L1053" s="10">
        <v>0</v>
      </c>
      <c r="N1053" s="118">
        <f t="shared" si="125"/>
        <v>0</v>
      </c>
      <c r="O1053" s="118">
        <f t="shared" si="126"/>
        <v>58.734720000000003</v>
      </c>
    </row>
    <row r="1054" spans="1:15" x14ac:dyDescent="0.25">
      <c r="A1054" t="s">
        <v>1229</v>
      </c>
      <c r="B1054" t="s">
        <v>1227</v>
      </c>
      <c r="C1054" s="19">
        <v>17</v>
      </c>
      <c r="D1054" s="18" t="s">
        <v>1228</v>
      </c>
      <c r="E1054" s="13">
        <v>4</v>
      </c>
      <c r="F1054" s="25" t="s">
        <v>1227</v>
      </c>
      <c r="G1054" s="25">
        <v>81897719003</v>
      </c>
      <c r="H1054" s="11">
        <v>62.006</v>
      </c>
      <c r="I1054" s="11">
        <f t="shared" si="127"/>
        <v>248.024</v>
      </c>
      <c r="J1054" s="11">
        <f t="shared" si="129"/>
        <v>62.006</v>
      </c>
      <c r="K1054" s="11">
        <f t="shared" si="128"/>
        <v>248.024</v>
      </c>
      <c r="L1054" s="10">
        <v>0</v>
      </c>
      <c r="N1054" s="118">
        <f t="shared" si="125"/>
        <v>0</v>
      </c>
      <c r="O1054" s="118">
        <f t="shared" si="126"/>
        <v>62.006</v>
      </c>
    </row>
    <row r="1055" spans="1:15" x14ac:dyDescent="0.25">
      <c r="A1055" t="s">
        <v>1226</v>
      </c>
      <c r="B1055" t="s">
        <v>211</v>
      </c>
      <c r="C1055" s="19">
        <v>18</v>
      </c>
      <c r="D1055" s="18" t="s">
        <v>212</v>
      </c>
      <c r="E1055" s="13">
        <v>4</v>
      </c>
      <c r="F1055" s="25" t="s">
        <v>211</v>
      </c>
      <c r="G1055" s="25">
        <v>81897719003</v>
      </c>
      <c r="H1055" s="11">
        <v>53.840160000000004</v>
      </c>
      <c r="I1055" s="11">
        <f t="shared" si="127"/>
        <v>215.36064000000002</v>
      </c>
      <c r="J1055" s="11">
        <f t="shared" si="129"/>
        <v>53.840160000000004</v>
      </c>
      <c r="K1055" s="11">
        <f t="shared" si="128"/>
        <v>215.36064000000002</v>
      </c>
      <c r="L1055" s="10">
        <v>0</v>
      </c>
      <c r="N1055" s="118">
        <f t="shared" si="125"/>
        <v>0</v>
      </c>
      <c r="O1055" s="118">
        <f t="shared" si="126"/>
        <v>53.840160000000004</v>
      </c>
    </row>
    <row r="1056" spans="1:15" x14ac:dyDescent="0.25">
      <c r="A1056" t="s">
        <v>1225</v>
      </c>
      <c r="B1056" t="s">
        <v>1223</v>
      </c>
      <c r="C1056" s="19">
        <v>19</v>
      </c>
      <c r="D1056" s="18" t="s">
        <v>1224</v>
      </c>
      <c r="E1056" s="13">
        <v>1</v>
      </c>
      <c r="F1056" s="25" t="s">
        <v>1223</v>
      </c>
      <c r="G1056" s="25">
        <v>81897719003</v>
      </c>
      <c r="H1056" s="11">
        <v>58.734720000000003</v>
      </c>
      <c r="I1056" s="11">
        <f t="shared" si="127"/>
        <v>58.734720000000003</v>
      </c>
      <c r="J1056" s="11">
        <f t="shared" si="129"/>
        <v>58.734720000000003</v>
      </c>
      <c r="K1056" s="11">
        <f t="shared" si="128"/>
        <v>58.734720000000003</v>
      </c>
      <c r="L1056" s="10">
        <v>0</v>
      </c>
      <c r="N1056" s="118">
        <f t="shared" si="125"/>
        <v>0</v>
      </c>
      <c r="O1056" s="118">
        <f t="shared" si="126"/>
        <v>58.734720000000003</v>
      </c>
    </row>
    <row r="1057" spans="1:15" x14ac:dyDescent="0.25">
      <c r="A1057" s="131" t="s">
        <v>1222</v>
      </c>
      <c r="B1057" t="s">
        <v>1220</v>
      </c>
      <c r="C1057" s="19">
        <v>20</v>
      </c>
      <c r="D1057" s="18" t="s">
        <v>1221</v>
      </c>
      <c r="E1057" s="13">
        <v>1</v>
      </c>
      <c r="F1057" s="18" t="s">
        <v>3055</v>
      </c>
      <c r="G1057" s="25">
        <v>81897710043</v>
      </c>
      <c r="H1057" s="11">
        <v>62.006</v>
      </c>
      <c r="I1057" s="11">
        <f t="shared" si="127"/>
        <v>62.006</v>
      </c>
      <c r="J1057" s="11">
        <f t="shared" si="129"/>
        <v>62.006</v>
      </c>
      <c r="K1057" s="11">
        <f t="shared" si="128"/>
        <v>62.006</v>
      </c>
      <c r="L1057" s="10">
        <v>0</v>
      </c>
      <c r="N1057" s="118">
        <f t="shared" si="125"/>
        <v>0</v>
      </c>
      <c r="O1057" s="118">
        <f t="shared" si="126"/>
        <v>62.006</v>
      </c>
    </row>
    <row r="1058" spans="1:15" x14ac:dyDescent="0.25">
      <c r="A1058" t="s">
        <v>1219</v>
      </c>
      <c r="B1058" t="s">
        <v>1217</v>
      </c>
      <c r="C1058" s="19">
        <v>21</v>
      </c>
      <c r="D1058" s="18" t="s">
        <v>1218</v>
      </c>
      <c r="E1058" s="13">
        <v>4</v>
      </c>
      <c r="F1058" s="18" t="s">
        <v>1217</v>
      </c>
      <c r="G1058" s="25">
        <v>81897719003</v>
      </c>
      <c r="H1058" s="11">
        <v>60.852399999999996</v>
      </c>
      <c r="I1058" s="11">
        <f t="shared" si="127"/>
        <v>243.40959999999998</v>
      </c>
      <c r="J1058" s="11">
        <f t="shared" si="129"/>
        <v>60.852399999999996</v>
      </c>
      <c r="K1058" s="11">
        <f t="shared" si="128"/>
        <v>243.40959999999998</v>
      </c>
      <c r="L1058" s="10">
        <v>0</v>
      </c>
      <c r="N1058" s="118">
        <f t="shared" si="125"/>
        <v>0</v>
      </c>
      <c r="O1058" s="118">
        <f t="shared" si="126"/>
        <v>60.852399999999996</v>
      </c>
    </row>
    <row r="1059" spans="1:15" x14ac:dyDescent="0.25">
      <c r="A1059" t="s">
        <v>1216</v>
      </c>
      <c r="B1059" t="s">
        <v>1214</v>
      </c>
      <c r="C1059" s="19">
        <v>22</v>
      </c>
      <c r="D1059" s="18" t="s">
        <v>1215</v>
      </c>
      <c r="E1059" s="13">
        <v>4</v>
      </c>
      <c r="F1059" s="18" t="s">
        <v>1214</v>
      </c>
      <c r="G1059" s="25">
        <v>81897710019</v>
      </c>
      <c r="H1059" s="11">
        <v>60.852399999999996</v>
      </c>
      <c r="I1059" s="11">
        <f t="shared" si="127"/>
        <v>243.40959999999998</v>
      </c>
      <c r="J1059" s="11">
        <f t="shared" si="129"/>
        <v>60.852399999999996</v>
      </c>
      <c r="K1059" s="11">
        <f t="shared" si="128"/>
        <v>243.40959999999998</v>
      </c>
      <c r="L1059" s="10">
        <v>0</v>
      </c>
      <c r="N1059" s="118">
        <f t="shared" si="125"/>
        <v>0</v>
      </c>
      <c r="O1059" s="118">
        <f t="shared" si="126"/>
        <v>60.852399999999996</v>
      </c>
    </row>
    <row r="1060" spans="1:15" x14ac:dyDescent="0.25">
      <c r="A1060" t="s">
        <v>1213</v>
      </c>
      <c r="B1060" t="s">
        <v>1211</v>
      </c>
      <c r="C1060" s="19">
        <v>23</v>
      </c>
      <c r="D1060" s="18" t="s">
        <v>1212</v>
      </c>
      <c r="E1060" s="13">
        <v>4</v>
      </c>
      <c r="F1060" s="25" t="s">
        <v>1211</v>
      </c>
      <c r="G1060" s="25">
        <v>81897719003</v>
      </c>
      <c r="H1060" s="11">
        <v>55.463439999999999</v>
      </c>
      <c r="I1060" s="11">
        <f t="shared" si="127"/>
        <v>221.85375999999999</v>
      </c>
      <c r="J1060" s="11">
        <f t="shared" si="129"/>
        <v>55.463439999999999</v>
      </c>
      <c r="K1060" s="11">
        <f t="shared" si="128"/>
        <v>221.85375999999999</v>
      </c>
      <c r="L1060" s="10">
        <v>0</v>
      </c>
      <c r="N1060" s="118">
        <f t="shared" si="125"/>
        <v>0</v>
      </c>
      <c r="O1060" s="118">
        <f t="shared" si="126"/>
        <v>55.463439999999999</v>
      </c>
    </row>
    <row r="1061" spans="1:15" x14ac:dyDescent="0.25">
      <c r="A1061" t="s">
        <v>1210</v>
      </c>
      <c r="B1061" t="s">
        <v>1208</v>
      </c>
      <c r="C1061" s="19">
        <v>24</v>
      </c>
      <c r="D1061" s="18" t="s">
        <v>1209</v>
      </c>
      <c r="E1061" s="13">
        <v>4</v>
      </c>
      <c r="F1061" t="s">
        <v>1208</v>
      </c>
      <c r="G1061" s="25">
        <v>81897719003</v>
      </c>
      <c r="H1061" s="11">
        <v>65.977679999999992</v>
      </c>
      <c r="I1061" s="11">
        <f t="shared" si="127"/>
        <v>263.91071999999997</v>
      </c>
      <c r="J1061" s="11">
        <f t="shared" si="129"/>
        <v>65.977679999999992</v>
      </c>
      <c r="K1061" s="11">
        <f t="shared" si="128"/>
        <v>263.91071999999997</v>
      </c>
      <c r="L1061" s="10">
        <v>0</v>
      </c>
      <c r="N1061" s="118">
        <f t="shared" si="125"/>
        <v>0</v>
      </c>
      <c r="O1061" s="118">
        <f t="shared" si="126"/>
        <v>65.977679999999992</v>
      </c>
    </row>
    <row r="1062" spans="1:15" x14ac:dyDescent="0.25">
      <c r="A1062" t="s">
        <v>1207</v>
      </c>
      <c r="B1062" t="s">
        <v>98</v>
      </c>
      <c r="C1062" s="19">
        <v>25</v>
      </c>
      <c r="D1062" s="18" t="s">
        <v>99</v>
      </c>
      <c r="E1062" s="13">
        <v>5</v>
      </c>
      <c r="F1062" s="25" t="s">
        <v>98</v>
      </c>
      <c r="G1062" s="25">
        <v>81897719002</v>
      </c>
      <c r="H1062" s="11">
        <v>8.3800799999999995</v>
      </c>
      <c r="I1062" s="11">
        <f t="shared" si="127"/>
        <v>41.900399999999998</v>
      </c>
      <c r="J1062" s="11">
        <f t="shared" si="129"/>
        <v>8.3800799999999995</v>
      </c>
      <c r="K1062" s="11">
        <f t="shared" si="128"/>
        <v>41.900399999999998</v>
      </c>
      <c r="L1062" s="10">
        <v>0</v>
      </c>
      <c r="N1062" s="118">
        <f t="shared" si="125"/>
        <v>0</v>
      </c>
      <c r="O1062" s="118">
        <f t="shared" si="126"/>
        <v>8.3800799999999995</v>
      </c>
    </row>
    <row r="1063" spans="1:15" x14ac:dyDescent="0.25">
      <c r="A1063" t="s">
        <v>1206</v>
      </c>
      <c r="B1063" t="s">
        <v>1204</v>
      </c>
      <c r="C1063" s="19">
        <v>26</v>
      </c>
      <c r="D1063" s="18" t="s">
        <v>1205</v>
      </c>
      <c r="E1063" s="13">
        <v>1</v>
      </c>
      <c r="F1063" s="25" t="s">
        <v>1204</v>
      </c>
      <c r="G1063" s="25">
        <v>81897719002</v>
      </c>
      <c r="H1063" s="11">
        <v>20.78952</v>
      </c>
      <c r="I1063" s="11">
        <f t="shared" si="127"/>
        <v>20.78952</v>
      </c>
      <c r="J1063" s="11">
        <f t="shared" si="129"/>
        <v>20.78952</v>
      </c>
      <c r="K1063" s="11">
        <f t="shared" si="128"/>
        <v>20.78952</v>
      </c>
      <c r="L1063" s="10">
        <v>0</v>
      </c>
      <c r="N1063" s="118">
        <f t="shared" si="125"/>
        <v>0</v>
      </c>
      <c r="O1063" s="118">
        <f t="shared" si="126"/>
        <v>20.78952</v>
      </c>
    </row>
    <row r="1064" spans="1:15" x14ac:dyDescent="0.25">
      <c r="A1064" t="s">
        <v>1203</v>
      </c>
      <c r="B1064" t="s">
        <v>1201</v>
      </c>
      <c r="C1064" s="19">
        <v>27</v>
      </c>
      <c r="D1064" s="18" t="s">
        <v>1202</v>
      </c>
      <c r="E1064" s="13">
        <v>1</v>
      </c>
      <c r="F1064" s="25" t="s">
        <v>1201</v>
      </c>
      <c r="G1064" s="25">
        <v>81897719002</v>
      </c>
      <c r="H1064" s="11">
        <v>20.402239999999999</v>
      </c>
      <c r="I1064" s="11">
        <f t="shared" si="127"/>
        <v>20.402239999999999</v>
      </c>
      <c r="J1064" s="11">
        <f t="shared" si="129"/>
        <v>20.402239999999999</v>
      </c>
      <c r="K1064" s="11">
        <f t="shared" si="128"/>
        <v>20.402239999999999</v>
      </c>
      <c r="L1064" s="10">
        <v>0</v>
      </c>
      <c r="N1064" s="118">
        <f t="shared" si="125"/>
        <v>0</v>
      </c>
      <c r="O1064" s="118">
        <f t="shared" si="126"/>
        <v>20.402239999999999</v>
      </c>
    </row>
    <row r="1065" spans="1:15" x14ac:dyDescent="0.25">
      <c r="A1065" t="s">
        <v>1200</v>
      </c>
      <c r="B1065" t="s">
        <v>1198</v>
      </c>
      <c r="C1065" s="19">
        <v>28</v>
      </c>
      <c r="D1065" s="18" t="s">
        <v>1199</v>
      </c>
      <c r="E1065" s="13">
        <v>1</v>
      </c>
      <c r="F1065" t="s">
        <v>1198</v>
      </c>
      <c r="G1065" s="25">
        <v>81897719003</v>
      </c>
      <c r="H1065" s="11">
        <v>75.791520000000006</v>
      </c>
      <c r="I1065" s="11">
        <f t="shared" si="127"/>
        <v>75.791520000000006</v>
      </c>
      <c r="J1065" s="11">
        <f t="shared" si="129"/>
        <v>75.791520000000006</v>
      </c>
      <c r="K1065" s="11">
        <f t="shared" si="128"/>
        <v>75.791520000000006</v>
      </c>
      <c r="L1065" s="10">
        <v>0</v>
      </c>
      <c r="N1065" s="118">
        <f t="shared" si="125"/>
        <v>0</v>
      </c>
      <c r="O1065" s="118">
        <f t="shared" si="126"/>
        <v>75.791520000000006</v>
      </c>
    </row>
    <row r="1066" spans="1:15" x14ac:dyDescent="0.25">
      <c r="A1066" s="131" t="s">
        <v>1197</v>
      </c>
      <c r="C1066" s="19">
        <v>29</v>
      </c>
      <c r="D1066" s="18" t="s">
        <v>1196</v>
      </c>
      <c r="E1066" s="13">
        <v>1</v>
      </c>
      <c r="F1066" s="18" t="s">
        <v>1357</v>
      </c>
      <c r="G1066" s="25">
        <v>81897710043</v>
      </c>
      <c r="H1066" s="11">
        <v>76.805039999999991</v>
      </c>
      <c r="I1066" s="11">
        <f t="shared" si="127"/>
        <v>76.805039999999991</v>
      </c>
      <c r="J1066" s="11">
        <f t="shared" si="129"/>
        <v>76.805039999999991</v>
      </c>
      <c r="K1066" s="11">
        <f t="shared" si="128"/>
        <v>76.805039999999991</v>
      </c>
      <c r="L1066" s="10">
        <v>0</v>
      </c>
      <c r="N1066" s="118">
        <f t="shared" si="125"/>
        <v>0</v>
      </c>
      <c r="O1066" s="118">
        <f t="shared" si="126"/>
        <v>76.805039999999991</v>
      </c>
    </row>
    <row r="1067" spans="1:15" x14ac:dyDescent="0.25">
      <c r="A1067" t="s">
        <v>1195</v>
      </c>
      <c r="B1067" t="s">
        <v>44</v>
      </c>
      <c r="C1067" s="19">
        <v>30</v>
      </c>
      <c r="D1067" s="18" t="s">
        <v>45</v>
      </c>
      <c r="E1067" s="13">
        <v>1</v>
      </c>
      <c r="F1067" s="25" t="s">
        <v>44</v>
      </c>
      <c r="G1067" s="25" t="s">
        <v>427</v>
      </c>
      <c r="H1067" s="11">
        <v>186.26519999999999</v>
      </c>
      <c r="I1067" s="11">
        <f t="shared" si="127"/>
        <v>186.26519999999999</v>
      </c>
      <c r="J1067" s="11">
        <f t="shared" si="129"/>
        <v>186.26519999999999</v>
      </c>
      <c r="K1067" s="11">
        <f t="shared" si="128"/>
        <v>186.26519999999999</v>
      </c>
      <c r="L1067" s="10">
        <v>0</v>
      </c>
      <c r="N1067" s="118">
        <f t="shared" si="125"/>
        <v>0</v>
      </c>
      <c r="O1067" s="118">
        <f t="shared" si="126"/>
        <v>186.26519999999999</v>
      </c>
    </row>
    <row r="1068" spans="1:15" x14ac:dyDescent="0.25">
      <c r="A1068" t="s">
        <v>1194</v>
      </c>
      <c r="B1068" t="s">
        <v>86</v>
      </c>
      <c r="C1068" s="19">
        <v>31</v>
      </c>
      <c r="D1068" s="18" t="s">
        <v>87</v>
      </c>
      <c r="E1068" s="13">
        <v>1</v>
      </c>
      <c r="F1068" s="25" t="s">
        <v>86</v>
      </c>
      <c r="G1068" s="25" t="s">
        <v>427</v>
      </c>
      <c r="H1068" s="11">
        <v>263.70472000000001</v>
      </c>
      <c r="I1068" s="11">
        <f t="shared" si="127"/>
        <v>263.70472000000001</v>
      </c>
      <c r="J1068" s="11">
        <f t="shared" si="129"/>
        <v>263.70472000000001</v>
      </c>
      <c r="K1068" s="11">
        <f t="shared" si="128"/>
        <v>263.70472000000001</v>
      </c>
      <c r="L1068" s="10">
        <v>0</v>
      </c>
      <c r="N1068" s="118">
        <f t="shared" si="125"/>
        <v>0</v>
      </c>
      <c r="O1068" s="118">
        <f t="shared" si="126"/>
        <v>263.70472000000001</v>
      </c>
    </row>
    <row r="1069" spans="1:15" x14ac:dyDescent="0.25">
      <c r="B1069" t="s">
        <v>84</v>
      </c>
      <c r="C1069" s="19">
        <v>32</v>
      </c>
      <c r="D1069" s="18" t="s">
        <v>85</v>
      </c>
      <c r="E1069" s="13">
        <v>1</v>
      </c>
      <c r="F1069" s="25" t="s">
        <v>84</v>
      </c>
      <c r="G1069" s="25" t="s">
        <v>427</v>
      </c>
      <c r="H1069" s="11">
        <v>286.33176000000003</v>
      </c>
      <c r="I1069" s="11">
        <f t="shared" si="127"/>
        <v>286.33176000000003</v>
      </c>
      <c r="J1069" s="11">
        <f t="shared" si="129"/>
        <v>286.33176000000003</v>
      </c>
      <c r="K1069" s="11">
        <f t="shared" si="128"/>
        <v>286.33176000000003</v>
      </c>
      <c r="L1069" s="10">
        <v>0</v>
      </c>
      <c r="N1069" s="118">
        <f t="shared" si="125"/>
        <v>0</v>
      </c>
      <c r="O1069" s="118">
        <f t="shared" si="126"/>
        <v>286.33176000000003</v>
      </c>
    </row>
    <row r="1070" spans="1:15" x14ac:dyDescent="0.25">
      <c r="B1070" t="s">
        <v>82</v>
      </c>
      <c r="C1070" s="19">
        <v>33</v>
      </c>
      <c r="D1070" s="18" t="s">
        <v>83</v>
      </c>
      <c r="E1070" s="13">
        <v>2</v>
      </c>
      <c r="F1070" s="25" t="s">
        <v>82</v>
      </c>
      <c r="G1070" s="25" t="s">
        <v>427</v>
      </c>
      <c r="H1070" s="11">
        <v>4.6226400000000005</v>
      </c>
      <c r="I1070" s="11">
        <f t="shared" si="127"/>
        <v>9.2452800000000011</v>
      </c>
      <c r="J1070" s="11">
        <f t="shared" si="129"/>
        <v>4.6226400000000005</v>
      </c>
      <c r="K1070" s="11">
        <f t="shared" si="128"/>
        <v>9.2452800000000011</v>
      </c>
      <c r="L1070" s="10">
        <v>0</v>
      </c>
      <c r="N1070" s="118">
        <f t="shared" si="125"/>
        <v>0</v>
      </c>
      <c r="O1070" s="118">
        <f t="shared" si="126"/>
        <v>4.6226400000000005</v>
      </c>
    </row>
    <row r="1071" spans="1:15" x14ac:dyDescent="0.25">
      <c r="C1071" s="9"/>
      <c r="D1071" s="8" t="s">
        <v>1</v>
      </c>
      <c r="E1071" s="8">
        <f>SUM(E1038:E1070)</f>
        <v>85</v>
      </c>
      <c r="F1071" s="8"/>
      <c r="G1071" s="8"/>
      <c r="H1071" s="7"/>
      <c r="I1071" s="7">
        <f>SUM(I1038:I1070)</f>
        <v>3674.2432800000001</v>
      </c>
      <c r="J1071" s="8"/>
      <c r="K1071" s="7">
        <f>SUM(K1038:K1070)</f>
        <v>3674.2432800000001</v>
      </c>
      <c r="L1071" s="6"/>
      <c r="N1071" s="118">
        <f t="shared" si="125"/>
        <v>0</v>
      </c>
      <c r="O1071" s="118">
        <f t="shared" si="126"/>
        <v>0</v>
      </c>
    </row>
    <row r="1072" spans="1:15" x14ac:dyDescent="0.25">
      <c r="D1072" t="s">
        <v>0</v>
      </c>
      <c r="N1072" s="118">
        <f t="shared" si="125"/>
        <v>0</v>
      </c>
      <c r="O1072" s="118">
        <f t="shared" si="126"/>
        <v>0</v>
      </c>
    </row>
    <row r="1073" spans="1:15" x14ac:dyDescent="0.25">
      <c r="D1073" s="24" t="s">
        <v>1193</v>
      </c>
      <c r="N1073" s="118">
        <f t="shared" si="125"/>
        <v>0</v>
      </c>
      <c r="O1073" s="118">
        <f t="shared" si="126"/>
        <v>0</v>
      </c>
    </row>
    <row r="1074" spans="1:15" ht="30" x14ac:dyDescent="0.25">
      <c r="C1074" s="24" t="s">
        <v>28</v>
      </c>
      <c r="D1074" s="24" t="s">
        <v>27</v>
      </c>
      <c r="E1074" s="24" t="s">
        <v>26</v>
      </c>
      <c r="F1074" s="24" t="s">
        <v>25</v>
      </c>
      <c r="G1074" s="24" t="s">
        <v>24</v>
      </c>
      <c r="H1074" s="116" t="s">
        <v>21</v>
      </c>
      <c r="I1074" s="24" t="s">
        <v>23</v>
      </c>
      <c r="J1074" s="24" t="s">
        <v>2928</v>
      </c>
      <c r="K1074" s="24" t="s">
        <v>2927</v>
      </c>
      <c r="L1074" s="23" t="s">
        <v>22</v>
      </c>
      <c r="N1074" s="118" t="e">
        <f t="shared" si="125"/>
        <v>#VALUE!</v>
      </c>
      <c r="O1074" s="118" t="e">
        <f t="shared" si="126"/>
        <v>#VALUE!</v>
      </c>
    </row>
    <row r="1075" spans="1:15" x14ac:dyDescent="0.25">
      <c r="A1075" s="32" t="s">
        <v>1192</v>
      </c>
      <c r="B1075" t="s">
        <v>1190</v>
      </c>
      <c r="C1075" s="19">
        <v>1</v>
      </c>
      <c r="D1075" s="18" t="s">
        <v>1191</v>
      </c>
      <c r="E1075" s="13">
        <v>2</v>
      </c>
      <c r="F1075" s="25" t="s">
        <v>1190</v>
      </c>
      <c r="G1075" s="25">
        <v>81897719002</v>
      </c>
      <c r="H1075" s="11">
        <v>184.13104000000001</v>
      </c>
      <c r="I1075" s="11">
        <f t="shared" ref="I1075:I1112" si="130">H1075*E1075</f>
        <v>368.26208000000003</v>
      </c>
      <c r="J1075" s="11">
        <f>O1075</f>
        <v>184.13104000000001</v>
      </c>
      <c r="K1075" s="11">
        <f t="shared" ref="K1075:K1112" si="131">J1075*E1075</f>
        <v>368.26208000000003</v>
      </c>
      <c r="L1075" s="10">
        <v>0</v>
      </c>
      <c r="N1075" s="118">
        <f t="shared" si="125"/>
        <v>0</v>
      </c>
      <c r="O1075" s="118">
        <f t="shared" si="126"/>
        <v>184.13104000000001</v>
      </c>
    </row>
    <row r="1076" spans="1:15" x14ac:dyDescent="0.25">
      <c r="A1076" s="42" t="s">
        <v>1189</v>
      </c>
      <c r="C1076" s="19">
        <v>2</v>
      </c>
      <c r="D1076" s="18" t="s">
        <v>1188</v>
      </c>
      <c r="E1076" s="13">
        <v>2</v>
      </c>
      <c r="F1076" s="41" t="s">
        <v>1187</v>
      </c>
      <c r="G1076" s="25">
        <v>81897719002</v>
      </c>
      <c r="H1076" s="11">
        <v>63.406800000000004</v>
      </c>
      <c r="I1076" s="11">
        <f t="shared" si="130"/>
        <v>126.81360000000001</v>
      </c>
      <c r="J1076" s="11">
        <f t="shared" ref="J1076:J1112" si="132">O1076</f>
        <v>63.406800000000004</v>
      </c>
      <c r="K1076" s="11">
        <f t="shared" si="131"/>
        <v>126.81360000000001</v>
      </c>
      <c r="L1076" s="10">
        <v>0</v>
      </c>
      <c r="N1076" s="118">
        <f t="shared" si="125"/>
        <v>0</v>
      </c>
      <c r="O1076" s="118">
        <f t="shared" si="126"/>
        <v>63.406800000000004</v>
      </c>
    </row>
    <row r="1077" spans="1:15" x14ac:dyDescent="0.25">
      <c r="A1077" s="32" t="s">
        <v>1186</v>
      </c>
      <c r="B1077" t="s">
        <v>1184</v>
      </c>
      <c r="C1077" s="19">
        <v>3</v>
      </c>
      <c r="D1077" s="18" t="s">
        <v>1185</v>
      </c>
      <c r="E1077" s="13">
        <v>1</v>
      </c>
      <c r="F1077" s="25" t="s">
        <v>1184</v>
      </c>
      <c r="G1077" s="25">
        <v>81897719002</v>
      </c>
      <c r="H1077" s="11">
        <v>7.8939199999999996</v>
      </c>
      <c r="I1077" s="11">
        <f t="shared" si="130"/>
        <v>7.8939199999999996</v>
      </c>
      <c r="J1077" s="11">
        <f t="shared" si="132"/>
        <v>7.8939199999999996</v>
      </c>
      <c r="K1077" s="11">
        <f t="shared" si="131"/>
        <v>7.8939199999999996</v>
      </c>
      <c r="L1077" s="10">
        <v>0</v>
      </c>
      <c r="N1077" s="118">
        <f t="shared" si="125"/>
        <v>0</v>
      </c>
      <c r="O1077" s="118">
        <f t="shared" si="126"/>
        <v>7.8939199999999996</v>
      </c>
    </row>
    <row r="1078" spans="1:15" x14ac:dyDescent="0.25">
      <c r="A1078" s="32" t="s">
        <v>1183</v>
      </c>
      <c r="B1078" t="s">
        <v>422</v>
      </c>
      <c r="C1078" s="19">
        <v>4</v>
      </c>
      <c r="D1078" s="18" t="s">
        <v>423</v>
      </c>
      <c r="E1078" s="13">
        <v>2</v>
      </c>
      <c r="F1078" s="25" t="s">
        <v>422</v>
      </c>
      <c r="G1078" s="25">
        <v>81897719002</v>
      </c>
      <c r="H1078" s="11">
        <v>14.477680000000001</v>
      </c>
      <c r="I1078" s="11">
        <f t="shared" si="130"/>
        <v>28.955360000000002</v>
      </c>
      <c r="J1078" s="11">
        <f t="shared" si="132"/>
        <v>14.477680000000001</v>
      </c>
      <c r="K1078" s="11">
        <f t="shared" si="131"/>
        <v>28.955360000000002</v>
      </c>
      <c r="L1078" s="10">
        <v>0</v>
      </c>
      <c r="N1078" s="118">
        <f t="shared" si="125"/>
        <v>0</v>
      </c>
      <c r="O1078" s="118">
        <f t="shared" si="126"/>
        <v>14.477680000000001</v>
      </c>
    </row>
    <row r="1079" spans="1:15" x14ac:dyDescent="0.25">
      <c r="A1079" s="32" t="s">
        <v>1182</v>
      </c>
      <c r="B1079" t="s">
        <v>296</v>
      </c>
      <c r="C1079" s="19">
        <v>5</v>
      </c>
      <c r="D1079" s="18" t="s">
        <v>297</v>
      </c>
      <c r="E1079" s="13">
        <v>2</v>
      </c>
      <c r="F1079" s="25" t="s">
        <v>296</v>
      </c>
      <c r="G1079" s="25">
        <v>81897719002</v>
      </c>
      <c r="H1079" s="11">
        <v>26.318559999999998</v>
      </c>
      <c r="I1079" s="11">
        <f t="shared" si="130"/>
        <v>52.637119999999996</v>
      </c>
      <c r="J1079" s="11">
        <f t="shared" si="132"/>
        <v>26.318559999999998</v>
      </c>
      <c r="K1079" s="11">
        <f t="shared" si="131"/>
        <v>52.637119999999996</v>
      </c>
      <c r="L1079" s="10">
        <v>0</v>
      </c>
      <c r="N1079" s="118">
        <f t="shared" si="125"/>
        <v>0</v>
      </c>
      <c r="O1079" s="118">
        <f t="shared" si="126"/>
        <v>26.318559999999998</v>
      </c>
    </row>
    <row r="1080" spans="1:15" x14ac:dyDescent="0.25">
      <c r="A1080" s="32" t="s">
        <v>1181</v>
      </c>
      <c r="B1080" t="s">
        <v>286</v>
      </c>
      <c r="C1080" s="19">
        <v>6</v>
      </c>
      <c r="D1080" s="18" t="s">
        <v>287</v>
      </c>
      <c r="E1080" s="13">
        <v>1</v>
      </c>
      <c r="F1080" s="25" t="s">
        <v>286</v>
      </c>
      <c r="G1080" s="25">
        <v>81897719002</v>
      </c>
      <c r="H1080" s="11">
        <v>9.8632799999999996</v>
      </c>
      <c r="I1080" s="11">
        <f t="shared" si="130"/>
        <v>9.8632799999999996</v>
      </c>
      <c r="J1080" s="11">
        <f t="shared" si="132"/>
        <v>9.8632799999999996</v>
      </c>
      <c r="K1080" s="11">
        <f t="shared" si="131"/>
        <v>9.8632799999999996</v>
      </c>
      <c r="L1080" s="10">
        <v>0</v>
      </c>
      <c r="N1080" s="118">
        <f t="shared" si="125"/>
        <v>0</v>
      </c>
      <c r="O1080" s="118">
        <f t="shared" si="126"/>
        <v>9.8632799999999996</v>
      </c>
    </row>
    <row r="1081" spans="1:15" x14ac:dyDescent="0.25">
      <c r="A1081" s="35" t="s">
        <v>1180</v>
      </c>
      <c r="B1081" t="s">
        <v>409</v>
      </c>
      <c r="C1081" s="19">
        <v>7</v>
      </c>
      <c r="D1081" s="18" t="s">
        <v>485</v>
      </c>
      <c r="E1081" s="13">
        <v>1</v>
      </c>
      <c r="F1081" t="s">
        <v>409</v>
      </c>
      <c r="G1081" s="25">
        <v>81897710021</v>
      </c>
      <c r="H1081" s="11">
        <v>6.5920000000000005</v>
      </c>
      <c r="I1081" s="11">
        <f t="shared" si="130"/>
        <v>6.5920000000000005</v>
      </c>
      <c r="J1081" s="11">
        <f t="shared" si="132"/>
        <v>6.5920000000000005</v>
      </c>
      <c r="K1081" s="11">
        <f t="shared" si="131"/>
        <v>6.5920000000000005</v>
      </c>
      <c r="L1081" s="10">
        <v>0</v>
      </c>
      <c r="N1081" s="118">
        <f t="shared" si="125"/>
        <v>0</v>
      </c>
      <c r="O1081" s="118">
        <f t="shared" si="126"/>
        <v>6.5920000000000005</v>
      </c>
    </row>
    <row r="1082" spans="1:15" x14ac:dyDescent="0.25">
      <c r="A1082" s="32" t="s">
        <v>1179</v>
      </c>
      <c r="B1082" s="5" t="s">
        <v>1177</v>
      </c>
      <c r="C1082" s="19">
        <v>8</v>
      </c>
      <c r="D1082" s="18" t="s">
        <v>1178</v>
      </c>
      <c r="E1082" s="13">
        <v>2</v>
      </c>
      <c r="F1082" s="18" t="s">
        <v>1177</v>
      </c>
      <c r="G1082" s="25">
        <v>10301950027</v>
      </c>
      <c r="H1082" s="11">
        <v>367.15791999999999</v>
      </c>
      <c r="I1082" s="11">
        <f t="shared" si="130"/>
        <v>734.31583999999998</v>
      </c>
      <c r="J1082" s="11">
        <f t="shared" si="132"/>
        <v>367.15791999999999</v>
      </c>
      <c r="K1082" s="11">
        <f t="shared" si="131"/>
        <v>734.31583999999998</v>
      </c>
      <c r="L1082" s="10">
        <v>0</v>
      </c>
      <c r="N1082" s="118">
        <f t="shared" si="125"/>
        <v>0</v>
      </c>
      <c r="O1082" s="118">
        <f t="shared" si="126"/>
        <v>367.15791999999999</v>
      </c>
    </row>
    <row r="1083" spans="1:15" s="5" customFormat="1" x14ac:dyDescent="0.25">
      <c r="A1083" s="32" t="s">
        <v>1176</v>
      </c>
      <c r="B1083" t="s">
        <v>1174</v>
      </c>
      <c r="C1083" s="19">
        <v>9</v>
      </c>
      <c r="D1083" s="18" t="s">
        <v>1175</v>
      </c>
      <c r="E1083" s="13">
        <v>1</v>
      </c>
      <c r="F1083" s="25" t="s">
        <v>1174</v>
      </c>
      <c r="G1083" s="25">
        <v>81897719002</v>
      </c>
      <c r="H1083" s="11">
        <v>11.83264</v>
      </c>
      <c r="I1083" s="11">
        <f t="shared" si="130"/>
        <v>11.83264</v>
      </c>
      <c r="J1083" s="11">
        <f t="shared" si="132"/>
        <v>11.83264</v>
      </c>
      <c r="K1083" s="11">
        <f t="shared" si="131"/>
        <v>11.83264</v>
      </c>
      <c r="L1083" s="10">
        <v>0</v>
      </c>
      <c r="N1083" s="118">
        <f t="shared" si="125"/>
        <v>0</v>
      </c>
      <c r="O1083" s="118">
        <f t="shared" si="126"/>
        <v>11.83264</v>
      </c>
    </row>
    <row r="1084" spans="1:15" x14ac:dyDescent="0.25">
      <c r="A1084" s="32" t="s">
        <v>1173</v>
      </c>
      <c r="B1084" t="s">
        <v>1171</v>
      </c>
      <c r="C1084" s="19">
        <v>10</v>
      </c>
      <c r="D1084" s="18" t="s">
        <v>1172</v>
      </c>
      <c r="E1084" s="13">
        <v>2</v>
      </c>
      <c r="F1084" s="25" t="s">
        <v>1171</v>
      </c>
      <c r="G1084" s="25">
        <v>81897719002</v>
      </c>
      <c r="H1084" s="11">
        <v>16.455279999999998</v>
      </c>
      <c r="I1084" s="11">
        <f t="shared" si="130"/>
        <v>32.910559999999997</v>
      </c>
      <c r="J1084" s="11">
        <f t="shared" si="132"/>
        <v>16.455279999999998</v>
      </c>
      <c r="K1084" s="11">
        <f t="shared" si="131"/>
        <v>32.910559999999997</v>
      </c>
      <c r="L1084" s="10">
        <v>0</v>
      </c>
      <c r="N1084" s="118">
        <f t="shared" si="125"/>
        <v>0</v>
      </c>
      <c r="O1084" s="118">
        <f t="shared" si="126"/>
        <v>16.455279999999998</v>
      </c>
    </row>
    <row r="1085" spans="1:15" x14ac:dyDescent="0.25">
      <c r="A1085" s="32" t="s">
        <v>1170</v>
      </c>
      <c r="B1085" t="s">
        <v>131</v>
      </c>
      <c r="C1085" s="19">
        <v>11</v>
      </c>
      <c r="D1085" s="18" t="s">
        <v>132</v>
      </c>
      <c r="E1085" s="13">
        <v>10</v>
      </c>
      <c r="F1085" s="25" t="s">
        <v>131</v>
      </c>
      <c r="G1085" s="25">
        <v>81897719002</v>
      </c>
      <c r="H1085" s="11">
        <v>15.779599999999999</v>
      </c>
      <c r="I1085" s="11">
        <f t="shared" si="130"/>
        <v>157.79599999999999</v>
      </c>
      <c r="J1085" s="11">
        <f t="shared" si="132"/>
        <v>15.779599999999999</v>
      </c>
      <c r="K1085" s="11">
        <f t="shared" si="131"/>
        <v>157.79599999999999</v>
      </c>
      <c r="L1085" s="10">
        <v>0</v>
      </c>
      <c r="N1085" s="118">
        <f t="shared" si="125"/>
        <v>0</v>
      </c>
      <c r="O1085" s="118">
        <f t="shared" si="126"/>
        <v>15.779599999999999</v>
      </c>
    </row>
    <row r="1086" spans="1:15" x14ac:dyDescent="0.25">
      <c r="A1086" s="32" t="s">
        <v>1169</v>
      </c>
      <c r="B1086" t="s">
        <v>110</v>
      </c>
      <c r="C1086" s="19">
        <v>12</v>
      </c>
      <c r="D1086" s="18" t="s">
        <v>111</v>
      </c>
      <c r="E1086" s="13">
        <v>1</v>
      </c>
      <c r="F1086" s="25" t="s">
        <v>110</v>
      </c>
      <c r="G1086" s="25">
        <v>81897719002</v>
      </c>
      <c r="H1086" s="11">
        <v>36.808080000000004</v>
      </c>
      <c r="I1086" s="11">
        <f t="shared" si="130"/>
        <v>36.808080000000004</v>
      </c>
      <c r="J1086" s="11">
        <f t="shared" si="132"/>
        <v>36.808080000000004</v>
      </c>
      <c r="K1086" s="11">
        <f t="shared" si="131"/>
        <v>36.808080000000004</v>
      </c>
      <c r="L1086" s="10">
        <v>0</v>
      </c>
      <c r="N1086" s="118">
        <f t="shared" si="125"/>
        <v>0</v>
      </c>
      <c r="O1086" s="118">
        <f t="shared" si="126"/>
        <v>36.808080000000004</v>
      </c>
    </row>
    <row r="1087" spans="1:15" x14ac:dyDescent="0.25">
      <c r="A1087" s="32" t="s">
        <v>1168</v>
      </c>
      <c r="B1087" t="s">
        <v>113</v>
      </c>
      <c r="C1087" s="19">
        <v>13</v>
      </c>
      <c r="D1087" s="18" t="s">
        <v>114</v>
      </c>
      <c r="E1087" s="13">
        <v>2</v>
      </c>
      <c r="F1087" s="25" t="s">
        <v>113</v>
      </c>
      <c r="G1087" s="25">
        <v>81897719002</v>
      </c>
      <c r="H1087" s="11">
        <v>19.726559999999999</v>
      </c>
      <c r="I1087" s="11">
        <f t="shared" si="130"/>
        <v>39.453119999999998</v>
      </c>
      <c r="J1087" s="11">
        <f t="shared" si="132"/>
        <v>19.726559999999999</v>
      </c>
      <c r="K1087" s="11">
        <f t="shared" si="131"/>
        <v>39.453119999999998</v>
      </c>
      <c r="L1087" s="10">
        <v>0</v>
      </c>
      <c r="N1087" s="118">
        <f t="shared" si="125"/>
        <v>0</v>
      </c>
      <c r="O1087" s="118">
        <f t="shared" si="126"/>
        <v>19.726559999999999</v>
      </c>
    </row>
    <row r="1088" spans="1:15" x14ac:dyDescent="0.25">
      <c r="A1088" s="32" t="s">
        <v>1167</v>
      </c>
      <c r="B1088" t="s">
        <v>1165</v>
      </c>
      <c r="C1088" s="19">
        <v>14</v>
      </c>
      <c r="D1088" s="18" t="s">
        <v>1166</v>
      </c>
      <c r="E1088" s="13">
        <v>3</v>
      </c>
      <c r="F1088" s="25" t="s">
        <v>1165</v>
      </c>
      <c r="G1088" s="25">
        <v>81897719003</v>
      </c>
      <c r="H1088" s="11">
        <v>42.724400000000003</v>
      </c>
      <c r="I1088" s="11">
        <f t="shared" si="130"/>
        <v>128.17320000000001</v>
      </c>
      <c r="J1088" s="11">
        <f t="shared" si="132"/>
        <v>42.724400000000003</v>
      </c>
      <c r="K1088" s="11">
        <f t="shared" si="131"/>
        <v>128.17320000000001</v>
      </c>
      <c r="L1088" s="10">
        <v>0</v>
      </c>
      <c r="N1088" s="118">
        <f t="shared" si="125"/>
        <v>0</v>
      </c>
      <c r="O1088" s="118">
        <f t="shared" si="126"/>
        <v>42.724400000000003</v>
      </c>
    </row>
    <row r="1089" spans="1:15" x14ac:dyDescent="0.25">
      <c r="A1089" s="32" t="s">
        <v>1164</v>
      </c>
      <c r="B1089" t="s">
        <v>469</v>
      </c>
      <c r="C1089" s="19">
        <v>15</v>
      </c>
      <c r="D1089" s="18" t="s">
        <v>470</v>
      </c>
      <c r="E1089" s="13">
        <v>2</v>
      </c>
      <c r="F1089" s="25" t="s">
        <v>469</v>
      </c>
      <c r="G1089" s="25">
        <v>81897719002</v>
      </c>
      <c r="H1089" s="11">
        <v>6.5920000000000005</v>
      </c>
      <c r="I1089" s="11">
        <f t="shared" si="130"/>
        <v>13.184000000000001</v>
      </c>
      <c r="J1089" s="11">
        <f t="shared" si="132"/>
        <v>6.5920000000000005</v>
      </c>
      <c r="K1089" s="11">
        <f t="shared" si="131"/>
        <v>13.184000000000001</v>
      </c>
      <c r="L1089" s="10">
        <v>0</v>
      </c>
      <c r="N1089" s="118">
        <f t="shared" si="125"/>
        <v>0</v>
      </c>
      <c r="O1089" s="118">
        <f t="shared" si="126"/>
        <v>6.5920000000000005</v>
      </c>
    </row>
    <row r="1090" spans="1:15" x14ac:dyDescent="0.25">
      <c r="A1090" s="32" t="s">
        <v>1163</v>
      </c>
      <c r="B1090" t="s">
        <v>149</v>
      </c>
      <c r="C1090" s="19">
        <v>16</v>
      </c>
      <c r="D1090" s="18" t="s">
        <v>150</v>
      </c>
      <c r="E1090" s="13">
        <v>1</v>
      </c>
      <c r="F1090" s="25" t="s">
        <v>149</v>
      </c>
      <c r="G1090" s="25">
        <v>81897719002</v>
      </c>
      <c r="H1090" s="11">
        <v>8.5613600000000005</v>
      </c>
      <c r="I1090" s="11">
        <f t="shared" si="130"/>
        <v>8.5613600000000005</v>
      </c>
      <c r="J1090" s="11">
        <f t="shared" si="132"/>
        <v>8.5613600000000005</v>
      </c>
      <c r="K1090" s="11">
        <f t="shared" si="131"/>
        <v>8.5613600000000005</v>
      </c>
      <c r="L1090" s="10">
        <v>0</v>
      </c>
      <c r="N1090" s="118">
        <f t="shared" si="125"/>
        <v>0</v>
      </c>
      <c r="O1090" s="118">
        <f t="shared" si="126"/>
        <v>8.5613600000000005</v>
      </c>
    </row>
    <row r="1091" spans="1:15" x14ac:dyDescent="0.25">
      <c r="A1091" s="32" t="s">
        <v>1162</v>
      </c>
      <c r="B1091" t="s">
        <v>233</v>
      </c>
      <c r="C1091" s="19">
        <v>17</v>
      </c>
      <c r="D1091" s="18" t="s">
        <v>234</v>
      </c>
      <c r="E1091" s="13">
        <v>1</v>
      </c>
      <c r="F1091" s="25" t="s">
        <v>233</v>
      </c>
      <c r="G1091" s="25">
        <v>81897719002</v>
      </c>
      <c r="H1091" s="11">
        <v>8.5613600000000005</v>
      </c>
      <c r="I1091" s="11">
        <f t="shared" si="130"/>
        <v>8.5613600000000005</v>
      </c>
      <c r="J1091" s="11">
        <f t="shared" si="132"/>
        <v>8.5613600000000005</v>
      </c>
      <c r="K1091" s="11">
        <f t="shared" si="131"/>
        <v>8.5613600000000005</v>
      </c>
      <c r="L1091" s="10">
        <v>0</v>
      </c>
      <c r="N1091" s="118">
        <f t="shared" si="125"/>
        <v>0</v>
      </c>
      <c r="O1091" s="118">
        <f t="shared" si="126"/>
        <v>8.5613600000000005</v>
      </c>
    </row>
    <row r="1092" spans="1:15" x14ac:dyDescent="0.25">
      <c r="A1092" s="32" t="s">
        <v>1161</v>
      </c>
      <c r="B1092" t="s">
        <v>155</v>
      </c>
      <c r="C1092" s="19">
        <v>18</v>
      </c>
      <c r="D1092" s="18" t="s">
        <v>156</v>
      </c>
      <c r="E1092" s="13">
        <v>2</v>
      </c>
      <c r="F1092" s="25" t="s">
        <v>155</v>
      </c>
      <c r="G1092" s="25">
        <v>81897719002</v>
      </c>
      <c r="H1092" s="11">
        <v>7.8939199999999996</v>
      </c>
      <c r="I1092" s="11">
        <f t="shared" si="130"/>
        <v>15.787839999999999</v>
      </c>
      <c r="J1092" s="11">
        <f t="shared" si="132"/>
        <v>7.8939199999999996</v>
      </c>
      <c r="K1092" s="11">
        <f t="shared" si="131"/>
        <v>15.787839999999999</v>
      </c>
      <c r="L1092" s="10">
        <v>0</v>
      </c>
      <c r="N1092" s="118">
        <f t="shared" ref="N1092:N1155" si="133">H1092*L1092</f>
        <v>0</v>
      </c>
      <c r="O1092" s="118">
        <f t="shared" ref="O1092:O1155" si="134">H1092-N1092</f>
        <v>7.8939199999999996</v>
      </c>
    </row>
    <row r="1093" spans="1:15" x14ac:dyDescent="0.25">
      <c r="A1093" s="32" t="s">
        <v>1160</v>
      </c>
      <c r="B1093" t="s">
        <v>256</v>
      </c>
      <c r="C1093" s="19">
        <v>19</v>
      </c>
      <c r="D1093" s="18" t="s">
        <v>257</v>
      </c>
      <c r="E1093" s="13">
        <v>6</v>
      </c>
      <c r="F1093" s="25" t="s">
        <v>256</v>
      </c>
      <c r="G1093" s="25">
        <v>81897719002</v>
      </c>
      <c r="H1093" s="11">
        <v>16.455279999999998</v>
      </c>
      <c r="I1093" s="11">
        <f t="shared" si="130"/>
        <v>98.731679999999983</v>
      </c>
      <c r="J1093" s="11">
        <f t="shared" si="132"/>
        <v>16.455279999999998</v>
      </c>
      <c r="K1093" s="11">
        <f t="shared" si="131"/>
        <v>98.731679999999983</v>
      </c>
      <c r="L1093" s="10">
        <v>0</v>
      </c>
      <c r="N1093" s="118">
        <f t="shared" si="133"/>
        <v>0</v>
      </c>
      <c r="O1093" s="118">
        <f t="shared" si="134"/>
        <v>16.455279999999998</v>
      </c>
    </row>
    <row r="1094" spans="1:15" x14ac:dyDescent="0.25">
      <c r="A1094" s="32" t="s">
        <v>1159</v>
      </c>
      <c r="B1094" t="s">
        <v>259</v>
      </c>
      <c r="C1094" s="19">
        <v>20</v>
      </c>
      <c r="D1094" s="18" t="s">
        <v>260</v>
      </c>
      <c r="E1094" s="13">
        <v>6</v>
      </c>
      <c r="F1094" s="25" t="s">
        <v>259</v>
      </c>
      <c r="G1094" s="25">
        <v>81897719002</v>
      </c>
      <c r="H1094" s="11">
        <v>15.779599999999999</v>
      </c>
      <c r="I1094" s="11">
        <f t="shared" si="130"/>
        <v>94.677599999999984</v>
      </c>
      <c r="J1094" s="11">
        <f t="shared" si="132"/>
        <v>15.779599999999999</v>
      </c>
      <c r="K1094" s="11">
        <f t="shared" si="131"/>
        <v>94.677599999999984</v>
      </c>
      <c r="L1094" s="10">
        <v>0</v>
      </c>
      <c r="N1094" s="118">
        <f t="shared" si="133"/>
        <v>0</v>
      </c>
      <c r="O1094" s="118">
        <f t="shared" si="134"/>
        <v>15.779599999999999</v>
      </c>
    </row>
    <row r="1095" spans="1:15" x14ac:dyDescent="0.25">
      <c r="A1095" s="32" t="s">
        <v>1158</v>
      </c>
      <c r="B1095" t="s">
        <v>119</v>
      </c>
      <c r="C1095" s="19">
        <v>21</v>
      </c>
      <c r="D1095" s="18" t="s">
        <v>120</v>
      </c>
      <c r="E1095" s="13">
        <v>10</v>
      </c>
      <c r="F1095" s="25" t="s">
        <v>119</v>
      </c>
      <c r="G1095" s="25">
        <v>81897719002</v>
      </c>
      <c r="H1095" s="11">
        <v>16.455279999999998</v>
      </c>
      <c r="I1095" s="11">
        <f t="shared" si="130"/>
        <v>164.55279999999999</v>
      </c>
      <c r="J1095" s="11">
        <f t="shared" si="132"/>
        <v>16.455279999999998</v>
      </c>
      <c r="K1095" s="11">
        <f t="shared" si="131"/>
        <v>164.55279999999999</v>
      </c>
      <c r="L1095" s="10">
        <v>0</v>
      </c>
      <c r="N1095" s="118">
        <f t="shared" si="133"/>
        <v>0</v>
      </c>
      <c r="O1095" s="118">
        <f t="shared" si="134"/>
        <v>16.455279999999998</v>
      </c>
    </row>
    <row r="1096" spans="1:15" x14ac:dyDescent="0.25">
      <c r="A1096" s="32" t="s">
        <v>1157</v>
      </c>
      <c r="B1096" t="s">
        <v>599</v>
      </c>
      <c r="C1096" s="19">
        <v>22</v>
      </c>
      <c r="D1096" s="18" t="s">
        <v>600</v>
      </c>
      <c r="E1096" s="13">
        <v>8</v>
      </c>
      <c r="F1096" s="25" t="s">
        <v>599</v>
      </c>
      <c r="G1096" s="25">
        <v>81897719002</v>
      </c>
      <c r="H1096" s="11">
        <v>18.424639999999997</v>
      </c>
      <c r="I1096" s="11">
        <f t="shared" si="130"/>
        <v>147.39711999999997</v>
      </c>
      <c r="J1096" s="11">
        <f t="shared" si="132"/>
        <v>18.424639999999997</v>
      </c>
      <c r="K1096" s="11">
        <f t="shared" si="131"/>
        <v>147.39711999999997</v>
      </c>
      <c r="L1096" s="10">
        <v>0</v>
      </c>
      <c r="N1096" s="118">
        <f t="shared" si="133"/>
        <v>0</v>
      </c>
      <c r="O1096" s="118">
        <f t="shared" si="134"/>
        <v>18.424639999999997</v>
      </c>
    </row>
    <row r="1097" spans="1:15" x14ac:dyDescent="0.25">
      <c r="A1097" s="32" t="s">
        <v>1156</v>
      </c>
      <c r="B1097" t="s">
        <v>1074</v>
      </c>
      <c r="C1097" s="19">
        <v>23</v>
      </c>
      <c r="D1097" s="18" t="s">
        <v>1075</v>
      </c>
      <c r="E1097" s="13">
        <v>1</v>
      </c>
      <c r="F1097" s="25" t="s">
        <v>1074</v>
      </c>
      <c r="G1097" s="25">
        <v>81897719002</v>
      </c>
      <c r="H1097" s="11">
        <v>23.673520000000003</v>
      </c>
      <c r="I1097" s="11">
        <f t="shared" si="130"/>
        <v>23.673520000000003</v>
      </c>
      <c r="J1097" s="11">
        <f t="shared" si="132"/>
        <v>23.673520000000003</v>
      </c>
      <c r="K1097" s="11">
        <f t="shared" si="131"/>
        <v>23.673520000000003</v>
      </c>
      <c r="L1097" s="10">
        <v>0</v>
      </c>
      <c r="N1097" s="118">
        <f t="shared" si="133"/>
        <v>0</v>
      </c>
      <c r="O1097" s="118">
        <f t="shared" si="134"/>
        <v>23.673520000000003</v>
      </c>
    </row>
    <row r="1098" spans="1:15" x14ac:dyDescent="0.25">
      <c r="A1098" s="32" t="s">
        <v>1155</v>
      </c>
      <c r="B1098" t="s">
        <v>128</v>
      </c>
      <c r="C1098" s="19">
        <v>24</v>
      </c>
      <c r="D1098" s="18" t="s">
        <v>129</v>
      </c>
      <c r="E1098" s="13">
        <v>1</v>
      </c>
      <c r="F1098" s="25" t="s">
        <v>128</v>
      </c>
      <c r="G1098" s="25">
        <v>81897719002</v>
      </c>
      <c r="H1098" s="11">
        <v>20.394000000000002</v>
      </c>
      <c r="I1098" s="11">
        <f t="shared" si="130"/>
        <v>20.394000000000002</v>
      </c>
      <c r="J1098" s="11">
        <f t="shared" si="132"/>
        <v>20.394000000000002</v>
      </c>
      <c r="K1098" s="11">
        <f t="shared" si="131"/>
        <v>20.394000000000002</v>
      </c>
      <c r="L1098" s="10">
        <v>0</v>
      </c>
      <c r="N1098" s="118">
        <f t="shared" si="133"/>
        <v>0</v>
      </c>
      <c r="O1098" s="118">
        <f t="shared" si="134"/>
        <v>20.394000000000002</v>
      </c>
    </row>
    <row r="1099" spans="1:15" x14ac:dyDescent="0.25">
      <c r="A1099" s="32" t="s">
        <v>1154</v>
      </c>
      <c r="B1099" t="s">
        <v>125</v>
      </c>
      <c r="C1099" s="19">
        <v>25</v>
      </c>
      <c r="D1099" s="18" t="s">
        <v>126</v>
      </c>
      <c r="E1099" s="13">
        <v>1</v>
      </c>
      <c r="F1099" s="25" t="s">
        <v>125</v>
      </c>
      <c r="G1099" s="25">
        <v>81897719002</v>
      </c>
      <c r="H1099" s="11">
        <v>19.726559999999999</v>
      </c>
      <c r="I1099" s="11">
        <f t="shared" si="130"/>
        <v>19.726559999999999</v>
      </c>
      <c r="J1099" s="11">
        <f t="shared" si="132"/>
        <v>19.726559999999999</v>
      </c>
      <c r="K1099" s="11">
        <f t="shared" si="131"/>
        <v>19.726559999999999</v>
      </c>
      <c r="L1099" s="10">
        <v>0</v>
      </c>
      <c r="N1099" s="118">
        <f t="shared" si="133"/>
        <v>0</v>
      </c>
      <c r="O1099" s="118">
        <f t="shared" si="134"/>
        <v>19.726559999999999</v>
      </c>
    </row>
    <row r="1100" spans="1:15" x14ac:dyDescent="0.25">
      <c r="A1100" s="32" t="s">
        <v>1153</v>
      </c>
      <c r="B1100" t="s">
        <v>239</v>
      </c>
      <c r="C1100" s="19">
        <v>26</v>
      </c>
      <c r="D1100" s="18" t="s">
        <v>240</v>
      </c>
      <c r="E1100" s="13">
        <v>2</v>
      </c>
      <c r="F1100" s="25" t="s">
        <v>239</v>
      </c>
      <c r="G1100" s="25">
        <v>81897719002</v>
      </c>
      <c r="H1100" s="11">
        <v>32.861120000000007</v>
      </c>
      <c r="I1100" s="11">
        <f t="shared" si="130"/>
        <v>65.722240000000014</v>
      </c>
      <c r="J1100" s="11">
        <f t="shared" si="132"/>
        <v>32.861120000000007</v>
      </c>
      <c r="K1100" s="11">
        <f t="shared" si="131"/>
        <v>65.722240000000014</v>
      </c>
      <c r="L1100" s="10">
        <v>0</v>
      </c>
      <c r="N1100" s="118">
        <f t="shared" si="133"/>
        <v>0</v>
      </c>
      <c r="O1100" s="118">
        <f t="shared" si="134"/>
        <v>32.861120000000007</v>
      </c>
    </row>
    <row r="1101" spans="1:15" x14ac:dyDescent="0.25">
      <c r="A1101" s="32" t="s">
        <v>1152</v>
      </c>
      <c r="B1101" t="s">
        <v>457</v>
      </c>
      <c r="C1101" s="19">
        <v>27</v>
      </c>
      <c r="D1101" s="18" t="s">
        <v>458</v>
      </c>
      <c r="E1101" s="13">
        <v>1</v>
      </c>
      <c r="F1101" s="25" t="s">
        <v>457</v>
      </c>
      <c r="G1101" s="25">
        <v>81897719003</v>
      </c>
      <c r="H1101" s="11">
        <v>75.634960000000007</v>
      </c>
      <c r="I1101" s="11">
        <f t="shared" si="130"/>
        <v>75.634960000000007</v>
      </c>
      <c r="J1101" s="11">
        <f t="shared" si="132"/>
        <v>75.634960000000007</v>
      </c>
      <c r="K1101" s="11">
        <f t="shared" si="131"/>
        <v>75.634960000000007</v>
      </c>
      <c r="L1101" s="10">
        <v>0</v>
      </c>
      <c r="N1101" s="118">
        <f t="shared" si="133"/>
        <v>0</v>
      </c>
      <c r="O1101" s="118">
        <f t="shared" si="134"/>
        <v>75.634960000000007</v>
      </c>
    </row>
    <row r="1102" spans="1:15" x14ac:dyDescent="0.25">
      <c r="A1102" s="32" t="s">
        <v>1151</v>
      </c>
      <c r="B1102" t="s">
        <v>454</v>
      </c>
      <c r="C1102" s="19">
        <v>28</v>
      </c>
      <c r="D1102" s="18" t="s">
        <v>455</v>
      </c>
      <c r="E1102" s="13">
        <v>1</v>
      </c>
      <c r="F1102" s="25" t="s">
        <v>454</v>
      </c>
      <c r="G1102" s="25">
        <v>81897719003</v>
      </c>
      <c r="H1102" s="11">
        <v>82.177520000000001</v>
      </c>
      <c r="I1102" s="11">
        <f t="shared" si="130"/>
        <v>82.177520000000001</v>
      </c>
      <c r="J1102" s="11">
        <f t="shared" si="132"/>
        <v>82.177520000000001</v>
      </c>
      <c r="K1102" s="11">
        <f t="shared" si="131"/>
        <v>82.177520000000001</v>
      </c>
      <c r="L1102" s="10">
        <v>0</v>
      </c>
      <c r="N1102" s="118">
        <f t="shared" si="133"/>
        <v>0</v>
      </c>
      <c r="O1102" s="118">
        <f t="shared" si="134"/>
        <v>82.177520000000001</v>
      </c>
    </row>
    <row r="1103" spans="1:15" x14ac:dyDescent="0.25">
      <c r="A1103" s="32" t="s">
        <v>1150</v>
      </c>
      <c r="B1103" t="s">
        <v>1148</v>
      </c>
      <c r="C1103" s="19">
        <v>29</v>
      </c>
      <c r="D1103" s="18" t="s">
        <v>1149</v>
      </c>
      <c r="E1103" s="13">
        <v>1</v>
      </c>
      <c r="F1103" s="25" t="s">
        <v>1148</v>
      </c>
      <c r="G1103" s="25">
        <v>81897719003</v>
      </c>
      <c r="H1103" s="11">
        <v>59.179679999999998</v>
      </c>
      <c r="I1103" s="11">
        <f t="shared" si="130"/>
        <v>59.179679999999998</v>
      </c>
      <c r="J1103" s="11">
        <f t="shared" si="132"/>
        <v>59.179679999999998</v>
      </c>
      <c r="K1103" s="11">
        <f t="shared" si="131"/>
        <v>59.179679999999998</v>
      </c>
      <c r="L1103" s="10">
        <v>0</v>
      </c>
      <c r="N1103" s="118">
        <f t="shared" si="133"/>
        <v>0</v>
      </c>
      <c r="O1103" s="118">
        <f t="shared" si="134"/>
        <v>59.179679999999998</v>
      </c>
    </row>
    <row r="1104" spans="1:15" x14ac:dyDescent="0.25">
      <c r="A1104" s="32" t="s">
        <v>1147</v>
      </c>
      <c r="B1104" t="s">
        <v>438</v>
      </c>
      <c r="C1104" s="19">
        <v>30</v>
      </c>
      <c r="D1104" s="18" t="s">
        <v>439</v>
      </c>
      <c r="E1104" s="13">
        <v>1</v>
      </c>
      <c r="F1104" s="25" t="s">
        <v>438</v>
      </c>
      <c r="G1104" s="25">
        <v>81897719002</v>
      </c>
      <c r="H1104" s="11">
        <v>21.3828</v>
      </c>
      <c r="I1104" s="11">
        <f t="shared" si="130"/>
        <v>21.3828</v>
      </c>
      <c r="J1104" s="11">
        <f t="shared" si="132"/>
        <v>21.3828</v>
      </c>
      <c r="K1104" s="11">
        <f t="shared" si="131"/>
        <v>21.3828</v>
      </c>
      <c r="L1104" s="10">
        <v>0</v>
      </c>
      <c r="N1104" s="118">
        <f t="shared" si="133"/>
        <v>0</v>
      </c>
      <c r="O1104" s="118">
        <f t="shared" si="134"/>
        <v>21.3828</v>
      </c>
    </row>
    <row r="1105" spans="1:15" x14ac:dyDescent="0.25">
      <c r="A1105" s="32" t="s">
        <v>1146</v>
      </c>
      <c r="B1105" t="s">
        <v>183</v>
      </c>
      <c r="C1105" s="19">
        <v>31</v>
      </c>
      <c r="D1105" s="18" t="s">
        <v>184</v>
      </c>
      <c r="E1105" s="13">
        <v>1</v>
      </c>
      <c r="F1105" s="25" t="s">
        <v>183</v>
      </c>
      <c r="G1105" s="25">
        <v>81897719002</v>
      </c>
      <c r="H1105" s="11">
        <v>18.89432</v>
      </c>
      <c r="I1105" s="11">
        <f t="shared" si="130"/>
        <v>18.89432</v>
      </c>
      <c r="J1105" s="11">
        <f t="shared" si="132"/>
        <v>18.89432</v>
      </c>
      <c r="K1105" s="11">
        <f t="shared" si="131"/>
        <v>18.89432</v>
      </c>
      <c r="L1105" s="10">
        <v>0</v>
      </c>
      <c r="N1105" s="118">
        <f t="shared" si="133"/>
        <v>0</v>
      </c>
      <c r="O1105" s="118">
        <f t="shared" si="134"/>
        <v>18.89432</v>
      </c>
    </row>
    <row r="1106" spans="1:15" x14ac:dyDescent="0.25">
      <c r="A1106" s="32" t="s">
        <v>1145</v>
      </c>
      <c r="B1106" t="s">
        <v>1143</v>
      </c>
      <c r="C1106" s="19">
        <v>32</v>
      </c>
      <c r="D1106" s="18" t="s">
        <v>1144</v>
      </c>
      <c r="E1106" s="13">
        <v>1</v>
      </c>
      <c r="F1106" s="25" t="s">
        <v>1143</v>
      </c>
      <c r="G1106" s="25">
        <v>81897719002</v>
      </c>
      <c r="H1106" s="11">
        <v>18.111519999999999</v>
      </c>
      <c r="I1106" s="11">
        <f t="shared" si="130"/>
        <v>18.111519999999999</v>
      </c>
      <c r="J1106" s="11">
        <f t="shared" si="132"/>
        <v>18.111519999999999</v>
      </c>
      <c r="K1106" s="11">
        <f t="shared" si="131"/>
        <v>18.111519999999999</v>
      </c>
      <c r="L1106" s="10">
        <v>0</v>
      </c>
      <c r="N1106" s="118">
        <f t="shared" si="133"/>
        <v>0</v>
      </c>
      <c r="O1106" s="118">
        <f t="shared" si="134"/>
        <v>18.111519999999999</v>
      </c>
    </row>
    <row r="1107" spans="1:15" x14ac:dyDescent="0.25">
      <c r="A1107" s="32" t="s">
        <v>1142</v>
      </c>
      <c r="B1107" t="s">
        <v>445</v>
      </c>
      <c r="C1107" s="19">
        <v>33</v>
      </c>
      <c r="D1107" s="18" t="s">
        <v>446</v>
      </c>
      <c r="E1107" s="13">
        <v>1</v>
      </c>
      <c r="F1107" s="25" t="s">
        <v>445</v>
      </c>
      <c r="G1107" s="25">
        <v>81897719002</v>
      </c>
      <c r="H1107" s="11">
        <v>13.134559999999999</v>
      </c>
      <c r="I1107" s="11">
        <f t="shared" si="130"/>
        <v>13.134559999999999</v>
      </c>
      <c r="J1107" s="11">
        <f t="shared" si="132"/>
        <v>13.134559999999999</v>
      </c>
      <c r="K1107" s="11">
        <f t="shared" si="131"/>
        <v>13.134559999999999</v>
      </c>
      <c r="L1107" s="10">
        <v>0</v>
      </c>
      <c r="N1107" s="118">
        <f t="shared" si="133"/>
        <v>0</v>
      </c>
      <c r="O1107" s="118">
        <f t="shared" si="134"/>
        <v>13.134559999999999</v>
      </c>
    </row>
    <row r="1108" spans="1:15" x14ac:dyDescent="0.25">
      <c r="A1108" s="32" t="s">
        <v>1141</v>
      </c>
      <c r="B1108" t="s">
        <v>177</v>
      </c>
      <c r="C1108" s="19">
        <v>34</v>
      </c>
      <c r="D1108" s="18" t="s">
        <v>1140</v>
      </c>
      <c r="E1108" s="13">
        <v>1</v>
      </c>
      <c r="F1108" s="25" t="s">
        <v>177</v>
      </c>
      <c r="G1108" s="25">
        <v>81897710034</v>
      </c>
      <c r="H1108" s="11">
        <v>39.453119999999998</v>
      </c>
      <c r="I1108" s="11">
        <f t="shared" si="130"/>
        <v>39.453119999999998</v>
      </c>
      <c r="J1108" s="11">
        <f t="shared" si="132"/>
        <v>39.453119999999998</v>
      </c>
      <c r="K1108" s="11">
        <f t="shared" si="131"/>
        <v>39.453119999999998</v>
      </c>
      <c r="L1108" s="10">
        <v>0</v>
      </c>
      <c r="N1108" s="118">
        <f t="shared" si="133"/>
        <v>0</v>
      </c>
      <c r="O1108" s="118">
        <f t="shared" si="134"/>
        <v>39.453119999999998</v>
      </c>
    </row>
    <row r="1109" spans="1:15" x14ac:dyDescent="0.25">
      <c r="A1109" s="32" t="s">
        <v>1139</v>
      </c>
      <c r="B1109" t="s">
        <v>44</v>
      </c>
      <c r="C1109" s="19">
        <v>35</v>
      </c>
      <c r="D1109" s="18" t="s">
        <v>45</v>
      </c>
      <c r="E1109" s="13">
        <v>1</v>
      </c>
      <c r="F1109" s="25" t="s">
        <v>44</v>
      </c>
      <c r="G1109" s="25" t="s">
        <v>427</v>
      </c>
      <c r="H1109" s="11">
        <v>375.35672</v>
      </c>
      <c r="I1109" s="11">
        <f t="shared" si="130"/>
        <v>375.35672</v>
      </c>
      <c r="J1109" s="11">
        <f t="shared" si="132"/>
        <v>375.35672</v>
      </c>
      <c r="K1109" s="11">
        <f t="shared" si="131"/>
        <v>375.35672</v>
      </c>
      <c r="L1109" s="10">
        <v>0</v>
      </c>
      <c r="N1109" s="118">
        <f t="shared" si="133"/>
        <v>0</v>
      </c>
      <c r="O1109" s="118">
        <f t="shared" si="134"/>
        <v>375.35672</v>
      </c>
    </row>
    <row r="1110" spans="1:15" x14ac:dyDescent="0.25">
      <c r="A1110" s="32" t="s">
        <v>1138</v>
      </c>
      <c r="B1110" t="s">
        <v>86</v>
      </c>
      <c r="C1110" s="19">
        <v>36</v>
      </c>
      <c r="D1110" s="18" t="s">
        <v>87</v>
      </c>
      <c r="E1110" s="13">
        <v>1</v>
      </c>
      <c r="F1110" s="25" t="s">
        <v>86</v>
      </c>
      <c r="G1110" s="25" t="s">
        <v>427</v>
      </c>
      <c r="H1110" s="11">
        <v>531.4140799999999</v>
      </c>
      <c r="I1110" s="11">
        <f t="shared" si="130"/>
        <v>531.4140799999999</v>
      </c>
      <c r="J1110" s="11">
        <f t="shared" si="132"/>
        <v>531.4140799999999</v>
      </c>
      <c r="K1110" s="11">
        <f t="shared" si="131"/>
        <v>531.4140799999999</v>
      </c>
      <c r="L1110" s="10">
        <v>0</v>
      </c>
      <c r="N1110" s="118">
        <f t="shared" si="133"/>
        <v>0</v>
      </c>
      <c r="O1110" s="118">
        <f t="shared" si="134"/>
        <v>531.4140799999999</v>
      </c>
    </row>
    <row r="1111" spans="1:15" x14ac:dyDescent="0.25">
      <c r="B1111" t="s">
        <v>84</v>
      </c>
      <c r="C1111" s="19">
        <v>37</v>
      </c>
      <c r="D1111" s="18" t="s">
        <v>85</v>
      </c>
      <c r="E1111" s="13">
        <v>1</v>
      </c>
      <c r="F1111" s="25" t="s">
        <v>84</v>
      </c>
      <c r="G1111" s="25" t="s">
        <v>427</v>
      </c>
      <c r="H1111" s="11">
        <v>577.00600000000009</v>
      </c>
      <c r="I1111" s="11">
        <f t="shared" si="130"/>
        <v>577.00600000000009</v>
      </c>
      <c r="J1111" s="11">
        <f t="shared" si="132"/>
        <v>577.00600000000009</v>
      </c>
      <c r="K1111" s="11">
        <f t="shared" si="131"/>
        <v>577.00600000000009</v>
      </c>
      <c r="L1111" s="10">
        <v>0</v>
      </c>
      <c r="N1111" s="118">
        <f t="shared" si="133"/>
        <v>0</v>
      </c>
      <c r="O1111" s="118">
        <f t="shared" si="134"/>
        <v>577.00600000000009</v>
      </c>
    </row>
    <row r="1112" spans="1:15" x14ac:dyDescent="0.25">
      <c r="B1112" t="s">
        <v>82</v>
      </c>
      <c r="C1112" s="19">
        <v>38</v>
      </c>
      <c r="D1112" s="18" t="s">
        <v>83</v>
      </c>
      <c r="E1112" s="13">
        <v>2</v>
      </c>
      <c r="F1112" s="25" t="s">
        <v>82</v>
      </c>
      <c r="G1112" s="25" t="s">
        <v>427</v>
      </c>
      <c r="H1112" s="11">
        <v>9.3194400000000002</v>
      </c>
      <c r="I1112" s="11">
        <f t="shared" si="130"/>
        <v>18.63888</v>
      </c>
      <c r="J1112" s="11">
        <f t="shared" si="132"/>
        <v>9.3194400000000002</v>
      </c>
      <c r="K1112" s="11">
        <f t="shared" si="131"/>
        <v>18.63888</v>
      </c>
      <c r="L1112" s="10">
        <v>0</v>
      </c>
      <c r="N1112" s="118">
        <f t="shared" si="133"/>
        <v>0</v>
      </c>
      <c r="O1112" s="118">
        <f t="shared" si="134"/>
        <v>9.3194400000000002</v>
      </c>
    </row>
    <row r="1113" spans="1:15" x14ac:dyDescent="0.25">
      <c r="C1113" s="9"/>
      <c r="D1113" s="8" t="s">
        <v>1</v>
      </c>
      <c r="E1113" s="8">
        <f>SUM(E1075:E1112)</f>
        <v>86</v>
      </c>
      <c r="F1113" s="8"/>
      <c r="G1113" s="8"/>
      <c r="H1113" s="7"/>
      <c r="I1113" s="7">
        <f>SUM(I1075:I1112)</f>
        <v>4253.66104</v>
      </c>
      <c r="J1113" s="8"/>
      <c r="K1113" s="7">
        <f>SUM(K1075:K1112)</f>
        <v>4253.66104</v>
      </c>
      <c r="L1113" s="6"/>
      <c r="N1113" s="118">
        <f t="shared" si="133"/>
        <v>0</v>
      </c>
      <c r="O1113" s="118">
        <f t="shared" si="134"/>
        <v>0</v>
      </c>
    </row>
    <row r="1114" spans="1:15" x14ac:dyDescent="0.25">
      <c r="D1114" t="s">
        <v>0</v>
      </c>
      <c r="N1114" s="118">
        <f t="shared" si="133"/>
        <v>0</v>
      </c>
      <c r="O1114" s="118">
        <f t="shared" si="134"/>
        <v>0</v>
      </c>
    </row>
    <row r="1115" spans="1:15" x14ac:dyDescent="0.25">
      <c r="D1115" s="24" t="s">
        <v>1137</v>
      </c>
      <c r="N1115" s="118">
        <f t="shared" si="133"/>
        <v>0</v>
      </c>
      <c r="O1115" s="118">
        <f t="shared" si="134"/>
        <v>0</v>
      </c>
    </row>
    <row r="1116" spans="1:15" ht="30" x14ac:dyDescent="0.25">
      <c r="C1116" s="24" t="s">
        <v>28</v>
      </c>
      <c r="D1116" s="24" t="s">
        <v>27</v>
      </c>
      <c r="E1116" s="24" t="s">
        <v>26</v>
      </c>
      <c r="F1116" s="24" t="s">
        <v>25</v>
      </c>
      <c r="G1116" s="24" t="s">
        <v>24</v>
      </c>
      <c r="H1116" s="116" t="s">
        <v>21</v>
      </c>
      <c r="I1116" s="24" t="s">
        <v>23</v>
      </c>
      <c r="J1116" s="24" t="s">
        <v>2928</v>
      </c>
      <c r="K1116" s="24" t="s">
        <v>2927</v>
      </c>
      <c r="L1116" s="23" t="s">
        <v>22</v>
      </c>
      <c r="N1116" s="118" t="e">
        <f t="shared" si="133"/>
        <v>#VALUE!</v>
      </c>
      <c r="O1116" s="118" t="e">
        <f t="shared" si="134"/>
        <v>#VALUE!</v>
      </c>
    </row>
    <row r="1117" spans="1:15" x14ac:dyDescent="0.25">
      <c r="A1117" t="s">
        <v>773</v>
      </c>
      <c r="B1117" t="s">
        <v>309</v>
      </c>
      <c r="C1117" s="19">
        <v>1</v>
      </c>
      <c r="D1117" s="18" t="s">
        <v>310</v>
      </c>
      <c r="E1117" s="13">
        <v>2</v>
      </c>
      <c r="F1117" s="25" t="s">
        <v>309</v>
      </c>
      <c r="G1117" s="25">
        <v>81897719002</v>
      </c>
      <c r="H1117" s="11">
        <v>17.19688</v>
      </c>
      <c r="I1117" s="11">
        <f t="shared" ref="I1117:I1148" si="135">H1117*E1117</f>
        <v>34.39376</v>
      </c>
      <c r="J1117" s="11">
        <f>O1117</f>
        <v>17.19688</v>
      </c>
      <c r="K1117" s="11">
        <f t="shared" ref="K1117:K1148" si="136">J1117*E1117</f>
        <v>34.39376</v>
      </c>
      <c r="L1117" s="10">
        <v>0</v>
      </c>
      <c r="N1117" s="118">
        <f t="shared" si="133"/>
        <v>0</v>
      </c>
      <c r="O1117" s="118">
        <f t="shared" si="134"/>
        <v>17.19688</v>
      </c>
    </row>
    <row r="1118" spans="1:15" x14ac:dyDescent="0.25">
      <c r="A1118" t="s">
        <v>1136</v>
      </c>
      <c r="B1118" t="s">
        <v>1134</v>
      </c>
      <c r="C1118" s="19">
        <v>2</v>
      </c>
      <c r="D1118" s="18" t="s">
        <v>1135</v>
      </c>
      <c r="E1118" s="13">
        <v>2</v>
      </c>
      <c r="F1118" s="25" t="s">
        <v>1134</v>
      </c>
      <c r="G1118" s="25">
        <v>81897710021</v>
      </c>
      <c r="H1118" s="11">
        <v>17.19688</v>
      </c>
      <c r="I1118" s="11">
        <f t="shared" si="135"/>
        <v>34.39376</v>
      </c>
      <c r="J1118" s="11">
        <f t="shared" ref="J1118:J1181" si="137">O1118</f>
        <v>17.19688</v>
      </c>
      <c r="K1118" s="11">
        <f t="shared" si="136"/>
        <v>34.39376</v>
      </c>
      <c r="L1118" s="10">
        <v>0</v>
      </c>
      <c r="N1118" s="118">
        <f t="shared" si="133"/>
        <v>0</v>
      </c>
      <c r="O1118" s="118">
        <f t="shared" si="134"/>
        <v>17.19688</v>
      </c>
    </row>
    <row r="1119" spans="1:15" x14ac:dyDescent="0.25">
      <c r="A1119" t="s">
        <v>1133</v>
      </c>
      <c r="B1119" t="s">
        <v>1131</v>
      </c>
      <c r="C1119" s="19">
        <v>3</v>
      </c>
      <c r="D1119" s="18" t="s">
        <v>1132</v>
      </c>
      <c r="E1119" s="13">
        <v>2</v>
      </c>
      <c r="F1119" s="25" t="s">
        <v>1131</v>
      </c>
      <c r="G1119" s="25">
        <v>81897719002</v>
      </c>
      <c r="H1119" s="11">
        <v>123.69888</v>
      </c>
      <c r="I1119" s="11">
        <f t="shared" si="135"/>
        <v>247.39776000000001</v>
      </c>
      <c r="J1119" s="11">
        <f t="shared" si="137"/>
        <v>123.69888</v>
      </c>
      <c r="K1119" s="11">
        <f t="shared" si="136"/>
        <v>247.39776000000001</v>
      </c>
      <c r="L1119" s="10">
        <v>0</v>
      </c>
      <c r="N1119" s="118">
        <f t="shared" si="133"/>
        <v>0</v>
      </c>
      <c r="O1119" s="118">
        <f t="shared" si="134"/>
        <v>123.69888</v>
      </c>
    </row>
    <row r="1120" spans="1:15" x14ac:dyDescent="0.25">
      <c r="A1120" t="s">
        <v>1130</v>
      </c>
      <c r="B1120" t="s">
        <v>961</v>
      </c>
      <c r="C1120" s="19">
        <v>4</v>
      </c>
      <c r="D1120" s="18" t="s">
        <v>962</v>
      </c>
      <c r="E1120" s="13">
        <v>2</v>
      </c>
      <c r="F1120" s="25" t="s">
        <v>961</v>
      </c>
      <c r="G1120" s="25">
        <v>81897719002</v>
      </c>
      <c r="H1120" s="11">
        <v>123.69888</v>
      </c>
      <c r="I1120" s="11">
        <f t="shared" si="135"/>
        <v>247.39776000000001</v>
      </c>
      <c r="J1120" s="11">
        <f t="shared" si="137"/>
        <v>123.69888</v>
      </c>
      <c r="K1120" s="11">
        <f t="shared" si="136"/>
        <v>247.39776000000001</v>
      </c>
      <c r="L1120" s="10">
        <v>0</v>
      </c>
      <c r="N1120" s="118">
        <f t="shared" si="133"/>
        <v>0</v>
      </c>
      <c r="O1120" s="118">
        <f t="shared" si="134"/>
        <v>123.69888</v>
      </c>
    </row>
    <row r="1121" spans="1:15" x14ac:dyDescent="0.25">
      <c r="A1121" t="s">
        <v>1129</v>
      </c>
      <c r="B1121" t="s">
        <v>1127</v>
      </c>
      <c r="C1121" s="19">
        <v>5</v>
      </c>
      <c r="D1121" s="18" t="s">
        <v>1128</v>
      </c>
      <c r="E1121" s="13">
        <v>2</v>
      </c>
      <c r="F1121" s="25" t="s">
        <v>1127</v>
      </c>
      <c r="G1121" s="25">
        <v>81897719002</v>
      </c>
      <c r="H1121" s="11">
        <v>54.960799999999999</v>
      </c>
      <c r="I1121" s="11">
        <f t="shared" si="135"/>
        <v>109.9216</v>
      </c>
      <c r="J1121" s="11">
        <f t="shared" si="137"/>
        <v>54.960799999999999</v>
      </c>
      <c r="K1121" s="11">
        <f t="shared" si="136"/>
        <v>109.9216</v>
      </c>
      <c r="L1121" s="10">
        <v>0</v>
      </c>
      <c r="N1121" s="118">
        <f t="shared" si="133"/>
        <v>0</v>
      </c>
      <c r="O1121" s="118">
        <f t="shared" si="134"/>
        <v>54.960799999999999</v>
      </c>
    </row>
    <row r="1122" spans="1:15" x14ac:dyDescent="0.25">
      <c r="A1122" t="s">
        <v>1126</v>
      </c>
      <c r="B1122" t="s">
        <v>1124</v>
      </c>
      <c r="C1122" s="19">
        <v>6</v>
      </c>
      <c r="D1122" s="18" t="s">
        <v>1125</v>
      </c>
      <c r="E1122" s="13">
        <v>2</v>
      </c>
      <c r="F1122" s="25" t="s">
        <v>1124</v>
      </c>
      <c r="G1122" s="25">
        <v>81897719002</v>
      </c>
      <c r="H1122" s="11">
        <v>154.62360000000001</v>
      </c>
      <c r="I1122" s="11">
        <f t="shared" si="135"/>
        <v>309.24720000000002</v>
      </c>
      <c r="J1122" s="11">
        <f t="shared" si="137"/>
        <v>154.62360000000001</v>
      </c>
      <c r="K1122" s="11">
        <f t="shared" si="136"/>
        <v>309.24720000000002</v>
      </c>
      <c r="L1122" s="10">
        <v>0</v>
      </c>
      <c r="N1122" s="118">
        <f t="shared" si="133"/>
        <v>0</v>
      </c>
      <c r="O1122" s="118">
        <f t="shared" si="134"/>
        <v>154.62360000000001</v>
      </c>
    </row>
    <row r="1123" spans="1:15" x14ac:dyDescent="0.25">
      <c r="A1123" t="s">
        <v>1123</v>
      </c>
      <c r="B1123" t="s">
        <v>1121</v>
      </c>
      <c r="C1123" s="19">
        <v>7</v>
      </c>
      <c r="D1123" s="18" t="s">
        <v>1122</v>
      </c>
      <c r="E1123" s="13">
        <v>2</v>
      </c>
      <c r="F1123" s="25" t="s">
        <v>1121</v>
      </c>
      <c r="G1123" s="25">
        <v>81897719002</v>
      </c>
      <c r="H1123" s="11">
        <v>127.11848000000001</v>
      </c>
      <c r="I1123" s="11">
        <f t="shared" si="135"/>
        <v>254.23696000000001</v>
      </c>
      <c r="J1123" s="11">
        <f t="shared" si="137"/>
        <v>127.11848000000001</v>
      </c>
      <c r="K1123" s="11">
        <f t="shared" si="136"/>
        <v>254.23696000000001</v>
      </c>
      <c r="L1123" s="10">
        <v>0</v>
      </c>
      <c r="N1123" s="118">
        <f t="shared" si="133"/>
        <v>0</v>
      </c>
      <c r="O1123" s="118">
        <f t="shared" si="134"/>
        <v>127.11848000000001</v>
      </c>
    </row>
    <row r="1124" spans="1:15" x14ac:dyDescent="0.25">
      <c r="A1124" t="s">
        <v>1120</v>
      </c>
      <c r="B1124" t="s">
        <v>1118</v>
      </c>
      <c r="C1124" s="19">
        <v>8</v>
      </c>
      <c r="D1124" s="18" t="s">
        <v>1119</v>
      </c>
      <c r="E1124" s="13">
        <v>1</v>
      </c>
      <c r="F1124" s="25" t="s">
        <v>1118</v>
      </c>
      <c r="G1124" s="25">
        <v>81897719002</v>
      </c>
      <c r="H1124" s="11">
        <v>164.93183999999999</v>
      </c>
      <c r="I1124" s="11">
        <f t="shared" si="135"/>
        <v>164.93183999999999</v>
      </c>
      <c r="J1124" s="11">
        <f t="shared" si="137"/>
        <v>164.93183999999999</v>
      </c>
      <c r="K1124" s="11">
        <f t="shared" si="136"/>
        <v>164.93183999999999</v>
      </c>
      <c r="L1124" s="10">
        <v>0</v>
      </c>
      <c r="N1124" s="118">
        <f t="shared" si="133"/>
        <v>0</v>
      </c>
      <c r="O1124" s="118">
        <f t="shared" si="134"/>
        <v>164.93183999999999</v>
      </c>
    </row>
    <row r="1125" spans="1:15" x14ac:dyDescent="0.25">
      <c r="A1125" t="s">
        <v>1117</v>
      </c>
      <c r="B1125" t="s">
        <v>1115</v>
      </c>
      <c r="C1125" s="19">
        <v>9</v>
      </c>
      <c r="D1125" s="18" t="s">
        <v>1116</v>
      </c>
      <c r="E1125" s="13">
        <v>1</v>
      </c>
      <c r="F1125" s="25" t="s">
        <v>1115</v>
      </c>
      <c r="G1125" s="25">
        <v>81897719002</v>
      </c>
      <c r="H1125" s="11">
        <v>185.54832000000002</v>
      </c>
      <c r="I1125" s="11">
        <f t="shared" si="135"/>
        <v>185.54832000000002</v>
      </c>
      <c r="J1125" s="11">
        <f t="shared" si="137"/>
        <v>185.54832000000002</v>
      </c>
      <c r="K1125" s="11">
        <f t="shared" si="136"/>
        <v>185.54832000000002</v>
      </c>
      <c r="L1125" s="10">
        <v>0</v>
      </c>
      <c r="N1125" s="118">
        <f t="shared" si="133"/>
        <v>0</v>
      </c>
      <c r="O1125" s="118">
        <f t="shared" si="134"/>
        <v>185.54832000000002</v>
      </c>
    </row>
    <row r="1126" spans="1:15" x14ac:dyDescent="0.25">
      <c r="A1126" t="s">
        <v>1114</v>
      </c>
      <c r="B1126" s="5" t="s">
        <v>406</v>
      </c>
      <c r="C1126" s="19">
        <v>10</v>
      </c>
      <c r="D1126" s="18" t="s">
        <v>407</v>
      </c>
      <c r="E1126" s="13">
        <v>1</v>
      </c>
      <c r="F1126" s="25" t="s">
        <v>406</v>
      </c>
      <c r="G1126" s="25">
        <v>81897719002</v>
      </c>
      <c r="H1126" s="11">
        <v>154.62360000000001</v>
      </c>
      <c r="I1126" s="11">
        <f t="shared" si="135"/>
        <v>154.62360000000001</v>
      </c>
      <c r="J1126" s="11">
        <f t="shared" si="137"/>
        <v>154.62360000000001</v>
      </c>
      <c r="K1126" s="11">
        <f t="shared" si="136"/>
        <v>154.62360000000001</v>
      </c>
      <c r="L1126" s="10">
        <v>0</v>
      </c>
      <c r="N1126" s="118">
        <f t="shared" si="133"/>
        <v>0</v>
      </c>
      <c r="O1126" s="118">
        <f t="shared" si="134"/>
        <v>154.62360000000001</v>
      </c>
    </row>
    <row r="1127" spans="1:15" s="5" customFormat="1" x14ac:dyDescent="0.25">
      <c r="A1127" s="5" t="s">
        <v>1113</v>
      </c>
      <c r="B1127" t="s">
        <v>1111</v>
      </c>
      <c r="C1127" s="19">
        <v>11</v>
      </c>
      <c r="D1127" s="18" t="s">
        <v>1112</v>
      </c>
      <c r="E1127" s="13">
        <v>1</v>
      </c>
      <c r="F1127" s="40" t="s">
        <v>1111</v>
      </c>
      <c r="G1127" s="25">
        <v>81897710009</v>
      </c>
      <c r="H1127" s="11">
        <v>695.69496000000004</v>
      </c>
      <c r="I1127" s="11">
        <f t="shared" si="135"/>
        <v>695.69496000000004</v>
      </c>
      <c r="J1127" s="11">
        <f t="shared" si="137"/>
        <v>695.69496000000004</v>
      </c>
      <c r="K1127" s="11">
        <f t="shared" si="136"/>
        <v>695.69496000000004</v>
      </c>
      <c r="L1127" s="10">
        <v>0</v>
      </c>
      <c r="N1127" s="118">
        <f t="shared" si="133"/>
        <v>0</v>
      </c>
      <c r="O1127" s="118">
        <f t="shared" si="134"/>
        <v>695.69496000000004</v>
      </c>
    </row>
    <row r="1128" spans="1:15" x14ac:dyDescent="0.25">
      <c r="A1128" t="s">
        <v>1110</v>
      </c>
      <c r="B1128" t="s">
        <v>1014</v>
      </c>
      <c r="C1128" s="19">
        <v>12</v>
      </c>
      <c r="D1128" s="18" t="s">
        <v>1015</v>
      </c>
      <c r="E1128" s="13">
        <v>2</v>
      </c>
      <c r="F1128" s="25" t="s">
        <v>1014</v>
      </c>
      <c r="G1128" s="25">
        <v>81897710009</v>
      </c>
      <c r="H1128" s="11">
        <v>68.738080000000011</v>
      </c>
      <c r="I1128" s="11">
        <f t="shared" si="135"/>
        <v>137.47616000000002</v>
      </c>
      <c r="J1128" s="11">
        <f t="shared" si="137"/>
        <v>68.738080000000011</v>
      </c>
      <c r="K1128" s="11">
        <f t="shared" si="136"/>
        <v>137.47616000000002</v>
      </c>
      <c r="L1128" s="10">
        <v>0</v>
      </c>
      <c r="N1128" s="118">
        <f t="shared" si="133"/>
        <v>0</v>
      </c>
      <c r="O1128" s="118">
        <f t="shared" si="134"/>
        <v>68.738080000000011</v>
      </c>
    </row>
    <row r="1129" spans="1:15" x14ac:dyDescent="0.25">
      <c r="A1129" t="s">
        <v>1109</v>
      </c>
      <c r="B1129" t="s">
        <v>1011</v>
      </c>
      <c r="C1129" s="19">
        <v>13</v>
      </c>
      <c r="D1129" s="18" t="s">
        <v>1012</v>
      </c>
      <c r="E1129" s="13">
        <v>2</v>
      </c>
      <c r="F1129" s="25" t="s">
        <v>1011</v>
      </c>
      <c r="G1129" s="25">
        <v>81897719002</v>
      </c>
      <c r="H1129" s="11">
        <v>68.738080000000011</v>
      </c>
      <c r="I1129" s="11">
        <f t="shared" si="135"/>
        <v>137.47616000000002</v>
      </c>
      <c r="J1129" s="11">
        <f t="shared" si="137"/>
        <v>68.738080000000011</v>
      </c>
      <c r="K1129" s="11">
        <f t="shared" si="136"/>
        <v>137.47616000000002</v>
      </c>
      <c r="L1129" s="10">
        <v>0</v>
      </c>
      <c r="N1129" s="118">
        <f t="shared" si="133"/>
        <v>0</v>
      </c>
      <c r="O1129" s="118">
        <f t="shared" si="134"/>
        <v>68.738080000000011</v>
      </c>
    </row>
    <row r="1130" spans="1:15" x14ac:dyDescent="0.25">
      <c r="A1130" t="s">
        <v>1108</v>
      </c>
      <c r="B1130" t="s">
        <v>1106</v>
      </c>
      <c r="C1130" s="19">
        <v>14</v>
      </c>
      <c r="D1130" s="18" t="s">
        <v>1107</v>
      </c>
      <c r="E1130" s="13">
        <v>2</v>
      </c>
      <c r="F1130" s="25" t="s">
        <v>1106</v>
      </c>
      <c r="G1130" s="25">
        <v>81897719002</v>
      </c>
      <c r="H1130" s="11">
        <v>68.738080000000011</v>
      </c>
      <c r="I1130" s="11">
        <f t="shared" si="135"/>
        <v>137.47616000000002</v>
      </c>
      <c r="J1130" s="11">
        <f t="shared" si="137"/>
        <v>68.738080000000011</v>
      </c>
      <c r="K1130" s="11">
        <f t="shared" si="136"/>
        <v>137.47616000000002</v>
      </c>
      <c r="L1130" s="10">
        <v>0</v>
      </c>
      <c r="N1130" s="118">
        <f t="shared" si="133"/>
        <v>0</v>
      </c>
      <c r="O1130" s="118">
        <f t="shared" si="134"/>
        <v>68.738080000000011</v>
      </c>
    </row>
    <row r="1131" spans="1:15" x14ac:dyDescent="0.25">
      <c r="A1131" t="s">
        <v>1105</v>
      </c>
      <c r="B1131" t="s">
        <v>642</v>
      </c>
      <c r="C1131" s="19">
        <v>15</v>
      </c>
      <c r="D1131" s="18" t="s">
        <v>641</v>
      </c>
      <c r="E1131" s="13">
        <v>1</v>
      </c>
      <c r="F1131" s="25" t="s">
        <v>158</v>
      </c>
      <c r="G1131" s="25" t="s">
        <v>427</v>
      </c>
      <c r="H1131" s="11">
        <v>5.2653600000000003</v>
      </c>
      <c r="I1131" s="11">
        <f t="shared" si="135"/>
        <v>5.2653600000000003</v>
      </c>
      <c r="J1131" s="11">
        <f t="shared" si="137"/>
        <v>5.2653600000000003</v>
      </c>
      <c r="K1131" s="11">
        <f t="shared" si="136"/>
        <v>5.2653600000000003</v>
      </c>
      <c r="L1131" s="10">
        <v>0</v>
      </c>
      <c r="N1131" s="118">
        <f t="shared" si="133"/>
        <v>0</v>
      </c>
      <c r="O1131" s="118">
        <f t="shared" si="134"/>
        <v>5.2653600000000003</v>
      </c>
    </row>
    <row r="1132" spans="1:15" x14ac:dyDescent="0.25">
      <c r="A1132" t="s">
        <v>1104</v>
      </c>
      <c r="B1132" t="s">
        <v>1102</v>
      </c>
      <c r="C1132" s="19">
        <v>16</v>
      </c>
      <c r="D1132" s="18" t="s">
        <v>1103</v>
      </c>
      <c r="E1132" s="13">
        <v>1</v>
      </c>
      <c r="F1132" s="25" t="s">
        <v>1102</v>
      </c>
      <c r="G1132" s="25">
        <v>81897719002</v>
      </c>
      <c r="H1132" s="11">
        <v>34.344320000000003</v>
      </c>
      <c r="I1132" s="11">
        <f t="shared" si="135"/>
        <v>34.344320000000003</v>
      </c>
      <c r="J1132" s="11">
        <f t="shared" si="137"/>
        <v>34.344320000000003</v>
      </c>
      <c r="K1132" s="11">
        <f t="shared" si="136"/>
        <v>34.344320000000003</v>
      </c>
      <c r="L1132" s="10">
        <v>0</v>
      </c>
      <c r="N1132" s="118">
        <f t="shared" si="133"/>
        <v>0</v>
      </c>
      <c r="O1132" s="118">
        <f t="shared" si="134"/>
        <v>34.344320000000003</v>
      </c>
    </row>
    <row r="1133" spans="1:15" x14ac:dyDescent="0.25">
      <c r="A1133" t="s">
        <v>1101</v>
      </c>
      <c r="B1133" t="s">
        <v>230</v>
      </c>
      <c r="C1133" s="19">
        <v>17</v>
      </c>
      <c r="D1133" s="18" t="s">
        <v>231</v>
      </c>
      <c r="E1133" s="13">
        <v>1</v>
      </c>
      <c r="F1133" s="25" t="s">
        <v>230</v>
      </c>
      <c r="G1133" s="25">
        <v>81897719002</v>
      </c>
      <c r="H1133" s="11">
        <v>9.6078399999999995</v>
      </c>
      <c r="I1133" s="11">
        <f t="shared" si="135"/>
        <v>9.6078399999999995</v>
      </c>
      <c r="J1133" s="11">
        <f t="shared" si="137"/>
        <v>9.6078399999999995</v>
      </c>
      <c r="K1133" s="11">
        <f t="shared" si="136"/>
        <v>9.6078399999999995</v>
      </c>
      <c r="L1133" s="10">
        <v>0</v>
      </c>
      <c r="N1133" s="118">
        <f t="shared" si="133"/>
        <v>0</v>
      </c>
      <c r="O1133" s="118">
        <f t="shared" si="134"/>
        <v>9.6078399999999995</v>
      </c>
    </row>
    <row r="1134" spans="1:15" x14ac:dyDescent="0.25">
      <c r="A1134" t="s">
        <v>1100</v>
      </c>
      <c r="B1134" t="s">
        <v>12</v>
      </c>
      <c r="C1134" s="19">
        <v>18</v>
      </c>
      <c r="D1134" s="18" t="s">
        <v>13</v>
      </c>
      <c r="E1134" s="13">
        <v>2</v>
      </c>
      <c r="F1134" s="25" t="s">
        <v>12</v>
      </c>
      <c r="G1134" s="25">
        <v>81897719002</v>
      </c>
      <c r="H1134" s="11">
        <v>39.873360000000005</v>
      </c>
      <c r="I1134" s="11">
        <f t="shared" si="135"/>
        <v>79.74672000000001</v>
      </c>
      <c r="J1134" s="11">
        <f t="shared" si="137"/>
        <v>39.873360000000005</v>
      </c>
      <c r="K1134" s="11">
        <f t="shared" si="136"/>
        <v>79.74672000000001</v>
      </c>
      <c r="L1134" s="10">
        <v>0</v>
      </c>
      <c r="N1134" s="118">
        <f t="shared" si="133"/>
        <v>0</v>
      </c>
      <c r="O1134" s="118">
        <f t="shared" si="134"/>
        <v>39.873360000000005</v>
      </c>
    </row>
    <row r="1135" spans="1:15" x14ac:dyDescent="0.25">
      <c r="A1135" t="s">
        <v>1099</v>
      </c>
      <c r="B1135" t="s">
        <v>1097</v>
      </c>
      <c r="C1135" s="19">
        <v>19</v>
      </c>
      <c r="D1135" s="18" t="s">
        <v>1098</v>
      </c>
      <c r="E1135" s="13">
        <v>2</v>
      </c>
      <c r="F1135" s="25" t="s">
        <v>1097</v>
      </c>
      <c r="G1135" s="25">
        <v>81897719002</v>
      </c>
      <c r="H1135" s="11">
        <v>46.720799999999997</v>
      </c>
      <c r="I1135" s="11">
        <f t="shared" si="135"/>
        <v>93.441599999999994</v>
      </c>
      <c r="J1135" s="11">
        <f t="shared" si="137"/>
        <v>46.720799999999997</v>
      </c>
      <c r="K1135" s="11">
        <f t="shared" si="136"/>
        <v>93.441599999999994</v>
      </c>
      <c r="L1135" s="10">
        <v>0</v>
      </c>
      <c r="N1135" s="118">
        <f t="shared" si="133"/>
        <v>0</v>
      </c>
      <c r="O1135" s="118">
        <f t="shared" si="134"/>
        <v>46.720799999999997</v>
      </c>
    </row>
    <row r="1136" spans="1:15" x14ac:dyDescent="0.25">
      <c r="A1136" t="s">
        <v>1096</v>
      </c>
      <c r="B1136" t="s">
        <v>152</v>
      </c>
      <c r="C1136" s="19">
        <v>20</v>
      </c>
      <c r="D1136" s="18" t="s">
        <v>153</v>
      </c>
      <c r="E1136" s="13">
        <v>1</v>
      </c>
      <c r="F1136" s="25" t="s">
        <v>152</v>
      </c>
      <c r="G1136" s="25">
        <v>81897719002</v>
      </c>
      <c r="H1136" s="11">
        <v>9.6078399999999995</v>
      </c>
      <c r="I1136" s="11">
        <f t="shared" si="135"/>
        <v>9.6078399999999995</v>
      </c>
      <c r="J1136" s="11">
        <f t="shared" si="137"/>
        <v>9.6078399999999995</v>
      </c>
      <c r="K1136" s="11">
        <f t="shared" si="136"/>
        <v>9.6078399999999995</v>
      </c>
      <c r="L1136" s="10">
        <v>0</v>
      </c>
      <c r="N1136" s="118">
        <f t="shared" si="133"/>
        <v>0</v>
      </c>
      <c r="O1136" s="118">
        <f t="shared" si="134"/>
        <v>9.6078399999999995</v>
      </c>
    </row>
    <row r="1137" spans="1:15" x14ac:dyDescent="0.25">
      <c r="A1137" t="s">
        <v>1095</v>
      </c>
      <c r="B1137" t="s">
        <v>220</v>
      </c>
      <c r="C1137" s="19">
        <v>21</v>
      </c>
      <c r="D1137" s="18" t="s">
        <v>221</v>
      </c>
      <c r="E1137" s="13">
        <v>1</v>
      </c>
      <c r="F1137" s="25" t="s">
        <v>220</v>
      </c>
      <c r="G1137" s="25">
        <v>81897719002</v>
      </c>
      <c r="H1137" s="11">
        <v>17.19688</v>
      </c>
      <c r="I1137" s="11">
        <f t="shared" si="135"/>
        <v>17.19688</v>
      </c>
      <c r="J1137" s="11">
        <f t="shared" si="137"/>
        <v>17.19688</v>
      </c>
      <c r="K1137" s="11">
        <f t="shared" si="136"/>
        <v>17.19688</v>
      </c>
      <c r="L1137" s="10">
        <v>0</v>
      </c>
      <c r="N1137" s="118">
        <f t="shared" si="133"/>
        <v>0</v>
      </c>
      <c r="O1137" s="118">
        <f t="shared" si="134"/>
        <v>17.19688</v>
      </c>
    </row>
    <row r="1138" spans="1:15" x14ac:dyDescent="0.25">
      <c r="A1138" t="s">
        <v>1094</v>
      </c>
      <c r="B1138" t="s">
        <v>233</v>
      </c>
      <c r="C1138" s="19">
        <v>22</v>
      </c>
      <c r="D1138" s="18" t="s">
        <v>234</v>
      </c>
      <c r="E1138" s="13">
        <v>1</v>
      </c>
      <c r="F1138" s="25" t="s">
        <v>233</v>
      </c>
      <c r="G1138" s="25">
        <v>81897719002</v>
      </c>
      <c r="H1138" s="11">
        <v>8.9486399999999993</v>
      </c>
      <c r="I1138" s="11">
        <f t="shared" si="135"/>
        <v>8.9486399999999993</v>
      </c>
      <c r="J1138" s="11">
        <f t="shared" si="137"/>
        <v>8.9486399999999993</v>
      </c>
      <c r="K1138" s="11">
        <f t="shared" si="136"/>
        <v>8.9486399999999993</v>
      </c>
      <c r="L1138" s="10">
        <v>0</v>
      </c>
      <c r="N1138" s="118">
        <f t="shared" si="133"/>
        <v>0</v>
      </c>
      <c r="O1138" s="118">
        <f t="shared" si="134"/>
        <v>8.9486399999999993</v>
      </c>
    </row>
    <row r="1139" spans="1:15" x14ac:dyDescent="0.25">
      <c r="A1139" t="s">
        <v>1093</v>
      </c>
      <c r="B1139" t="s">
        <v>110</v>
      </c>
      <c r="C1139" s="19">
        <v>23</v>
      </c>
      <c r="D1139" s="18" t="s">
        <v>111</v>
      </c>
      <c r="E1139" s="13">
        <v>1</v>
      </c>
      <c r="F1139" s="25" t="s">
        <v>110</v>
      </c>
      <c r="G1139" s="25">
        <v>81897719002</v>
      </c>
      <c r="H1139" s="11">
        <v>38.472559999999994</v>
      </c>
      <c r="I1139" s="11">
        <f t="shared" si="135"/>
        <v>38.472559999999994</v>
      </c>
      <c r="J1139" s="11">
        <f t="shared" si="137"/>
        <v>38.472559999999994</v>
      </c>
      <c r="K1139" s="11">
        <f t="shared" si="136"/>
        <v>38.472559999999994</v>
      </c>
      <c r="L1139" s="10">
        <v>0</v>
      </c>
      <c r="N1139" s="118">
        <f t="shared" si="133"/>
        <v>0</v>
      </c>
      <c r="O1139" s="118">
        <f t="shared" si="134"/>
        <v>38.472559999999994</v>
      </c>
    </row>
    <row r="1140" spans="1:15" x14ac:dyDescent="0.25">
      <c r="A1140" t="s">
        <v>1092</v>
      </c>
      <c r="B1140" t="s">
        <v>155</v>
      </c>
      <c r="C1140" s="19">
        <v>24</v>
      </c>
      <c r="D1140" s="18" t="s">
        <v>156</v>
      </c>
      <c r="E1140" s="13">
        <v>1</v>
      </c>
      <c r="F1140" s="25" t="s">
        <v>155</v>
      </c>
      <c r="G1140" s="25">
        <v>81897719002</v>
      </c>
      <c r="H1140" s="11">
        <v>8.2482399999999991</v>
      </c>
      <c r="I1140" s="11">
        <f t="shared" si="135"/>
        <v>8.2482399999999991</v>
      </c>
      <c r="J1140" s="11">
        <f t="shared" si="137"/>
        <v>8.2482399999999991</v>
      </c>
      <c r="K1140" s="11">
        <f t="shared" si="136"/>
        <v>8.2482399999999991</v>
      </c>
      <c r="L1140" s="10">
        <v>0</v>
      </c>
      <c r="N1140" s="118">
        <f t="shared" si="133"/>
        <v>0</v>
      </c>
      <c r="O1140" s="118">
        <f t="shared" si="134"/>
        <v>8.2482399999999991</v>
      </c>
    </row>
    <row r="1141" spans="1:15" x14ac:dyDescent="0.25">
      <c r="A1141" t="s">
        <v>1091</v>
      </c>
      <c r="B1141" t="s">
        <v>223</v>
      </c>
      <c r="C1141" s="19">
        <v>25</v>
      </c>
      <c r="D1141" s="18" t="s">
        <v>224</v>
      </c>
      <c r="E1141" s="13">
        <v>1</v>
      </c>
      <c r="F1141" s="25" t="s">
        <v>223</v>
      </c>
      <c r="G1141" s="25">
        <v>81897719002</v>
      </c>
      <c r="H1141" s="11">
        <v>16.496479999999998</v>
      </c>
      <c r="I1141" s="11">
        <f t="shared" si="135"/>
        <v>16.496479999999998</v>
      </c>
      <c r="J1141" s="11">
        <f t="shared" si="137"/>
        <v>16.496479999999998</v>
      </c>
      <c r="K1141" s="11">
        <f t="shared" si="136"/>
        <v>16.496479999999998</v>
      </c>
      <c r="L1141" s="10">
        <v>0</v>
      </c>
      <c r="N1141" s="118">
        <f t="shared" si="133"/>
        <v>0</v>
      </c>
      <c r="O1141" s="118">
        <f t="shared" si="134"/>
        <v>16.496479999999998</v>
      </c>
    </row>
    <row r="1142" spans="1:15" x14ac:dyDescent="0.25">
      <c r="A1142" t="s">
        <v>1090</v>
      </c>
      <c r="B1142" t="s">
        <v>146</v>
      </c>
      <c r="C1142" s="19">
        <v>26</v>
      </c>
      <c r="D1142" s="18" t="s">
        <v>147</v>
      </c>
      <c r="E1142" s="13">
        <v>1</v>
      </c>
      <c r="F1142" s="25" t="s">
        <v>146</v>
      </c>
      <c r="G1142" s="25">
        <v>81897719002</v>
      </c>
      <c r="H1142" s="11">
        <v>10.30824</v>
      </c>
      <c r="I1142" s="11">
        <f t="shared" si="135"/>
        <v>10.30824</v>
      </c>
      <c r="J1142" s="11">
        <f t="shared" si="137"/>
        <v>10.30824</v>
      </c>
      <c r="K1142" s="11">
        <f t="shared" si="136"/>
        <v>10.30824</v>
      </c>
      <c r="L1142" s="10">
        <v>0</v>
      </c>
      <c r="N1142" s="118">
        <f t="shared" si="133"/>
        <v>0</v>
      </c>
      <c r="O1142" s="118">
        <f t="shared" si="134"/>
        <v>10.30824</v>
      </c>
    </row>
    <row r="1143" spans="1:15" x14ac:dyDescent="0.25">
      <c r="A1143" t="s">
        <v>1089</v>
      </c>
      <c r="B1143" t="s">
        <v>1087</v>
      </c>
      <c r="C1143" s="19">
        <v>27</v>
      </c>
      <c r="D1143" s="18" t="s">
        <v>1088</v>
      </c>
      <c r="E1143" s="13">
        <v>1</v>
      </c>
      <c r="F1143" s="25" t="s">
        <v>1087</v>
      </c>
      <c r="G1143" s="25">
        <v>81897719002</v>
      </c>
      <c r="H1143" s="11">
        <v>41.232959999999999</v>
      </c>
      <c r="I1143" s="11">
        <f t="shared" si="135"/>
        <v>41.232959999999999</v>
      </c>
      <c r="J1143" s="11">
        <f t="shared" si="137"/>
        <v>41.232959999999999</v>
      </c>
      <c r="K1143" s="11">
        <f t="shared" si="136"/>
        <v>41.232959999999999</v>
      </c>
      <c r="L1143" s="10">
        <v>0</v>
      </c>
      <c r="N1143" s="118">
        <f t="shared" si="133"/>
        <v>0</v>
      </c>
      <c r="O1143" s="118">
        <f t="shared" si="134"/>
        <v>41.232959999999999</v>
      </c>
    </row>
    <row r="1144" spans="1:15" x14ac:dyDescent="0.25">
      <c r="A1144" t="s">
        <v>1086</v>
      </c>
      <c r="B1144" t="s">
        <v>262</v>
      </c>
      <c r="C1144" s="19">
        <v>28</v>
      </c>
      <c r="D1144" s="18" t="s">
        <v>263</v>
      </c>
      <c r="E1144" s="13">
        <v>1</v>
      </c>
      <c r="F1144" s="25" t="s">
        <v>262</v>
      </c>
      <c r="G1144" s="25">
        <v>81897719002</v>
      </c>
      <c r="H1144" s="11">
        <v>30.224320000000002</v>
      </c>
      <c r="I1144" s="11">
        <f t="shared" si="135"/>
        <v>30.224320000000002</v>
      </c>
      <c r="J1144" s="11">
        <f t="shared" si="137"/>
        <v>30.224320000000002</v>
      </c>
      <c r="K1144" s="11">
        <f t="shared" si="136"/>
        <v>30.224320000000002</v>
      </c>
      <c r="L1144" s="10">
        <v>0</v>
      </c>
      <c r="N1144" s="118">
        <f t="shared" si="133"/>
        <v>0</v>
      </c>
      <c r="O1144" s="118">
        <f t="shared" si="134"/>
        <v>30.224320000000002</v>
      </c>
    </row>
    <row r="1145" spans="1:15" ht="15" customHeight="1" x14ac:dyDescent="0.25">
      <c r="A1145" t="s">
        <v>1085</v>
      </c>
      <c r="B1145" t="s">
        <v>131</v>
      </c>
      <c r="C1145" s="19">
        <v>29</v>
      </c>
      <c r="D1145" s="18" t="s">
        <v>132</v>
      </c>
      <c r="E1145" s="13">
        <v>6</v>
      </c>
      <c r="F1145" s="25" t="s">
        <v>131</v>
      </c>
      <c r="G1145" s="25">
        <v>81897719002</v>
      </c>
      <c r="H1145" s="11">
        <v>16.496479999999998</v>
      </c>
      <c r="I1145" s="11">
        <f t="shared" si="135"/>
        <v>98.97887999999999</v>
      </c>
      <c r="J1145" s="11">
        <f t="shared" si="137"/>
        <v>16.496479999999998</v>
      </c>
      <c r="K1145" s="11">
        <f t="shared" si="136"/>
        <v>98.97887999999999</v>
      </c>
      <c r="L1145" s="10">
        <v>0</v>
      </c>
      <c r="N1145" s="118">
        <f t="shared" si="133"/>
        <v>0</v>
      </c>
      <c r="O1145" s="118">
        <f t="shared" si="134"/>
        <v>16.496479999999998</v>
      </c>
    </row>
    <row r="1146" spans="1:15" x14ac:dyDescent="0.25">
      <c r="A1146" t="s">
        <v>1084</v>
      </c>
      <c r="B1146" t="s">
        <v>1082</v>
      </c>
      <c r="C1146" s="19">
        <v>30</v>
      </c>
      <c r="D1146" s="18" t="s">
        <v>1083</v>
      </c>
      <c r="E1146" s="13">
        <v>2</v>
      </c>
      <c r="F1146" s="25" t="s">
        <v>1082</v>
      </c>
      <c r="G1146" s="25">
        <v>81897719002</v>
      </c>
      <c r="H1146" s="11">
        <v>48.121600000000001</v>
      </c>
      <c r="I1146" s="11">
        <f t="shared" si="135"/>
        <v>96.243200000000002</v>
      </c>
      <c r="J1146" s="11">
        <f t="shared" si="137"/>
        <v>48.121600000000001</v>
      </c>
      <c r="K1146" s="11">
        <f t="shared" si="136"/>
        <v>96.243200000000002</v>
      </c>
      <c r="L1146" s="10">
        <v>0</v>
      </c>
      <c r="N1146" s="118">
        <f t="shared" si="133"/>
        <v>0</v>
      </c>
      <c r="O1146" s="118">
        <f t="shared" si="134"/>
        <v>48.121600000000001</v>
      </c>
    </row>
    <row r="1147" spans="1:15" x14ac:dyDescent="0.25">
      <c r="A1147" t="s">
        <v>1081</v>
      </c>
      <c r="B1147" t="s">
        <v>256</v>
      </c>
      <c r="C1147" s="19">
        <v>31</v>
      </c>
      <c r="D1147" s="18" t="s">
        <v>257</v>
      </c>
      <c r="E1147" s="13">
        <v>6</v>
      </c>
      <c r="F1147" s="25" t="s">
        <v>256</v>
      </c>
      <c r="G1147" s="25">
        <v>81897719002</v>
      </c>
      <c r="H1147" s="11">
        <v>17.19688</v>
      </c>
      <c r="I1147" s="11">
        <f t="shared" si="135"/>
        <v>103.18128</v>
      </c>
      <c r="J1147" s="11">
        <f t="shared" si="137"/>
        <v>17.19688</v>
      </c>
      <c r="K1147" s="11">
        <f t="shared" si="136"/>
        <v>103.18128</v>
      </c>
      <c r="L1147" s="10">
        <v>0</v>
      </c>
      <c r="N1147" s="118">
        <f t="shared" si="133"/>
        <v>0</v>
      </c>
      <c r="O1147" s="118">
        <f t="shared" si="134"/>
        <v>17.19688</v>
      </c>
    </row>
    <row r="1148" spans="1:15" x14ac:dyDescent="0.25">
      <c r="A1148" t="s">
        <v>1080</v>
      </c>
      <c r="B1148" t="s">
        <v>259</v>
      </c>
      <c r="C1148" s="19">
        <v>32</v>
      </c>
      <c r="D1148" s="18" t="s">
        <v>260</v>
      </c>
      <c r="E1148" s="13">
        <v>10</v>
      </c>
      <c r="F1148" s="25" t="s">
        <v>259</v>
      </c>
      <c r="G1148" s="25">
        <v>81897719002</v>
      </c>
      <c r="H1148" s="11">
        <v>16.496479999999998</v>
      </c>
      <c r="I1148" s="11">
        <f t="shared" si="135"/>
        <v>164.96479999999997</v>
      </c>
      <c r="J1148" s="11">
        <f t="shared" si="137"/>
        <v>16.496479999999998</v>
      </c>
      <c r="K1148" s="11">
        <f t="shared" si="136"/>
        <v>164.96479999999997</v>
      </c>
      <c r="L1148" s="10">
        <v>0</v>
      </c>
      <c r="N1148" s="118">
        <f t="shared" si="133"/>
        <v>0</v>
      </c>
      <c r="O1148" s="118">
        <f t="shared" si="134"/>
        <v>16.496479999999998</v>
      </c>
    </row>
    <row r="1149" spans="1:15" x14ac:dyDescent="0.25">
      <c r="A1149" t="s">
        <v>1079</v>
      </c>
      <c r="B1149" t="s">
        <v>116</v>
      </c>
      <c r="C1149" s="19">
        <v>33</v>
      </c>
      <c r="D1149" s="18" t="s">
        <v>117</v>
      </c>
      <c r="E1149" s="13">
        <v>6</v>
      </c>
      <c r="F1149" s="25" t="s">
        <v>116</v>
      </c>
      <c r="G1149" s="25">
        <v>81897719002</v>
      </c>
      <c r="H1149" s="11">
        <v>19.916080000000001</v>
      </c>
      <c r="I1149" s="11">
        <f t="shared" ref="I1149:I1180" si="138">H1149*E1149</f>
        <v>119.49648000000001</v>
      </c>
      <c r="J1149" s="11">
        <f t="shared" si="137"/>
        <v>19.916080000000001</v>
      </c>
      <c r="K1149" s="11">
        <f t="shared" ref="K1149:K1180" si="139">J1149*E1149</f>
        <v>119.49648000000001</v>
      </c>
      <c r="L1149" s="10">
        <v>0</v>
      </c>
      <c r="N1149" s="118">
        <f t="shared" si="133"/>
        <v>0</v>
      </c>
      <c r="O1149" s="118">
        <f t="shared" si="134"/>
        <v>19.916080000000001</v>
      </c>
    </row>
    <row r="1150" spans="1:15" x14ac:dyDescent="0.25">
      <c r="A1150" t="s">
        <v>1078</v>
      </c>
      <c r="B1150" t="s">
        <v>113</v>
      </c>
      <c r="C1150" s="19">
        <v>34</v>
      </c>
      <c r="D1150" s="18" t="s">
        <v>114</v>
      </c>
      <c r="E1150" s="13">
        <v>4</v>
      </c>
      <c r="F1150" s="25" t="s">
        <v>113</v>
      </c>
      <c r="G1150" s="25">
        <v>81897719002</v>
      </c>
      <c r="H1150" s="11">
        <v>20.616479999999999</v>
      </c>
      <c r="I1150" s="11">
        <f t="shared" si="138"/>
        <v>82.465919999999997</v>
      </c>
      <c r="J1150" s="11">
        <f t="shared" si="137"/>
        <v>20.616479999999999</v>
      </c>
      <c r="K1150" s="11">
        <f t="shared" si="139"/>
        <v>82.465919999999997</v>
      </c>
      <c r="L1150" s="10">
        <v>0</v>
      </c>
      <c r="N1150" s="118">
        <f t="shared" si="133"/>
        <v>0</v>
      </c>
      <c r="O1150" s="118">
        <f t="shared" si="134"/>
        <v>20.616479999999999</v>
      </c>
    </row>
    <row r="1151" spans="1:15" x14ac:dyDescent="0.25">
      <c r="A1151" t="s">
        <v>1077</v>
      </c>
      <c r="B1151" t="s">
        <v>128</v>
      </c>
      <c r="C1151" s="19">
        <v>35</v>
      </c>
      <c r="D1151" s="18" t="s">
        <v>129</v>
      </c>
      <c r="E1151" s="13">
        <v>4</v>
      </c>
      <c r="F1151" s="25" t="s">
        <v>128</v>
      </c>
      <c r="G1151" s="25">
        <v>81897719002</v>
      </c>
      <c r="H1151" s="11">
        <v>21.316880000000001</v>
      </c>
      <c r="I1151" s="11">
        <f t="shared" si="138"/>
        <v>85.267520000000005</v>
      </c>
      <c r="J1151" s="11">
        <f t="shared" si="137"/>
        <v>21.316880000000001</v>
      </c>
      <c r="K1151" s="11">
        <f t="shared" si="139"/>
        <v>85.267520000000005</v>
      </c>
      <c r="L1151" s="10">
        <v>0</v>
      </c>
      <c r="N1151" s="118">
        <f t="shared" si="133"/>
        <v>0</v>
      </c>
      <c r="O1151" s="118">
        <f t="shared" si="134"/>
        <v>21.316880000000001</v>
      </c>
    </row>
    <row r="1152" spans="1:15" x14ac:dyDescent="0.25">
      <c r="A1152" t="s">
        <v>1076</v>
      </c>
      <c r="B1152" t="s">
        <v>1074</v>
      </c>
      <c r="C1152" s="19">
        <v>36</v>
      </c>
      <c r="D1152" s="18" t="s">
        <v>1075</v>
      </c>
      <c r="E1152" s="13">
        <v>3</v>
      </c>
      <c r="F1152" s="25" t="s">
        <v>1074</v>
      </c>
      <c r="G1152" s="25">
        <v>81897719002</v>
      </c>
      <c r="H1152" s="11">
        <v>24.736479999999997</v>
      </c>
      <c r="I1152" s="11">
        <f t="shared" si="138"/>
        <v>74.209439999999987</v>
      </c>
      <c r="J1152" s="11">
        <f t="shared" si="137"/>
        <v>24.736479999999997</v>
      </c>
      <c r="K1152" s="11">
        <f t="shared" si="139"/>
        <v>74.209439999999987</v>
      </c>
      <c r="L1152" s="10">
        <v>0</v>
      </c>
      <c r="N1152" s="118">
        <f t="shared" si="133"/>
        <v>0</v>
      </c>
      <c r="O1152" s="118">
        <f t="shared" si="134"/>
        <v>24.736479999999997</v>
      </c>
    </row>
    <row r="1153" spans="1:15" x14ac:dyDescent="0.25">
      <c r="A1153" t="s">
        <v>1073</v>
      </c>
      <c r="B1153" t="s">
        <v>996</v>
      </c>
      <c r="C1153" s="19">
        <v>37</v>
      </c>
      <c r="D1153" s="18" t="s">
        <v>1072</v>
      </c>
      <c r="E1153" s="13">
        <v>2</v>
      </c>
      <c r="F1153" s="25" t="s">
        <v>996</v>
      </c>
      <c r="G1153" s="25">
        <v>81897719002</v>
      </c>
      <c r="H1153" s="11">
        <v>17.19688</v>
      </c>
      <c r="I1153" s="11">
        <f t="shared" si="138"/>
        <v>34.39376</v>
      </c>
      <c r="J1153" s="11">
        <f t="shared" si="137"/>
        <v>17.19688</v>
      </c>
      <c r="K1153" s="11">
        <f t="shared" si="139"/>
        <v>34.39376</v>
      </c>
      <c r="L1153" s="10">
        <v>0</v>
      </c>
      <c r="N1153" s="118">
        <f t="shared" si="133"/>
        <v>0</v>
      </c>
      <c r="O1153" s="118">
        <f t="shared" si="134"/>
        <v>17.19688</v>
      </c>
    </row>
    <row r="1154" spans="1:15" x14ac:dyDescent="0.25">
      <c r="A1154" t="s">
        <v>1071</v>
      </c>
      <c r="B1154" t="s">
        <v>1069</v>
      </c>
      <c r="C1154" s="19">
        <v>38</v>
      </c>
      <c r="D1154" s="18" t="s">
        <v>1070</v>
      </c>
      <c r="E1154" s="13">
        <v>2</v>
      </c>
      <c r="F1154" s="25" t="s">
        <v>1069</v>
      </c>
      <c r="G1154" s="25">
        <v>81897719002</v>
      </c>
      <c r="H1154" s="11">
        <v>27.505120000000002</v>
      </c>
      <c r="I1154" s="11">
        <f t="shared" si="138"/>
        <v>55.010240000000003</v>
      </c>
      <c r="J1154" s="11">
        <f t="shared" si="137"/>
        <v>27.505120000000002</v>
      </c>
      <c r="K1154" s="11">
        <f t="shared" si="139"/>
        <v>55.010240000000003</v>
      </c>
      <c r="L1154" s="10">
        <v>0</v>
      </c>
      <c r="N1154" s="118">
        <f t="shared" si="133"/>
        <v>0</v>
      </c>
      <c r="O1154" s="118">
        <f t="shared" si="134"/>
        <v>27.505120000000002</v>
      </c>
    </row>
    <row r="1155" spans="1:15" x14ac:dyDescent="0.25">
      <c r="A1155" t="s">
        <v>1068</v>
      </c>
      <c r="B1155" t="s">
        <v>1066</v>
      </c>
      <c r="C1155" s="19">
        <v>39</v>
      </c>
      <c r="D1155" s="18" t="s">
        <v>1067</v>
      </c>
      <c r="E1155" s="13">
        <v>2</v>
      </c>
      <c r="F1155" s="25" t="s">
        <v>1066</v>
      </c>
      <c r="G1155" s="25">
        <v>81897719002</v>
      </c>
      <c r="H1155" s="11">
        <v>19.916080000000001</v>
      </c>
      <c r="I1155" s="11">
        <f t="shared" si="138"/>
        <v>39.832160000000002</v>
      </c>
      <c r="J1155" s="11">
        <f t="shared" si="137"/>
        <v>19.916080000000001</v>
      </c>
      <c r="K1155" s="11">
        <f t="shared" si="139"/>
        <v>39.832160000000002</v>
      </c>
      <c r="L1155" s="10">
        <v>0</v>
      </c>
      <c r="N1155" s="118">
        <f t="shared" si="133"/>
        <v>0</v>
      </c>
      <c r="O1155" s="118">
        <f t="shared" si="134"/>
        <v>19.916080000000001</v>
      </c>
    </row>
    <row r="1156" spans="1:15" x14ac:dyDescent="0.25">
      <c r="A1156" t="s">
        <v>1065</v>
      </c>
      <c r="B1156" t="s">
        <v>599</v>
      </c>
      <c r="C1156" s="19">
        <v>40</v>
      </c>
      <c r="D1156" s="18" t="s">
        <v>600</v>
      </c>
      <c r="E1156" s="13">
        <v>6</v>
      </c>
      <c r="F1156" s="25" t="s">
        <v>599</v>
      </c>
      <c r="G1156" s="25">
        <v>81897719002</v>
      </c>
      <c r="H1156" s="11">
        <v>19.256880000000002</v>
      </c>
      <c r="I1156" s="11">
        <f t="shared" si="138"/>
        <v>115.54128000000001</v>
      </c>
      <c r="J1156" s="11">
        <f t="shared" si="137"/>
        <v>19.256880000000002</v>
      </c>
      <c r="K1156" s="11">
        <f t="shared" si="139"/>
        <v>115.54128000000001</v>
      </c>
      <c r="L1156" s="10">
        <v>0</v>
      </c>
      <c r="N1156" s="118">
        <f t="shared" ref="N1156:N1219" si="140">H1156*L1156</f>
        <v>0</v>
      </c>
      <c r="O1156" s="118">
        <f t="shared" ref="O1156:O1219" si="141">H1156-N1156</f>
        <v>19.256880000000002</v>
      </c>
    </row>
    <row r="1157" spans="1:15" x14ac:dyDescent="0.25">
      <c r="A1157" t="s">
        <v>1064</v>
      </c>
      <c r="B1157" t="s">
        <v>1062</v>
      </c>
      <c r="C1157" s="19">
        <v>41</v>
      </c>
      <c r="D1157" s="18" t="s">
        <v>1063</v>
      </c>
      <c r="E1157" s="13">
        <v>2</v>
      </c>
      <c r="F1157" s="25" t="s">
        <v>1062</v>
      </c>
      <c r="G1157" s="25">
        <v>81897719002</v>
      </c>
      <c r="H1157" s="11">
        <v>41.232959999999999</v>
      </c>
      <c r="I1157" s="11">
        <f t="shared" si="138"/>
        <v>82.465919999999997</v>
      </c>
      <c r="J1157" s="11">
        <f t="shared" si="137"/>
        <v>41.232959999999999</v>
      </c>
      <c r="K1157" s="11">
        <f t="shared" si="139"/>
        <v>82.465919999999997</v>
      </c>
      <c r="L1157" s="10">
        <v>0</v>
      </c>
      <c r="N1157" s="118">
        <f t="shared" si="140"/>
        <v>0</v>
      </c>
      <c r="O1157" s="118">
        <f t="shared" si="141"/>
        <v>41.232959999999999</v>
      </c>
    </row>
    <row r="1158" spans="1:15" x14ac:dyDescent="0.25">
      <c r="A1158" t="s">
        <v>1061</v>
      </c>
      <c r="B1158" t="s">
        <v>12</v>
      </c>
      <c r="C1158" s="19">
        <v>42</v>
      </c>
      <c r="D1158" s="18" t="s">
        <v>13</v>
      </c>
      <c r="E1158" s="13">
        <v>2</v>
      </c>
      <c r="F1158" s="25" t="s">
        <v>12</v>
      </c>
      <c r="G1158" s="25">
        <v>81897719002</v>
      </c>
      <c r="H1158" s="11">
        <v>39.873360000000005</v>
      </c>
      <c r="I1158" s="11">
        <f t="shared" si="138"/>
        <v>79.74672000000001</v>
      </c>
      <c r="J1158" s="11">
        <f t="shared" si="137"/>
        <v>39.873360000000005</v>
      </c>
      <c r="K1158" s="11">
        <f t="shared" si="139"/>
        <v>79.74672000000001</v>
      </c>
      <c r="L1158" s="10">
        <v>0</v>
      </c>
      <c r="N1158" s="118">
        <f t="shared" si="140"/>
        <v>0</v>
      </c>
      <c r="O1158" s="118">
        <f t="shared" si="141"/>
        <v>39.873360000000005</v>
      </c>
    </row>
    <row r="1159" spans="1:15" x14ac:dyDescent="0.25">
      <c r="A1159" t="s">
        <v>1060</v>
      </c>
      <c r="B1159" t="s">
        <v>1058</v>
      </c>
      <c r="C1159" s="19">
        <v>43</v>
      </c>
      <c r="D1159" s="18" t="s">
        <v>1059</v>
      </c>
      <c r="E1159" s="13">
        <v>10</v>
      </c>
      <c r="F1159" s="25" t="s">
        <v>1058</v>
      </c>
      <c r="G1159" s="25">
        <v>81897719002</v>
      </c>
      <c r="H1159" s="11">
        <v>32.984720000000003</v>
      </c>
      <c r="I1159" s="11">
        <f t="shared" si="138"/>
        <v>329.84720000000004</v>
      </c>
      <c r="J1159" s="11">
        <f t="shared" si="137"/>
        <v>32.984720000000003</v>
      </c>
      <c r="K1159" s="11">
        <f t="shared" si="139"/>
        <v>329.84720000000004</v>
      </c>
      <c r="L1159" s="10">
        <v>0</v>
      </c>
      <c r="N1159" s="118">
        <f t="shared" si="140"/>
        <v>0</v>
      </c>
      <c r="O1159" s="118">
        <f t="shared" si="141"/>
        <v>32.984720000000003</v>
      </c>
    </row>
    <row r="1160" spans="1:15" x14ac:dyDescent="0.25">
      <c r="A1160" t="s">
        <v>1057</v>
      </c>
      <c r="B1160" t="s">
        <v>983</v>
      </c>
      <c r="C1160" s="19">
        <v>44</v>
      </c>
      <c r="D1160" s="18" t="s">
        <v>984</v>
      </c>
      <c r="E1160" s="13">
        <v>1</v>
      </c>
      <c r="F1160" s="25" t="s">
        <v>983</v>
      </c>
      <c r="G1160" s="25">
        <v>81897719002</v>
      </c>
      <c r="H1160" s="11">
        <v>96.193759999999997</v>
      </c>
      <c r="I1160" s="11">
        <f t="shared" si="138"/>
        <v>96.193759999999997</v>
      </c>
      <c r="J1160" s="11">
        <f t="shared" si="137"/>
        <v>96.193759999999997</v>
      </c>
      <c r="K1160" s="11">
        <f t="shared" si="139"/>
        <v>96.193759999999997</v>
      </c>
      <c r="L1160" s="10">
        <v>0</v>
      </c>
      <c r="N1160" s="118">
        <f t="shared" si="140"/>
        <v>0</v>
      </c>
      <c r="O1160" s="118">
        <f t="shared" si="141"/>
        <v>96.193759999999997</v>
      </c>
    </row>
    <row r="1161" spans="1:15" x14ac:dyDescent="0.25">
      <c r="A1161" t="s">
        <v>1056</v>
      </c>
      <c r="B1161" t="s">
        <v>986</v>
      </c>
      <c r="C1161" s="19">
        <v>45</v>
      </c>
      <c r="D1161" s="18" t="s">
        <v>987</v>
      </c>
      <c r="E1161" s="13">
        <v>1</v>
      </c>
      <c r="F1161" s="25" t="s">
        <v>986</v>
      </c>
      <c r="G1161" s="25">
        <v>81897719003</v>
      </c>
      <c r="H1161" s="11">
        <v>72.157679999999999</v>
      </c>
      <c r="I1161" s="11">
        <f t="shared" si="138"/>
        <v>72.157679999999999</v>
      </c>
      <c r="J1161" s="11">
        <f t="shared" si="137"/>
        <v>72.157679999999999</v>
      </c>
      <c r="K1161" s="11">
        <f t="shared" si="139"/>
        <v>72.157679999999999</v>
      </c>
      <c r="L1161" s="10">
        <v>0</v>
      </c>
      <c r="N1161" s="118">
        <f t="shared" si="140"/>
        <v>0</v>
      </c>
      <c r="O1161" s="118">
        <f t="shared" si="141"/>
        <v>72.157679999999999</v>
      </c>
    </row>
    <row r="1162" spans="1:15" x14ac:dyDescent="0.25">
      <c r="A1162" t="s">
        <v>1055</v>
      </c>
      <c r="B1162" t="s">
        <v>1053</v>
      </c>
      <c r="C1162" s="19">
        <v>46</v>
      </c>
      <c r="D1162" s="18" t="s">
        <v>1054</v>
      </c>
      <c r="E1162" s="13">
        <v>1</v>
      </c>
      <c r="F1162" s="25" t="s">
        <v>1053</v>
      </c>
      <c r="G1162" s="25">
        <v>81897719003</v>
      </c>
      <c r="H1162" s="11">
        <v>103.08239999999999</v>
      </c>
      <c r="I1162" s="11">
        <f t="shared" si="138"/>
        <v>103.08239999999999</v>
      </c>
      <c r="J1162" s="11">
        <f t="shared" si="137"/>
        <v>103.08239999999999</v>
      </c>
      <c r="K1162" s="11">
        <f t="shared" si="139"/>
        <v>103.08239999999999</v>
      </c>
      <c r="L1162" s="10">
        <v>0</v>
      </c>
      <c r="N1162" s="118">
        <f t="shared" si="140"/>
        <v>0</v>
      </c>
      <c r="O1162" s="118">
        <f t="shared" si="141"/>
        <v>103.08239999999999</v>
      </c>
    </row>
    <row r="1163" spans="1:15" x14ac:dyDescent="0.25">
      <c r="A1163" t="s">
        <v>1052</v>
      </c>
      <c r="B1163" t="s">
        <v>454</v>
      </c>
      <c r="C1163" s="19">
        <v>47</v>
      </c>
      <c r="D1163" s="18" t="s">
        <v>455</v>
      </c>
      <c r="E1163" s="13">
        <v>1</v>
      </c>
      <c r="F1163" s="25" t="s">
        <v>454</v>
      </c>
      <c r="G1163" s="25">
        <v>81897719003</v>
      </c>
      <c r="H1163" s="11">
        <v>85.88552</v>
      </c>
      <c r="I1163" s="11">
        <f t="shared" si="138"/>
        <v>85.88552</v>
      </c>
      <c r="J1163" s="11">
        <f t="shared" si="137"/>
        <v>85.88552</v>
      </c>
      <c r="K1163" s="11">
        <f t="shared" si="139"/>
        <v>85.88552</v>
      </c>
      <c r="L1163" s="10">
        <v>0</v>
      </c>
      <c r="N1163" s="118">
        <f t="shared" si="140"/>
        <v>0</v>
      </c>
      <c r="O1163" s="118">
        <f t="shared" si="141"/>
        <v>85.88552</v>
      </c>
    </row>
    <row r="1164" spans="1:15" x14ac:dyDescent="0.25">
      <c r="A1164" t="s">
        <v>1051</v>
      </c>
      <c r="B1164" t="s">
        <v>451</v>
      </c>
      <c r="C1164" s="19">
        <v>48</v>
      </c>
      <c r="D1164" s="18" t="s">
        <v>452</v>
      </c>
      <c r="E1164" s="13">
        <v>1</v>
      </c>
      <c r="F1164" s="25" t="s">
        <v>451</v>
      </c>
      <c r="G1164" s="25">
        <v>81897719003</v>
      </c>
      <c r="H1164" s="11">
        <v>92.774160000000009</v>
      </c>
      <c r="I1164" s="11">
        <f t="shared" si="138"/>
        <v>92.774160000000009</v>
      </c>
      <c r="J1164" s="11">
        <f t="shared" si="137"/>
        <v>92.774160000000009</v>
      </c>
      <c r="K1164" s="11">
        <f t="shared" si="139"/>
        <v>92.774160000000009</v>
      </c>
      <c r="L1164" s="10">
        <v>0</v>
      </c>
      <c r="N1164" s="118">
        <f t="shared" si="140"/>
        <v>0</v>
      </c>
      <c r="O1164" s="118">
        <f t="shared" si="141"/>
        <v>92.774160000000009</v>
      </c>
    </row>
    <row r="1165" spans="1:15" x14ac:dyDescent="0.25">
      <c r="A1165" t="s">
        <v>1050</v>
      </c>
      <c r="B1165" t="s">
        <v>691</v>
      </c>
      <c r="C1165" s="19">
        <v>49</v>
      </c>
      <c r="D1165" s="18" t="s">
        <v>1049</v>
      </c>
      <c r="E1165" s="13">
        <v>4</v>
      </c>
      <c r="F1165" s="25" t="s">
        <v>691</v>
      </c>
      <c r="G1165" s="25">
        <v>81897719002</v>
      </c>
      <c r="H1165" s="11">
        <v>20.616479999999999</v>
      </c>
      <c r="I1165" s="11">
        <f t="shared" si="138"/>
        <v>82.465919999999997</v>
      </c>
      <c r="J1165" s="11">
        <f t="shared" si="137"/>
        <v>20.616479999999999</v>
      </c>
      <c r="K1165" s="11">
        <f t="shared" si="139"/>
        <v>82.465919999999997</v>
      </c>
      <c r="L1165" s="10">
        <v>0</v>
      </c>
      <c r="N1165" s="118">
        <f t="shared" si="140"/>
        <v>0</v>
      </c>
      <c r="O1165" s="118">
        <f t="shared" si="141"/>
        <v>20.616479999999999</v>
      </c>
    </row>
    <row r="1166" spans="1:15" x14ac:dyDescent="0.25">
      <c r="A1166" t="s">
        <v>1048</v>
      </c>
      <c r="B1166" t="s">
        <v>92</v>
      </c>
      <c r="C1166" s="19">
        <v>50</v>
      </c>
      <c r="D1166" s="18" t="s">
        <v>93</v>
      </c>
      <c r="E1166" s="13">
        <v>1</v>
      </c>
      <c r="F1166" s="25" t="s">
        <v>92</v>
      </c>
      <c r="G1166" s="25">
        <v>81897719002</v>
      </c>
      <c r="H1166" s="11">
        <v>23.170880000000004</v>
      </c>
      <c r="I1166" s="11">
        <f t="shared" si="138"/>
        <v>23.170880000000004</v>
      </c>
      <c r="J1166" s="11">
        <f t="shared" si="137"/>
        <v>23.170880000000004</v>
      </c>
      <c r="K1166" s="11">
        <f t="shared" si="139"/>
        <v>23.170880000000004</v>
      </c>
      <c r="L1166" s="10">
        <v>0</v>
      </c>
      <c r="N1166" s="118">
        <f t="shared" si="140"/>
        <v>0</v>
      </c>
      <c r="O1166" s="118">
        <f t="shared" si="141"/>
        <v>23.170880000000004</v>
      </c>
    </row>
    <row r="1167" spans="1:15" x14ac:dyDescent="0.25">
      <c r="A1167" t="s">
        <v>1047</v>
      </c>
      <c r="B1167" t="s">
        <v>438</v>
      </c>
      <c r="C1167" s="19">
        <v>51</v>
      </c>
      <c r="D1167" s="18" t="s">
        <v>439</v>
      </c>
      <c r="E1167" s="13">
        <v>1</v>
      </c>
      <c r="F1167" s="25" t="s">
        <v>438</v>
      </c>
      <c r="G1167" s="25">
        <v>81897719002</v>
      </c>
      <c r="H1167" s="11">
        <v>22.346880000000002</v>
      </c>
      <c r="I1167" s="11">
        <f t="shared" si="138"/>
        <v>22.346880000000002</v>
      </c>
      <c r="J1167" s="11">
        <f t="shared" si="137"/>
        <v>22.346880000000002</v>
      </c>
      <c r="K1167" s="11">
        <f t="shared" si="139"/>
        <v>22.346880000000002</v>
      </c>
      <c r="L1167" s="10">
        <v>0</v>
      </c>
      <c r="N1167" s="118">
        <f t="shared" si="140"/>
        <v>0</v>
      </c>
      <c r="O1167" s="118">
        <f t="shared" si="141"/>
        <v>22.346880000000002</v>
      </c>
    </row>
    <row r="1168" spans="1:15" x14ac:dyDescent="0.25">
      <c r="A1168" t="s">
        <v>1046</v>
      </c>
      <c r="B1168" t="s">
        <v>975</v>
      </c>
      <c r="C1168" s="19">
        <v>52</v>
      </c>
      <c r="D1168" s="18" t="s">
        <v>976</v>
      </c>
      <c r="E1168" s="13">
        <v>1</v>
      </c>
      <c r="F1168" s="25" t="s">
        <v>975</v>
      </c>
      <c r="G1168" s="25">
        <v>81897719002</v>
      </c>
      <c r="H1168" s="11">
        <v>16.331679999999999</v>
      </c>
      <c r="I1168" s="11">
        <f t="shared" si="138"/>
        <v>16.331679999999999</v>
      </c>
      <c r="J1168" s="11">
        <f t="shared" si="137"/>
        <v>16.331679999999999</v>
      </c>
      <c r="K1168" s="11">
        <f t="shared" si="139"/>
        <v>16.331679999999999</v>
      </c>
      <c r="L1168" s="10">
        <v>0</v>
      </c>
      <c r="N1168" s="118">
        <f t="shared" si="140"/>
        <v>0</v>
      </c>
      <c r="O1168" s="118">
        <f t="shared" si="141"/>
        <v>16.331679999999999</v>
      </c>
    </row>
    <row r="1169" spans="1:15" x14ac:dyDescent="0.25">
      <c r="A1169" t="s">
        <v>1045</v>
      </c>
      <c r="B1169" t="s">
        <v>89</v>
      </c>
      <c r="C1169" s="19">
        <v>53</v>
      </c>
      <c r="D1169" s="18" t="s">
        <v>90</v>
      </c>
      <c r="E1169" s="13">
        <v>1</v>
      </c>
      <c r="F1169" s="25" t="s">
        <v>89</v>
      </c>
      <c r="G1169" s="25">
        <v>81897719002</v>
      </c>
      <c r="H1169" s="11">
        <v>19.751279999999998</v>
      </c>
      <c r="I1169" s="11">
        <f t="shared" si="138"/>
        <v>19.751279999999998</v>
      </c>
      <c r="J1169" s="11">
        <f t="shared" si="137"/>
        <v>19.751279999999998</v>
      </c>
      <c r="K1169" s="11">
        <f t="shared" si="139"/>
        <v>19.751279999999998</v>
      </c>
      <c r="L1169" s="10">
        <v>0</v>
      </c>
      <c r="N1169" s="118">
        <f t="shared" si="140"/>
        <v>0</v>
      </c>
      <c r="O1169" s="118">
        <f t="shared" si="141"/>
        <v>19.751279999999998</v>
      </c>
    </row>
    <row r="1170" spans="1:15" x14ac:dyDescent="0.25">
      <c r="A1170" t="s">
        <v>1044</v>
      </c>
      <c r="B1170" t="s">
        <v>1042</v>
      </c>
      <c r="C1170" s="19">
        <v>54</v>
      </c>
      <c r="D1170" s="18" t="s">
        <v>1043</v>
      </c>
      <c r="E1170" s="13">
        <v>1</v>
      </c>
      <c r="F1170" s="25" t="s">
        <v>1042</v>
      </c>
      <c r="G1170" s="25">
        <v>81897719002</v>
      </c>
      <c r="H1170" s="11">
        <v>26.639919999999996</v>
      </c>
      <c r="I1170" s="11">
        <f t="shared" si="138"/>
        <v>26.639919999999996</v>
      </c>
      <c r="J1170" s="11">
        <f t="shared" si="137"/>
        <v>26.639919999999996</v>
      </c>
      <c r="K1170" s="11">
        <f t="shared" si="139"/>
        <v>26.639919999999996</v>
      </c>
      <c r="L1170" s="10">
        <v>0</v>
      </c>
      <c r="N1170" s="118">
        <f t="shared" si="140"/>
        <v>0</v>
      </c>
      <c r="O1170" s="118">
        <f t="shared" si="141"/>
        <v>26.639919999999996</v>
      </c>
    </row>
    <row r="1171" spans="1:15" x14ac:dyDescent="0.25">
      <c r="A1171" t="s">
        <v>1041</v>
      </c>
      <c r="B1171" t="s">
        <v>1039</v>
      </c>
      <c r="C1171" s="19">
        <v>55</v>
      </c>
      <c r="D1171" s="18" t="s">
        <v>1040</v>
      </c>
      <c r="E1171" s="13">
        <v>1</v>
      </c>
      <c r="F1171" s="25" t="s">
        <v>1039</v>
      </c>
      <c r="G1171" s="25">
        <v>81897719002</v>
      </c>
      <c r="H1171" s="11">
        <v>42.963360000000002</v>
      </c>
      <c r="I1171" s="11">
        <f t="shared" si="138"/>
        <v>42.963360000000002</v>
      </c>
      <c r="J1171" s="11">
        <f t="shared" si="137"/>
        <v>42.963360000000002</v>
      </c>
      <c r="K1171" s="11">
        <f t="shared" si="139"/>
        <v>42.963360000000002</v>
      </c>
      <c r="L1171" s="10">
        <v>0</v>
      </c>
      <c r="N1171" s="118">
        <f t="shared" si="140"/>
        <v>0</v>
      </c>
      <c r="O1171" s="118">
        <f t="shared" si="141"/>
        <v>42.963360000000002</v>
      </c>
    </row>
    <row r="1172" spans="1:15" x14ac:dyDescent="0.25">
      <c r="A1172" t="s">
        <v>1038</v>
      </c>
      <c r="B1172" t="s">
        <v>1031</v>
      </c>
      <c r="C1172" s="19">
        <v>56</v>
      </c>
      <c r="D1172" s="18" t="s">
        <v>1037</v>
      </c>
      <c r="E1172" s="13">
        <v>1</v>
      </c>
      <c r="F1172" s="25" t="s">
        <v>1031</v>
      </c>
      <c r="G1172" s="25">
        <v>81897719002</v>
      </c>
      <c r="H1172" s="11">
        <v>34.344320000000003</v>
      </c>
      <c r="I1172" s="11">
        <f t="shared" si="138"/>
        <v>34.344320000000003</v>
      </c>
      <c r="J1172" s="11">
        <f t="shared" si="137"/>
        <v>34.344320000000003</v>
      </c>
      <c r="K1172" s="11">
        <f t="shared" si="139"/>
        <v>34.344320000000003</v>
      </c>
      <c r="L1172" s="10">
        <v>0</v>
      </c>
      <c r="N1172" s="118">
        <f t="shared" si="140"/>
        <v>0</v>
      </c>
      <c r="O1172" s="118">
        <f t="shared" si="141"/>
        <v>34.344320000000003</v>
      </c>
    </row>
    <row r="1173" spans="1:15" x14ac:dyDescent="0.25">
      <c r="A1173" t="s">
        <v>1036</v>
      </c>
      <c r="B1173" t="s">
        <v>1034</v>
      </c>
      <c r="C1173" s="19">
        <v>57</v>
      </c>
      <c r="D1173" s="18" t="s">
        <v>1035</v>
      </c>
      <c r="E1173" s="13">
        <v>1</v>
      </c>
      <c r="F1173" s="25" t="s">
        <v>1034</v>
      </c>
      <c r="G1173" s="25">
        <v>81897719002</v>
      </c>
      <c r="H1173" s="11">
        <v>42.963360000000002</v>
      </c>
      <c r="I1173" s="11">
        <f t="shared" si="138"/>
        <v>42.963360000000002</v>
      </c>
      <c r="J1173" s="11">
        <f t="shared" si="137"/>
        <v>42.963360000000002</v>
      </c>
      <c r="K1173" s="11">
        <f t="shared" si="139"/>
        <v>42.963360000000002</v>
      </c>
      <c r="L1173" s="10">
        <v>0</v>
      </c>
      <c r="N1173" s="118">
        <f t="shared" si="140"/>
        <v>0</v>
      </c>
      <c r="O1173" s="118">
        <f t="shared" si="141"/>
        <v>42.963360000000002</v>
      </c>
    </row>
    <row r="1174" spans="1:15" x14ac:dyDescent="0.25">
      <c r="A1174" t="s">
        <v>1033</v>
      </c>
      <c r="B1174" t="s">
        <v>1031</v>
      </c>
      <c r="C1174" s="19">
        <v>58</v>
      </c>
      <c r="D1174" s="18" t="s">
        <v>1032</v>
      </c>
      <c r="E1174" s="13">
        <v>1</v>
      </c>
      <c r="F1174" s="25" t="s">
        <v>1031</v>
      </c>
      <c r="G1174" s="25">
        <v>81897719002</v>
      </c>
      <c r="H1174" s="11">
        <v>34.344320000000003</v>
      </c>
      <c r="I1174" s="11">
        <f t="shared" si="138"/>
        <v>34.344320000000003</v>
      </c>
      <c r="J1174" s="11">
        <f t="shared" si="137"/>
        <v>34.344320000000003</v>
      </c>
      <c r="K1174" s="11">
        <f t="shared" si="139"/>
        <v>34.344320000000003</v>
      </c>
      <c r="L1174" s="10">
        <v>0</v>
      </c>
      <c r="N1174" s="118">
        <f t="shared" si="140"/>
        <v>0</v>
      </c>
      <c r="O1174" s="118">
        <f t="shared" si="141"/>
        <v>34.344320000000003</v>
      </c>
    </row>
    <row r="1175" spans="1:15" x14ac:dyDescent="0.25">
      <c r="A1175" t="s">
        <v>1030</v>
      </c>
      <c r="B1175" t="s">
        <v>684</v>
      </c>
      <c r="C1175" s="19">
        <v>59</v>
      </c>
      <c r="D1175" s="18" t="s">
        <v>685</v>
      </c>
      <c r="E1175" s="13">
        <v>1</v>
      </c>
      <c r="F1175" s="25" t="s">
        <v>684</v>
      </c>
      <c r="G1175" s="25">
        <v>81897719002</v>
      </c>
      <c r="H1175" s="11">
        <v>13.727839999999999</v>
      </c>
      <c r="I1175" s="11">
        <f t="shared" si="138"/>
        <v>13.727839999999999</v>
      </c>
      <c r="J1175" s="11">
        <f t="shared" si="137"/>
        <v>13.727839999999999</v>
      </c>
      <c r="K1175" s="11">
        <f t="shared" si="139"/>
        <v>13.727839999999999</v>
      </c>
      <c r="L1175" s="10">
        <v>0</v>
      </c>
      <c r="N1175" s="118">
        <f t="shared" si="140"/>
        <v>0</v>
      </c>
      <c r="O1175" s="118">
        <f t="shared" si="141"/>
        <v>13.727839999999999</v>
      </c>
    </row>
    <row r="1176" spans="1:15" x14ac:dyDescent="0.25">
      <c r="A1176" t="s">
        <v>1029</v>
      </c>
      <c r="B1176" t="s">
        <v>442</v>
      </c>
      <c r="C1176" s="19">
        <v>60</v>
      </c>
      <c r="D1176" s="18" t="s">
        <v>443</v>
      </c>
      <c r="E1176" s="13">
        <v>1</v>
      </c>
      <c r="F1176" s="25" t="s">
        <v>442</v>
      </c>
      <c r="G1176" s="25">
        <v>81897719002</v>
      </c>
      <c r="H1176" s="11">
        <v>12.862639999999999</v>
      </c>
      <c r="I1176" s="11">
        <f t="shared" si="138"/>
        <v>12.862639999999999</v>
      </c>
      <c r="J1176" s="11">
        <f t="shared" si="137"/>
        <v>12.862639999999999</v>
      </c>
      <c r="K1176" s="11">
        <f t="shared" si="139"/>
        <v>12.862639999999999</v>
      </c>
      <c r="L1176" s="10">
        <v>0</v>
      </c>
      <c r="N1176" s="118">
        <f t="shared" si="140"/>
        <v>0</v>
      </c>
      <c r="O1176" s="118">
        <f t="shared" si="141"/>
        <v>12.862639999999999</v>
      </c>
    </row>
    <row r="1177" spans="1:15" x14ac:dyDescent="0.25">
      <c r="A1177" t="s">
        <v>1028</v>
      </c>
      <c r="B1177" t="s">
        <v>678</v>
      </c>
      <c r="C1177" s="19">
        <v>61</v>
      </c>
      <c r="D1177" s="18" t="s">
        <v>679</v>
      </c>
      <c r="E1177" s="13">
        <v>1</v>
      </c>
      <c r="F1177" s="25" t="s">
        <v>678</v>
      </c>
      <c r="G1177" s="25">
        <v>81897719002</v>
      </c>
      <c r="H1177" s="11">
        <v>18.927279999999996</v>
      </c>
      <c r="I1177" s="11">
        <f t="shared" si="138"/>
        <v>18.927279999999996</v>
      </c>
      <c r="J1177" s="11">
        <f t="shared" si="137"/>
        <v>18.927279999999996</v>
      </c>
      <c r="K1177" s="11">
        <f t="shared" si="139"/>
        <v>18.927279999999996</v>
      </c>
      <c r="L1177" s="10">
        <v>0</v>
      </c>
      <c r="N1177" s="118">
        <f t="shared" si="140"/>
        <v>0</v>
      </c>
      <c r="O1177" s="118">
        <f t="shared" si="141"/>
        <v>18.927279999999996</v>
      </c>
    </row>
    <row r="1178" spans="1:15" x14ac:dyDescent="0.25">
      <c r="A1178" t="s">
        <v>1027</v>
      </c>
      <c r="B1178" t="s">
        <v>975</v>
      </c>
      <c r="C1178" s="19">
        <v>62</v>
      </c>
      <c r="D1178" s="18" t="s">
        <v>976</v>
      </c>
      <c r="E1178" s="13">
        <v>1</v>
      </c>
      <c r="F1178" s="25" t="s">
        <v>975</v>
      </c>
      <c r="G1178" s="25">
        <v>81897719002</v>
      </c>
      <c r="H1178" s="11">
        <v>16.331679999999999</v>
      </c>
      <c r="I1178" s="11">
        <f t="shared" si="138"/>
        <v>16.331679999999999</v>
      </c>
      <c r="J1178" s="11">
        <f t="shared" si="137"/>
        <v>16.331679999999999</v>
      </c>
      <c r="K1178" s="11">
        <f t="shared" si="139"/>
        <v>16.331679999999999</v>
      </c>
      <c r="L1178" s="10">
        <v>0</v>
      </c>
      <c r="N1178" s="118">
        <f t="shared" si="140"/>
        <v>0</v>
      </c>
      <c r="O1178" s="118">
        <f t="shared" si="141"/>
        <v>16.331679999999999</v>
      </c>
    </row>
    <row r="1179" spans="1:15" x14ac:dyDescent="0.25">
      <c r="A1179" t="s">
        <v>1026</v>
      </c>
      <c r="B1179" t="s">
        <v>86</v>
      </c>
      <c r="C1179" s="19">
        <v>63</v>
      </c>
      <c r="D1179" s="18" t="s">
        <v>45</v>
      </c>
      <c r="E1179" s="13">
        <v>1</v>
      </c>
      <c r="F1179" s="25" t="s">
        <v>44</v>
      </c>
      <c r="G1179" s="25" t="s">
        <v>427</v>
      </c>
      <c r="H1179" s="11">
        <v>392.28992</v>
      </c>
      <c r="I1179" s="11">
        <f t="shared" si="138"/>
        <v>392.28992</v>
      </c>
      <c r="J1179" s="11">
        <f t="shared" si="137"/>
        <v>392.28992</v>
      </c>
      <c r="K1179" s="11">
        <f t="shared" si="139"/>
        <v>392.28992</v>
      </c>
      <c r="L1179" s="10">
        <v>0</v>
      </c>
      <c r="N1179" s="118">
        <f t="shared" si="140"/>
        <v>0</v>
      </c>
      <c r="O1179" s="118">
        <f t="shared" si="141"/>
        <v>392.28992</v>
      </c>
    </row>
    <row r="1180" spans="1:15" x14ac:dyDescent="0.25">
      <c r="A1180" t="s">
        <v>1025</v>
      </c>
      <c r="B1180" t="s">
        <v>1023</v>
      </c>
      <c r="C1180" s="19">
        <v>64</v>
      </c>
      <c r="D1180" s="18" t="s">
        <v>87</v>
      </c>
      <c r="E1180" s="13">
        <v>1</v>
      </c>
      <c r="F1180" s="25" t="s">
        <v>86</v>
      </c>
      <c r="G1180" s="25" t="s">
        <v>427</v>
      </c>
      <c r="H1180" s="11">
        <v>555.38423999999998</v>
      </c>
      <c r="I1180" s="11">
        <f t="shared" si="138"/>
        <v>555.38423999999998</v>
      </c>
      <c r="J1180" s="11">
        <f t="shared" si="137"/>
        <v>555.38423999999998</v>
      </c>
      <c r="K1180" s="11">
        <f t="shared" si="139"/>
        <v>555.38423999999998</v>
      </c>
      <c r="L1180" s="10">
        <v>0</v>
      </c>
      <c r="N1180" s="118">
        <f t="shared" si="140"/>
        <v>0</v>
      </c>
      <c r="O1180" s="118">
        <f t="shared" si="141"/>
        <v>555.38423999999998</v>
      </c>
    </row>
    <row r="1181" spans="1:15" x14ac:dyDescent="0.25">
      <c r="B1181" t="s">
        <v>970</v>
      </c>
      <c r="C1181" s="19">
        <v>65</v>
      </c>
      <c r="D1181" s="18" t="s">
        <v>1024</v>
      </c>
      <c r="E1181" s="13">
        <v>1</v>
      </c>
      <c r="F1181" s="25" t="s">
        <v>1023</v>
      </c>
      <c r="G1181" s="25" t="s">
        <v>427</v>
      </c>
      <c r="H1181" s="11">
        <v>603.03616</v>
      </c>
      <c r="I1181" s="11">
        <f t="shared" ref="I1181:I1212" si="142">H1181*E1181</f>
        <v>603.03616</v>
      </c>
      <c r="J1181" s="11">
        <f t="shared" si="137"/>
        <v>603.03616</v>
      </c>
      <c r="K1181" s="11">
        <f t="shared" ref="K1181:K1212" si="143">J1181*E1181</f>
        <v>603.03616</v>
      </c>
      <c r="L1181" s="10">
        <v>0</v>
      </c>
      <c r="N1181" s="118">
        <f t="shared" si="140"/>
        <v>0</v>
      </c>
      <c r="O1181" s="118">
        <f t="shared" si="141"/>
        <v>603.03616</v>
      </c>
    </row>
    <row r="1182" spans="1:15" x14ac:dyDescent="0.25">
      <c r="C1182" s="19">
        <v>66</v>
      </c>
      <c r="D1182" s="18" t="s">
        <v>1022</v>
      </c>
      <c r="E1182" s="13">
        <v>2</v>
      </c>
      <c r="F1182" s="25" t="s">
        <v>970</v>
      </c>
      <c r="G1182" s="25" t="s">
        <v>427</v>
      </c>
      <c r="H1182" s="11">
        <v>9.7396799999999999</v>
      </c>
      <c r="I1182" s="11">
        <f t="shared" si="142"/>
        <v>19.47936</v>
      </c>
      <c r="J1182" s="11">
        <f t="shared" ref="J1182" si="144">O1182</f>
        <v>9.7396799999999999</v>
      </c>
      <c r="K1182" s="11">
        <f t="shared" si="143"/>
        <v>19.47936</v>
      </c>
      <c r="L1182" s="10">
        <v>0</v>
      </c>
      <c r="N1182" s="118">
        <f t="shared" si="140"/>
        <v>0</v>
      </c>
      <c r="O1182" s="118">
        <f t="shared" si="141"/>
        <v>9.7396799999999999</v>
      </c>
    </row>
    <row r="1183" spans="1:15" x14ac:dyDescent="0.25">
      <c r="C1183" s="9"/>
      <c r="D1183" s="8" t="s">
        <v>1</v>
      </c>
      <c r="E1183" s="8">
        <f>SUM(E1117:E1182)</f>
        <v>134</v>
      </c>
      <c r="F1183" s="8"/>
      <c r="G1183" s="8"/>
      <c r="H1183" s="7"/>
      <c r="I1183" s="7">
        <f>SUM(I1117:I1182)</f>
        <v>7242.4573600000003</v>
      </c>
      <c r="J1183" s="8"/>
      <c r="K1183" s="7">
        <f>SUM(K1117:K1182)</f>
        <v>7242.4573600000003</v>
      </c>
      <c r="L1183" s="6"/>
      <c r="N1183" s="118">
        <f t="shared" si="140"/>
        <v>0</v>
      </c>
      <c r="O1183" s="118">
        <f t="shared" si="141"/>
        <v>0</v>
      </c>
    </row>
    <row r="1184" spans="1:15" x14ac:dyDescent="0.25">
      <c r="D1184" t="s">
        <v>0</v>
      </c>
      <c r="N1184" s="118">
        <f t="shared" si="140"/>
        <v>0</v>
      </c>
      <c r="O1184" s="118">
        <f t="shared" si="141"/>
        <v>0</v>
      </c>
    </row>
    <row r="1185" spans="1:15" x14ac:dyDescent="0.25">
      <c r="D1185" s="24" t="s">
        <v>1021</v>
      </c>
      <c r="N1185" s="118">
        <f t="shared" si="140"/>
        <v>0</v>
      </c>
      <c r="O1185" s="118">
        <f t="shared" si="141"/>
        <v>0</v>
      </c>
    </row>
    <row r="1186" spans="1:15" ht="30" x14ac:dyDescent="0.25">
      <c r="C1186" s="24" t="s">
        <v>28</v>
      </c>
      <c r="D1186" s="24" t="s">
        <v>27</v>
      </c>
      <c r="E1186" s="24" t="s">
        <v>26</v>
      </c>
      <c r="F1186" s="24" t="s">
        <v>25</v>
      </c>
      <c r="G1186" s="24" t="s">
        <v>24</v>
      </c>
      <c r="H1186" s="116" t="s">
        <v>21</v>
      </c>
      <c r="I1186" s="24" t="s">
        <v>23</v>
      </c>
      <c r="J1186" s="24" t="s">
        <v>2928</v>
      </c>
      <c r="K1186" s="24" t="s">
        <v>2927</v>
      </c>
      <c r="L1186" s="23" t="s">
        <v>22</v>
      </c>
      <c r="N1186" s="118" t="e">
        <f t="shared" si="140"/>
        <v>#VALUE!</v>
      </c>
      <c r="O1186" s="118" t="e">
        <f t="shared" si="141"/>
        <v>#VALUE!</v>
      </c>
    </row>
    <row r="1187" spans="1:15" x14ac:dyDescent="0.25">
      <c r="A1187" t="s">
        <v>1020</v>
      </c>
      <c r="B1187" t="s">
        <v>1018</v>
      </c>
      <c r="C1187" s="19">
        <v>1</v>
      </c>
      <c r="D1187" s="18" t="s">
        <v>1019</v>
      </c>
      <c r="E1187" s="13">
        <v>1</v>
      </c>
      <c r="F1187" s="25" t="s">
        <v>1018</v>
      </c>
      <c r="G1187" s="25">
        <v>81897719002</v>
      </c>
      <c r="H1187" s="11">
        <v>226.78128000000001</v>
      </c>
      <c r="I1187" s="11">
        <f t="shared" ref="I1187:I1214" si="145">H1187*E1187</f>
        <v>226.78128000000001</v>
      </c>
      <c r="J1187" s="11">
        <f>O1187</f>
        <v>226.78128000000001</v>
      </c>
      <c r="K1187" s="11">
        <f t="shared" ref="K1187:K1214" si="146">J1187*E1187</f>
        <v>226.78128000000001</v>
      </c>
      <c r="L1187" s="10">
        <v>0</v>
      </c>
      <c r="N1187" s="118">
        <f t="shared" si="140"/>
        <v>0</v>
      </c>
      <c r="O1187" s="118">
        <f t="shared" si="141"/>
        <v>226.78128000000001</v>
      </c>
    </row>
    <row r="1188" spans="1:15" x14ac:dyDescent="0.25">
      <c r="A1188" t="s">
        <v>1017</v>
      </c>
      <c r="B1188" t="s">
        <v>422</v>
      </c>
      <c r="C1188" s="19">
        <v>2</v>
      </c>
      <c r="D1188" s="18" t="s">
        <v>423</v>
      </c>
      <c r="E1188" s="13">
        <v>2</v>
      </c>
      <c r="F1188" s="25" t="s">
        <v>422</v>
      </c>
      <c r="G1188" s="25">
        <v>81897719002</v>
      </c>
      <c r="H1188" s="11">
        <v>15.128639999999999</v>
      </c>
      <c r="I1188" s="11">
        <f t="shared" si="145"/>
        <v>30.257279999999998</v>
      </c>
      <c r="J1188" s="11">
        <f t="shared" ref="J1188:J1214" si="147">O1188</f>
        <v>15.128639999999999</v>
      </c>
      <c r="K1188" s="11">
        <f t="shared" si="146"/>
        <v>30.257279999999998</v>
      </c>
      <c r="L1188" s="10">
        <v>0</v>
      </c>
      <c r="N1188" s="118">
        <f t="shared" si="140"/>
        <v>0</v>
      </c>
      <c r="O1188" s="118">
        <f t="shared" si="141"/>
        <v>15.128639999999999</v>
      </c>
    </row>
    <row r="1189" spans="1:15" x14ac:dyDescent="0.25">
      <c r="A1189" t="s">
        <v>1016</v>
      </c>
      <c r="B1189" t="s">
        <v>1014</v>
      </c>
      <c r="C1189" s="19">
        <v>3</v>
      </c>
      <c r="D1189" s="18" t="s">
        <v>1015</v>
      </c>
      <c r="E1189" s="13">
        <v>3</v>
      </c>
      <c r="F1189" s="25" t="s">
        <v>1014</v>
      </c>
      <c r="G1189" s="25">
        <v>81897710009</v>
      </c>
      <c r="H1189" s="11">
        <v>68.738080000000011</v>
      </c>
      <c r="I1189" s="11">
        <f t="shared" si="145"/>
        <v>206.21424000000002</v>
      </c>
      <c r="J1189" s="11">
        <f t="shared" si="147"/>
        <v>68.738080000000011</v>
      </c>
      <c r="K1189" s="11">
        <f t="shared" si="146"/>
        <v>206.21424000000002</v>
      </c>
      <c r="L1189" s="10">
        <v>0</v>
      </c>
      <c r="N1189" s="118">
        <f t="shared" si="140"/>
        <v>0</v>
      </c>
      <c r="O1189" s="118">
        <f t="shared" si="141"/>
        <v>68.738080000000011</v>
      </c>
    </row>
    <row r="1190" spans="1:15" x14ac:dyDescent="0.25">
      <c r="A1190" t="s">
        <v>1013</v>
      </c>
      <c r="B1190" t="s">
        <v>1011</v>
      </c>
      <c r="C1190" s="19">
        <v>4</v>
      </c>
      <c r="D1190" s="18" t="s">
        <v>1012</v>
      </c>
      <c r="E1190" s="13">
        <v>3</v>
      </c>
      <c r="F1190" s="25" t="s">
        <v>1011</v>
      </c>
      <c r="G1190" s="25">
        <v>81897719002</v>
      </c>
      <c r="H1190" s="11">
        <v>68.738080000000011</v>
      </c>
      <c r="I1190" s="11">
        <f t="shared" si="145"/>
        <v>206.21424000000002</v>
      </c>
      <c r="J1190" s="11">
        <f t="shared" si="147"/>
        <v>68.738080000000011</v>
      </c>
      <c r="K1190" s="11">
        <f t="shared" si="146"/>
        <v>206.21424000000002</v>
      </c>
      <c r="L1190" s="10">
        <v>0</v>
      </c>
      <c r="N1190" s="118">
        <f t="shared" si="140"/>
        <v>0</v>
      </c>
      <c r="O1190" s="118">
        <f t="shared" si="141"/>
        <v>68.738080000000011</v>
      </c>
    </row>
    <row r="1191" spans="1:15" x14ac:dyDescent="0.25">
      <c r="A1191" t="s">
        <v>1010</v>
      </c>
      <c r="B1191" t="s">
        <v>642</v>
      </c>
      <c r="C1191" s="19">
        <v>5</v>
      </c>
      <c r="D1191" s="18" t="s">
        <v>1009</v>
      </c>
      <c r="E1191" s="13">
        <v>1</v>
      </c>
      <c r="F1191" s="25" t="s">
        <v>158</v>
      </c>
      <c r="G1191" s="25" t="s">
        <v>427</v>
      </c>
      <c r="H1191" s="11">
        <v>5.2653600000000003</v>
      </c>
      <c r="I1191" s="11">
        <f t="shared" si="145"/>
        <v>5.2653600000000003</v>
      </c>
      <c r="J1191" s="11">
        <f t="shared" si="147"/>
        <v>5.2653600000000003</v>
      </c>
      <c r="K1191" s="11">
        <f t="shared" si="146"/>
        <v>5.2653600000000003</v>
      </c>
      <c r="L1191" s="10">
        <v>0</v>
      </c>
      <c r="N1191" s="118">
        <f t="shared" si="140"/>
        <v>0</v>
      </c>
      <c r="O1191" s="118">
        <f t="shared" si="141"/>
        <v>5.2653600000000003</v>
      </c>
    </row>
    <row r="1192" spans="1:15" x14ac:dyDescent="0.25">
      <c r="A1192" t="s">
        <v>1008</v>
      </c>
      <c r="B1192" t="s">
        <v>230</v>
      </c>
      <c r="C1192" s="19">
        <v>6</v>
      </c>
      <c r="D1192" s="18" t="s">
        <v>231</v>
      </c>
      <c r="E1192" s="13">
        <v>2</v>
      </c>
      <c r="F1192" s="25" t="s">
        <v>230</v>
      </c>
      <c r="G1192" s="25">
        <v>81897719002</v>
      </c>
      <c r="H1192" s="11">
        <v>9.6078399999999995</v>
      </c>
      <c r="I1192" s="11">
        <f t="shared" si="145"/>
        <v>19.215679999999999</v>
      </c>
      <c r="J1192" s="11">
        <f t="shared" si="147"/>
        <v>9.6078399999999995</v>
      </c>
      <c r="K1192" s="11">
        <f t="shared" si="146"/>
        <v>19.215679999999999</v>
      </c>
      <c r="L1192" s="10">
        <v>0</v>
      </c>
      <c r="N1192" s="118">
        <f t="shared" si="140"/>
        <v>0</v>
      </c>
      <c r="O1192" s="118">
        <f t="shared" si="141"/>
        <v>9.6078399999999995</v>
      </c>
    </row>
    <row r="1193" spans="1:15" x14ac:dyDescent="0.25">
      <c r="A1193" t="s">
        <v>1007</v>
      </c>
      <c r="B1193" t="s">
        <v>233</v>
      </c>
      <c r="C1193" s="19">
        <v>7</v>
      </c>
      <c r="D1193" s="18" t="s">
        <v>234</v>
      </c>
      <c r="E1193" s="13">
        <v>2</v>
      </c>
      <c r="F1193" s="25" t="s">
        <v>233</v>
      </c>
      <c r="G1193" s="25">
        <v>81897719002</v>
      </c>
      <c r="H1193" s="11">
        <v>8.9486399999999993</v>
      </c>
      <c r="I1193" s="11">
        <f t="shared" si="145"/>
        <v>17.897279999999999</v>
      </c>
      <c r="J1193" s="11">
        <f t="shared" si="147"/>
        <v>8.9486399999999993</v>
      </c>
      <c r="K1193" s="11">
        <f t="shared" si="146"/>
        <v>17.897279999999999</v>
      </c>
      <c r="L1193" s="10">
        <v>0</v>
      </c>
      <c r="N1193" s="118">
        <f t="shared" si="140"/>
        <v>0</v>
      </c>
      <c r="O1193" s="118">
        <f t="shared" si="141"/>
        <v>8.9486399999999993</v>
      </c>
    </row>
    <row r="1194" spans="1:15" x14ac:dyDescent="0.25">
      <c r="A1194" t="s">
        <v>1006</v>
      </c>
      <c r="B1194" t="s">
        <v>1004</v>
      </c>
      <c r="C1194" s="19">
        <v>8</v>
      </c>
      <c r="D1194" s="18" t="s">
        <v>1005</v>
      </c>
      <c r="E1194" s="13">
        <v>1</v>
      </c>
      <c r="F1194" s="25" t="s">
        <v>1004</v>
      </c>
      <c r="G1194" s="25">
        <v>81897719002</v>
      </c>
      <c r="H1194" s="11">
        <v>5.4878400000000003</v>
      </c>
      <c r="I1194" s="11">
        <f t="shared" si="145"/>
        <v>5.4878400000000003</v>
      </c>
      <c r="J1194" s="11">
        <f t="shared" si="147"/>
        <v>5.4878400000000003</v>
      </c>
      <c r="K1194" s="11">
        <f t="shared" si="146"/>
        <v>5.4878400000000003</v>
      </c>
      <c r="L1194" s="10">
        <v>0</v>
      </c>
      <c r="N1194" s="118">
        <f t="shared" si="140"/>
        <v>0</v>
      </c>
      <c r="O1194" s="118">
        <f t="shared" si="141"/>
        <v>5.4878400000000003</v>
      </c>
    </row>
    <row r="1195" spans="1:15" x14ac:dyDescent="0.25">
      <c r="A1195" t="s">
        <v>1003</v>
      </c>
      <c r="B1195" t="s">
        <v>131</v>
      </c>
      <c r="C1195" s="19">
        <v>9</v>
      </c>
      <c r="D1195" s="18" t="s">
        <v>132</v>
      </c>
      <c r="E1195" s="13">
        <v>4</v>
      </c>
      <c r="F1195" s="25" t="s">
        <v>131</v>
      </c>
      <c r="G1195" s="25">
        <v>81897719002</v>
      </c>
      <c r="H1195" s="11">
        <v>16.496479999999998</v>
      </c>
      <c r="I1195" s="11">
        <f t="shared" si="145"/>
        <v>65.985919999999993</v>
      </c>
      <c r="J1195" s="11">
        <f t="shared" si="147"/>
        <v>16.496479999999998</v>
      </c>
      <c r="K1195" s="11">
        <f t="shared" si="146"/>
        <v>65.985919999999993</v>
      </c>
      <c r="L1195" s="10">
        <v>0</v>
      </c>
      <c r="N1195" s="118">
        <f t="shared" si="140"/>
        <v>0</v>
      </c>
      <c r="O1195" s="118">
        <f t="shared" si="141"/>
        <v>16.496479999999998</v>
      </c>
    </row>
    <row r="1196" spans="1:15" x14ac:dyDescent="0.25">
      <c r="A1196" t="s">
        <v>1002</v>
      </c>
      <c r="B1196" s="5" t="s">
        <v>599</v>
      </c>
      <c r="C1196" s="19">
        <v>10</v>
      </c>
      <c r="D1196" s="18" t="s">
        <v>600</v>
      </c>
      <c r="E1196" s="13">
        <v>1</v>
      </c>
      <c r="F1196" s="25" t="s">
        <v>599</v>
      </c>
      <c r="G1196" s="25">
        <v>81897719002</v>
      </c>
      <c r="H1196" s="11">
        <v>19.256880000000002</v>
      </c>
      <c r="I1196" s="11">
        <f t="shared" si="145"/>
        <v>19.256880000000002</v>
      </c>
      <c r="J1196" s="11">
        <f t="shared" si="147"/>
        <v>19.256880000000002</v>
      </c>
      <c r="K1196" s="11">
        <f t="shared" si="146"/>
        <v>19.256880000000002</v>
      </c>
      <c r="L1196" s="10">
        <v>0</v>
      </c>
      <c r="N1196" s="118">
        <f t="shared" si="140"/>
        <v>0</v>
      </c>
      <c r="O1196" s="118">
        <f t="shared" si="141"/>
        <v>19.256880000000002</v>
      </c>
    </row>
    <row r="1197" spans="1:15" x14ac:dyDescent="0.25">
      <c r="A1197" t="s">
        <v>1001</v>
      </c>
      <c r="B1197" t="s">
        <v>999</v>
      </c>
      <c r="C1197" s="19">
        <v>11</v>
      </c>
      <c r="D1197" s="18" t="s">
        <v>1000</v>
      </c>
      <c r="E1197" s="13">
        <v>1</v>
      </c>
      <c r="F1197" s="25" t="s">
        <v>999</v>
      </c>
      <c r="G1197" s="25">
        <v>81897719002</v>
      </c>
      <c r="H1197" s="11">
        <v>22.676479999999998</v>
      </c>
      <c r="I1197" s="11">
        <f t="shared" si="145"/>
        <v>22.676479999999998</v>
      </c>
      <c r="J1197" s="11">
        <f t="shared" si="147"/>
        <v>22.676479999999998</v>
      </c>
      <c r="K1197" s="11">
        <f t="shared" si="146"/>
        <v>22.676479999999998</v>
      </c>
      <c r="L1197" s="10">
        <v>0</v>
      </c>
      <c r="N1197" s="118">
        <f t="shared" si="140"/>
        <v>0</v>
      </c>
      <c r="O1197" s="118">
        <f t="shared" si="141"/>
        <v>22.676479999999998</v>
      </c>
    </row>
    <row r="1198" spans="1:15" s="5" customFormat="1" x14ac:dyDescent="0.25">
      <c r="A1198" s="5" t="s">
        <v>998</v>
      </c>
      <c r="B1198" t="s">
        <v>996</v>
      </c>
      <c r="C1198" s="19">
        <v>12</v>
      </c>
      <c r="D1198" s="18" t="s">
        <v>997</v>
      </c>
      <c r="E1198" s="13">
        <v>1</v>
      </c>
      <c r="F1198" s="25" t="s">
        <v>996</v>
      </c>
      <c r="G1198" s="25">
        <v>81897719002</v>
      </c>
      <c r="H1198" s="11">
        <v>17.19688</v>
      </c>
      <c r="I1198" s="11">
        <f t="shared" si="145"/>
        <v>17.19688</v>
      </c>
      <c r="J1198" s="11">
        <f t="shared" si="147"/>
        <v>17.19688</v>
      </c>
      <c r="K1198" s="11">
        <f t="shared" si="146"/>
        <v>17.19688</v>
      </c>
      <c r="L1198" s="10">
        <v>0</v>
      </c>
      <c r="N1198" s="118">
        <f t="shared" si="140"/>
        <v>0</v>
      </c>
      <c r="O1198" s="118">
        <f t="shared" si="141"/>
        <v>17.19688</v>
      </c>
    </row>
    <row r="1199" spans="1:15" x14ac:dyDescent="0.25">
      <c r="A1199" t="s">
        <v>995</v>
      </c>
      <c r="B1199" t="s">
        <v>256</v>
      </c>
      <c r="C1199" s="19">
        <v>13</v>
      </c>
      <c r="D1199" s="18" t="s">
        <v>257</v>
      </c>
      <c r="E1199" s="13">
        <v>4</v>
      </c>
      <c r="F1199" s="25" t="s">
        <v>256</v>
      </c>
      <c r="G1199" s="25">
        <v>81897719002</v>
      </c>
      <c r="H1199" s="11">
        <v>17.19688</v>
      </c>
      <c r="I1199" s="11">
        <f t="shared" si="145"/>
        <v>68.787520000000001</v>
      </c>
      <c r="J1199" s="11">
        <f t="shared" si="147"/>
        <v>17.19688</v>
      </c>
      <c r="K1199" s="11">
        <f t="shared" si="146"/>
        <v>68.787520000000001</v>
      </c>
      <c r="L1199" s="10">
        <v>0</v>
      </c>
      <c r="N1199" s="118">
        <f t="shared" si="140"/>
        <v>0</v>
      </c>
      <c r="O1199" s="118">
        <f t="shared" si="141"/>
        <v>17.19688</v>
      </c>
    </row>
    <row r="1200" spans="1:15" x14ac:dyDescent="0.25">
      <c r="A1200" t="s">
        <v>994</v>
      </c>
      <c r="B1200" t="s">
        <v>259</v>
      </c>
      <c r="C1200" s="19">
        <v>14</v>
      </c>
      <c r="D1200" s="18" t="s">
        <v>260</v>
      </c>
      <c r="E1200" s="13">
        <v>4</v>
      </c>
      <c r="F1200" s="25" t="s">
        <v>259</v>
      </c>
      <c r="G1200" s="25">
        <v>81897719002</v>
      </c>
      <c r="H1200" s="11">
        <v>16.496479999999998</v>
      </c>
      <c r="I1200" s="11">
        <f t="shared" si="145"/>
        <v>65.985919999999993</v>
      </c>
      <c r="J1200" s="11">
        <f t="shared" si="147"/>
        <v>16.496479999999998</v>
      </c>
      <c r="K1200" s="11">
        <f t="shared" si="146"/>
        <v>65.985919999999993</v>
      </c>
      <c r="L1200" s="10">
        <v>0</v>
      </c>
      <c r="N1200" s="118">
        <f t="shared" si="140"/>
        <v>0</v>
      </c>
      <c r="O1200" s="118">
        <f t="shared" si="141"/>
        <v>16.496479999999998</v>
      </c>
    </row>
    <row r="1201" spans="1:15" x14ac:dyDescent="0.25">
      <c r="A1201" t="s">
        <v>993</v>
      </c>
      <c r="B1201" t="s">
        <v>460</v>
      </c>
      <c r="C1201" s="19">
        <v>15</v>
      </c>
      <c r="D1201" s="18" t="s">
        <v>461</v>
      </c>
      <c r="E1201" s="13">
        <v>1</v>
      </c>
      <c r="F1201" s="25" t="s">
        <v>460</v>
      </c>
      <c r="G1201" s="25">
        <v>81897719002</v>
      </c>
      <c r="H1201" s="11">
        <v>19.256880000000002</v>
      </c>
      <c r="I1201" s="11">
        <f t="shared" si="145"/>
        <v>19.256880000000002</v>
      </c>
      <c r="J1201" s="11">
        <f t="shared" si="147"/>
        <v>19.256880000000002</v>
      </c>
      <c r="K1201" s="11">
        <f t="shared" si="146"/>
        <v>19.256880000000002</v>
      </c>
      <c r="L1201" s="10">
        <v>0</v>
      </c>
      <c r="N1201" s="118">
        <f t="shared" si="140"/>
        <v>0</v>
      </c>
      <c r="O1201" s="118">
        <f t="shared" si="141"/>
        <v>19.256880000000002</v>
      </c>
    </row>
    <row r="1202" spans="1:15" x14ac:dyDescent="0.25">
      <c r="A1202" t="s">
        <v>992</v>
      </c>
      <c r="B1202" t="s">
        <v>990</v>
      </c>
      <c r="C1202" s="19">
        <v>16</v>
      </c>
      <c r="D1202" s="18" t="s">
        <v>991</v>
      </c>
      <c r="E1202" s="13">
        <v>1</v>
      </c>
      <c r="F1202" s="25" t="s">
        <v>990</v>
      </c>
      <c r="G1202" s="25">
        <v>81897719002</v>
      </c>
      <c r="H1202" s="11">
        <v>14.428240000000001</v>
      </c>
      <c r="I1202" s="11">
        <f t="shared" si="145"/>
        <v>14.428240000000001</v>
      </c>
      <c r="J1202" s="11">
        <f t="shared" si="147"/>
        <v>14.428240000000001</v>
      </c>
      <c r="K1202" s="11">
        <f t="shared" si="146"/>
        <v>14.428240000000001</v>
      </c>
      <c r="L1202" s="10">
        <v>0</v>
      </c>
      <c r="N1202" s="118">
        <f t="shared" si="140"/>
        <v>0</v>
      </c>
      <c r="O1202" s="118">
        <f t="shared" si="141"/>
        <v>14.428240000000001</v>
      </c>
    </row>
    <row r="1203" spans="1:15" x14ac:dyDescent="0.25">
      <c r="A1203" t="s">
        <v>989</v>
      </c>
      <c r="B1203" t="s">
        <v>454</v>
      </c>
      <c r="C1203" s="19">
        <v>17</v>
      </c>
      <c r="D1203" s="18" t="s">
        <v>455</v>
      </c>
      <c r="E1203" s="13">
        <v>2</v>
      </c>
      <c r="F1203" s="25" t="s">
        <v>454</v>
      </c>
      <c r="G1203" s="25">
        <v>81897719003</v>
      </c>
      <c r="H1203" s="11">
        <v>85.88552</v>
      </c>
      <c r="I1203" s="11">
        <f t="shared" si="145"/>
        <v>171.77104</v>
      </c>
      <c r="J1203" s="11">
        <f t="shared" si="147"/>
        <v>85.88552</v>
      </c>
      <c r="K1203" s="11">
        <f t="shared" si="146"/>
        <v>171.77104</v>
      </c>
      <c r="L1203" s="10">
        <v>0</v>
      </c>
      <c r="N1203" s="118">
        <f t="shared" si="140"/>
        <v>0</v>
      </c>
      <c r="O1203" s="118">
        <f t="shared" si="141"/>
        <v>85.88552</v>
      </c>
    </row>
    <row r="1204" spans="1:15" x14ac:dyDescent="0.25">
      <c r="A1204" t="s">
        <v>988</v>
      </c>
      <c r="B1204" t="s">
        <v>986</v>
      </c>
      <c r="C1204" s="19">
        <v>18</v>
      </c>
      <c r="D1204" s="18" t="s">
        <v>987</v>
      </c>
      <c r="E1204" s="13">
        <v>1</v>
      </c>
      <c r="F1204" s="25" t="s">
        <v>986</v>
      </c>
      <c r="G1204" s="25">
        <v>81897719003</v>
      </c>
      <c r="H1204" s="11">
        <v>72.157679999999999</v>
      </c>
      <c r="I1204" s="11">
        <f t="shared" si="145"/>
        <v>72.157679999999999</v>
      </c>
      <c r="J1204" s="11">
        <f t="shared" si="147"/>
        <v>72.157679999999999</v>
      </c>
      <c r="K1204" s="11">
        <f t="shared" si="146"/>
        <v>72.157679999999999</v>
      </c>
      <c r="L1204" s="10">
        <v>0</v>
      </c>
      <c r="N1204" s="118">
        <f t="shared" si="140"/>
        <v>0</v>
      </c>
      <c r="O1204" s="118">
        <f t="shared" si="141"/>
        <v>72.157679999999999</v>
      </c>
    </row>
    <row r="1205" spans="1:15" x14ac:dyDescent="0.25">
      <c r="A1205" t="s">
        <v>985</v>
      </c>
      <c r="B1205" t="s">
        <v>983</v>
      </c>
      <c r="C1205" s="19">
        <v>19</v>
      </c>
      <c r="D1205" s="18" t="s">
        <v>984</v>
      </c>
      <c r="E1205" s="13">
        <v>1</v>
      </c>
      <c r="F1205" s="25" t="s">
        <v>983</v>
      </c>
      <c r="G1205" s="25">
        <v>81897719002</v>
      </c>
      <c r="H1205" s="11">
        <v>96.193759999999997</v>
      </c>
      <c r="I1205" s="11">
        <f t="shared" si="145"/>
        <v>96.193759999999997</v>
      </c>
      <c r="J1205" s="11">
        <f t="shared" si="147"/>
        <v>96.193759999999997</v>
      </c>
      <c r="K1205" s="11">
        <f t="shared" si="146"/>
        <v>96.193759999999997</v>
      </c>
      <c r="L1205" s="10">
        <v>0</v>
      </c>
      <c r="N1205" s="118">
        <f t="shared" si="140"/>
        <v>0</v>
      </c>
      <c r="O1205" s="118">
        <f t="shared" si="141"/>
        <v>96.193759999999997</v>
      </c>
    </row>
    <row r="1206" spans="1:15" x14ac:dyDescent="0.25">
      <c r="A1206" t="s">
        <v>982</v>
      </c>
      <c r="B1206" t="s">
        <v>980</v>
      </c>
      <c r="C1206" s="19">
        <v>20</v>
      </c>
      <c r="D1206" s="18" t="s">
        <v>981</v>
      </c>
      <c r="E1206" s="13">
        <v>1</v>
      </c>
      <c r="F1206" s="25" t="s">
        <v>980</v>
      </c>
      <c r="G1206" s="25">
        <v>81897719002</v>
      </c>
      <c r="H1206" s="11">
        <v>12.862639999999999</v>
      </c>
      <c r="I1206" s="11">
        <f t="shared" si="145"/>
        <v>12.862639999999999</v>
      </c>
      <c r="J1206" s="11">
        <f t="shared" si="147"/>
        <v>12.862639999999999</v>
      </c>
      <c r="K1206" s="11">
        <f t="shared" si="146"/>
        <v>12.862639999999999</v>
      </c>
      <c r="L1206" s="10">
        <v>0</v>
      </c>
      <c r="N1206" s="118">
        <f t="shared" si="140"/>
        <v>0</v>
      </c>
      <c r="O1206" s="118">
        <f t="shared" si="141"/>
        <v>12.862639999999999</v>
      </c>
    </row>
    <row r="1207" spans="1:15" x14ac:dyDescent="0.25">
      <c r="A1207" t="s">
        <v>979</v>
      </c>
      <c r="B1207" t="s">
        <v>445</v>
      </c>
      <c r="C1207" s="19">
        <v>21</v>
      </c>
      <c r="D1207" s="18" t="s">
        <v>446</v>
      </c>
      <c r="E1207" s="13">
        <v>1</v>
      </c>
      <c r="F1207" s="25" t="s">
        <v>445</v>
      </c>
      <c r="G1207" s="25">
        <v>81897719002</v>
      </c>
      <c r="H1207" s="11">
        <v>13.727839999999999</v>
      </c>
      <c r="I1207" s="11">
        <f t="shared" si="145"/>
        <v>13.727839999999999</v>
      </c>
      <c r="J1207" s="11">
        <f t="shared" si="147"/>
        <v>13.727839999999999</v>
      </c>
      <c r="K1207" s="11">
        <f t="shared" si="146"/>
        <v>13.727839999999999</v>
      </c>
      <c r="L1207" s="10">
        <v>0</v>
      </c>
      <c r="N1207" s="118">
        <f t="shared" si="140"/>
        <v>0</v>
      </c>
      <c r="O1207" s="118">
        <f t="shared" si="141"/>
        <v>13.727839999999999</v>
      </c>
    </row>
    <row r="1208" spans="1:15" x14ac:dyDescent="0.25">
      <c r="A1208" t="s">
        <v>978</v>
      </c>
      <c r="B1208" t="s">
        <v>89</v>
      </c>
      <c r="C1208" s="19">
        <v>22</v>
      </c>
      <c r="D1208" s="18" t="s">
        <v>90</v>
      </c>
      <c r="E1208" s="13">
        <v>1</v>
      </c>
      <c r="F1208" s="25" t="s">
        <v>89</v>
      </c>
      <c r="G1208" s="25">
        <v>81897719002</v>
      </c>
      <c r="H1208" s="11">
        <v>19.751279999999998</v>
      </c>
      <c r="I1208" s="11">
        <f t="shared" si="145"/>
        <v>19.751279999999998</v>
      </c>
      <c r="J1208" s="11">
        <f t="shared" si="147"/>
        <v>19.751279999999998</v>
      </c>
      <c r="K1208" s="11">
        <f t="shared" si="146"/>
        <v>19.751279999999998</v>
      </c>
      <c r="L1208" s="10">
        <v>0</v>
      </c>
      <c r="N1208" s="118">
        <f t="shared" si="140"/>
        <v>0</v>
      </c>
      <c r="O1208" s="118">
        <f t="shared" si="141"/>
        <v>19.751279999999998</v>
      </c>
    </row>
    <row r="1209" spans="1:15" x14ac:dyDescent="0.25">
      <c r="A1209" t="s">
        <v>977</v>
      </c>
      <c r="B1209" t="s">
        <v>975</v>
      </c>
      <c r="C1209" s="19">
        <v>23</v>
      </c>
      <c r="D1209" s="18" t="s">
        <v>976</v>
      </c>
      <c r="E1209" s="13">
        <v>1</v>
      </c>
      <c r="F1209" s="25" t="s">
        <v>975</v>
      </c>
      <c r="G1209" s="25">
        <v>81897719002</v>
      </c>
      <c r="H1209" s="11">
        <v>16.331679999999999</v>
      </c>
      <c r="I1209" s="11">
        <f t="shared" si="145"/>
        <v>16.331679999999999</v>
      </c>
      <c r="J1209" s="11">
        <f t="shared" si="147"/>
        <v>16.331679999999999</v>
      </c>
      <c r="K1209" s="11">
        <f t="shared" si="146"/>
        <v>16.331679999999999</v>
      </c>
      <c r="L1209" s="10">
        <v>0</v>
      </c>
      <c r="N1209" s="118">
        <f t="shared" si="140"/>
        <v>0</v>
      </c>
      <c r="O1209" s="118">
        <f t="shared" si="141"/>
        <v>16.331679999999999</v>
      </c>
    </row>
    <row r="1210" spans="1:15" x14ac:dyDescent="0.25">
      <c r="A1210" t="s">
        <v>974</v>
      </c>
      <c r="B1210" t="s">
        <v>678</v>
      </c>
      <c r="C1210" s="19">
        <v>24</v>
      </c>
      <c r="D1210" s="18" t="s">
        <v>679</v>
      </c>
      <c r="E1210" s="13">
        <v>1</v>
      </c>
      <c r="F1210" s="25" t="s">
        <v>678</v>
      </c>
      <c r="G1210" s="25">
        <v>81897719002</v>
      </c>
      <c r="H1210" s="11">
        <v>18.927279999999996</v>
      </c>
      <c r="I1210" s="11">
        <f t="shared" si="145"/>
        <v>18.927279999999996</v>
      </c>
      <c r="J1210" s="11">
        <f t="shared" si="147"/>
        <v>18.927279999999996</v>
      </c>
      <c r="K1210" s="11">
        <f t="shared" si="146"/>
        <v>18.927279999999996</v>
      </c>
      <c r="L1210" s="10">
        <v>0</v>
      </c>
      <c r="N1210" s="118">
        <f t="shared" si="140"/>
        <v>0</v>
      </c>
      <c r="O1210" s="118">
        <f t="shared" si="141"/>
        <v>18.927279999999996</v>
      </c>
    </row>
    <row r="1211" spans="1:15" x14ac:dyDescent="0.25">
      <c r="A1211" t="s">
        <v>503</v>
      </c>
      <c r="B1211" t="s">
        <v>433</v>
      </c>
      <c r="C1211" s="19">
        <v>25</v>
      </c>
      <c r="D1211" s="18" t="s">
        <v>502</v>
      </c>
      <c r="E1211" s="13">
        <v>1</v>
      </c>
      <c r="F1211" s="25" t="s">
        <v>435</v>
      </c>
      <c r="G1211" s="25" t="s">
        <v>427</v>
      </c>
      <c r="H1211" s="11">
        <v>344.12711999999999</v>
      </c>
      <c r="I1211" s="11">
        <f t="shared" si="145"/>
        <v>344.12711999999999</v>
      </c>
      <c r="J1211" s="11">
        <f t="shared" si="147"/>
        <v>344.12711999999999</v>
      </c>
      <c r="K1211" s="11">
        <f t="shared" si="146"/>
        <v>344.12711999999999</v>
      </c>
      <c r="L1211" s="10">
        <v>0</v>
      </c>
      <c r="N1211" s="118">
        <f t="shared" si="140"/>
        <v>0</v>
      </c>
      <c r="O1211" s="118">
        <f t="shared" si="141"/>
        <v>344.12711999999999</v>
      </c>
    </row>
    <row r="1212" spans="1:15" x14ac:dyDescent="0.25">
      <c r="A1212" t="s">
        <v>501</v>
      </c>
      <c r="B1212" t="s">
        <v>972</v>
      </c>
      <c r="C1212" s="19">
        <v>26</v>
      </c>
      <c r="D1212" s="18" t="s">
        <v>500</v>
      </c>
      <c r="E1212" s="13">
        <v>1</v>
      </c>
      <c r="F1212" s="25" t="s">
        <v>433</v>
      </c>
      <c r="G1212" s="25" t="s">
        <v>427</v>
      </c>
      <c r="H1212" s="11">
        <v>412.15656000000001</v>
      </c>
      <c r="I1212" s="11">
        <f t="shared" si="145"/>
        <v>412.15656000000001</v>
      </c>
      <c r="J1212" s="11">
        <f t="shared" si="147"/>
        <v>412.15656000000001</v>
      </c>
      <c r="K1212" s="11">
        <f t="shared" si="146"/>
        <v>412.15656000000001</v>
      </c>
      <c r="L1212" s="10">
        <v>0</v>
      </c>
      <c r="N1212" s="118">
        <f t="shared" si="140"/>
        <v>0</v>
      </c>
      <c r="O1212" s="118">
        <f t="shared" si="141"/>
        <v>412.15656000000001</v>
      </c>
    </row>
    <row r="1213" spans="1:15" x14ac:dyDescent="0.25">
      <c r="B1213" t="s">
        <v>970</v>
      </c>
      <c r="C1213" s="19">
        <v>27</v>
      </c>
      <c r="D1213" s="18" t="s">
        <v>973</v>
      </c>
      <c r="E1213" s="13">
        <v>1</v>
      </c>
      <c r="F1213" s="25" t="s">
        <v>972</v>
      </c>
      <c r="G1213" s="25" t="s">
        <v>427</v>
      </c>
      <c r="H1213" s="11">
        <v>446.45967999999999</v>
      </c>
      <c r="I1213" s="11">
        <f t="shared" si="145"/>
        <v>446.45967999999999</v>
      </c>
      <c r="J1213" s="11">
        <f t="shared" si="147"/>
        <v>446.45967999999999</v>
      </c>
      <c r="K1213" s="11">
        <f t="shared" si="146"/>
        <v>446.45967999999999</v>
      </c>
      <c r="L1213" s="10">
        <v>0</v>
      </c>
      <c r="N1213" s="118">
        <f t="shared" si="140"/>
        <v>0</v>
      </c>
      <c r="O1213" s="118">
        <f t="shared" si="141"/>
        <v>446.45967999999999</v>
      </c>
    </row>
    <row r="1214" spans="1:15" x14ac:dyDescent="0.25">
      <c r="C1214" s="19">
        <v>28</v>
      </c>
      <c r="D1214" s="18" t="s">
        <v>971</v>
      </c>
      <c r="E1214" s="13">
        <v>2</v>
      </c>
      <c r="F1214" s="25" t="s">
        <v>970</v>
      </c>
      <c r="G1214" s="25" t="s">
        <v>427</v>
      </c>
      <c r="H1214" s="11">
        <v>9.7396799999999999</v>
      </c>
      <c r="I1214" s="11">
        <f t="shared" si="145"/>
        <v>19.47936</v>
      </c>
      <c r="J1214" s="11">
        <f t="shared" si="147"/>
        <v>9.7396799999999999</v>
      </c>
      <c r="K1214" s="11">
        <f t="shared" si="146"/>
        <v>19.47936</v>
      </c>
      <c r="L1214" s="10">
        <v>0</v>
      </c>
      <c r="N1214" s="118">
        <f t="shared" si="140"/>
        <v>0</v>
      </c>
      <c r="O1214" s="118">
        <f t="shared" si="141"/>
        <v>9.7396799999999999</v>
      </c>
    </row>
    <row r="1215" spans="1:15" x14ac:dyDescent="0.25">
      <c r="C1215" s="9"/>
      <c r="D1215" s="8" t="s">
        <v>1</v>
      </c>
      <c r="E1215" s="8">
        <f>SUM(E1187:E1214)</f>
        <v>46</v>
      </c>
      <c r="F1215" s="8"/>
      <c r="G1215" s="8"/>
      <c r="H1215" s="7"/>
      <c r="I1215" s="7">
        <f>SUM(I1187:I1214)</f>
        <v>2654.8538399999998</v>
      </c>
      <c r="J1215" s="8"/>
      <c r="K1215" s="7">
        <f>SUM(K1187:K1214)</f>
        <v>2654.8538399999998</v>
      </c>
      <c r="L1215" s="6"/>
      <c r="N1215" s="118">
        <f t="shared" si="140"/>
        <v>0</v>
      </c>
      <c r="O1215" s="118">
        <f t="shared" si="141"/>
        <v>0</v>
      </c>
    </row>
    <row r="1216" spans="1:15" x14ac:dyDescent="0.25">
      <c r="D1216" t="s">
        <v>0</v>
      </c>
      <c r="N1216" s="118">
        <f t="shared" si="140"/>
        <v>0</v>
      </c>
      <c r="O1216" s="118">
        <f t="shared" si="141"/>
        <v>0</v>
      </c>
    </row>
    <row r="1217" spans="1:15" x14ac:dyDescent="0.25">
      <c r="D1217" s="24" t="s">
        <v>969</v>
      </c>
      <c r="N1217" s="118">
        <f t="shared" si="140"/>
        <v>0</v>
      </c>
      <c r="O1217" s="118">
        <f t="shared" si="141"/>
        <v>0</v>
      </c>
    </row>
    <row r="1218" spans="1:15" ht="30" x14ac:dyDescent="0.25">
      <c r="C1218" s="24" t="s">
        <v>28</v>
      </c>
      <c r="D1218" s="24" t="s">
        <v>27</v>
      </c>
      <c r="E1218" s="24" t="s">
        <v>26</v>
      </c>
      <c r="F1218" s="24" t="s">
        <v>25</v>
      </c>
      <c r="G1218" s="24" t="s">
        <v>24</v>
      </c>
      <c r="H1218" s="116" t="s">
        <v>21</v>
      </c>
      <c r="I1218" s="24" t="s">
        <v>23</v>
      </c>
      <c r="J1218" s="24" t="s">
        <v>2928</v>
      </c>
      <c r="K1218" s="24" t="s">
        <v>2927</v>
      </c>
      <c r="L1218" s="23" t="s">
        <v>22</v>
      </c>
      <c r="N1218" s="118" t="e">
        <f t="shared" si="140"/>
        <v>#VALUE!</v>
      </c>
      <c r="O1218" s="118" t="e">
        <f t="shared" si="141"/>
        <v>#VALUE!</v>
      </c>
    </row>
    <row r="1219" spans="1:15" x14ac:dyDescent="0.25">
      <c r="A1219" t="s">
        <v>968</v>
      </c>
      <c r="B1219" t="s">
        <v>422</v>
      </c>
      <c r="C1219" s="19">
        <v>1</v>
      </c>
      <c r="D1219" s="18" t="s">
        <v>423</v>
      </c>
      <c r="E1219" s="13">
        <v>2</v>
      </c>
      <c r="F1219" s="25" t="s">
        <v>422</v>
      </c>
      <c r="G1219" s="25">
        <v>81897719002</v>
      </c>
      <c r="H1219" s="11">
        <v>10.68712</v>
      </c>
      <c r="I1219" s="11">
        <f t="shared" ref="I1219:I1250" si="148">H1219*E1219</f>
        <v>21.37424</v>
      </c>
      <c r="J1219" s="11">
        <f>O1219</f>
        <v>10.68712</v>
      </c>
      <c r="K1219" s="11">
        <f t="shared" ref="K1219:K1250" si="149">J1219*E1219</f>
        <v>21.37424</v>
      </c>
      <c r="L1219" s="10">
        <v>0</v>
      </c>
      <c r="N1219" s="118">
        <f t="shared" si="140"/>
        <v>0</v>
      </c>
      <c r="O1219" s="118">
        <f t="shared" si="141"/>
        <v>10.68712</v>
      </c>
    </row>
    <row r="1220" spans="1:15" x14ac:dyDescent="0.25">
      <c r="A1220" t="s">
        <v>967</v>
      </c>
      <c r="B1220" t="s">
        <v>965</v>
      </c>
      <c r="C1220" s="19">
        <v>2</v>
      </c>
      <c r="D1220" s="18" t="s">
        <v>966</v>
      </c>
      <c r="E1220" s="13">
        <v>1</v>
      </c>
      <c r="F1220" s="25" t="s">
        <v>965</v>
      </c>
      <c r="G1220" s="25">
        <v>81897719002</v>
      </c>
      <c r="H1220" s="11">
        <v>19.427679999999999</v>
      </c>
      <c r="I1220" s="11">
        <f t="shared" si="148"/>
        <v>19.427679999999999</v>
      </c>
      <c r="J1220" s="11">
        <f t="shared" ref="J1220:J1283" si="150">O1220</f>
        <v>19.427679999999999</v>
      </c>
      <c r="K1220" s="11">
        <f t="shared" si="149"/>
        <v>19.427679999999999</v>
      </c>
      <c r="L1220" s="10">
        <v>0</v>
      </c>
      <c r="N1220" s="118">
        <f t="shared" ref="N1220:N1283" si="151">H1220*L1220</f>
        <v>0</v>
      </c>
      <c r="O1220" s="118">
        <f t="shared" ref="O1220:O1283" si="152">H1220-N1220</f>
        <v>19.427679999999999</v>
      </c>
    </row>
    <row r="1221" spans="1:15" x14ac:dyDescent="0.25">
      <c r="A1221" t="s">
        <v>964</v>
      </c>
      <c r="B1221" t="s">
        <v>757</v>
      </c>
      <c r="C1221" s="19">
        <v>3</v>
      </c>
      <c r="D1221" s="18" t="s">
        <v>758</v>
      </c>
      <c r="E1221" s="13">
        <v>2</v>
      </c>
      <c r="F1221" s="25" t="s">
        <v>757</v>
      </c>
      <c r="G1221" s="25">
        <v>81897719002</v>
      </c>
      <c r="H1221" s="11">
        <v>10.68712</v>
      </c>
      <c r="I1221" s="11">
        <f t="shared" si="148"/>
        <v>21.37424</v>
      </c>
      <c r="J1221" s="11">
        <f t="shared" si="150"/>
        <v>10.68712</v>
      </c>
      <c r="K1221" s="11">
        <f t="shared" si="149"/>
        <v>21.37424</v>
      </c>
      <c r="L1221" s="10">
        <v>0</v>
      </c>
      <c r="N1221" s="118">
        <f t="shared" si="151"/>
        <v>0</v>
      </c>
      <c r="O1221" s="118">
        <f t="shared" si="152"/>
        <v>10.68712</v>
      </c>
    </row>
    <row r="1222" spans="1:15" x14ac:dyDescent="0.25">
      <c r="A1222" t="s">
        <v>963</v>
      </c>
      <c r="B1222" t="s">
        <v>961</v>
      </c>
      <c r="C1222" s="19">
        <v>4</v>
      </c>
      <c r="D1222" s="18" t="s">
        <v>962</v>
      </c>
      <c r="E1222" s="13">
        <v>1</v>
      </c>
      <c r="F1222" s="25" t="s">
        <v>961</v>
      </c>
      <c r="G1222" s="25">
        <v>81897719002</v>
      </c>
      <c r="H1222" s="11">
        <v>87.367680000000007</v>
      </c>
      <c r="I1222" s="11">
        <f t="shared" si="148"/>
        <v>87.367680000000007</v>
      </c>
      <c r="J1222" s="11">
        <f t="shared" si="150"/>
        <v>87.367680000000007</v>
      </c>
      <c r="K1222" s="11">
        <f t="shared" si="149"/>
        <v>87.367680000000007</v>
      </c>
      <c r="L1222" s="10">
        <v>0</v>
      </c>
      <c r="N1222" s="118">
        <f t="shared" si="151"/>
        <v>0</v>
      </c>
      <c r="O1222" s="118">
        <f t="shared" si="152"/>
        <v>87.367680000000007</v>
      </c>
    </row>
    <row r="1223" spans="1:15" x14ac:dyDescent="0.25">
      <c r="A1223" t="s">
        <v>960</v>
      </c>
      <c r="B1223" t="s">
        <v>958</v>
      </c>
      <c r="C1223" s="19">
        <v>5</v>
      </c>
      <c r="D1223" s="18" t="s">
        <v>959</v>
      </c>
      <c r="E1223" s="13">
        <v>1</v>
      </c>
      <c r="F1223" s="25" t="s">
        <v>958</v>
      </c>
      <c r="G1223" s="25">
        <v>81897719002</v>
      </c>
      <c r="H1223" s="11">
        <v>87.367680000000007</v>
      </c>
      <c r="I1223" s="11">
        <f t="shared" si="148"/>
        <v>87.367680000000007</v>
      </c>
      <c r="J1223" s="11">
        <f t="shared" si="150"/>
        <v>87.367680000000007</v>
      </c>
      <c r="K1223" s="11">
        <f t="shared" si="149"/>
        <v>87.367680000000007</v>
      </c>
      <c r="L1223" s="10">
        <v>0</v>
      </c>
      <c r="N1223" s="118">
        <f t="shared" si="151"/>
        <v>0</v>
      </c>
      <c r="O1223" s="118">
        <f t="shared" si="152"/>
        <v>87.367680000000007</v>
      </c>
    </row>
    <row r="1224" spans="1:15" x14ac:dyDescent="0.25">
      <c r="A1224" t="s">
        <v>957</v>
      </c>
      <c r="B1224" t="s">
        <v>955</v>
      </c>
      <c r="C1224" s="19">
        <v>6</v>
      </c>
      <c r="D1224" s="18" t="s">
        <v>956</v>
      </c>
      <c r="E1224" s="13">
        <v>2</v>
      </c>
      <c r="F1224" s="25" t="s">
        <v>955</v>
      </c>
      <c r="G1224" s="25">
        <v>81897719002</v>
      </c>
      <c r="H1224" s="11">
        <v>19.889039999999998</v>
      </c>
      <c r="I1224" s="11">
        <f t="shared" si="148"/>
        <v>39.778079999999996</v>
      </c>
      <c r="J1224" s="11">
        <f t="shared" si="150"/>
        <v>19.889039999999998</v>
      </c>
      <c r="K1224" s="11">
        <f t="shared" si="149"/>
        <v>39.778079999999996</v>
      </c>
      <c r="L1224" s="10">
        <v>0</v>
      </c>
      <c r="N1224" s="118">
        <f t="shared" si="151"/>
        <v>0</v>
      </c>
      <c r="O1224" s="118">
        <f t="shared" si="152"/>
        <v>19.889039999999998</v>
      </c>
    </row>
    <row r="1225" spans="1:15" x14ac:dyDescent="0.25">
      <c r="A1225" t="s">
        <v>954</v>
      </c>
      <c r="B1225" t="s">
        <v>952</v>
      </c>
      <c r="C1225" s="19">
        <v>7</v>
      </c>
      <c r="D1225" s="18" t="s">
        <v>953</v>
      </c>
      <c r="E1225" s="13">
        <v>2</v>
      </c>
      <c r="F1225" s="25" t="s">
        <v>952</v>
      </c>
      <c r="G1225" s="25">
        <v>81897719002</v>
      </c>
      <c r="H1225" s="11">
        <v>19.889039999999998</v>
      </c>
      <c r="I1225" s="11">
        <f t="shared" si="148"/>
        <v>39.778079999999996</v>
      </c>
      <c r="J1225" s="11">
        <f t="shared" si="150"/>
        <v>19.889039999999998</v>
      </c>
      <c r="K1225" s="11">
        <f t="shared" si="149"/>
        <v>39.778079999999996</v>
      </c>
      <c r="L1225" s="10">
        <v>0</v>
      </c>
      <c r="N1225" s="118">
        <f t="shared" si="151"/>
        <v>0</v>
      </c>
      <c r="O1225" s="118">
        <f t="shared" si="152"/>
        <v>19.889039999999998</v>
      </c>
    </row>
    <row r="1226" spans="1:15" x14ac:dyDescent="0.25">
      <c r="A1226" s="131" t="s">
        <v>951</v>
      </c>
      <c r="C1226" s="19">
        <v>8</v>
      </c>
      <c r="D1226" s="18" t="s">
        <v>950</v>
      </c>
      <c r="E1226" s="13">
        <v>1</v>
      </c>
      <c r="F1226" t="s">
        <v>1320</v>
      </c>
      <c r="G1226" s="25">
        <v>81897719006</v>
      </c>
      <c r="H1226" s="11">
        <v>10.68712</v>
      </c>
      <c r="I1226" s="11">
        <f t="shared" si="148"/>
        <v>10.68712</v>
      </c>
      <c r="J1226" s="11">
        <f t="shared" si="150"/>
        <v>10.68712</v>
      </c>
      <c r="K1226" s="11">
        <f t="shared" si="149"/>
        <v>10.68712</v>
      </c>
      <c r="L1226" s="10">
        <v>0</v>
      </c>
      <c r="N1226" s="118">
        <f t="shared" si="151"/>
        <v>0</v>
      </c>
      <c r="O1226" s="118">
        <f t="shared" si="152"/>
        <v>10.68712</v>
      </c>
    </row>
    <row r="1227" spans="1:15" x14ac:dyDescent="0.25">
      <c r="A1227" t="s">
        <v>949</v>
      </c>
      <c r="B1227" t="s">
        <v>947</v>
      </c>
      <c r="C1227" s="19">
        <v>9</v>
      </c>
      <c r="D1227" s="18" t="s">
        <v>948</v>
      </c>
      <c r="E1227" s="13">
        <v>1</v>
      </c>
      <c r="F1227" s="25" t="s">
        <v>947</v>
      </c>
      <c r="G1227" s="25">
        <v>81897719003</v>
      </c>
      <c r="H1227" s="11">
        <v>187.21736000000001</v>
      </c>
      <c r="I1227" s="11">
        <f t="shared" si="148"/>
        <v>187.21736000000001</v>
      </c>
      <c r="J1227" s="11">
        <f t="shared" si="150"/>
        <v>187.21736000000001</v>
      </c>
      <c r="K1227" s="11">
        <f t="shared" si="149"/>
        <v>187.21736000000001</v>
      </c>
      <c r="L1227" s="10">
        <v>0</v>
      </c>
      <c r="N1227" s="118">
        <f t="shared" si="151"/>
        <v>0</v>
      </c>
      <c r="O1227" s="118">
        <f t="shared" si="152"/>
        <v>187.21736000000001</v>
      </c>
    </row>
    <row r="1228" spans="1:15" x14ac:dyDescent="0.25">
      <c r="A1228" t="s">
        <v>946</v>
      </c>
      <c r="B1228" s="5" t="s">
        <v>944</v>
      </c>
      <c r="C1228" s="19">
        <v>10</v>
      </c>
      <c r="D1228" s="18" t="s">
        <v>945</v>
      </c>
      <c r="E1228" s="13">
        <v>1</v>
      </c>
      <c r="F1228" s="25" t="s">
        <v>944</v>
      </c>
      <c r="G1228" s="25">
        <v>81897719003</v>
      </c>
      <c r="H1228" s="11">
        <v>97.062560000000005</v>
      </c>
      <c r="I1228" s="11">
        <f t="shared" si="148"/>
        <v>97.062560000000005</v>
      </c>
      <c r="J1228" s="11">
        <f t="shared" si="150"/>
        <v>97.062560000000005</v>
      </c>
      <c r="K1228" s="11">
        <f t="shared" si="149"/>
        <v>97.062560000000005</v>
      </c>
      <c r="L1228" s="10">
        <v>0</v>
      </c>
      <c r="N1228" s="118">
        <f t="shared" si="151"/>
        <v>0</v>
      </c>
      <c r="O1228" s="118">
        <f t="shared" si="152"/>
        <v>97.062560000000005</v>
      </c>
    </row>
    <row r="1229" spans="1:15" x14ac:dyDescent="0.25">
      <c r="A1229" t="s">
        <v>943</v>
      </c>
      <c r="B1229" t="s">
        <v>941</v>
      </c>
      <c r="C1229" s="19">
        <v>11</v>
      </c>
      <c r="D1229" s="18" t="s">
        <v>942</v>
      </c>
      <c r="E1229" s="13">
        <v>1</v>
      </c>
      <c r="F1229" s="25" t="s">
        <v>941</v>
      </c>
      <c r="G1229" s="25">
        <v>81897710018</v>
      </c>
      <c r="H1229" s="11">
        <v>119.29631999999998</v>
      </c>
      <c r="I1229" s="11">
        <f t="shared" si="148"/>
        <v>119.29631999999998</v>
      </c>
      <c r="J1229" s="11">
        <f t="shared" si="150"/>
        <v>119.29631999999998</v>
      </c>
      <c r="K1229" s="11">
        <f t="shared" si="149"/>
        <v>119.29631999999998</v>
      </c>
      <c r="L1229" s="10">
        <v>0</v>
      </c>
      <c r="N1229" s="118">
        <f t="shared" si="151"/>
        <v>0</v>
      </c>
      <c r="O1229" s="118">
        <f t="shared" si="152"/>
        <v>119.29631999999998</v>
      </c>
    </row>
    <row r="1230" spans="1:15" x14ac:dyDescent="0.25">
      <c r="A1230" t="s">
        <v>940</v>
      </c>
      <c r="B1230" t="s">
        <v>938</v>
      </c>
      <c r="C1230" s="19">
        <v>12</v>
      </c>
      <c r="D1230" s="18" t="s">
        <v>939</v>
      </c>
      <c r="E1230" s="13">
        <v>1</v>
      </c>
      <c r="F1230" s="25" t="s">
        <v>938</v>
      </c>
      <c r="G1230" s="25">
        <v>81897710018</v>
      </c>
      <c r="H1230" s="11">
        <v>120.10527999999999</v>
      </c>
      <c r="I1230" s="11">
        <f t="shared" si="148"/>
        <v>120.10527999999999</v>
      </c>
      <c r="J1230" s="11">
        <f t="shared" si="150"/>
        <v>120.10527999999999</v>
      </c>
      <c r="K1230" s="11">
        <f t="shared" si="149"/>
        <v>120.10527999999999</v>
      </c>
      <c r="L1230" s="10">
        <v>0</v>
      </c>
      <c r="N1230" s="118">
        <f t="shared" si="151"/>
        <v>0</v>
      </c>
      <c r="O1230" s="118">
        <f t="shared" si="152"/>
        <v>120.10527999999999</v>
      </c>
    </row>
    <row r="1231" spans="1:15" x14ac:dyDescent="0.25">
      <c r="A1231" s="5" t="s">
        <v>937</v>
      </c>
      <c r="B1231" t="s">
        <v>751</v>
      </c>
      <c r="C1231" s="19">
        <v>13</v>
      </c>
      <c r="D1231" s="18" t="s">
        <v>752</v>
      </c>
      <c r="E1231" s="13">
        <v>1</v>
      </c>
      <c r="F1231" s="25" t="s">
        <v>751</v>
      </c>
      <c r="G1231" s="25">
        <v>81897719002</v>
      </c>
      <c r="H1231" s="11">
        <v>160.17408</v>
      </c>
      <c r="I1231" s="11">
        <f t="shared" si="148"/>
        <v>160.17408</v>
      </c>
      <c r="J1231" s="11">
        <f t="shared" si="150"/>
        <v>160.17408</v>
      </c>
      <c r="K1231" s="11">
        <f t="shared" si="149"/>
        <v>160.17408</v>
      </c>
      <c r="L1231" s="10">
        <v>0</v>
      </c>
      <c r="N1231" s="118">
        <f t="shared" si="151"/>
        <v>0</v>
      </c>
      <c r="O1231" s="118">
        <f t="shared" si="152"/>
        <v>160.17408</v>
      </c>
    </row>
    <row r="1232" spans="1:15" x14ac:dyDescent="0.25">
      <c r="A1232" t="s">
        <v>936</v>
      </c>
      <c r="B1232" t="s">
        <v>934</v>
      </c>
      <c r="C1232" s="19">
        <v>14</v>
      </c>
      <c r="D1232" s="18" t="s">
        <v>935</v>
      </c>
      <c r="E1232" s="13">
        <v>1</v>
      </c>
      <c r="F1232" t="s">
        <v>934</v>
      </c>
      <c r="G1232" s="25">
        <v>81897719003</v>
      </c>
      <c r="H1232" s="11">
        <v>121.72319999999999</v>
      </c>
      <c r="I1232" s="11">
        <f t="shared" si="148"/>
        <v>121.72319999999999</v>
      </c>
      <c r="J1232" s="11">
        <f t="shared" si="150"/>
        <v>121.72319999999999</v>
      </c>
      <c r="K1232" s="11">
        <f t="shared" si="149"/>
        <v>121.72319999999999</v>
      </c>
      <c r="L1232" s="10">
        <v>0</v>
      </c>
      <c r="N1232" s="118">
        <f t="shared" si="151"/>
        <v>0</v>
      </c>
      <c r="O1232" s="118">
        <f t="shared" si="152"/>
        <v>121.72319999999999</v>
      </c>
    </row>
    <row r="1233" spans="1:15" x14ac:dyDescent="0.25">
      <c r="A1233" t="s">
        <v>933</v>
      </c>
      <c r="B1233" t="s">
        <v>931</v>
      </c>
      <c r="C1233" s="19">
        <v>15</v>
      </c>
      <c r="D1233" s="18" t="s">
        <v>932</v>
      </c>
      <c r="E1233" s="13">
        <v>1</v>
      </c>
      <c r="F1233" s="25" t="s">
        <v>931</v>
      </c>
      <c r="G1233" s="25">
        <v>81897719003</v>
      </c>
      <c r="H1233" s="11">
        <v>174.73536000000001</v>
      </c>
      <c r="I1233" s="11">
        <f t="shared" si="148"/>
        <v>174.73536000000001</v>
      </c>
      <c r="J1233" s="11">
        <f t="shared" si="150"/>
        <v>174.73536000000001</v>
      </c>
      <c r="K1233" s="11">
        <f t="shared" si="149"/>
        <v>174.73536000000001</v>
      </c>
      <c r="L1233" s="10">
        <v>0</v>
      </c>
      <c r="N1233" s="118">
        <f t="shared" si="151"/>
        <v>0</v>
      </c>
      <c r="O1233" s="118">
        <f t="shared" si="152"/>
        <v>174.73536000000001</v>
      </c>
    </row>
    <row r="1234" spans="1:15" x14ac:dyDescent="0.25">
      <c r="A1234" s="39" t="s">
        <v>930</v>
      </c>
      <c r="B1234" t="s">
        <v>651</v>
      </c>
      <c r="C1234" s="19">
        <v>16</v>
      </c>
      <c r="D1234" t="s">
        <v>650</v>
      </c>
      <c r="E1234" s="13">
        <v>2</v>
      </c>
      <c r="F1234" t="s">
        <v>3056</v>
      </c>
      <c r="G1234" s="25">
        <v>81897719006</v>
      </c>
      <c r="H1234" s="11">
        <v>88.3536</v>
      </c>
      <c r="I1234" s="11">
        <f t="shared" si="148"/>
        <v>176.7072</v>
      </c>
      <c r="J1234" s="11">
        <f t="shared" si="150"/>
        <v>88.3536</v>
      </c>
      <c r="K1234" s="11">
        <f t="shared" si="149"/>
        <v>176.7072</v>
      </c>
      <c r="L1234" s="10">
        <v>0</v>
      </c>
      <c r="N1234" s="118">
        <f t="shared" si="151"/>
        <v>0</v>
      </c>
      <c r="O1234" s="118">
        <f t="shared" si="152"/>
        <v>88.3536</v>
      </c>
    </row>
    <row r="1235" spans="1:15" s="5" customFormat="1" x14ac:dyDescent="0.25">
      <c r="A1235" t="s">
        <v>929</v>
      </c>
      <c r="B1235" t="s">
        <v>286</v>
      </c>
      <c r="C1235" s="19">
        <v>17</v>
      </c>
      <c r="D1235" s="18" t="s">
        <v>287</v>
      </c>
      <c r="E1235" s="13">
        <v>1</v>
      </c>
      <c r="F1235" s="25" t="s">
        <v>286</v>
      </c>
      <c r="G1235" s="25">
        <v>81897719002</v>
      </c>
      <c r="H1235" s="11">
        <v>7.28064</v>
      </c>
      <c r="I1235" s="11">
        <f t="shared" si="148"/>
        <v>7.28064</v>
      </c>
      <c r="J1235" s="11">
        <f t="shared" si="150"/>
        <v>7.28064</v>
      </c>
      <c r="K1235" s="11">
        <f t="shared" si="149"/>
        <v>7.28064</v>
      </c>
      <c r="L1235" s="10">
        <v>0</v>
      </c>
      <c r="N1235" s="118">
        <f t="shared" si="151"/>
        <v>0</v>
      </c>
      <c r="O1235" s="118">
        <f t="shared" si="152"/>
        <v>7.28064</v>
      </c>
    </row>
    <row r="1236" spans="1:15" x14ac:dyDescent="0.25">
      <c r="A1236" t="s">
        <v>928</v>
      </c>
      <c r="B1236" t="s">
        <v>409</v>
      </c>
      <c r="C1236" s="19">
        <v>18</v>
      </c>
      <c r="D1236" s="18" t="s">
        <v>485</v>
      </c>
      <c r="E1236" s="13">
        <v>1</v>
      </c>
      <c r="F1236" t="s">
        <v>409</v>
      </c>
      <c r="G1236" s="25">
        <v>81897710021</v>
      </c>
      <c r="H1236" s="11">
        <v>4.8664000000000005</v>
      </c>
      <c r="I1236" s="11">
        <f t="shared" si="148"/>
        <v>4.8664000000000005</v>
      </c>
      <c r="J1236" s="11">
        <f t="shared" si="150"/>
        <v>4.8664000000000005</v>
      </c>
      <c r="K1236" s="11">
        <f t="shared" si="149"/>
        <v>4.8664000000000005</v>
      </c>
      <c r="L1236" s="10">
        <v>0</v>
      </c>
      <c r="N1236" s="118">
        <f t="shared" si="151"/>
        <v>0</v>
      </c>
      <c r="O1236" s="118">
        <f t="shared" si="152"/>
        <v>4.8664000000000005</v>
      </c>
    </row>
    <row r="1237" spans="1:15" x14ac:dyDescent="0.25">
      <c r="A1237" t="s">
        <v>927</v>
      </c>
      <c r="B1237" t="s">
        <v>642</v>
      </c>
      <c r="C1237" s="19">
        <v>19</v>
      </c>
      <c r="D1237" s="18" t="s">
        <v>641</v>
      </c>
      <c r="E1237" s="13">
        <v>1</v>
      </c>
      <c r="F1237" s="25" t="s">
        <v>158</v>
      </c>
      <c r="G1237" s="25" t="s">
        <v>427</v>
      </c>
      <c r="H1237" s="11">
        <v>3.72248</v>
      </c>
      <c r="I1237" s="11">
        <f t="shared" si="148"/>
        <v>3.72248</v>
      </c>
      <c r="J1237" s="11">
        <f t="shared" si="150"/>
        <v>3.72248</v>
      </c>
      <c r="K1237" s="11">
        <f t="shared" si="149"/>
        <v>3.72248</v>
      </c>
      <c r="L1237" s="10">
        <v>0</v>
      </c>
      <c r="N1237" s="118">
        <f t="shared" si="151"/>
        <v>0</v>
      </c>
      <c r="O1237" s="118">
        <f t="shared" si="152"/>
        <v>3.72248</v>
      </c>
    </row>
    <row r="1238" spans="1:15" x14ac:dyDescent="0.25">
      <c r="A1238" t="s">
        <v>926</v>
      </c>
      <c r="B1238" t="s">
        <v>924</v>
      </c>
      <c r="C1238" s="19">
        <v>20</v>
      </c>
      <c r="D1238" s="18" t="s">
        <v>925</v>
      </c>
      <c r="E1238" s="13">
        <v>1</v>
      </c>
      <c r="F1238" s="25" t="s">
        <v>924</v>
      </c>
      <c r="G1238" s="25">
        <v>81897719002</v>
      </c>
      <c r="H1238" s="11">
        <v>58.24512</v>
      </c>
      <c r="I1238" s="11">
        <f t="shared" si="148"/>
        <v>58.24512</v>
      </c>
      <c r="J1238" s="11">
        <f t="shared" si="150"/>
        <v>58.24512</v>
      </c>
      <c r="K1238" s="11">
        <f t="shared" si="149"/>
        <v>58.24512</v>
      </c>
      <c r="L1238" s="10">
        <v>0</v>
      </c>
      <c r="N1238" s="118">
        <f t="shared" si="151"/>
        <v>0</v>
      </c>
      <c r="O1238" s="118">
        <f t="shared" si="152"/>
        <v>58.24512</v>
      </c>
    </row>
    <row r="1239" spans="1:15" x14ac:dyDescent="0.25">
      <c r="A1239" t="s">
        <v>923</v>
      </c>
      <c r="B1239" t="s">
        <v>921</v>
      </c>
      <c r="C1239" s="19">
        <v>21</v>
      </c>
      <c r="D1239" s="18" t="s">
        <v>922</v>
      </c>
      <c r="E1239" s="13">
        <v>1</v>
      </c>
      <c r="F1239" s="25" t="s">
        <v>921</v>
      </c>
      <c r="G1239" s="25">
        <v>81897710010</v>
      </c>
      <c r="H1239" s="11">
        <v>58.24512</v>
      </c>
      <c r="I1239" s="11">
        <f t="shared" si="148"/>
        <v>58.24512</v>
      </c>
      <c r="J1239" s="11">
        <f t="shared" si="150"/>
        <v>58.24512</v>
      </c>
      <c r="K1239" s="11">
        <f t="shared" si="149"/>
        <v>58.24512</v>
      </c>
      <c r="L1239" s="10">
        <v>0</v>
      </c>
      <c r="N1239" s="118">
        <f t="shared" si="151"/>
        <v>0</v>
      </c>
      <c r="O1239" s="118">
        <f t="shared" si="152"/>
        <v>58.24512</v>
      </c>
    </row>
    <row r="1240" spans="1:15" x14ac:dyDescent="0.25">
      <c r="A1240" t="s">
        <v>920</v>
      </c>
      <c r="B1240" t="s">
        <v>918</v>
      </c>
      <c r="C1240" s="19">
        <v>22</v>
      </c>
      <c r="D1240" s="18" t="s">
        <v>919</v>
      </c>
      <c r="E1240" s="13">
        <v>1</v>
      </c>
      <c r="F1240" s="25" t="s">
        <v>918</v>
      </c>
      <c r="G1240" s="25">
        <v>81897719002</v>
      </c>
      <c r="H1240" s="11">
        <v>13.600640000000002</v>
      </c>
      <c r="I1240" s="11">
        <f t="shared" si="148"/>
        <v>13.600640000000002</v>
      </c>
      <c r="J1240" s="11">
        <f t="shared" si="150"/>
        <v>13.600640000000002</v>
      </c>
      <c r="K1240" s="11">
        <f t="shared" si="149"/>
        <v>13.600640000000002</v>
      </c>
      <c r="L1240" s="10">
        <v>0</v>
      </c>
      <c r="N1240" s="118">
        <f t="shared" si="151"/>
        <v>0</v>
      </c>
      <c r="O1240" s="118">
        <f t="shared" si="152"/>
        <v>13.600640000000002</v>
      </c>
    </row>
    <row r="1241" spans="1:15" x14ac:dyDescent="0.25">
      <c r="A1241" t="s">
        <v>917</v>
      </c>
      <c r="B1241" t="s">
        <v>635</v>
      </c>
      <c r="C1241" s="19">
        <v>23</v>
      </c>
      <c r="D1241" s="18" t="s">
        <v>916</v>
      </c>
      <c r="E1241" s="13">
        <v>1</v>
      </c>
      <c r="F1241" s="25" t="s">
        <v>635</v>
      </c>
      <c r="G1241" s="25">
        <v>81897719002</v>
      </c>
      <c r="H1241" s="11">
        <v>20.38832</v>
      </c>
      <c r="I1241" s="11">
        <f t="shared" si="148"/>
        <v>20.38832</v>
      </c>
      <c r="J1241" s="11">
        <f t="shared" si="150"/>
        <v>20.38832</v>
      </c>
      <c r="K1241" s="11">
        <f t="shared" si="149"/>
        <v>20.38832</v>
      </c>
      <c r="L1241" s="10">
        <v>0</v>
      </c>
      <c r="N1241" s="118">
        <f t="shared" si="151"/>
        <v>0</v>
      </c>
      <c r="O1241" s="118">
        <f t="shared" si="152"/>
        <v>20.38832</v>
      </c>
    </row>
    <row r="1242" spans="1:15" x14ac:dyDescent="0.25">
      <c r="A1242" t="s">
        <v>915</v>
      </c>
      <c r="B1242" t="s">
        <v>626</v>
      </c>
      <c r="C1242" s="19">
        <v>24</v>
      </c>
      <c r="D1242" s="18" t="s">
        <v>908</v>
      </c>
      <c r="E1242" s="13">
        <v>1</v>
      </c>
      <c r="F1242" s="25" t="s">
        <v>626</v>
      </c>
      <c r="G1242" s="25">
        <v>81897719002</v>
      </c>
      <c r="H1242" s="11">
        <v>17.474799999999998</v>
      </c>
      <c r="I1242" s="11">
        <f t="shared" si="148"/>
        <v>17.474799999999998</v>
      </c>
      <c r="J1242" s="11">
        <f t="shared" si="150"/>
        <v>17.474799999999998</v>
      </c>
      <c r="K1242" s="11">
        <f t="shared" si="149"/>
        <v>17.474799999999998</v>
      </c>
      <c r="L1242" s="10">
        <v>0</v>
      </c>
      <c r="N1242" s="118">
        <f t="shared" si="151"/>
        <v>0</v>
      </c>
      <c r="O1242" s="118">
        <f t="shared" si="152"/>
        <v>17.474799999999998</v>
      </c>
    </row>
    <row r="1243" spans="1:15" x14ac:dyDescent="0.25">
      <c r="A1243" t="s">
        <v>914</v>
      </c>
      <c r="B1243" t="s">
        <v>912</v>
      </c>
      <c r="C1243" s="19">
        <v>25</v>
      </c>
      <c r="D1243" s="18" t="s">
        <v>913</v>
      </c>
      <c r="E1243" s="13">
        <v>1</v>
      </c>
      <c r="F1243" s="25" t="s">
        <v>912</v>
      </c>
      <c r="G1243" s="25">
        <v>81897719002</v>
      </c>
      <c r="H1243" s="11">
        <v>17.474799999999998</v>
      </c>
      <c r="I1243" s="11">
        <f t="shared" si="148"/>
        <v>17.474799999999998</v>
      </c>
      <c r="J1243" s="11">
        <f t="shared" si="150"/>
        <v>17.474799999999998</v>
      </c>
      <c r="K1243" s="11">
        <f t="shared" si="149"/>
        <v>17.474799999999998</v>
      </c>
      <c r="L1243" s="10">
        <v>0</v>
      </c>
      <c r="N1243" s="118">
        <f t="shared" si="151"/>
        <v>0</v>
      </c>
      <c r="O1243" s="118">
        <f t="shared" si="152"/>
        <v>17.474799999999998</v>
      </c>
    </row>
    <row r="1244" spans="1:15" x14ac:dyDescent="0.25">
      <c r="A1244" t="s">
        <v>911</v>
      </c>
      <c r="B1244" t="s">
        <v>623</v>
      </c>
      <c r="C1244" s="19">
        <v>26</v>
      </c>
      <c r="D1244" s="18" t="s">
        <v>910</v>
      </c>
      <c r="E1244" s="13">
        <v>1</v>
      </c>
      <c r="F1244" s="25" t="s">
        <v>623</v>
      </c>
      <c r="G1244" s="25">
        <v>81897719002</v>
      </c>
      <c r="H1244" s="11">
        <v>21.348960000000002</v>
      </c>
      <c r="I1244" s="11">
        <f t="shared" si="148"/>
        <v>21.348960000000002</v>
      </c>
      <c r="J1244" s="11">
        <f t="shared" si="150"/>
        <v>21.348960000000002</v>
      </c>
      <c r="K1244" s="11">
        <f t="shared" si="149"/>
        <v>21.348960000000002</v>
      </c>
      <c r="L1244" s="10">
        <v>0</v>
      </c>
      <c r="N1244" s="118">
        <f t="shared" si="151"/>
        <v>0</v>
      </c>
      <c r="O1244" s="118">
        <f t="shared" si="152"/>
        <v>21.348960000000002</v>
      </c>
    </row>
    <row r="1245" spans="1:15" x14ac:dyDescent="0.25">
      <c r="A1245" t="s">
        <v>909</v>
      </c>
      <c r="B1245" t="s">
        <v>626</v>
      </c>
      <c r="C1245" s="19">
        <v>27</v>
      </c>
      <c r="D1245" s="18" t="s">
        <v>908</v>
      </c>
      <c r="E1245" s="13">
        <v>1</v>
      </c>
      <c r="F1245" s="25" t="s">
        <v>626</v>
      </c>
      <c r="G1245" s="25">
        <v>81897719002</v>
      </c>
      <c r="H1245" s="11">
        <v>17.474799999999998</v>
      </c>
      <c r="I1245" s="11">
        <f t="shared" si="148"/>
        <v>17.474799999999998</v>
      </c>
      <c r="J1245" s="11">
        <f t="shared" si="150"/>
        <v>17.474799999999998</v>
      </c>
      <c r="K1245" s="11">
        <f t="shared" si="149"/>
        <v>17.474799999999998</v>
      </c>
      <c r="L1245" s="10">
        <v>0</v>
      </c>
      <c r="N1245" s="118">
        <f t="shared" si="151"/>
        <v>0</v>
      </c>
      <c r="O1245" s="118">
        <f t="shared" si="152"/>
        <v>17.474799999999998</v>
      </c>
    </row>
    <row r="1246" spans="1:15" x14ac:dyDescent="0.25">
      <c r="A1246" t="s">
        <v>907</v>
      </c>
      <c r="B1246" t="s">
        <v>905</v>
      </c>
      <c r="C1246" s="19">
        <v>28</v>
      </c>
      <c r="D1246" s="18" t="s">
        <v>906</v>
      </c>
      <c r="E1246" s="13">
        <v>1</v>
      </c>
      <c r="F1246" s="25" t="s">
        <v>905</v>
      </c>
      <c r="G1246" s="25">
        <v>81897719002</v>
      </c>
      <c r="H1246" s="11">
        <v>16.014879999999998</v>
      </c>
      <c r="I1246" s="11">
        <f t="shared" si="148"/>
        <v>16.014879999999998</v>
      </c>
      <c r="J1246" s="11">
        <f t="shared" si="150"/>
        <v>16.014879999999998</v>
      </c>
      <c r="K1246" s="11">
        <f t="shared" si="149"/>
        <v>16.014879999999998</v>
      </c>
      <c r="L1246" s="10">
        <v>0</v>
      </c>
      <c r="N1246" s="118">
        <f t="shared" si="151"/>
        <v>0</v>
      </c>
      <c r="O1246" s="118">
        <f t="shared" si="152"/>
        <v>16.014879999999998</v>
      </c>
    </row>
    <row r="1247" spans="1:15" x14ac:dyDescent="0.25">
      <c r="A1247" t="s">
        <v>904</v>
      </c>
      <c r="B1247" t="s">
        <v>902</v>
      </c>
      <c r="C1247" s="19">
        <v>29</v>
      </c>
      <c r="D1247" s="18" t="s">
        <v>903</v>
      </c>
      <c r="E1247" s="13">
        <v>1</v>
      </c>
      <c r="F1247" s="25" t="s">
        <v>902</v>
      </c>
      <c r="G1247" s="25">
        <v>81897719002</v>
      </c>
      <c r="H1247" s="11">
        <v>12.147040000000001</v>
      </c>
      <c r="I1247" s="11">
        <f t="shared" si="148"/>
        <v>12.147040000000001</v>
      </c>
      <c r="J1247" s="11">
        <f t="shared" si="150"/>
        <v>12.147040000000001</v>
      </c>
      <c r="K1247" s="11">
        <f t="shared" si="149"/>
        <v>12.147040000000001</v>
      </c>
      <c r="L1247" s="10">
        <v>0</v>
      </c>
      <c r="N1247" s="118">
        <f t="shared" si="151"/>
        <v>0</v>
      </c>
      <c r="O1247" s="118">
        <f t="shared" si="152"/>
        <v>12.147040000000001</v>
      </c>
    </row>
    <row r="1248" spans="1:15" x14ac:dyDescent="0.25">
      <c r="A1248" t="s">
        <v>901</v>
      </c>
      <c r="B1248" t="s">
        <v>899</v>
      </c>
      <c r="C1248" s="19">
        <v>30</v>
      </c>
      <c r="D1248" s="18" t="s">
        <v>900</v>
      </c>
      <c r="E1248" s="13">
        <v>1</v>
      </c>
      <c r="F1248" s="25" t="s">
        <v>899</v>
      </c>
      <c r="G1248" s="25">
        <v>81897719002</v>
      </c>
      <c r="H1248" s="11">
        <v>17.474799999999998</v>
      </c>
      <c r="I1248" s="11">
        <f t="shared" si="148"/>
        <v>17.474799999999998</v>
      </c>
      <c r="J1248" s="11">
        <f t="shared" si="150"/>
        <v>17.474799999999998</v>
      </c>
      <c r="K1248" s="11">
        <f t="shared" si="149"/>
        <v>17.474799999999998</v>
      </c>
      <c r="L1248" s="10">
        <v>0</v>
      </c>
      <c r="N1248" s="118">
        <f t="shared" si="151"/>
        <v>0</v>
      </c>
      <c r="O1248" s="118">
        <f t="shared" si="152"/>
        <v>17.474799999999998</v>
      </c>
    </row>
    <row r="1249" spans="1:15" x14ac:dyDescent="0.25">
      <c r="A1249" t="s">
        <v>898</v>
      </c>
      <c r="B1249" t="s">
        <v>482</v>
      </c>
      <c r="C1249" s="19">
        <v>31</v>
      </c>
      <c r="D1249" s="18" t="s">
        <v>897</v>
      </c>
      <c r="E1249" s="13">
        <v>1</v>
      </c>
      <c r="F1249" s="25" t="s">
        <v>482</v>
      </c>
      <c r="G1249" s="25">
        <v>81897719002</v>
      </c>
      <c r="H1249" s="11">
        <v>14.56128</v>
      </c>
      <c r="I1249" s="11">
        <f t="shared" si="148"/>
        <v>14.56128</v>
      </c>
      <c r="J1249" s="11">
        <f t="shared" si="150"/>
        <v>14.56128</v>
      </c>
      <c r="K1249" s="11">
        <f t="shared" si="149"/>
        <v>14.56128</v>
      </c>
      <c r="L1249" s="10">
        <v>0</v>
      </c>
      <c r="N1249" s="118">
        <f t="shared" si="151"/>
        <v>0</v>
      </c>
      <c r="O1249" s="118">
        <f t="shared" si="152"/>
        <v>14.56128</v>
      </c>
    </row>
    <row r="1250" spans="1:15" x14ac:dyDescent="0.25">
      <c r="A1250" s="131" t="s">
        <v>896</v>
      </c>
      <c r="B1250" t="s">
        <v>721</v>
      </c>
      <c r="C1250" s="19">
        <v>32</v>
      </c>
      <c r="D1250" s="18" t="s">
        <v>895</v>
      </c>
      <c r="E1250" s="13">
        <v>1</v>
      </c>
      <c r="F1250" t="s">
        <v>3057</v>
      </c>
      <c r="G1250" s="25">
        <v>81897719006</v>
      </c>
      <c r="H1250" s="11">
        <v>48.550239999999995</v>
      </c>
      <c r="I1250" s="11">
        <f t="shared" si="148"/>
        <v>48.550239999999995</v>
      </c>
      <c r="J1250" s="11">
        <f t="shared" si="150"/>
        <v>48.550239999999995</v>
      </c>
      <c r="K1250" s="11">
        <f t="shared" si="149"/>
        <v>48.550239999999995</v>
      </c>
      <c r="L1250" s="10">
        <v>0</v>
      </c>
      <c r="N1250" s="118">
        <f t="shared" si="151"/>
        <v>0</v>
      </c>
      <c r="O1250" s="118">
        <f t="shared" si="152"/>
        <v>48.550239999999995</v>
      </c>
    </row>
    <row r="1251" spans="1:15" x14ac:dyDescent="0.25">
      <c r="A1251" t="s">
        <v>894</v>
      </c>
      <c r="B1251" t="s">
        <v>892</v>
      </c>
      <c r="C1251" s="19">
        <v>33</v>
      </c>
      <c r="D1251" s="18" t="s">
        <v>893</v>
      </c>
      <c r="E1251" s="13">
        <v>1</v>
      </c>
      <c r="F1251" s="18" t="s">
        <v>892</v>
      </c>
      <c r="G1251" s="25">
        <v>81897710012</v>
      </c>
      <c r="H1251" s="11">
        <v>360.0188</v>
      </c>
      <c r="I1251" s="11">
        <f t="shared" ref="I1251:I1282" si="153">H1251*E1251</f>
        <v>360.0188</v>
      </c>
      <c r="J1251" s="11">
        <f t="shared" si="150"/>
        <v>360.0188</v>
      </c>
      <c r="K1251" s="11">
        <f t="shared" ref="K1251:K1282" si="154">J1251*E1251</f>
        <v>360.0188</v>
      </c>
      <c r="L1251" s="10">
        <v>0</v>
      </c>
      <c r="N1251" s="118">
        <f t="shared" si="151"/>
        <v>0</v>
      </c>
      <c r="O1251" s="118">
        <f t="shared" si="152"/>
        <v>360.0188</v>
      </c>
    </row>
    <row r="1252" spans="1:15" x14ac:dyDescent="0.25">
      <c r="A1252" t="s">
        <v>891</v>
      </c>
      <c r="B1252" t="s">
        <v>789</v>
      </c>
      <c r="C1252" s="19">
        <v>34</v>
      </c>
      <c r="D1252" s="18" t="s">
        <v>890</v>
      </c>
      <c r="E1252" s="13">
        <v>1</v>
      </c>
      <c r="F1252" s="18" t="s">
        <v>789</v>
      </c>
      <c r="G1252" s="25">
        <v>81897710012</v>
      </c>
      <c r="H1252" s="11">
        <v>340.93872000000005</v>
      </c>
      <c r="I1252" s="11">
        <f t="shared" si="153"/>
        <v>340.93872000000005</v>
      </c>
      <c r="J1252" s="11">
        <f t="shared" si="150"/>
        <v>340.93872000000005</v>
      </c>
      <c r="K1252" s="11">
        <f t="shared" si="154"/>
        <v>340.93872000000005</v>
      </c>
      <c r="L1252" s="10">
        <v>0</v>
      </c>
      <c r="N1252" s="118">
        <f t="shared" si="151"/>
        <v>0</v>
      </c>
      <c r="O1252" s="118">
        <f t="shared" si="152"/>
        <v>340.93872000000005</v>
      </c>
    </row>
    <row r="1253" spans="1:15" x14ac:dyDescent="0.25">
      <c r="A1253" s="131" t="s">
        <v>889</v>
      </c>
      <c r="C1253" s="19">
        <v>35</v>
      </c>
      <c r="D1253" s="18" t="s">
        <v>888</v>
      </c>
      <c r="E1253" s="13">
        <v>1</v>
      </c>
      <c r="F1253" s="25" t="s">
        <v>1348</v>
      </c>
      <c r="G1253" s="25">
        <v>81897719006</v>
      </c>
      <c r="H1253" s="11">
        <v>17.474799999999998</v>
      </c>
      <c r="I1253" s="11">
        <f t="shared" si="153"/>
        <v>17.474799999999998</v>
      </c>
      <c r="J1253" s="11">
        <f t="shared" si="150"/>
        <v>17.474799999999998</v>
      </c>
      <c r="K1253" s="11">
        <f t="shared" si="154"/>
        <v>17.474799999999998</v>
      </c>
      <c r="L1253" s="10">
        <v>0</v>
      </c>
      <c r="N1253" s="118">
        <f t="shared" si="151"/>
        <v>0</v>
      </c>
      <c r="O1253" s="118">
        <f t="shared" si="152"/>
        <v>17.474799999999998</v>
      </c>
    </row>
    <row r="1254" spans="1:15" x14ac:dyDescent="0.25">
      <c r="A1254" s="131" t="s">
        <v>887</v>
      </c>
      <c r="C1254" s="19">
        <v>36</v>
      </c>
      <c r="D1254" s="18" t="s">
        <v>886</v>
      </c>
      <c r="E1254" s="13">
        <v>1</v>
      </c>
      <c r="F1254" s="25" t="s">
        <v>1345</v>
      </c>
      <c r="G1254" s="25">
        <v>81897719006</v>
      </c>
      <c r="H1254" s="11">
        <v>17.474799999999998</v>
      </c>
      <c r="I1254" s="11">
        <f t="shared" si="153"/>
        <v>17.474799999999998</v>
      </c>
      <c r="J1254" s="11">
        <f t="shared" si="150"/>
        <v>17.474799999999998</v>
      </c>
      <c r="K1254" s="11">
        <f t="shared" si="154"/>
        <v>17.474799999999998</v>
      </c>
      <c r="L1254" s="10">
        <v>0</v>
      </c>
      <c r="N1254" s="118">
        <f t="shared" si="151"/>
        <v>0</v>
      </c>
      <c r="O1254" s="118">
        <f t="shared" si="152"/>
        <v>17.474799999999998</v>
      </c>
    </row>
    <row r="1255" spans="1:15" x14ac:dyDescent="0.25">
      <c r="A1255" s="131" t="s">
        <v>885</v>
      </c>
      <c r="C1255" s="19">
        <v>37</v>
      </c>
      <c r="D1255" s="18" t="s">
        <v>884</v>
      </c>
      <c r="E1255" s="13">
        <v>1</v>
      </c>
      <c r="F1255" s="20" t="s">
        <v>1351</v>
      </c>
      <c r="G1255" s="25">
        <v>81897719006</v>
      </c>
      <c r="H1255" s="11">
        <v>18.719840000000001</v>
      </c>
      <c r="I1255" s="11">
        <f t="shared" si="153"/>
        <v>18.719840000000001</v>
      </c>
      <c r="J1255" s="11">
        <f t="shared" si="150"/>
        <v>18.719840000000001</v>
      </c>
      <c r="K1255" s="11">
        <f t="shared" si="154"/>
        <v>18.719840000000001</v>
      </c>
      <c r="L1255" s="10">
        <v>0</v>
      </c>
      <c r="N1255" s="118">
        <f t="shared" si="151"/>
        <v>0</v>
      </c>
      <c r="O1255" s="118">
        <f t="shared" si="152"/>
        <v>18.719840000000001</v>
      </c>
    </row>
    <row r="1256" spans="1:15" x14ac:dyDescent="0.25">
      <c r="A1256" t="s">
        <v>883</v>
      </c>
      <c r="B1256" t="s">
        <v>881</v>
      </c>
      <c r="C1256" s="19">
        <v>38</v>
      </c>
      <c r="D1256" s="18" t="s">
        <v>882</v>
      </c>
      <c r="E1256" s="13">
        <v>1</v>
      </c>
      <c r="F1256" s="18" t="s">
        <v>881</v>
      </c>
      <c r="G1256" s="25">
        <v>81897710012</v>
      </c>
      <c r="H1256" s="11">
        <v>96.158799999999999</v>
      </c>
      <c r="I1256" s="11">
        <f t="shared" si="153"/>
        <v>96.158799999999999</v>
      </c>
      <c r="J1256" s="11">
        <f t="shared" si="150"/>
        <v>96.158799999999999</v>
      </c>
      <c r="K1256" s="11">
        <f t="shared" si="154"/>
        <v>96.158799999999999</v>
      </c>
      <c r="L1256" s="10">
        <v>0</v>
      </c>
      <c r="N1256" s="118">
        <f t="shared" si="151"/>
        <v>0</v>
      </c>
      <c r="O1256" s="118">
        <f t="shared" si="152"/>
        <v>96.158799999999999</v>
      </c>
    </row>
    <row r="1257" spans="1:15" x14ac:dyDescent="0.25">
      <c r="A1257" t="s">
        <v>880</v>
      </c>
      <c r="B1257" t="s">
        <v>878</v>
      </c>
      <c r="C1257" s="19">
        <v>39</v>
      </c>
      <c r="D1257" s="18" t="s">
        <v>879</v>
      </c>
      <c r="E1257" s="13">
        <v>1</v>
      </c>
      <c r="F1257" s="25" t="s">
        <v>878</v>
      </c>
      <c r="G1257" s="25">
        <v>81897719002</v>
      </c>
      <c r="H1257" s="11">
        <v>9.6948800000000013</v>
      </c>
      <c r="I1257" s="11">
        <f t="shared" si="153"/>
        <v>9.6948800000000013</v>
      </c>
      <c r="J1257" s="11">
        <f t="shared" si="150"/>
        <v>9.6948800000000013</v>
      </c>
      <c r="K1257" s="11">
        <f t="shared" si="154"/>
        <v>9.6948800000000013</v>
      </c>
      <c r="L1257" s="10">
        <v>0</v>
      </c>
      <c r="N1257" s="118">
        <f t="shared" si="151"/>
        <v>0</v>
      </c>
      <c r="O1257" s="118">
        <f t="shared" si="152"/>
        <v>9.6948800000000013</v>
      </c>
    </row>
    <row r="1258" spans="1:15" x14ac:dyDescent="0.25">
      <c r="A1258" t="s">
        <v>877</v>
      </c>
      <c r="B1258" t="s">
        <v>131</v>
      </c>
      <c r="C1258" s="19">
        <v>40</v>
      </c>
      <c r="D1258" s="18" t="s">
        <v>132</v>
      </c>
      <c r="E1258" s="13">
        <v>4</v>
      </c>
      <c r="F1258" s="25" t="s">
        <v>131</v>
      </c>
      <c r="G1258" s="25">
        <v>81897719002</v>
      </c>
      <c r="H1258" s="11">
        <v>11.64776</v>
      </c>
      <c r="I1258" s="11">
        <f t="shared" si="153"/>
        <v>46.59104</v>
      </c>
      <c r="J1258" s="11">
        <f t="shared" si="150"/>
        <v>11.64776</v>
      </c>
      <c r="K1258" s="11">
        <f t="shared" si="154"/>
        <v>46.59104</v>
      </c>
      <c r="L1258" s="10">
        <v>0</v>
      </c>
      <c r="N1258" s="118">
        <f t="shared" si="151"/>
        <v>0</v>
      </c>
      <c r="O1258" s="118">
        <f t="shared" si="152"/>
        <v>11.64776</v>
      </c>
    </row>
    <row r="1259" spans="1:15" x14ac:dyDescent="0.25">
      <c r="A1259" t="s">
        <v>876</v>
      </c>
      <c r="B1259" t="s">
        <v>230</v>
      </c>
      <c r="C1259" s="19">
        <v>41</v>
      </c>
      <c r="D1259" s="18" t="s">
        <v>231</v>
      </c>
      <c r="E1259" s="13">
        <v>1</v>
      </c>
      <c r="F1259" s="25" t="s">
        <v>230</v>
      </c>
      <c r="G1259" s="25">
        <v>81897719002</v>
      </c>
      <c r="H1259" s="11">
        <v>6.7876799999999999</v>
      </c>
      <c r="I1259" s="11">
        <f t="shared" si="153"/>
        <v>6.7876799999999999</v>
      </c>
      <c r="J1259" s="11">
        <f t="shared" si="150"/>
        <v>6.7876799999999999</v>
      </c>
      <c r="K1259" s="11">
        <f t="shared" si="154"/>
        <v>6.7876799999999999</v>
      </c>
      <c r="L1259" s="10">
        <v>0</v>
      </c>
      <c r="N1259" s="118">
        <f t="shared" si="151"/>
        <v>0</v>
      </c>
      <c r="O1259" s="118">
        <f t="shared" si="152"/>
        <v>6.7876799999999999</v>
      </c>
    </row>
    <row r="1260" spans="1:15" x14ac:dyDescent="0.25">
      <c r="A1260" t="s">
        <v>875</v>
      </c>
      <c r="B1260" t="s">
        <v>233</v>
      </c>
      <c r="C1260" s="19">
        <v>42</v>
      </c>
      <c r="D1260" s="18" t="s">
        <v>234</v>
      </c>
      <c r="E1260" s="13">
        <v>1</v>
      </c>
      <c r="F1260" s="25" t="s">
        <v>233</v>
      </c>
      <c r="G1260" s="25">
        <v>81897719002</v>
      </c>
      <c r="H1260" s="11">
        <v>6.32</v>
      </c>
      <c r="I1260" s="11">
        <f t="shared" si="153"/>
        <v>6.32</v>
      </c>
      <c r="J1260" s="11">
        <f t="shared" si="150"/>
        <v>6.32</v>
      </c>
      <c r="K1260" s="11">
        <f t="shared" si="154"/>
        <v>6.32</v>
      </c>
      <c r="L1260" s="10">
        <v>0</v>
      </c>
      <c r="N1260" s="118">
        <f t="shared" si="151"/>
        <v>0</v>
      </c>
      <c r="O1260" s="118">
        <f t="shared" si="152"/>
        <v>6.32</v>
      </c>
    </row>
    <row r="1261" spans="1:15" x14ac:dyDescent="0.25">
      <c r="A1261" t="s">
        <v>874</v>
      </c>
      <c r="B1261" t="s">
        <v>113</v>
      </c>
      <c r="C1261" s="19">
        <v>43</v>
      </c>
      <c r="D1261" s="18" t="s">
        <v>114</v>
      </c>
      <c r="E1261" s="13">
        <v>2</v>
      </c>
      <c r="F1261" s="25" t="s">
        <v>113</v>
      </c>
      <c r="G1261" s="25">
        <v>81897719002</v>
      </c>
      <c r="H1261" s="11">
        <v>14.56128</v>
      </c>
      <c r="I1261" s="11">
        <f t="shared" si="153"/>
        <v>29.12256</v>
      </c>
      <c r="J1261" s="11">
        <f t="shared" si="150"/>
        <v>14.56128</v>
      </c>
      <c r="K1261" s="11">
        <f t="shared" si="154"/>
        <v>29.12256</v>
      </c>
      <c r="L1261" s="10">
        <v>0</v>
      </c>
      <c r="N1261" s="118">
        <f t="shared" si="151"/>
        <v>0</v>
      </c>
      <c r="O1261" s="118">
        <f t="shared" si="152"/>
        <v>14.56128</v>
      </c>
    </row>
    <row r="1262" spans="1:15" x14ac:dyDescent="0.25">
      <c r="A1262" t="s">
        <v>873</v>
      </c>
      <c r="B1262" t="s">
        <v>871</v>
      </c>
      <c r="C1262" s="19">
        <v>44</v>
      </c>
      <c r="D1262" s="18" t="s">
        <v>872</v>
      </c>
      <c r="E1262" s="13">
        <v>1</v>
      </c>
      <c r="F1262" s="25" t="s">
        <v>871</v>
      </c>
      <c r="G1262" s="25">
        <v>81897719002</v>
      </c>
      <c r="H1262" s="11">
        <v>3.8741599999999998</v>
      </c>
      <c r="I1262" s="11">
        <f t="shared" si="153"/>
        <v>3.8741599999999998</v>
      </c>
      <c r="J1262" s="11">
        <f t="shared" si="150"/>
        <v>3.8741599999999998</v>
      </c>
      <c r="K1262" s="11">
        <f t="shared" si="154"/>
        <v>3.8741599999999998</v>
      </c>
      <c r="L1262" s="10">
        <v>0</v>
      </c>
      <c r="N1262" s="118">
        <f t="shared" si="151"/>
        <v>0</v>
      </c>
      <c r="O1262" s="118">
        <f t="shared" si="152"/>
        <v>3.8741599999999998</v>
      </c>
    </row>
    <row r="1263" spans="1:15" x14ac:dyDescent="0.25">
      <c r="A1263" t="s">
        <v>870</v>
      </c>
      <c r="B1263" t="s">
        <v>469</v>
      </c>
      <c r="C1263" s="19">
        <v>45</v>
      </c>
      <c r="D1263" s="18" t="s">
        <v>470</v>
      </c>
      <c r="E1263" s="13">
        <v>2</v>
      </c>
      <c r="F1263" s="25" t="s">
        <v>469</v>
      </c>
      <c r="G1263" s="25">
        <v>81897719002</v>
      </c>
      <c r="H1263" s="11">
        <v>4.8664000000000005</v>
      </c>
      <c r="I1263" s="11">
        <f t="shared" si="153"/>
        <v>9.732800000000001</v>
      </c>
      <c r="J1263" s="11">
        <f t="shared" si="150"/>
        <v>4.8664000000000005</v>
      </c>
      <c r="K1263" s="11">
        <f t="shared" si="154"/>
        <v>9.732800000000001</v>
      </c>
      <c r="L1263" s="10">
        <v>0</v>
      </c>
      <c r="N1263" s="118">
        <f t="shared" si="151"/>
        <v>0</v>
      </c>
      <c r="O1263" s="118">
        <f t="shared" si="152"/>
        <v>4.8664000000000005</v>
      </c>
    </row>
    <row r="1264" spans="1:15" x14ac:dyDescent="0.25">
      <c r="A1264" t="s">
        <v>869</v>
      </c>
      <c r="B1264" t="s">
        <v>867</v>
      </c>
      <c r="C1264" s="19">
        <v>46</v>
      </c>
      <c r="D1264" s="18" t="s">
        <v>868</v>
      </c>
      <c r="E1264" s="13">
        <v>1</v>
      </c>
      <c r="F1264" s="25" t="s">
        <v>867</v>
      </c>
      <c r="G1264" s="25">
        <v>81897719002</v>
      </c>
      <c r="H1264" s="11">
        <v>3.4064799999999993</v>
      </c>
      <c r="I1264" s="11">
        <f t="shared" si="153"/>
        <v>3.4064799999999993</v>
      </c>
      <c r="J1264" s="11">
        <f t="shared" si="150"/>
        <v>3.4064799999999993</v>
      </c>
      <c r="K1264" s="11">
        <f t="shared" si="154"/>
        <v>3.4064799999999993</v>
      </c>
      <c r="L1264" s="10">
        <v>0</v>
      </c>
      <c r="N1264" s="118">
        <f t="shared" si="151"/>
        <v>0</v>
      </c>
      <c r="O1264" s="118">
        <f t="shared" si="152"/>
        <v>3.4064799999999993</v>
      </c>
    </row>
    <row r="1265" spans="1:15" x14ac:dyDescent="0.25">
      <c r="A1265" t="s">
        <v>866</v>
      </c>
      <c r="B1265" t="s">
        <v>227</v>
      </c>
      <c r="C1265" s="19">
        <v>47</v>
      </c>
      <c r="D1265" s="18" t="s">
        <v>228</v>
      </c>
      <c r="E1265" s="13">
        <v>2</v>
      </c>
      <c r="F1265" s="25" t="s">
        <v>227</v>
      </c>
      <c r="G1265" s="25">
        <v>81897719002</v>
      </c>
      <c r="H1265" s="11">
        <v>4.3671199999999999</v>
      </c>
      <c r="I1265" s="11">
        <f t="shared" si="153"/>
        <v>8.7342399999999998</v>
      </c>
      <c r="J1265" s="11">
        <f t="shared" si="150"/>
        <v>4.3671199999999999</v>
      </c>
      <c r="K1265" s="11">
        <f t="shared" si="154"/>
        <v>8.7342399999999998</v>
      </c>
      <c r="L1265" s="10">
        <v>0</v>
      </c>
      <c r="N1265" s="118">
        <f t="shared" si="151"/>
        <v>0</v>
      </c>
      <c r="O1265" s="118">
        <f t="shared" si="152"/>
        <v>4.3671199999999999</v>
      </c>
    </row>
    <row r="1266" spans="1:15" x14ac:dyDescent="0.25">
      <c r="A1266" t="s">
        <v>865</v>
      </c>
      <c r="B1266" t="s">
        <v>110</v>
      </c>
      <c r="C1266" s="19">
        <v>48</v>
      </c>
      <c r="D1266" s="18" t="s">
        <v>111</v>
      </c>
      <c r="E1266" s="13">
        <v>1</v>
      </c>
      <c r="F1266" s="25" t="s">
        <v>110</v>
      </c>
      <c r="G1266" s="25">
        <v>81897719002</v>
      </c>
      <c r="H1266" s="11">
        <v>27.169680000000003</v>
      </c>
      <c r="I1266" s="11">
        <f t="shared" si="153"/>
        <v>27.169680000000003</v>
      </c>
      <c r="J1266" s="11">
        <f t="shared" si="150"/>
        <v>27.169680000000003</v>
      </c>
      <c r="K1266" s="11">
        <f t="shared" si="154"/>
        <v>27.169680000000003</v>
      </c>
      <c r="L1266" s="10">
        <v>0</v>
      </c>
      <c r="N1266" s="118">
        <f t="shared" si="151"/>
        <v>0</v>
      </c>
      <c r="O1266" s="118">
        <f t="shared" si="152"/>
        <v>27.169680000000003</v>
      </c>
    </row>
    <row r="1267" spans="1:15" x14ac:dyDescent="0.25">
      <c r="A1267" t="s">
        <v>864</v>
      </c>
      <c r="B1267" t="s">
        <v>119</v>
      </c>
      <c r="C1267" s="19">
        <v>49</v>
      </c>
      <c r="D1267" s="18" t="s">
        <v>120</v>
      </c>
      <c r="E1267" s="13">
        <v>4</v>
      </c>
      <c r="F1267" s="25" t="s">
        <v>119</v>
      </c>
      <c r="G1267" s="25">
        <v>81897719002</v>
      </c>
      <c r="H1267" s="11">
        <v>12.147040000000001</v>
      </c>
      <c r="I1267" s="11">
        <f t="shared" si="153"/>
        <v>48.588160000000002</v>
      </c>
      <c r="J1267" s="11">
        <f t="shared" si="150"/>
        <v>12.147040000000001</v>
      </c>
      <c r="K1267" s="11">
        <f t="shared" si="154"/>
        <v>48.588160000000002</v>
      </c>
      <c r="L1267" s="10">
        <v>0</v>
      </c>
      <c r="N1267" s="118">
        <f t="shared" si="151"/>
        <v>0</v>
      </c>
      <c r="O1267" s="118">
        <f t="shared" si="152"/>
        <v>12.147040000000001</v>
      </c>
    </row>
    <row r="1268" spans="1:15" x14ac:dyDescent="0.25">
      <c r="A1268" t="s">
        <v>863</v>
      </c>
      <c r="B1268" t="s">
        <v>122</v>
      </c>
      <c r="C1268" s="19">
        <v>50</v>
      </c>
      <c r="D1268" s="18" t="s">
        <v>123</v>
      </c>
      <c r="E1268" s="13">
        <v>2</v>
      </c>
      <c r="F1268" s="25" t="s">
        <v>122</v>
      </c>
      <c r="G1268" s="25">
        <v>81897719002</v>
      </c>
      <c r="H1268" s="11">
        <v>11.64776</v>
      </c>
      <c r="I1268" s="11">
        <f t="shared" si="153"/>
        <v>23.29552</v>
      </c>
      <c r="J1268" s="11">
        <f t="shared" si="150"/>
        <v>11.64776</v>
      </c>
      <c r="K1268" s="11">
        <f t="shared" si="154"/>
        <v>23.29552</v>
      </c>
      <c r="L1268" s="10">
        <v>0</v>
      </c>
      <c r="N1268" s="118">
        <f t="shared" si="151"/>
        <v>0</v>
      </c>
      <c r="O1268" s="118">
        <f t="shared" si="152"/>
        <v>11.64776</v>
      </c>
    </row>
    <row r="1269" spans="1:15" x14ac:dyDescent="0.25">
      <c r="A1269" t="s">
        <v>862</v>
      </c>
      <c r="B1269" t="s">
        <v>256</v>
      </c>
      <c r="C1269" s="19">
        <v>51</v>
      </c>
      <c r="D1269" s="18" t="s">
        <v>257</v>
      </c>
      <c r="E1269" s="13">
        <v>8</v>
      </c>
      <c r="F1269" s="25" t="s">
        <v>256</v>
      </c>
      <c r="G1269" s="25">
        <v>81897719002</v>
      </c>
      <c r="H1269" s="11">
        <v>12.147040000000001</v>
      </c>
      <c r="I1269" s="11">
        <f t="shared" si="153"/>
        <v>97.176320000000004</v>
      </c>
      <c r="J1269" s="11">
        <f t="shared" si="150"/>
        <v>12.147040000000001</v>
      </c>
      <c r="K1269" s="11">
        <f t="shared" si="154"/>
        <v>97.176320000000004</v>
      </c>
      <c r="L1269" s="10">
        <v>0</v>
      </c>
      <c r="N1269" s="118">
        <f t="shared" si="151"/>
        <v>0</v>
      </c>
      <c r="O1269" s="118">
        <f t="shared" si="152"/>
        <v>12.147040000000001</v>
      </c>
    </row>
    <row r="1270" spans="1:15" x14ac:dyDescent="0.25">
      <c r="A1270" t="s">
        <v>861</v>
      </c>
      <c r="B1270" t="s">
        <v>259</v>
      </c>
      <c r="C1270" s="19">
        <v>52</v>
      </c>
      <c r="D1270" s="18" t="s">
        <v>260</v>
      </c>
      <c r="E1270" s="13">
        <v>8</v>
      </c>
      <c r="F1270" s="25" t="s">
        <v>259</v>
      </c>
      <c r="G1270" s="25">
        <v>81897719002</v>
      </c>
      <c r="H1270" s="11">
        <v>11.64776</v>
      </c>
      <c r="I1270" s="11">
        <f t="shared" si="153"/>
        <v>93.182079999999999</v>
      </c>
      <c r="J1270" s="11">
        <f t="shared" si="150"/>
        <v>11.64776</v>
      </c>
      <c r="K1270" s="11">
        <f t="shared" si="154"/>
        <v>93.182079999999999</v>
      </c>
      <c r="L1270" s="10">
        <v>0</v>
      </c>
      <c r="N1270" s="118">
        <f t="shared" si="151"/>
        <v>0</v>
      </c>
      <c r="O1270" s="118">
        <f t="shared" si="152"/>
        <v>11.64776</v>
      </c>
    </row>
    <row r="1271" spans="1:15" x14ac:dyDescent="0.25">
      <c r="A1271" t="s">
        <v>860</v>
      </c>
      <c r="B1271" t="s">
        <v>857</v>
      </c>
      <c r="C1271" s="19">
        <v>53</v>
      </c>
      <c r="D1271" s="18" t="s">
        <v>858</v>
      </c>
      <c r="E1271" s="13">
        <v>1</v>
      </c>
      <c r="F1271" s="25" t="s">
        <v>857</v>
      </c>
      <c r="G1271" s="25">
        <v>81897719002</v>
      </c>
      <c r="H1271" s="11">
        <v>34.949599999999997</v>
      </c>
      <c r="I1271" s="11">
        <f t="shared" si="153"/>
        <v>34.949599999999997</v>
      </c>
      <c r="J1271" s="11">
        <f t="shared" si="150"/>
        <v>34.949599999999997</v>
      </c>
      <c r="K1271" s="11">
        <f t="shared" si="154"/>
        <v>34.949599999999997</v>
      </c>
      <c r="L1271" s="10">
        <v>0</v>
      </c>
      <c r="N1271" s="118">
        <f t="shared" si="151"/>
        <v>0</v>
      </c>
      <c r="O1271" s="118">
        <f t="shared" si="152"/>
        <v>34.949599999999997</v>
      </c>
    </row>
    <row r="1272" spans="1:15" x14ac:dyDescent="0.25">
      <c r="A1272" t="s">
        <v>859</v>
      </c>
      <c r="B1272" t="s">
        <v>857</v>
      </c>
      <c r="C1272" s="19">
        <v>54</v>
      </c>
      <c r="D1272" s="18" t="s">
        <v>858</v>
      </c>
      <c r="E1272" s="13">
        <v>6</v>
      </c>
      <c r="F1272" s="25" t="s">
        <v>857</v>
      </c>
      <c r="G1272" s="25">
        <v>81897719002</v>
      </c>
      <c r="H1272" s="11">
        <v>35.758559999999996</v>
      </c>
      <c r="I1272" s="11">
        <f t="shared" si="153"/>
        <v>214.55135999999999</v>
      </c>
      <c r="J1272" s="11">
        <f t="shared" si="150"/>
        <v>35.758559999999996</v>
      </c>
      <c r="K1272" s="11">
        <f t="shared" si="154"/>
        <v>214.55135999999999</v>
      </c>
      <c r="L1272" s="10">
        <v>0</v>
      </c>
      <c r="N1272" s="118">
        <f t="shared" si="151"/>
        <v>0</v>
      </c>
      <c r="O1272" s="118">
        <f t="shared" si="152"/>
        <v>35.758559999999996</v>
      </c>
    </row>
    <row r="1273" spans="1:15" x14ac:dyDescent="0.25">
      <c r="A1273" t="s">
        <v>856</v>
      </c>
      <c r="B1273" t="s">
        <v>854</v>
      </c>
      <c r="C1273" s="19">
        <v>55</v>
      </c>
      <c r="D1273" s="18" t="s">
        <v>855</v>
      </c>
      <c r="E1273" s="13">
        <v>2</v>
      </c>
      <c r="F1273" s="25" t="s">
        <v>854</v>
      </c>
      <c r="G1273" s="25">
        <v>81897719002</v>
      </c>
      <c r="H1273" s="11">
        <v>11.64776</v>
      </c>
      <c r="I1273" s="11">
        <f t="shared" si="153"/>
        <v>23.29552</v>
      </c>
      <c r="J1273" s="11">
        <f t="shared" si="150"/>
        <v>11.64776</v>
      </c>
      <c r="K1273" s="11">
        <f t="shared" si="154"/>
        <v>23.29552</v>
      </c>
      <c r="L1273" s="10">
        <v>0</v>
      </c>
      <c r="N1273" s="118">
        <f t="shared" si="151"/>
        <v>0</v>
      </c>
      <c r="O1273" s="118">
        <f t="shared" si="152"/>
        <v>11.64776</v>
      </c>
    </row>
    <row r="1274" spans="1:15" x14ac:dyDescent="0.25">
      <c r="A1274" t="s">
        <v>853</v>
      </c>
      <c r="B1274" t="s">
        <v>251</v>
      </c>
      <c r="C1274" s="19">
        <v>56</v>
      </c>
      <c r="D1274" s="18" t="s">
        <v>252</v>
      </c>
      <c r="E1274" s="13">
        <v>2</v>
      </c>
      <c r="F1274" s="25" t="s">
        <v>251</v>
      </c>
      <c r="G1274" s="25">
        <v>81897719002</v>
      </c>
      <c r="H1274" s="11">
        <v>12.6084</v>
      </c>
      <c r="I1274" s="11">
        <f t="shared" si="153"/>
        <v>25.216799999999999</v>
      </c>
      <c r="J1274" s="11">
        <f t="shared" si="150"/>
        <v>12.6084</v>
      </c>
      <c r="K1274" s="11">
        <f t="shared" si="154"/>
        <v>25.216799999999999</v>
      </c>
      <c r="L1274" s="10">
        <v>0</v>
      </c>
      <c r="N1274" s="118">
        <f t="shared" si="151"/>
        <v>0</v>
      </c>
      <c r="O1274" s="118">
        <f t="shared" si="152"/>
        <v>12.6084</v>
      </c>
    </row>
    <row r="1275" spans="1:15" x14ac:dyDescent="0.25">
      <c r="A1275" t="s">
        <v>852</v>
      </c>
      <c r="B1275" t="s">
        <v>248</v>
      </c>
      <c r="C1275" s="19">
        <v>57</v>
      </c>
      <c r="D1275" s="18" t="s">
        <v>249</v>
      </c>
      <c r="E1275" s="13">
        <v>2</v>
      </c>
      <c r="F1275" s="25" t="s">
        <v>248</v>
      </c>
      <c r="G1275" s="25">
        <v>81897719002</v>
      </c>
      <c r="H1275" s="11">
        <v>13.107679999999998</v>
      </c>
      <c r="I1275" s="11">
        <f t="shared" si="153"/>
        <v>26.215359999999997</v>
      </c>
      <c r="J1275" s="11">
        <f t="shared" si="150"/>
        <v>13.107679999999998</v>
      </c>
      <c r="K1275" s="11">
        <f t="shared" si="154"/>
        <v>26.215359999999997</v>
      </c>
      <c r="L1275" s="10">
        <v>0</v>
      </c>
      <c r="N1275" s="118">
        <f t="shared" si="151"/>
        <v>0</v>
      </c>
      <c r="O1275" s="118">
        <f t="shared" si="152"/>
        <v>13.107679999999998</v>
      </c>
    </row>
    <row r="1276" spans="1:15" x14ac:dyDescent="0.25">
      <c r="A1276" t="s">
        <v>851</v>
      </c>
      <c r="B1276" t="s">
        <v>149</v>
      </c>
      <c r="C1276" s="19">
        <v>58</v>
      </c>
      <c r="D1276" s="18" t="s">
        <v>150</v>
      </c>
      <c r="E1276" s="13">
        <v>1</v>
      </c>
      <c r="F1276" s="25" t="s">
        <v>149</v>
      </c>
      <c r="G1276" s="25">
        <v>81897719002</v>
      </c>
      <c r="H1276" s="11">
        <v>6.32</v>
      </c>
      <c r="I1276" s="11">
        <f t="shared" si="153"/>
        <v>6.32</v>
      </c>
      <c r="J1276" s="11">
        <f t="shared" si="150"/>
        <v>6.32</v>
      </c>
      <c r="K1276" s="11">
        <f t="shared" si="154"/>
        <v>6.32</v>
      </c>
      <c r="L1276" s="10">
        <v>0</v>
      </c>
      <c r="N1276" s="118">
        <f t="shared" si="151"/>
        <v>0</v>
      </c>
      <c r="O1276" s="118">
        <f t="shared" si="152"/>
        <v>6.32</v>
      </c>
    </row>
    <row r="1277" spans="1:15" x14ac:dyDescent="0.25">
      <c r="A1277" t="s">
        <v>850</v>
      </c>
      <c r="B1277" t="s">
        <v>155</v>
      </c>
      <c r="C1277" s="19">
        <v>59</v>
      </c>
      <c r="D1277" s="18" t="s">
        <v>156</v>
      </c>
      <c r="E1277" s="13">
        <v>1</v>
      </c>
      <c r="F1277" s="25" t="s">
        <v>155</v>
      </c>
      <c r="G1277" s="25">
        <v>81897719002</v>
      </c>
      <c r="H1277" s="11">
        <v>5.8270400000000002</v>
      </c>
      <c r="I1277" s="11">
        <f t="shared" si="153"/>
        <v>5.8270400000000002</v>
      </c>
      <c r="J1277" s="11">
        <f t="shared" si="150"/>
        <v>5.8270400000000002</v>
      </c>
      <c r="K1277" s="11">
        <f t="shared" si="154"/>
        <v>5.8270400000000002</v>
      </c>
      <c r="L1277" s="10">
        <v>0</v>
      </c>
      <c r="N1277" s="118">
        <f t="shared" si="151"/>
        <v>0</v>
      </c>
      <c r="O1277" s="118">
        <f t="shared" si="152"/>
        <v>5.8270400000000002</v>
      </c>
    </row>
    <row r="1278" spans="1:15" x14ac:dyDescent="0.25">
      <c r="A1278" t="s">
        <v>849</v>
      </c>
      <c r="B1278" t="s">
        <v>847</v>
      </c>
      <c r="C1278" s="19">
        <v>60</v>
      </c>
      <c r="D1278" s="18" t="s">
        <v>848</v>
      </c>
      <c r="E1278" s="13">
        <v>1</v>
      </c>
      <c r="F1278" s="25" t="s">
        <v>847</v>
      </c>
      <c r="G1278" s="25">
        <v>81897719002</v>
      </c>
      <c r="H1278" s="11">
        <v>12.147040000000001</v>
      </c>
      <c r="I1278" s="11">
        <f t="shared" si="153"/>
        <v>12.147040000000001</v>
      </c>
      <c r="J1278" s="11">
        <f t="shared" si="150"/>
        <v>12.147040000000001</v>
      </c>
      <c r="K1278" s="11">
        <f t="shared" si="154"/>
        <v>12.147040000000001</v>
      </c>
      <c r="L1278" s="10">
        <v>0</v>
      </c>
      <c r="N1278" s="118">
        <f t="shared" si="151"/>
        <v>0</v>
      </c>
      <c r="O1278" s="118">
        <f t="shared" si="152"/>
        <v>12.147040000000001</v>
      </c>
    </row>
    <row r="1279" spans="1:15" x14ac:dyDescent="0.25">
      <c r="A1279" t="s">
        <v>846</v>
      </c>
      <c r="B1279" t="s">
        <v>844</v>
      </c>
      <c r="C1279" s="19">
        <v>61</v>
      </c>
      <c r="D1279" s="18" t="s">
        <v>845</v>
      </c>
      <c r="E1279" s="13">
        <v>1</v>
      </c>
      <c r="F1279" s="25" t="s">
        <v>844</v>
      </c>
      <c r="G1279" s="25">
        <v>81897719002</v>
      </c>
      <c r="H1279" s="11">
        <v>12.6084</v>
      </c>
      <c r="I1279" s="11">
        <f t="shared" si="153"/>
        <v>12.6084</v>
      </c>
      <c r="J1279" s="11">
        <f t="shared" si="150"/>
        <v>12.6084</v>
      </c>
      <c r="K1279" s="11">
        <f t="shared" si="154"/>
        <v>12.6084</v>
      </c>
      <c r="L1279" s="10">
        <v>0</v>
      </c>
      <c r="N1279" s="118">
        <f t="shared" si="151"/>
        <v>0</v>
      </c>
      <c r="O1279" s="118">
        <f t="shared" si="152"/>
        <v>12.6084</v>
      </c>
    </row>
    <row r="1280" spans="1:15" x14ac:dyDescent="0.25">
      <c r="A1280" t="s">
        <v>843</v>
      </c>
      <c r="B1280" t="s">
        <v>342</v>
      </c>
      <c r="C1280" s="19">
        <v>62</v>
      </c>
      <c r="D1280" s="18" t="s">
        <v>343</v>
      </c>
      <c r="E1280" s="13">
        <v>1</v>
      </c>
      <c r="F1280" s="25" t="s">
        <v>342</v>
      </c>
      <c r="G1280" s="25">
        <v>81897719003</v>
      </c>
      <c r="H1280" s="11">
        <v>48.550239999999995</v>
      </c>
      <c r="I1280" s="11">
        <f t="shared" si="153"/>
        <v>48.550239999999995</v>
      </c>
      <c r="J1280" s="11">
        <f t="shared" si="150"/>
        <v>48.550239999999995</v>
      </c>
      <c r="K1280" s="11">
        <f t="shared" si="154"/>
        <v>48.550239999999995</v>
      </c>
      <c r="L1280" s="10">
        <v>0</v>
      </c>
      <c r="N1280" s="118">
        <f t="shared" si="151"/>
        <v>0</v>
      </c>
      <c r="O1280" s="118">
        <f t="shared" si="152"/>
        <v>48.550239999999995</v>
      </c>
    </row>
    <row r="1281" spans="1:15" x14ac:dyDescent="0.25">
      <c r="A1281" t="s">
        <v>842</v>
      </c>
      <c r="B1281" t="s">
        <v>840</v>
      </c>
      <c r="C1281" s="19">
        <v>63</v>
      </c>
      <c r="D1281" s="18" t="s">
        <v>841</v>
      </c>
      <c r="E1281" s="13">
        <v>1</v>
      </c>
      <c r="F1281" s="25" t="s">
        <v>840</v>
      </c>
      <c r="G1281" s="25">
        <v>81897719002</v>
      </c>
      <c r="H1281" s="11">
        <v>15.52192</v>
      </c>
      <c r="I1281" s="11">
        <f t="shared" si="153"/>
        <v>15.52192</v>
      </c>
      <c r="J1281" s="11">
        <f t="shared" si="150"/>
        <v>15.52192</v>
      </c>
      <c r="K1281" s="11">
        <f t="shared" si="154"/>
        <v>15.52192</v>
      </c>
      <c r="L1281" s="10">
        <v>0</v>
      </c>
      <c r="N1281" s="118">
        <f t="shared" si="151"/>
        <v>0</v>
      </c>
      <c r="O1281" s="118">
        <f t="shared" si="152"/>
        <v>15.52192</v>
      </c>
    </row>
    <row r="1282" spans="1:15" x14ac:dyDescent="0.25">
      <c r="A1282" t="s">
        <v>839</v>
      </c>
      <c r="B1282" t="s">
        <v>697</v>
      </c>
      <c r="C1282" s="19">
        <v>64</v>
      </c>
      <c r="D1282" s="18" t="s">
        <v>698</v>
      </c>
      <c r="E1282" s="13">
        <v>1</v>
      </c>
      <c r="F1282" s="25" t="s">
        <v>697</v>
      </c>
      <c r="G1282" s="25">
        <v>81897719003</v>
      </c>
      <c r="H1282" s="11">
        <v>53.378720000000001</v>
      </c>
      <c r="I1282" s="11">
        <f t="shared" si="153"/>
        <v>53.378720000000001</v>
      </c>
      <c r="J1282" s="11">
        <f t="shared" si="150"/>
        <v>53.378720000000001</v>
      </c>
      <c r="K1282" s="11">
        <f t="shared" si="154"/>
        <v>53.378720000000001</v>
      </c>
      <c r="L1282" s="10">
        <v>0</v>
      </c>
      <c r="N1282" s="118">
        <f t="shared" si="151"/>
        <v>0</v>
      </c>
      <c r="O1282" s="118">
        <f t="shared" si="152"/>
        <v>53.378720000000001</v>
      </c>
    </row>
    <row r="1283" spans="1:15" x14ac:dyDescent="0.25">
      <c r="A1283" t="s">
        <v>838</v>
      </c>
      <c r="B1283" t="s">
        <v>836</v>
      </c>
      <c r="C1283" s="19">
        <v>65</v>
      </c>
      <c r="D1283" s="18" t="s">
        <v>837</v>
      </c>
      <c r="E1283" s="13">
        <v>1</v>
      </c>
      <c r="F1283" t="s">
        <v>836</v>
      </c>
      <c r="G1283" s="25">
        <v>81897710009</v>
      </c>
      <c r="H1283" s="11">
        <v>63.351679999999995</v>
      </c>
      <c r="I1283" s="11">
        <f t="shared" ref="I1283:I1314" si="155">H1283*E1283</f>
        <v>63.351679999999995</v>
      </c>
      <c r="J1283" s="11">
        <f t="shared" si="150"/>
        <v>63.351679999999995</v>
      </c>
      <c r="K1283" s="11">
        <f t="shared" ref="K1283:K1314" si="156">J1283*E1283</f>
        <v>63.351679999999995</v>
      </c>
      <c r="L1283" s="10">
        <v>0</v>
      </c>
      <c r="N1283" s="118">
        <f t="shared" si="151"/>
        <v>0</v>
      </c>
      <c r="O1283" s="118">
        <f t="shared" si="152"/>
        <v>63.351679999999995</v>
      </c>
    </row>
    <row r="1284" spans="1:15" x14ac:dyDescent="0.25">
      <c r="A1284" t="s">
        <v>835</v>
      </c>
      <c r="B1284" t="s">
        <v>833</v>
      </c>
      <c r="C1284" s="19">
        <v>66</v>
      </c>
      <c r="D1284" s="18" t="s">
        <v>834</v>
      </c>
      <c r="E1284" s="13">
        <v>1</v>
      </c>
      <c r="F1284" s="25" t="s">
        <v>833</v>
      </c>
      <c r="G1284" s="25">
        <v>81897719003</v>
      </c>
      <c r="H1284" s="11">
        <v>48.550239999999995</v>
      </c>
      <c r="I1284" s="11">
        <f t="shared" si="155"/>
        <v>48.550239999999995</v>
      </c>
      <c r="J1284" s="11">
        <f t="shared" ref="J1284:J1303" si="157">O1284</f>
        <v>48.550239999999995</v>
      </c>
      <c r="K1284" s="11">
        <f t="shared" si="156"/>
        <v>48.550239999999995</v>
      </c>
      <c r="L1284" s="10">
        <v>0</v>
      </c>
      <c r="N1284" s="118">
        <f t="shared" ref="N1284:N1347" si="158">H1284*L1284</f>
        <v>0</v>
      </c>
      <c r="O1284" s="118">
        <f t="shared" ref="O1284:O1347" si="159">H1284-N1284</f>
        <v>48.550239999999995</v>
      </c>
    </row>
    <row r="1285" spans="1:15" x14ac:dyDescent="0.25">
      <c r="A1285" s="131" t="s">
        <v>832</v>
      </c>
      <c r="C1285" s="19">
        <v>67</v>
      </c>
      <c r="D1285" s="18" t="s">
        <v>831</v>
      </c>
      <c r="E1285" s="13">
        <v>1</v>
      </c>
      <c r="F1285" s="25" t="s">
        <v>1342</v>
      </c>
      <c r="G1285" s="25">
        <v>81897719006</v>
      </c>
      <c r="H1285" s="11">
        <v>60.659360000000007</v>
      </c>
      <c r="I1285" s="11">
        <f t="shared" si="155"/>
        <v>60.659360000000007</v>
      </c>
      <c r="J1285" s="11">
        <f t="shared" si="157"/>
        <v>60.659360000000007</v>
      </c>
      <c r="K1285" s="11">
        <f t="shared" si="156"/>
        <v>60.659360000000007</v>
      </c>
      <c r="L1285" s="10">
        <v>0</v>
      </c>
      <c r="N1285" s="118">
        <f t="shared" si="158"/>
        <v>0</v>
      </c>
      <c r="O1285" s="118">
        <f t="shared" si="159"/>
        <v>60.659360000000007</v>
      </c>
    </row>
    <row r="1286" spans="1:15" x14ac:dyDescent="0.25">
      <c r="A1286" t="s">
        <v>830</v>
      </c>
      <c r="B1286" t="s">
        <v>101</v>
      </c>
      <c r="C1286" s="19">
        <v>68</v>
      </c>
      <c r="D1286" s="18" t="s">
        <v>102</v>
      </c>
      <c r="E1286" s="13">
        <v>2</v>
      </c>
      <c r="F1286" s="25" t="s">
        <v>101</v>
      </c>
      <c r="G1286" s="25">
        <v>81897719002</v>
      </c>
      <c r="H1286" s="11">
        <v>2.6796800000000003</v>
      </c>
      <c r="I1286" s="11">
        <f t="shared" si="155"/>
        <v>5.3593600000000006</v>
      </c>
      <c r="J1286" s="11">
        <f t="shared" si="157"/>
        <v>2.6796800000000003</v>
      </c>
      <c r="K1286" s="11">
        <f t="shared" si="156"/>
        <v>5.3593600000000006</v>
      </c>
      <c r="L1286" s="10">
        <v>0</v>
      </c>
      <c r="N1286" s="118">
        <f t="shared" si="158"/>
        <v>0</v>
      </c>
      <c r="O1286" s="118">
        <f t="shared" si="159"/>
        <v>2.6796800000000003</v>
      </c>
    </row>
    <row r="1287" spans="1:15" x14ac:dyDescent="0.25">
      <c r="A1287" t="s">
        <v>829</v>
      </c>
      <c r="B1287" t="s">
        <v>101</v>
      </c>
      <c r="C1287" s="19">
        <v>69</v>
      </c>
      <c r="D1287" s="18" t="s">
        <v>102</v>
      </c>
      <c r="E1287" s="13">
        <v>1</v>
      </c>
      <c r="F1287" s="25" t="s">
        <v>101</v>
      </c>
      <c r="G1287" s="25">
        <v>81897719002</v>
      </c>
      <c r="H1287" s="11">
        <v>3.4886399999999997</v>
      </c>
      <c r="I1287" s="11">
        <f t="shared" si="155"/>
        <v>3.4886399999999997</v>
      </c>
      <c r="J1287" s="11">
        <f t="shared" si="157"/>
        <v>3.4886399999999997</v>
      </c>
      <c r="K1287" s="11">
        <f t="shared" si="156"/>
        <v>3.4886399999999997</v>
      </c>
      <c r="L1287" s="10">
        <v>0</v>
      </c>
      <c r="N1287" s="118">
        <f t="shared" si="158"/>
        <v>0</v>
      </c>
      <c r="O1287" s="118">
        <f t="shared" si="159"/>
        <v>3.4886399999999997</v>
      </c>
    </row>
    <row r="1288" spans="1:15" x14ac:dyDescent="0.25">
      <c r="A1288" t="s">
        <v>828</v>
      </c>
      <c r="B1288" t="s">
        <v>826</v>
      </c>
      <c r="C1288" s="19">
        <v>70</v>
      </c>
      <c r="D1288" s="18" t="s">
        <v>827</v>
      </c>
      <c r="E1288" s="13">
        <v>1</v>
      </c>
      <c r="F1288" s="25" t="s">
        <v>826</v>
      </c>
      <c r="G1288" s="25">
        <v>81897719002</v>
      </c>
      <c r="H1288" s="11">
        <v>10.307919999999999</v>
      </c>
      <c r="I1288" s="11">
        <f t="shared" si="155"/>
        <v>10.307919999999999</v>
      </c>
      <c r="J1288" s="11">
        <f t="shared" si="157"/>
        <v>10.307919999999999</v>
      </c>
      <c r="K1288" s="11">
        <f t="shared" si="156"/>
        <v>10.307919999999999</v>
      </c>
      <c r="L1288" s="10">
        <v>0</v>
      </c>
      <c r="N1288" s="118">
        <f t="shared" si="158"/>
        <v>0</v>
      </c>
      <c r="O1288" s="118">
        <f t="shared" si="159"/>
        <v>10.307919999999999</v>
      </c>
    </row>
    <row r="1289" spans="1:15" x14ac:dyDescent="0.25">
      <c r="A1289" t="s">
        <v>825</v>
      </c>
      <c r="B1289" t="s">
        <v>823</v>
      </c>
      <c r="C1289" s="19">
        <v>71</v>
      </c>
      <c r="D1289" s="18" t="s">
        <v>824</v>
      </c>
      <c r="E1289" s="13">
        <v>1</v>
      </c>
      <c r="F1289" t="s">
        <v>823</v>
      </c>
      <c r="G1289" s="25">
        <v>81897719002</v>
      </c>
      <c r="H1289" s="11">
        <v>11.11688</v>
      </c>
      <c r="I1289" s="11">
        <f t="shared" si="155"/>
        <v>11.11688</v>
      </c>
      <c r="J1289" s="11">
        <f t="shared" si="157"/>
        <v>11.11688</v>
      </c>
      <c r="K1289" s="11">
        <f t="shared" si="156"/>
        <v>11.11688</v>
      </c>
      <c r="L1289" s="10">
        <v>0</v>
      </c>
      <c r="N1289" s="118">
        <f t="shared" si="158"/>
        <v>0</v>
      </c>
      <c r="O1289" s="118">
        <f t="shared" si="159"/>
        <v>11.11688</v>
      </c>
    </row>
    <row r="1290" spans="1:15" x14ac:dyDescent="0.25">
      <c r="A1290" t="s">
        <v>822</v>
      </c>
      <c r="B1290" t="s">
        <v>820</v>
      </c>
      <c r="C1290" s="19">
        <v>72</v>
      </c>
      <c r="D1290" s="18" t="s">
        <v>821</v>
      </c>
      <c r="E1290" s="13">
        <v>2</v>
      </c>
      <c r="F1290" s="25" t="s">
        <v>820</v>
      </c>
      <c r="G1290" s="25">
        <v>81897719002</v>
      </c>
      <c r="H1290" s="11">
        <v>9.088160000000002</v>
      </c>
      <c r="I1290" s="11">
        <f t="shared" si="155"/>
        <v>18.176320000000004</v>
      </c>
      <c r="J1290" s="11">
        <f t="shared" si="157"/>
        <v>9.088160000000002</v>
      </c>
      <c r="K1290" s="11">
        <f t="shared" si="156"/>
        <v>18.176320000000004</v>
      </c>
      <c r="L1290" s="10">
        <v>0</v>
      </c>
      <c r="N1290" s="118">
        <f t="shared" si="158"/>
        <v>0</v>
      </c>
      <c r="O1290" s="118">
        <f t="shared" si="159"/>
        <v>9.088160000000002</v>
      </c>
    </row>
    <row r="1291" spans="1:15" x14ac:dyDescent="0.25">
      <c r="A1291" t="s">
        <v>819</v>
      </c>
      <c r="B1291" t="s">
        <v>684</v>
      </c>
      <c r="C1291" s="19">
        <v>73</v>
      </c>
      <c r="D1291" s="18" t="s">
        <v>685</v>
      </c>
      <c r="E1291" s="13">
        <v>2</v>
      </c>
      <c r="F1291" s="25" t="s">
        <v>684</v>
      </c>
      <c r="G1291" s="25">
        <v>81897719002</v>
      </c>
      <c r="H1291" s="11">
        <v>9.6948800000000013</v>
      </c>
      <c r="I1291" s="11">
        <f t="shared" si="155"/>
        <v>19.389760000000003</v>
      </c>
      <c r="J1291" s="11">
        <f t="shared" si="157"/>
        <v>9.6948800000000013</v>
      </c>
      <c r="K1291" s="11">
        <f t="shared" si="156"/>
        <v>19.389760000000003</v>
      </c>
      <c r="L1291" s="10">
        <v>0</v>
      </c>
      <c r="N1291" s="118">
        <f t="shared" si="158"/>
        <v>0</v>
      </c>
      <c r="O1291" s="118">
        <f t="shared" si="159"/>
        <v>9.6948800000000013</v>
      </c>
    </row>
    <row r="1292" spans="1:15" x14ac:dyDescent="0.25">
      <c r="A1292" t="s">
        <v>818</v>
      </c>
      <c r="B1292" t="s">
        <v>442</v>
      </c>
      <c r="C1292" s="19">
        <v>74</v>
      </c>
      <c r="D1292" s="18" t="s">
        <v>443</v>
      </c>
      <c r="E1292" s="13">
        <v>1</v>
      </c>
      <c r="F1292" s="25" t="s">
        <v>442</v>
      </c>
      <c r="G1292" s="25">
        <v>81897719002</v>
      </c>
      <c r="H1292" s="11">
        <v>9.088160000000002</v>
      </c>
      <c r="I1292" s="11">
        <f t="shared" si="155"/>
        <v>9.088160000000002</v>
      </c>
      <c r="J1292" s="11">
        <f t="shared" si="157"/>
        <v>9.088160000000002</v>
      </c>
      <c r="K1292" s="11">
        <f t="shared" si="156"/>
        <v>9.088160000000002</v>
      </c>
      <c r="L1292" s="10">
        <v>0</v>
      </c>
      <c r="N1292" s="118">
        <f t="shared" si="158"/>
        <v>0</v>
      </c>
      <c r="O1292" s="118">
        <f t="shared" si="159"/>
        <v>9.088160000000002</v>
      </c>
    </row>
    <row r="1293" spans="1:15" x14ac:dyDescent="0.25">
      <c r="A1293" t="s">
        <v>817</v>
      </c>
      <c r="B1293" t="s">
        <v>98</v>
      </c>
      <c r="C1293" s="19">
        <v>75</v>
      </c>
      <c r="D1293" s="18" t="s">
        <v>99</v>
      </c>
      <c r="E1293" s="13">
        <v>1</v>
      </c>
      <c r="F1293" s="25" t="s">
        <v>98</v>
      </c>
      <c r="G1293" s="25">
        <v>81897719002</v>
      </c>
      <c r="H1293" s="11">
        <v>12.463039999999999</v>
      </c>
      <c r="I1293" s="11">
        <f t="shared" si="155"/>
        <v>12.463039999999999</v>
      </c>
      <c r="J1293" s="11">
        <f t="shared" si="157"/>
        <v>12.463039999999999</v>
      </c>
      <c r="K1293" s="11">
        <f t="shared" si="156"/>
        <v>12.463039999999999</v>
      </c>
      <c r="L1293" s="10">
        <v>0</v>
      </c>
      <c r="N1293" s="118">
        <f t="shared" si="158"/>
        <v>0</v>
      </c>
      <c r="O1293" s="118">
        <f t="shared" si="159"/>
        <v>12.463039999999999</v>
      </c>
    </row>
    <row r="1294" spans="1:15" x14ac:dyDescent="0.25">
      <c r="A1294" t="s">
        <v>816</v>
      </c>
      <c r="B1294" t="s">
        <v>183</v>
      </c>
      <c r="C1294" s="19">
        <v>76</v>
      </c>
      <c r="D1294" s="18" t="s">
        <v>184</v>
      </c>
      <c r="E1294" s="13">
        <v>1</v>
      </c>
      <c r="F1294" s="25" t="s">
        <v>183</v>
      </c>
      <c r="G1294" s="25">
        <v>81897719002</v>
      </c>
      <c r="H1294" s="11">
        <v>13.948239999999998</v>
      </c>
      <c r="I1294" s="11">
        <f t="shared" si="155"/>
        <v>13.948239999999998</v>
      </c>
      <c r="J1294" s="11">
        <f t="shared" si="157"/>
        <v>13.948239999999998</v>
      </c>
      <c r="K1294" s="11">
        <f t="shared" si="156"/>
        <v>13.948239999999998</v>
      </c>
      <c r="L1294" s="10">
        <v>0</v>
      </c>
      <c r="N1294" s="118">
        <f t="shared" si="158"/>
        <v>0</v>
      </c>
      <c r="O1294" s="118">
        <f t="shared" si="159"/>
        <v>13.948239999999998</v>
      </c>
    </row>
    <row r="1295" spans="1:15" x14ac:dyDescent="0.25">
      <c r="A1295" t="s">
        <v>815</v>
      </c>
      <c r="B1295" t="s">
        <v>813</v>
      </c>
      <c r="C1295" s="19">
        <v>77</v>
      </c>
      <c r="D1295" s="18" t="s">
        <v>814</v>
      </c>
      <c r="E1295" s="13">
        <v>2</v>
      </c>
      <c r="F1295" t="s">
        <v>813</v>
      </c>
      <c r="G1295" s="25">
        <v>81897710011</v>
      </c>
      <c r="H1295" s="11">
        <v>383.54816000000005</v>
      </c>
      <c r="I1295" s="11">
        <f t="shared" si="155"/>
        <v>767.09632000000011</v>
      </c>
      <c r="J1295" s="11">
        <f t="shared" si="157"/>
        <v>383.54816000000005</v>
      </c>
      <c r="K1295" s="11">
        <f t="shared" si="156"/>
        <v>767.09632000000011</v>
      </c>
      <c r="L1295" s="10">
        <v>0</v>
      </c>
      <c r="N1295" s="118">
        <f t="shared" si="158"/>
        <v>0</v>
      </c>
      <c r="O1295" s="118">
        <f t="shared" si="159"/>
        <v>383.54816000000005</v>
      </c>
    </row>
    <row r="1296" spans="1:15" x14ac:dyDescent="0.25">
      <c r="A1296" t="s">
        <v>812</v>
      </c>
      <c r="B1296" t="s">
        <v>335</v>
      </c>
      <c r="C1296" s="19">
        <v>78</v>
      </c>
      <c r="D1296" s="18" t="s">
        <v>336</v>
      </c>
      <c r="E1296" s="13">
        <v>1</v>
      </c>
      <c r="F1296" s="25" t="s">
        <v>335</v>
      </c>
      <c r="G1296" s="25">
        <v>81897719002</v>
      </c>
      <c r="H1296" s="11">
        <v>13.948239999999998</v>
      </c>
      <c r="I1296" s="11">
        <f t="shared" si="155"/>
        <v>13.948239999999998</v>
      </c>
      <c r="J1296" s="11">
        <f t="shared" si="157"/>
        <v>13.948239999999998</v>
      </c>
      <c r="K1296" s="11">
        <f t="shared" si="156"/>
        <v>13.948239999999998</v>
      </c>
      <c r="L1296" s="10">
        <v>0</v>
      </c>
      <c r="N1296" s="118">
        <f t="shared" si="158"/>
        <v>0</v>
      </c>
      <c r="O1296" s="118">
        <f t="shared" si="159"/>
        <v>13.948239999999998</v>
      </c>
    </row>
    <row r="1297" spans="1:15" x14ac:dyDescent="0.25">
      <c r="A1297" t="s">
        <v>811</v>
      </c>
      <c r="B1297" t="s">
        <v>809</v>
      </c>
      <c r="C1297" s="19">
        <v>79</v>
      </c>
      <c r="D1297" s="18" t="s">
        <v>810</v>
      </c>
      <c r="E1297" s="13">
        <v>1</v>
      </c>
      <c r="F1297" t="s">
        <v>809</v>
      </c>
      <c r="G1297" s="25">
        <v>81897719002</v>
      </c>
      <c r="H1297" s="11">
        <v>13.948239999999998</v>
      </c>
      <c r="I1297" s="11">
        <f t="shared" si="155"/>
        <v>13.948239999999998</v>
      </c>
      <c r="J1297" s="11">
        <f t="shared" si="157"/>
        <v>13.948239999999998</v>
      </c>
      <c r="K1297" s="11">
        <f t="shared" si="156"/>
        <v>13.948239999999998</v>
      </c>
      <c r="L1297" s="10">
        <v>0</v>
      </c>
      <c r="N1297" s="118">
        <f t="shared" si="158"/>
        <v>0</v>
      </c>
      <c r="O1297" s="118">
        <f t="shared" si="159"/>
        <v>13.948239999999998</v>
      </c>
    </row>
    <row r="1298" spans="1:15" x14ac:dyDescent="0.25">
      <c r="A1298" t="s">
        <v>808</v>
      </c>
      <c r="B1298" t="s">
        <v>806</v>
      </c>
      <c r="C1298" s="19">
        <v>80</v>
      </c>
      <c r="D1298" s="18" t="s">
        <v>807</v>
      </c>
      <c r="E1298" s="13">
        <v>1</v>
      </c>
      <c r="F1298" s="25" t="s">
        <v>806</v>
      </c>
      <c r="G1298" s="25">
        <v>81897719002</v>
      </c>
      <c r="H1298" s="11">
        <v>13.366799999999998</v>
      </c>
      <c r="I1298" s="11">
        <f t="shared" si="155"/>
        <v>13.366799999999998</v>
      </c>
      <c r="J1298" s="11">
        <f t="shared" si="157"/>
        <v>13.366799999999998</v>
      </c>
      <c r="K1298" s="11">
        <f t="shared" si="156"/>
        <v>13.366799999999998</v>
      </c>
      <c r="L1298" s="10">
        <v>0</v>
      </c>
      <c r="N1298" s="118">
        <f t="shared" si="158"/>
        <v>0</v>
      </c>
      <c r="O1298" s="118">
        <f t="shared" si="159"/>
        <v>13.366799999999998</v>
      </c>
    </row>
    <row r="1299" spans="1:15" x14ac:dyDescent="0.25">
      <c r="A1299" t="s">
        <v>805</v>
      </c>
      <c r="B1299" t="s">
        <v>803</v>
      </c>
      <c r="C1299" s="19">
        <v>81</v>
      </c>
      <c r="D1299" s="18" t="s">
        <v>804</v>
      </c>
      <c r="E1299" s="13">
        <v>1</v>
      </c>
      <c r="F1299" s="25" t="s">
        <v>803</v>
      </c>
      <c r="G1299" s="25">
        <v>81897719002</v>
      </c>
      <c r="H1299" s="11">
        <v>9.6948800000000013</v>
      </c>
      <c r="I1299" s="11">
        <f t="shared" si="155"/>
        <v>9.6948800000000013</v>
      </c>
      <c r="J1299" s="11">
        <f t="shared" si="157"/>
        <v>9.6948800000000013</v>
      </c>
      <c r="K1299" s="11">
        <f t="shared" si="156"/>
        <v>9.6948800000000013</v>
      </c>
      <c r="L1299" s="10">
        <v>0</v>
      </c>
      <c r="N1299" s="118">
        <f t="shared" si="158"/>
        <v>0</v>
      </c>
      <c r="O1299" s="118">
        <f t="shared" si="159"/>
        <v>9.6948800000000013</v>
      </c>
    </row>
    <row r="1300" spans="1:15" x14ac:dyDescent="0.25">
      <c r="A1300" t="s">
        <v>802</v>
      </c>
      <c r="B1300" t="s">
        <v>44</v>
      </c>
      <c r="C1300" s="19">
        <v>82</v>
      </c>
      <c r="D1300" s="18" t="s">
        <v>45</v>
      </c>
      <c r="E1300" s="13">
        <v>1</v>
      </c>
      <c r="F1300" s="25" t="s">
        <v>44</v>
      </c>
      <c r="G1300" s="25" t="s">
        <v>427</v>
      </c>
      <c r="H1300" s="11">
        <v>277.06880000000001</v>
      </c>
      <c r="I1300" s="11">
        <f t="shared" si="155"/>
        <v>277.06880000000001</v>
      </c>
      <c r="J1300" s="11">
        <f t="shared" si="157"/>
        <v>277.06880000000001</v>
      </c>
      <c r="K1300" s="11">
        <f t="shared" si="156"/>
        <v>277.06880000000001</v>
      </c>
      <c r="L1300" s="10">
        <v>0</v>
      </c>
      <c r="N1300" s="118">
        <f t="shared" si="158"/>
        <v>0</v>
      </c>
      <c r="O1300" s="118">
        <f t="shared" si="159"/>
        <v>277.06880000000001</v>
      </c>
    </row>
    <row r="1301" spans="1:15" x14ac:dyDescent="0.25">
      <c r="A1301" t="s">
        <v>801</v>
      </c>
      <c r="B1301" t="s">
        <v>86</v>
      </c>
      <c r="C1301" s="19">
        <v>83</v>
      </c>
      <c r="D1301" s="18" t="s">
        <v>87</v>
      </c>
      <c r="E1301" s="13">
        <v>1</v>
      </c>
      <c r="F1301" s="25" t="s">
        <v>86</v>
      </c>
      <c r="G1301" s="25" t="s">
        <v>427</v>
      </c>
      <c r="H1301" s="11">
        <v>392.26343999999995</v>
      </c>
      <c r="I1301" s="11">
        <f t="shared" si="155"/>
        <v>392.26343999999995</v>
      </c>
      <c r="J1301" s="11">
        <f t="shared" si="157"/>
        <v>392.26343999999995</v>
      </c>
      <c r="K1301" s="11">
        <f t="shared" si="156"/>
        <v>392.26343999999995</v>
      </c>
      <c r="L1301" s="10">
        <v>0</v>
      </c>
      <c r="N1301" s="118">
        <f t="shared" si="158"/>
        <v>0</v>
      </c>
      <c r="O1301" s="118">
        <f t="shared" si="159"/>
        <v>392.26343999999995</v>
      </c>
    </row>
    <row r="1302" spans="1:15" x14ac:dyDescent="0.25">
      <c r="B1302" t="s">
        <v>576</v>
      </c>
      <c r="C1302" s="19">
        <v>84</v>
      </c>
      <c r="D1302" s="18" t="s">
        <v>577</v>
      </c>
      <c r="E1302" s="13">
        <v>1</v>
      </c>
      <c r="F1302" s="25" t="s">
        <v>576</v>
      </c>
      <c r="G1302" s="25" t="s">
        <v>427</v>
      </c>
      <c r="H1302" s="11">
        <v>425.91744</v>
      </c>
      <c r="I1302" s="11">
        <f t="shared" si="155"/>
        <v>425.91744</v>
      </c>
      <c r="J1302" s="11">
        <f t="shared" si="157"/>
        <v>425.91744</v>
      </c>
      <c r="K1302" s="11">
        <f t="shared" si="156"/>
        <v>425.91744</v>
      </c>
      <c r="L1302" s="10">
        <v>0</v>
      </c>
      <c r="N1302" s="118">
        <f t="shared" si="158"/>
        <v>0</v>
      </c>
      <c r="O1302" s="118">
        <f t="shared" si="159"/>
        <v>425.91744</v>
      </c>
    </row>
    <row r="1303" spans="1:15" x14ac:dyDescent="0.25">
      <c r="B1303" t="s">
        <v>574</v>
      </c>
      <c r="C1303" s="19">
        <v>85</v>
      </c>
      <c r="D1303" s="18" t="s">
        <v>575</v>
      </c>
      <c r="E1303" s="13">
        <v>2</v>
      </c>
      <c r="F1303" s="25" t="s">
        <v>574</v>
      </c>
      <c r="G1303" s="25" t="s">
        <v>427</v>
      </c>
      <c r="H1303" s="11">
        <v>6.8761600000000005</v>
      </c>
      <c r="I1303" s="11">
        <f t="shared" si="155"/>
        <v>13.752320000000001</v>
      </c>
      <c r="J1303" s="11">
        <f t="shared" si="157"/>
        <v>6.8761600000000005</v>
      </c>
      <c r="K1303" s="11">
        <f t="shared" si="156"/>
        <v>13.752320000000001</v>
      </c>
      <c r="L1303" s="10">
        <v>0</v>
      </c>
      <c r="N1303" s="118">
        <f t="shared" si="158"/>
        <v>0</v>
      </c>
      <c r="O1303" s="118">
        <f t="shared" si="159"/>
        <v>6.8761600000000005</v>
      </c>
    </row>
    <row r="1304" spans="1:15" x14ac:dyDescent="0.25">
      <c r="C1304" s="9"/>
      <c r="D1304" s="8" t="s">
        <v>1</v>
      </c>
      <c r="E1304" s="8">
        <f>SUM(E1219:E1303)</f>
        <v>127</v>
      </c>
      <c r="F1304" s="8"/>
      <c r="G1304" s="8"/>
      <c r="H1304" s="7"/>
      <c r="I1304" s="7">
        <f>SUM(I1219:I1303)</f>
        <v>5779.0459200000005</v>
      </c>
      <c r="J1304" s="8"/>
      <c r="K1304" s="7">
        <f>SUM(K1219:K1303)</f>
        <v>5779.0459200000005</v>
      </c>
      <c r="L1304" s="6"/>
      <c r="N1304" s="118">
        <f t="shared" si="158"/>
        <v>0</v>
      </c>
      <c r="O1304" s="118">
        <f t="shared" si="159"/>
        <v>0</v>
      </c>
    </row>
    <row r="1305" spans="1:15" x14ac:dyDescent="0.25">
      <c r="N1305" s="118">
        <f t="shared" si="158"/>
        <v>0</v>
      </c>
      <c r="O1305" s="118">
        <f t="shared" si="159"/>
        <v>0</v>
      </c>
    </row>
    <row r="1306" spans="1:15" x14ac:dyDescent="0.25">
      <c r="D1306" s="24" t="s">
        <v>800</v>
      </c>
      <c r="N1306" s="118">
        <f t="shared" si="158"/>
        <v>0</v>
      </c>
      <c r="O1306" s="118">
        <f t="shared" si="159"/>
        <v>0</v>
      </c>
    </row>
    <row r="1307" spans="1:15" ht="30" x14ac:dyDescent="0.25">
      <c r="C1307" s="24" t="s">
        <v>28</v>
      </c>
      <c r="D1307" s="24" t="s">
        <v>27</v>
      </c>
      <c r="E1307" s="24" t="s">
        <v>26</v>
      </c>
      <c r="F1307" s="24" t="s">
        <v>25</v>
      </c>
      <c r="G1307" s="24" t="s">
        <v>24</v>
      </c>
      <c r="H1307" s="116" t="s">
        <v>21</v>
      </c>
      <c r="I1307" s="24" t="s">
        <v>23</v>
      </c>
      <c r="J1307" s="24" t="s">
        <v>2928</v>
      </c>
      <c r="K1307" s="24" t="s">
        <v>2927</v>
      </c>
      <c r="L1307" s="23" t="s">
        <v>22</v>
      </c>
      <c r="N1307" s="118" t="e">
        <f t="shared" si="158"/>
        <v>#VALUE!</v>
      </c>
      <c r="O1307" s="118" t="e">
        <f t="shared" si="159"/>
        <v>#VALUE!</v>
      </c>
    </row>
    <row r="1308" spans="1:15" x14ac:dyDescent="0.25">
      <c r="A1308" t="s">
        <v>799</v>
      </c>
      <c r="B1308" t="s">
        <v>797</v>
      </c>
      <c r="C1308" s="19">
        <v>1</v>
      </c>
      <c r="D1308" s="18" t="s">
        <v>798</v>
      </c>
      <c r="E1308" s="13">
        <v>1</v>
      </c>
      <c r="F1308" s="18" t="s">
        <v>797</v>
      </c>
      <c r="G1308" s="25">
        <v>81897710009</v>
      </c>
      <c r="H1308" s="11">
        <v>650.70000000000005</v>
      </c>
      <c r="I1308" s="11">
        <f t="shared" ref="I1308:I1315" si="160">H1308*E1308</f>
        <v>650.70000000000005</v>
      </c>
      <c r="J1308" s="11">
        <f>O1308</f>
        <v>650.70000000000005</v>
      </c>
      <c r="K1308" s="11">
        <f t="shared" ref="K1308:K1315" si="161">J1308*E1308</f>
        <v>650.70000000000005</v>
      </c>
      <c r="L1308" s="10">
        <v>0</v>
      </c>
      <c r="N1308" s="118">
        <f t="shared" si="158"/>
        <v>0</v>
      </c>
      <c r="O1308" s="118">
        <f t="shared" si="159"/>
        <v>650.70000000000005</v>
      </c>
    </row>
    <row r="1309" spans="1:15" x14ac:dyDescent="0.25">
      <c r="A1309" t="s">
        <v>796</v>
      </c>
      <c r="B1309" t="s">
        <v>794</v>
      </c>
      <c r="C1309" s="19">
        <v>2</v>
      </c>
      <c r="D1309" s="18" t="s">
        <v>795</v>
      </c>
      <c r="E1309" s="13">
        <v>1</v>
      </c>
      <c r="F1309" s="18" t="s">
        <v>794</v>
      </c>
      <c r="G1309" s="25">
        <v>81897710009</v>
      </c>
      <c r="H1309" s="11">
        <v>630.70000000000005</v>
      </c>
      <c r="I1309" s="11">
        <f t="shared" si="160"/>
        <v>630.70000000000005</v>
      </c>
      <c r="J1309" s="11">
        <f t="shared" ref="J1309:J1315" si="162">O1309</f>
        <v>630.70000000000005</v>
      </c>
      <c r="K1309" s="11">
        <f t="shared" si="161"/>
        <v>630.70000000000005</v>
      </c>
      <c r="L1309" s="10">
        <v>0</v>
      </c>
      <c r="N1309" s="118">
        <f t="shared" si="158"/>
        <v>0</v>
      </c>
      <c r="O1309" s="118">
        <f t="shared" si="159"/>
        <v>630.70000000000005</v>
      </c>
    </row>
    <row r="1310" spans="1:15" x14ac:dyDescent="0.25">
      <c r="A1310" t="s">
        <v>793</v>
      </c>
      <c r="B1310" t="s">
        <v>791</v>
      </c>
      <c r="C1310" s="19">
        <v>3</v>
      </c>
      <c r="D1310" s="18" t="s">
        <v>792</v>
      </c>
      <c r="E1310" s="13">
        <v>1</v>
      </c>
      <c r="F1310" s="18" t="s">
        <v>791</v>
      </c>
      <c r="G1310" s="25">
        <v>81897710012</v>
      </c>
      <c r="H1310" s="11">
        <v>230.62944000000005</v>
      </c>
      <c r="I1310" s="11">
        <f t="shared" si="160"/>
        <v>230.62944000000005</v>
      </c>
      <c r="J1310" s="11">
        <f t="shared" si="162"/>
        <v>230.62944000000005</v>
      </c>
      <c r="K1310" s="11">
        <f t="shared" si="161"/>
        <v>230.62944000000005</v>
      </c>
      <c r="L1310" s="10">
        <v>0</v>
      </c>
      <c r="N1310" s="118">
        <f t="shared" si="158"/>
        <v>0</v>
      </c>
      <c r="O1310" s="118">
        <f t="shared" si="159"/>
        <v>230.62944000000005</v>
      </c>
    </row>
    <row r="1311" spans="1:15" x14ac:dyDescent="0.25">
      <c r="A1311" t="s">
        <v>790</v>
      </c>
      <c r="B1311" t="s">
        <v>789</v>
      </c>
      <c r="C1311" s="19">
        <v>4</v>
      </c>
      <c r="D1311" s="18" t="s">
        <v>788</v>
      </c>
      <c r="E1311" s="13">
        <v>1</v>
      </c>
      <c r="F1311" s="18" t="s">
        <v>787</v>
      </c>
      <c r="G1311" s="25">
        <v>81897710012</v>
      </c>
      <c r="H1311" s="11">
        <v>340.93872000000005</v>
      </c>
      <c r="I1311" s="11">
        <f t="shared" si="160"/>
        <v>340.93872000000005</v>
      </c>
      <c r="J1311" s="11">
        <f t="shared" si="162"/>
        <v>340.93872000000005</v>
      </c>
      <c r="K1311" s="11">
        <f t="shared" si="161"/>
        <v>340.93872000000005</v>
      </c>
      <c r="L1311" s="10">
        <v>0</v>
      </c>
      <c r="N1311" s="118">
        <f t="shared" si="158"/>
        <v>0</v>
      </c>
      <c r="O1311" s="118">
        <f t="shared" si="159"/>
        <v>340.93872000000005</v>
      </c>
    </row>
    <row r="1312" spans="1:15" x14ac:dyDescent="0.25">
      <c r="A1312" t="s">
        <v>786</v>
      </c>
      <c r="B1312" t="s">
        <v>784</v>
      </c>
      <c r="C1312" s="19">
        <v>5</v>
      </c>
      <c r="D1312" s="18" t="s">
        <v>785</v>
      </c>
      <c r="E1312" s="13">
        <v>1</v>
      </c>
      <c r="F1312" s="25" t="s">
        <v>784</v>
      </c>
      <c r="G1312" s="25">
        <v>81897719002</v>
      </c>
      <c r="H1312" s="11">
        <v>63.111520000000006</v>
      </c>
      <c r="I1312" s="11">
        <f t="shared" si="160"/>
        <v>63.111520000000006</v>
      </c>
      <c r="J1312" s="11">
        <f t="shared" si="162"/>
        <v>63.111520000000006</v>
      </c>
      <c r="K1312" s="11">
        <f t="shared" si="161"/>
        <v>63.111520000000006</v>
      </c>
      <c r="L1312" s="10">
        <v>0</v>
      </c>
      <c r="N1312" s="118">
        <f t="shared" si="158"/>
        <v>0</v>
      </c>
      <c r="O1312" s="118">
        <f t="shared" si="159"/>
        <v>63.111520000000006</v>
      </c>
    </row>
    <row r="1313" spans="1:15" x14ac:dyDescent="0.25">
      <c r="A1313" t="s">
        <v>783</v>
      </c>
      <c r="B1313" t="s">
        <v>781</v>
      </c>
      <c r="C1313" s="19">
        <v>6</v>
      </c>
      <c r="D1313" s="18" t="s">
        <v>782</v>
      </c>
      <c r="E1313" s="13">
        <v>1</v>
      </c>
      <c r="F1313" s="25" t="s">
        <v>781</v>
      </c>
      <c r="G1313" s="25">
        <v>81897719002</v>
      </c>
      <c r="H1313" s="11">
        <v>9.6948800000000013</v>
      </c>
      <c r="I1313" s="11">
        <f t="shared" si="160"/>
        <v>9.6948800000000013</v>
      </c>
      <c r="J1313" s="11">
        <f t="shared" si="162"/>
        <v>9.6948800000000013</v>
      </c>
      <c r="K1313" s="11">
        <f t="shared" si="161"/>
        <v>9.6948800000000013</v>
      </c>
      <c r="L1313" s="10">
        <v>0</v>
      </c>
      <c r="N1313" s="118">
        <f t="shared" si="158"/>
        <v>0</v>
      </c>
      <c r="O1313" s="118">
        <f t="shared" si="159"/>
        <v>9.6948800000000013</v>
      </c>
    </row>
    <row r="1314" spans="1:15" x14ac:dyDescent="0.25">
      <c r="A1314" t="s">
        <v>780</v>
      </c>
      <c r="B1314" t="s">
        <v>778</v>
      </c>
      <c r="C1314" s="19">
        <v>7</v>
      </c>
      <c r="D1314" s="18" t="s">
        <v>779</v>
      </c>
      <c r="E1314" s="13">
        <v>1</v>
      </c>
      <c r="F1314" s="25" t="s">
        <v>778</v>
      </c>
      <c r="G1314" s="18" t="s">
        <v>427</v>
      </c>
      <c r="H1314" s="11">
        <v>311.04512</v>
      </c>
      <c r="I1314" s="11">
        <f t="shared" si="160"/>
        <v>311.04512</v>
      </c>
      <c r="J1314" s="11">
        <f t="shared" si="162"/>
        <v>311.04512</v>
      </c>
      <c r="K1314" s="11">
        <f t="shared" si="161"/>
        <v>311.04512</v>
      </c>
      <c r="L1314" s="10">
        <v>0</v>
      </c>
      <c r="N1314" s="118">
        <f t="shared" si="158"/>
        <v>0</v>
      </c>
      <c r="O1314" s="118">
        <f t="shared" si="159"/>
        <v>311.04512</v>
      </c>
    </row>
    <row r="1315" spans="1:15" x14ac:dyDescent="0.25">
      <c r="A1315" t="s">
        <v>777</v>
      </c>
      <c r="B1315" s="5"/>
      <c r="C1315" s="19">
        <v>8</v>
      </c>
      <c r="D1315" s="18" t="s">
        <v>776</v>
      </c>
      <c r="E1315" s="13">
        <v>1</v>
      </c>
      <c r="F1315" s="25" t="s">
        <v>775</v>
      </c>
      <c r="G1315" s="18" t="s">
        <v>427</v>
      </c>
      <c r="H1315" s="11">
        <v>263.63879999999995</v>
      </c>
      <c r="I1315" s="11">
        <f t="shared" si="160"/>
        <v>263.63879999999995</v>
      </c>
      <c r="J1315" s="11">
        <f t="shared" si="162"/>
        <v>263.63879999999995</v>
      </c>
      <c r="K1315" s="11">
        <f t="shared" si="161"/>
        <v>263.63879999999995</v>
      </c>
      <c r="L1315" s="10">
        <v>0</v>
      </c>
      <c r="N1315" s="118">
        <f t="shared" si="158"/>
        <v>0</v>
      </c>
      <c r="O1315" s="118">
        <f t="shared" si="159"/>
        <v>263.63879999999995</v>
      </c>
    </row>
    <row r="1316" spans="1:15" x14ac:dyDescent="0.25">
      <c r="C1316" s="9"/>
      <c r="D1316" s="8" t="s">
        <v>1</v>
      </c>
      <c r="E1316" s="8">
        <f>SUM(E1308:E1315)</f>
        <v>8</v>
      </c>
      <c r="F1316" s="8"/>
      <c r="G1316" s="8"/>
      <c r="H1316" s="7"/>
      <c r="I1316" s="7">
        <f>SUM(I1308:I1315)</f>
        <v>2500.4584800000002</v>
      </c>
      <c r="J1316" s="8"/>
      <c r="K1316" s="7">
        <f>SUM(K1308:K1315)</f>
        <v>2500.4584800000002</v>
      </c>
      <c r="L1316" s="6"/>
      <c r="N1316" s="118">
        <f t="shared" si="158"/>
        <v>0</v>
      </c>
      <c r="O1316" s="118">
        <f t="shared" si="159"/>
        <v>0</v>
      </c>
    </row>
    <row r="1317" spans="1:15" x14ac:dyDescent="0.25">
      <c r="D1317" t="s">
        <v>0</v>
      </c>
      <c r="N1317" s="118">
        <f t="shared" si="158"/>
        <v>0</v>
      </c>
      <c r="O1317" s="118">
        <f t="shared" si="159"/>
        <v>0</v>
      </c>
    </row>
    <row r="1318" spans="1:15" s="5" customFormat="1" x14ac:dyDescent="0.25">
      <c r="B1318"/>
      <c r="C1318" s="4"/>
      <c r="D1318" s="24" t="s">
        <v>774</v>
      </c>
      <c r="E1318" s="3"/>
      <c r="F1318"/>
      <c r="G1318"/>
      <c r="H1318" s="2"/>
      <c r="I1318" s="2"/>
      <c r="J1318" s="2"/>
      <c r="K1318" s="2"/>
      <c r="L1318" s="1"/>
      <c r="N1318" s="118">
        <f t="shared" si="158"/>
        <v>0</v>
      </c>
      <c r="O1318" s="118">
        <f t="shared" si="159"/>
        <v>0</v>
      </c>
    </row>
    <row r="1319" spans="1:15" ht="30" x14ac:dyDescent="0.25">
      <c r="C1319" s="24" t="s">
        <v>28</v>
      </c>
      <c r="D1319" s="24" t="s">
        <v>27</v>
      </c>
      <c r="E1319" s="24" t="s">
        <v>26</v>
      </c>
      <c r="F1319" s="24" t="s">
        <v>25</v>
      </c>
      <c r="G1319" s="24" t="s">
        <v>24</v>
      </c>
      <c r="H1319" s="116" t="s">
        <v>21</v>
      </c>
      <c r="I1319" s="24" t="s">
        <v>23</v>
      </c>
      <c r="J1319" s="24" t="s">
        <v>2928</v>
      </c>
      <c r="K1319" s="24" t="s">
        <v>2927</v>
      </c>
      <c r="L1319" s="23" t="s">
        <v>22</v>
      </c>
      <c r="N1319" s="118" t="e">
        <f t="shared" si="158"/>
        <v>#VALUE!</v>
      </c>
      <c r="O1319" s="118" t="e">
        <f t="shared" si="159"/>
        <v>#VALUE!</v>
      </c>
    </row>
    <row r="1320" spans="1:15" x14ac:dyDescent="0.25">
      <c r="A1320" s="32" t="s">
        <v>773</v>
      </c>
      <c r="B1320" t="s">
        <v>309</v>
      </c>
      <c r="C1320" s="19">
        <v>1</v>
      </c>
      <c r="D1320" s="18" t="s">
        <v>310</v>
      </c>
      <c r="E1320" s="13">
        <v>2</v>
      </c>
      <c r="F1320" s="12" t="s">
        <v>309</v>
      </c>
      <c r="G1320" s="12">
        <v>81897719002</v>
      </c>
      <c r="H1320" s="11">
        <v>12.147040000000001</v>
      </c>
      <c r="I1320" s="11">
        <f t="shared" ref="I1320:I1351" si="163">H1320*E1320</f>
        <v>24.294080000000001</v>
      </c>
      <c r="J1320" s="11">
        <f>O1320</f>
        <v>12.147040000000001</v>
      </c>
      <c r="K1320" s="11">
        <f t="shared" ref="K1320:K1351" si="164">J1320*E1320</f>
        <v>24.294080000000001</v>
      </c>
      <c r="L1320" s="10">
        <v>0</v>
      </c>
      <c r="N1320" s="118">
        <f t="shared" si="158"/>
        <v>0</v>
      </c>
      <c r="O1320" s="118">
        <f t="shared" si="159"/>
        <v>12.147040000000001</v>
      </c>
    </row>
    <row r="1321" spans="1:15" x14ac:dyDescent="0.25">
      <c r="A1321" s="32" t="s">
        <v>772</v>
      </c>
      <c r="B1321" t="s">
        <v>422</v>
      </c>
      <c r="C1321" s="19">
        <v>2</v>
      </c>
      <c r="D1321" s="18" t="s">
        <v>423</v>
      </c>
      <c r="E1321" s="13">
        <v>2</v>
      </c>
      <c r="F1321" s="12" t="s">
        <v>422</v>
      </c>
      <c r="G1321" s="12">
        <v>81897719002</v>
      </c>
      <c r="H1321" s="11">
        <v>10.68712</v>
      </c>
      <c r="I1321" s="11">
        <f t="shared" si="163"/>
        <v>21.37424</v>
      </c>
      <c r="J1321" s="11">
        <f t="shared" ref="J1321:J1371" si="165">O1321</f>
        <v>10.68712</v>
      </c>
      <c r="K1321" s="11">
        <f t="shared" si="164"/>
        <v>21.37424</v>
      </c>
      <c r="L1321" s="10">
        <v>0</v>
      </c>
      <c r="N1321" s="118">
        <f t="shared" si="158"/>
        <v>0</v>
      </c>
      <c r="O1321" s="118">
        <f t="shared" si="159"/>
        <v>10.68712</v>
      </c>
    </row>
    <row r="1322" spans="1:15" x14ac:dyDescent="0.25">
      <c r="A1322" s="42" t="s">
        <v>771</v>
      </c>
      <c r="B1322" t="s">
        <v>770</v>
      </c>
      <c r="C1322" s="19">
        <v>3</v>
      </c>
      <c r="D1322" s="18" t="s">
        <v>769</v>
      </c>
      <c r="E1322" s="13">
        <v>2</v>
      </c>
      <c r="F1322" t="s">
        <v>3058</v>
      </c>
      <c r="G1322" s="12">
        <v>81897719006</v>
      </c>
      <c r="H1322" s="11">
        <v>21.348960000000002</v>
      </c>
      <c r="I1322" s="11">
        <f t="shared" si="163"/>
        <v>42.697920000000003</v>
      </c>
      <c r="J1322" s="11">
        <f t="shared" si="165"/>
        <v>21.348960000000002</v>
      </c>
      <c r="K1322" s="11">
        <f t="shared" si="164"/>
        <v>42.697920000000003</v>
      </c>
      <c r="L1322" s="10">
        <v>0</v>
      </c>
      <c r="N1322" s="118">
        <f t="shared" si="158"/>
        <v>0</v>
      </c>
      <c r="O1322" s="118">
        <f t="shared" si="159"/>
        <v>21.348960000000002</v>
      </c>
    </row>
    <row r="1323" spans="1:15" x14ac:dyDescent="0.25">
      <c r="A1323" s="32" t="s">
        <v>768</v>
      </c>
      <c r="B1323" t="s">
        <v>766</v>
      </c>
      <c r="C1323" s="19">
        <v>4</v>
      </c>
      <c r="D1323" s="18" t="s">
        <v>767</v>
      </c>
      <c r="E1323" s="13">
        <v>1</v>
      </c>
      <c r="F1323" s="12" t="s">
        <v>766</v>
      </c>
      <c r="G1323" s="12">
        <v>81897719002</v>
      </c>
      <c r="H1323" s="11">
        <v>87.367680000000007</v>
      </c>
      <c r="I1323" s="11">
        <f t="shared" si="163"/>
        <v>87.367680000000007</v>
      </c>
      <c r="J1323" s="11">
        <f t="shared" si="165"/>
        <v>87.367680000000007</v>
      </c>
      <c r="K1323" s="11">
        <f t="shared" si="164"/>
        <v>87.367680000000007</v>
      </c>
      <c r="L1323" s="10">
        <v>0</v>
      </c>
      <c r="N1323" s="118">
        <f t="shared" si="158"/>
        <v>0</v>
      </c>
      <c r="O1323" s="118">
        <f t="shared" si="159"/>
        <v>87.367680000000007</v>
      </c>
    </row>
    <row r="1324" spans="1:15" x14ac:dyDescent="0.25">
      <c r="A1324" s="32" t="s">
        <v>765</v>
      </c>
      <c r="B1324" t="s">
        <v>763</v>
      </c>
      <c r="C1324" s="19">
        <v>5</v>
      </c>
      <c r="D1324" s="18" t="s">
        <v>764</v>
      </c>
      <c r="E1324" s="13">
        <v>1</v>
      </c>
      <c r="F1324" s="12" t="s">
        <v>763</v>
      </c>
      <c r="G1324" s="12">
        <v>81897719002</v>
      </c>
      <c r="H1324" s="11">
        <v>19.427679999999999</v>
      </c>
      <c r="I1324" s="11">
        <f t="shared" si="163"/>
        <v>19.427679999999999</v>
      </c>
      <c r="J1324" s="11">
        <f t="shared" si="165"/>
        <v>19.427679999999999</v>
      </c>
      <c r="K1324" s="11">
        <f t="shared" si="164"/>
        <v>19.427679999999999</v>
      </c>
      <c r="L1324" s="10">
        <v>0</v>
      </c>
      <c r="N1324" s="118">
        <f t="shared" si="158"/>
        <v>0</v>
      </c>
      <c r="O1324" s="118">
        <f t="shared" si="159"/>
        <v>19.427679999999999</v>
      </c>
    </row>
    <row r="1325" spans="1:15" x14ac:dyDescent="0.25">
      <c r="A1325" s="32" t="s">
        <v>762</v>
      </c>
      <c r="B1325" t="s">
        <v>760</v>
      </c>
      <c r="C1325" s="19">
        <v>6</v>
      </c>
      <c r="D1325" s="18" t="s">
        <v>761</v>
      </c>
      <c r="E1325" s="13">
        <v>1</v>
      </c>
      <c r="F1325" s="12" t="s">
        <v>760</v>
      </c>
      <c r="G1325" s="12">
        <v>81897719002</v>
      </c>
      <c r="H1325" s="11">
        <v>19.427679999999999</v>
      </c>
      <c r="I1325" s="11">
        <f t="shared" si="163"/>
        <v>19.427679999999999</v>
      </c>
      <c r="J1325" s="11">
        <f t="shared" si="165"/>
        <v>19.427679999999999</v>
      </c>
      <c r="K1325" s="11">
        <f t="shared" si="164"/>
        <v>19.427679999999999</v>
      </c>
      <c r="L1325" s="10">
        <v>0</v>
      </c>
      <c r="N1325" s="118">
        <f t="shared" si="158"/>
        <v>0</v>
      </c>
      <c r="O1325" s="118">
        <f t="shared" si="159"/>
        <v>19.427679999999999</v>
      </c>
    </row>
    <row r="1326" spans="1:15" x14ac:dyDescent="0.25">
      <c r="A1326" s="32" t="s">
        <v>759</v>
      </c>
      <c r="B1326" t="s">
        <v>757</v>
      </c>
      <c r="C1326" s="19">
        <v>7</v>
      </c>
      <c r="D1326" s="18" t="s">
        <v>758</v>
      </c>
      <c r="E1326" s="13">
        <v>2</v>
      </c>
      <c r="F1326" s="12" t="s">
        <v>757</v>
      </c>
      <c r="G1326" s="12">
        <v>81897719002</v>
      </c>
      <c r="H1326" s="11">
        <v>10.68712</v>
      </c>
      <c r="I1326" s="11">
        <f t="shared" si="163"/>
        <v>21.37424</v>
      </c>
      <c r="J1326" s="11">
        <f t="shared" si="165"/>
        <v>10.68712</v>
      </c>
      <c r="K1326" s="11">
        <f t="shared" si="164"/>
        <v>21.37424</v>
      </c>
      <c r="L1326" s="10">
        <v>0</v>
      </c>
      <c r="N1326" s="118">
        <f t="shared" si="158"/>
        <v>0</v>
      </c>
      <c r="O1326" s="118">
        <f t="shared" si="159"/>
        <v>10.68712</v>
      </c>
    </row>
    <row r="1327" spans="1:15" x14ac:dyDescent="0.25">
      <c r="A1327" s="32" t="s">
        <v>756</v>
      </c>
      <c r="B1327" s="5" t="s">
        <v>708</v>
      </c>
      <c r="C1327" s="19">
        <v>8</v>
      </c>
      <c r="D1327" s="18" t="s">
        <v>754</v>
      </c>
      <c r="E1327" s="13">
        <v>1</v>
      </c>
      <c r="F1327" s="12" t="s">
        <v>708</v>
      </c>
      <c r="G1327" s="12">
        <v>81897719002</v>
      </c>
      <c r="H1327" s="11">
        <v>145.61279999999999</v>
      </c>
      <c r="I1327" s="11">
        <f t="shared" si="163"/>
        <v>145.61279999999999</v>
      </c>
      <c r="J1327" s="11">
        <f t="shared" si="165"/>
        <v>145.61279999999999</v>
      </c>
      <c r="K1327" s="11">
        <f t="shared" si="164"/>
        <v>145.61279999999999</v>
      </c>
      <c r="L1327" s="10">
        <v>0</v>
      </c>
      <c r="N1327" s="118">
        <f t="shared" si="158"/>
        <v>0</v>
      </c>
      <c r="O1327" s="118">
        <f t="shared" si="159"/>
        <v>145.61279999999999</v>
      </c>
    </row>
    <row r="1328" spans="1:15" x14ac:dyDescent="0.25">
      <c r="A1328" s="32" t="s">
        <v>755</v>
      </c>
      <c r="B1328" t="s">
        <v>708</v>
      </c>
      <c r="C1328" s="19">
        <v>9</v>
      </c>
      <c r="D1328" s="18" t="s">
        <v>754</v>
      </c>
      <c r="E1328" s="13">
        <v>1</v>
      </c>
      <c r="F1328" s="12" t="s">
        <v>708</v>
      </c>
      <c r="G1328" s="12">
        <v>81897719002</v>
      </c>
      <c r="H1328" s="11">
        <v>145.61279999999999</v>
      </c>
      <c r="I1328" s="11">
        <f t="shared" si="163"/>
        <v>145.61279999999999</v>
      </c>
      <c r="J1328" s="11">
        <f t="shared" si="165"/>
        <v>145.61279999999999</v>
      </c>
      <c r="K1328" s="11">
        <f t="shared" si="164"/>
        <v>145.61279999999999</v>
      </c>
      <c r="L1328" s="10">
        <v>0</v>
      </c>
      <c r="N1328" s="118">
        <f t="shared" si="158"/>
        <v>0</v>
      </c>
      <c r="O1328" s="118">
        <f t="shared" si="159"/>
        <v>145.61279999999999</v>
      </c>
    </row>
    <row r="1329" spans="1:15" x14ac:dyDescent="0.25">
      <c r="A1329" s="32" t="s">
        <v>753</v>
      </c>
      <c r="B1329" t="s">
        <v>751</v>
      </c>
      <c r="C1329" s="19">
        <v>10</v>
      </c>
      <c r="D1329" s="18" t="s">
        <v>752</v>
      </c>
      <c r="E1329" s="13">
        <v>1</v>
      </c>
      <c r="F1329" s="12" t="s">
        <v>751</v>
      </c>
      <c r="G1329" s="12">
        <v>81897719002</v>
      </c>
      <c r="H1329" s="11">
        <v>160.17408</v>
      </c>
      <c r="I1329" s="11">
        <f t="shared" si="163"/>
        <v>160.17408</v>
      </c>
      <c r="J1329" s="11">
        <f t="shared" si="165"/>
        <v>160.17408</v>
      </c>
      <c r="K1329" s="11">
        <f t="shared" si="164"/>
        <v>160.17408</v>
      </c>
      <c r="L1329" s="10">
        <v>0</v>
      </c>
      <c r="N1329" s="118">
        <f t="shared" si="158"/>
        <v>0</v>
      </c>
      <c r="O1329" s="118">
        <f t="shared" si="159"/>
        <v>160.17408</v>
      </c>
    </row>
    <row r="1330" spans="1:15" s="5" customFormat="1" x14ac:dyDescent="0.25">
      <c r="A1330" s="32" t="s">
        <v>750</v>
      </c>
      <c r="B1330" t="s">
        <v>748</v>
      </c>
      <c r="C1330" s="19">
        <v>11</v>
      </c>
      <c r="D1330" s="18" t="s">
        <v>749</v>
      </c>
      <c r="E1330" s="13">
        <v>1</v>
      </c>
      <c r="F1330" s="12" t="s">
        <v>748</v>
      </c>
      <c r="G1330" s="12">
        <v>81897719002</v>
      </c>
      <c r="H1330" s="11">
        <v>111.62384</v>
      </c>
      <c r="I1330" s="11">
        <f t="shared" si="163"/>
        <v>111.62384</v>
      </c>
      <c r="J1330" s="11">
        <f t="shared" si="165"/>
        <v>111.62384</v>
      </c>
      <c r="K1330" s="11">
        <f t="shared" si="164"/>
        <v>111.62384</v>
      </c>
      <c r="L1330" s="10">
        <v>0</v>
      </c>
      <c r="N1330" s="118">
        <f t="shared" si="158"/>
        <v>0</v>
      </c>
      <c r="O1330" s="118">
        <f t="shared" si="159"/>
        <v>111.62384</v>
      </c>
    </row>
    <row r="1331" spans="1:15" x14ac:dyDescent="0.25">
      <c r="A1331" s="35" t="s">
        <v>747</v>
      </c>
      <c r="B1331" t="s">
        <v>745</v>
      </c>
      <c r="C1331" s="19">
        <v>12</v>
      </c>
      <c r="D1331" s="18" t="s">
        <v>746</v>
      </c>
      <c r="E1331" s="13">
        <v>1</v>
      </c>
      <c r="F1331" t="s">
        <v>745</v>
      </c>
      <c r="G1331" s="12">
        <v>81897710010</v>
      </c>
      <c r="H1331" s="11">
        <v>31.536799999999999</v>
      </c>
      <c r="I1331" s="11">
        <f t="shared" si="163"/>
        <v>31.536799999999999</v>
      </c>
      <c r="J1331" s="11">
        <f t="shared" si="165"/>
        <v>31.536799999999999</v>
      </c>
      <c r="K1331" s="11">
        <f t="shared" si="164"/>
        <v>31.536799999999999</v>
      </c>
      <c r="L1331" s="10">
        <v>0</v>
      </c>
      <c r="N1331" s="118">
        <f t="shared" si="158"/>
        <v>0</v>
      </c>
      <c r="O1331" s="118">
        <f t="shared" si="159"/>
        <v>31.536799999999999</v>
      </c>
    </row>
    <row r="1332" spans="1:15" x14ac:dyDescent="0.25">
      <c r="A1332" s="35" t="s">
        <v>744</v>
      </c>
      <c r="B1332" t="s">
        <v>742</v>
      </c>
      <c r="C1332" s="19">
        <v>13</v>
      </c>
      <c r="D1332" s="18" t="s">
        <v>743</v>
      </c>
      <c r="E1332" s="13">
        <v>1</v>
      </c>
      <c r="F1332" s="12" t="s">
        <v>742</v>
      </c>
      <c r="G1332" s="12">
        <v>81897719002</v>
      </c>
      <c r="H1332" s="11">
        <v>31.536799999999999</v>
      </c>
      <c r="I1332" s="11">
        <f t="shared" si="163"/>
        <v>31.536799999999999</v>
      </c>
      <c r="J1332" s="11">
        <f t="shared" si="165"/>
        <v>31.536799999999999</v>
      </c>
      <c r="K1332" s="11">
        <f t="shared" si="164"/>
        <v>31.536799999999999</v>
      </c>
      <c r="L1332" s="10">
        <v>0</v>
      </c>
      <c r="N1332" s="118">
        <f t="shared" si="158"/>
        <v>0</v>
      </c>
      <c r="O1332" s="118">
        <f t="shared" si="159"/>
        <v>31.536799999999999</v>
      </c>
    </row>
    <row r="1333" spans="1:15" x14ac:dyDescent="0.25">
      <c r="A1333" s="35" t="s">
        <v>741</v>
      </c>
      <c r="B1333" t="s">
        <v>739</v>
      </c>
      <c r="C1333" s="19">
        <v>14</v>
      </c>
      <c r="D1333" s="18" t="s">
        <v>740</v>
      </c>
      <c r="E1333" s="13">
        <v>1</v>
      </c>
      <c r="F1333" t="s">
        <v>739</v>
      </c>
      <c r="G1333" s="12">
        <v>81897710010</v>
      </c>
      <c r="H1333" s="11">
        <v>31.536799999999999</v>
      </c>
      <c r="I1333" s="11">
        <f t="shared" si="163"/>
        <v>31.536799999999999</v>
      </c>
      <c r="J1333" s="11">
        <f t="shared" si="165"/>
        <v>31.536799999999999</v>
      </c>
      <c r="K1333" s="11">
        <f t="shared" si="164"/>
        <v>31.536799999999999</v>
      </c>
      <c r="L1333" s="10">
        <v>0</v>
      </c>
      <c r="N1333" s="118">
        <f t="shared" si="158"/>
        <v>0</v>
      </c>
      <c r="O1333" s="118">
        <f t="shared" si="159"/>
        <v>31.536799999999999</v>
      </c>
    </row>
    <row r="1334" spans="1:15" x14ac:dyDescent="0.25">
      <c r="A1334" s="32" t="s">
        <v>738</v>
      </c>
      <c r="B1334" t="s">
        <v>736</v>
      </c>
      <c r="C1334" s="19">
        <v>15</v>
      </c>
      <c r="D1334" s="18" t="s">
        <v>737</v>
      </c>
      <c r="E1334" s="13">
        <v>1</v>
      </c>
      <c r="F1334" s="12" t="s">
        <v>736</v>
      </c>
      <c r="G1334" s="12">
        <v>81897719002</v>
      </c>
      <c r="H1334" s="11">
        <v>31.536799999999999</v>
      </c>
      <c r="I1334" s="11">
        <f t="shared" si="163"/>
        <v>31.536799999999999</v>
      </c>
      <c r="J1334" s="11">
        <f t="shared" si="165"/>
        <v>31.536799999999999</v>
      </c>
      <c r="K1334" s="11">
        <f t="shared" si="164"/>
        <v>31.536799999999999</v>
      </c>
      <c r="L1334" s="10">
        <v>0</v>
      </c>
      <c r="N1334" s="118">
        <f t="shared" si="158"/>
        <v>0</v>
      </c>
      <c r="O1334" s="118">
        <f t="shared" si="159"/>
        <v>31.536799999999999</v>
      </c>
    </row>
    <row r="1335" spans="1:15" x14ac:dyDescent="0.25">
      <c r="A1335" s="32" t="s">
        <v>735</v>
      </c>
      <c r="B1335" t="s">
        <v>733</v>
      </c>
      <c r="C1335" s="19">
        <v>16</v>
      </c>
      <c r="D1335" s="18" t="s">
        <v>734</v>
      </c>
      <c r="E1335" s="13">
        <v>1</v>
      </c>
      <c r="F1335" s="12" t="s">
        <v>733</v>
      </c>
      <c r="G1335" s="12">
        <v>81897719002</v>
      </c>
      <c r="H1335" s="11">
        <v>21.348960000000002</v>
      </c>
      <c r="I1335" s="11">
        <f t="shared" si="163"/>
        <v>21.348960000000002</v>
      </c>
      <c r="J1335" s="11">
        <f t="shared" si="165"/>
        <v>21.348960000000002</v>
      </c>
      <c r="K1335" s="11">
        <f t="shared" si="164"/>
        <v>21.348960000000002</v>
      </c>
      <c r="L1335" s="10">
        <v>0</v>
      </c>
      <c r="N1335" s="118">
        <f t="shared" si="158"/>
        <v>0</v>
      </c>
      <c r="O1335" s="118">
        <f t="shared" si="159"/>
        <v>21.348960000000002</v>
      </c>
    </row>
    <row r="1336" spans="1:15" x14ac:dyDescent="0.25">
      <c r="A1336" s="32" t="s">
        <v>732</v>
      </c>
      <c r="B1336" t="s">
        <v>730</v>
      </c>
      <c r="C1336" s="19">
        <v>17</v>
      </c>
      <c r="D1336" s="18" t="s">
        <v>731</v>
      </c>
      <c r="E1336" s="13">
        <v>1</v>
      </c>
      <c r="F1336" s="12" t="s">
        <v>730</v>
      </c>
      <c r="G1336" s="12">
        <v>81897719002</v>
      </c>
      <c r="H1336" s="11">
        <v>20.38832</v>
      </c>
      <c r="I1336" s="11">
        <f t="shared" si="163"/>
        <v>20.38832</v>
      </c>
      <c r="J1336" s="11">
        <f t="shared" si="165"/>
        <v>20.38832</v>
      </c>
      <c r="K1336" s="11">
        <f t="shared" si="164"/>
        <v>20.38832</v>
      </c>
      <c r="L1336" s="10">
        <v>0</v>
      </c>
      <c r="N1336" s="118">
        <f t="shared" si="158"/>
        <v>0</v>
      </c>
      <c r="O1336" s="118">
        <f t="shared" si="159"/>
        <v>20.38832</v>
      </c>
    </row>
    <row r="1337" spans="1:15" x14ac:dyDescent="0.25">
      <c r="A1337" s="32" t="s">
        <v>729</v>
      </c>
      <c r="B1337" t="s">
        <v>727</v>
      </c>
      <c r="C1337" s="19">
        <v>18</v>
      </c>
      <c r="D1337" s="18" t="s">
        <v>728</v>
      </c>
      <c r="E1337" s="13">
        <v>1</v>
      </c>
      <c r="F1337" s="12" t="s">
        <v>727</v>
      </c>
      <c r="G1337" s="12">
        <v>81897719002</v>
      </c>
      <c r="H1337" s="11">
        <v>21.348960000000002</v>
      </c>
      <c r="I1337" s="11">
        <f t="shared" si="163"/>
        <v>21.348960000000002</v>
      </c>
      <c r="J1337" s="11">
        <f t="shared" si="165"/>
        <v>21.348960000000002</v>
      </c>
      <c r="K1337" s="11">
        <f t="shared" si="164"/>
        <v>21.348960000000002</v>
      </c>
      <c r="L1337" s="10">
        <v>0</v>
      </c>
      <c r="N1337" s="118">
        <f t="shared" si="158"/>
        <v>0</v>
      </c>
      <c r="O1337" s="118">
        <f t="shared" si="159"/>
        <v>21.348960000000002</v>
      </c>
    </row>
    <row r="1338" spans="1:15" x14ac:dyDescent="0.25">
      <c r="A1338" s="32" t="s">
        <v>726</v>
      </c>
      <c r="B1338" t="s">
        <v>724</v>
      </c>
      <c r="C1338" s="19">
        <v>19</v>
      </c>
      <c r="D1338" s="18" t="s">
        <v>725</v>
      </c>
      <c r="E1338" s="13">
        <v>1</v>
      </c>
      <c r="F1338" s="12" t="s">
        <v>724</v>
      </c>
      <c r="G1338" s="12">
        <v>81897719002</v>
      </c>
      <c r="H1338" s="11">
        <v>65.525760000000005</v>
      </c>
      <c r="I1338" s="11">
        <f t="shared" si="163"/>
        <v>65.525760000000005</v>
      </c>
      <c r="J1338" s="11">
        <f t="shared" si="165"/>
        <v>65.525760000000005</v>
      </c>
      <c r="K1338" s="11">
        <f t="shared" si="164"/>
        <v>65.525760000000005</v>
      </c>
      <c r="L1338" s="10">
        <v>0</v>
      </c>
      <c r="N1338" s="118">
        <f t="shared" si="158"/>
        <v>0</v>
      </c>
      <c r="O1338" s="118">
        <f t="shared" si="159"/>
        <v>65.525760000000005</v>
      </c>
    </row>
    <row r="1339" spans="1:15" x14ac:dyDescent="0.25">
      <c r="A1339" s="38" t="s">
        <v>723</v>
      </c>
      <c r="B1339" t="s">
        <v>721</v>
      </c>
      <c r="C1339" s="19">
        <v>20</v>
      </c>
      <c r="D1339" s="18" t="s">
        <v>722</v>
      </c>
      <c r="E1339" s="13">
        <v>1</v>
      </c>
      <c r="F1339" t="s">
        <v>721</v>
      </c>
      <c r="G1339" s="12">
        <v>81897710023</v>
      </c>
      <c r="H1339" s="11">
        <v>52.013600000000004</v>
      </c>
      <c r="I1339" s="11">
        <f t="shared" si="163"/>
        <v>52.013600000000004</v>
      </c>
      <c r="J1339" s="11">
        <f t="shared" si="165"/>
        <v>52.013600000000004</v>
      </c>
      <c r="K1339" s="11">
        <f t="shared" si="164"/>
        <v>52.013600000000004</v>
      </c>
      <c r="L1339" s="10">
        <v>0</v>
      </c>
      <c r="N1339" s="118">
        <f t="shared" si="158"/>
        <v>0</v>
      </c>
      <c r="O1339" s="118">
        <f t="shared" si="159"/>
        <v>52.013600000000004</v>
      </c>
    </row>
    <row r="1340" spans="1:15" x14ac:dyDescent="0.25">
      <c r="A1340" s="32" t="s">
        <v>720</v>
      </c>
      <c r="B1340" t="s">
        <v>469</v>
      </c>
      <c r="C1340" s="19">
        <v>21</v>
      </c>
      <c r="D1340" s="18" t="s">
        <v>470</v>
      </c>
      <c r="E1340" s="13">
        <v>2</v>
      </c>
      <c r="F1340" s="12" t="s">
        <v>469</v>
      </c>
      <c r="G1340" s="12">
        <v>81897719002</v>
      </c>
      <c r="H1340" s="11">
        <v>4.8664000000000005</v>
      </c>
      <c r="I1340" s="11">
        <f t="shared" si="163"/>
        <v>9.732800000000001</v>
      </c>
      <c r="J1340" s="11">
        <f t="shared" si="165"/>
        <v>4.8664000000000005</v>
      </c>
      <c r="K1340" s="11">
        <f t="shared" si="164"/>
        <v>9.732800000000001</v>
      </c>
      <c r="L1340" s="10">
        <v>0</v>
      </c>
      <c r="N1340" s="118">
        <f t="shared" si="158"/>
        <v>0</v>
      </c>
      <c r="O1340" s="118">
        <f t="shared" si="159"/>
        <v>4.8664000000000005</v>
      </c>
    </row>
    <row r="1341" spans="1:15" x14ac:dyDescent="0.25">
      <c r="A1341" s="32" t="s">
        <v>719</v>
      </c>
      <c r="B1341" t="s">
        <v>149</v>
      </c>
      <c r="C1341" s="19">
        <v>22</v>
      </c>
      <c r="D1341" s="18" t="s">
        <v>150</v>
      </c>
      <c r="E1341" s="13">
        <v>2</v>
      </c>
      <c r="F1341" s="12" t="s">
        <v>149</v>
      </c>
      <c r="G1341" s="12">
        <v>81897719002</v>
      </c>
      <c r="H1341" s="11">
        <v>6.32</v>
      </c>
      <c r="I1341" s="11">
        <f t="shared" si="163"/>
        <v>12.64</v>
      </c>
      <c r="J1341" s="11">
        <f t="shared" si="165"/>
        <v>6.32</v>
      </c>
      <c r="K1341" s="11">
        <f t="shared" si="164"/>
        <v>12.64</v>
      </c>
      <c r="L1341" s="10">
        <v>0</v>
      </c>
      <c r="N1341" s="118">
        <f t="shared" si="158"/>
        <v>0</v>
      </c>
      <c r="O1341" s="118">
        <f t="shared" si="159"/>
        <v>6.32</v>
      </c>
    </row>
    <row r="1342" spans="1:15" x14ac:dyDescent="0.25">
      <c r="A1342" s="32" t="s">
        <v>718</v>
      </c>
      <c r="B1342" t="s">
        <v>230</v>
      </c>
      <c r="C1342" s="19">
        <v>23</v>
      </c>
      <c r="D1342" s="18" t="s">
        <v>231</v>
      </c>
      <c r="E1342" s="13">
        <v>1</v>
      </c>
      <c r="F1342" s="12" t="s">
        <v>230</v>
      </c>
      <c r="G1342" s="12">
        <v>81897719002</v>
      </c>
      <c r="H1342" s="11">
        <v>6.7876799999999999</v>
      </c>
      <c r="I1342" s="11">
        <f t="shared" si="163"/>
        <v>6.7876799999999999</v>
      </c>
      <c r="J1342" s="11">
        <f t="shared" si="165"/>
        <v>6.7876799999999999</v>
      </c>
      <c r="K1342" s="11">
        <f t="shared" si="164"/>
        <v>6.7876799999999999</v>
      </c>
      <c r="L1342" s="10">
        <v>0</v>
      </c>
      <c r="N1342" s="118">
        <f t="shared" si="158"/>
        <v>0</v>
      </c>
      <c r="O1342" s="118">
        <f t="shared" si="159"/>
        <v>6.7876799999999999</v>
      </c>
    </row>
    <row r="1343" spans="1:15" x14ac:dyDescent="0.25">
      <c r="A1343" s="32" t="s">
        <v>717</v>
      </c>
      <c r="B1343" t="s">
        <v>233</v>
      </c>
      <c r="C1343" s="19">
        <v>24</v>
      </c>
      <c r="D1343" s="18" t="s">
        <v>234</v>
      </c>
      <c r="E1343" s="13">
        <v>1</v>
      </c>
      <c r="F1343" s="12" t="s">
        <v>233</v>
      </c>
      <c r="G1343" s="12">
        <v>81897719002</v>
      </c>
      <c r="H1343" s="11">
        <v>6.32</v>
      </c>
      <c r="I1343" s="11">
        <f t="shared" si="163"/>
        <v>6.32</v>
      </c>
      <c r="J1343" s="11">
        <f t="shared" si="165"/>
        <v>6.32</v>
      </c>
      <c r="K1343" s="11">
        <f t="shared" si="164"/>
        <v>6.32</v>
      </c>
      <c r="L1343" s="10">
        <v>0</v>
      </c>
      <c r="N1343" s="118">
        <f t="shared" si="158"/>
        <v>0</v>
      </c>
      <c r="O1343" s="118">
        <f t="shared" si="159"/>
        <v>6.32</v>
      </c>
    </row>
    <row r="1344" spans="1:15" x14ac:dyDescent="0.25">
      <c r="A1344" s="32" t="s">
        <v>716</v>
      </c>
      <c r="B1344" t="s">
        <v>110</v>
      </c>
      <c r="C1344" s="19">
        <v>25</v>
      </c>
      <c r="D1344" s="18" t="s">
        <v>111</v>
      </c>
      <c r="E1344" s="13">
        <v>1</v>
      </c>
      <c r="F1344" s="12" t="s">
        <v>110</v>
      </c>
      <c r="G1344" s="12">
        <v>81897719002</v>
      </c>
      <c r="H1344" s="11">
        <v>27.169680000000003</v>
      </c>
      <c r="I1344" s="11">
        <f t="shared" si="163"/>
        <v>27.169680000000003</v>
      </c>
      <c r="J1344" s="11">
        <f t="shared" si="165"/>
        <v>27.169680000000003</v>
      </c>
      <c r="K1344" s="11">
        <f t="shared" si="164"/>
        <v>27.169680000000003</v>
      </c>
      <c r="L1344" s="10">
        <v>0</v>
      </c>
      <c r="N1344" s="118">
        <f t="shared" si="158"/>
        <v>0</v>
      </c>
      <c r="O1344" s="118">
        <f t="shared" si="159"/>
        <v>27.169680000000003</v>
      </c>
    </row>
    <row r="1345" spans="1:15" x14ac:dyDescent="0.25">
      <c r="A1345" s="32" t="s">
        <v>715</v>
      </c>
      <c r="B1345" t="s">
        <v>227</v>
      </c>
      <c r="C1345" s="19">
        <v>26</v>
      </c>
      <c r="D1345" s="18" t="s">
        <v>228</v>
      </c>
      <c r="E1345" s="13">
        <v>2</v>
      </c>
      <c r="F1345" s="12" t="s">
        <v>227</v>
      </c>
      <c r="G1345" s="12">
        <v>81897719002</v>
      </c>
      <c r="H1345" s="11">
        <v>4.3671199999999999</v>
      </c>
      <c r="I1345" s="11">
        <f t="shared" si="163"/>
        <v>8.7342399999999998</v>
      </c>
      <c r="J1345" s="11">
        <f t="shared" si="165"/>
        <v>4.3671199999999999</v>
      </c>
      <c r="K1345" s="11">
        <f t="shared" si="164"/>
        <v>8.7342399999999998</v>
      </c>
      <c r="L1345" s="10">
        <v>0</v>
      </c>
      <c r="N1345" s="118">
        <f t="shared" si="158"/>
        <v>0</v>
      </c>
      <c r="O1345" s="118">
        <f t="shared" si="159"/>
        <v>4.3671199999999999</v>
      </c>
    </row>
    <row r="1346" spans="1:15" x14ac:dyDescent="0.25">
      <c r="A1346" s="32" t="s">
        <v>714</v>
      </c>
      <c r="B1346" t="s">
        <v>152</v>
      </c>
      <c r="C1346" s="19">
        <v>27</v>
      </c>
      <c r="D1346" s="18" t="s">
        <v>153</v>
      </c>
      <c r="E1346" s="13">
        <v>2</v>
      </c>
      <c r="F1346" s="12" t="s">
        <v>152</v>
      </c>
      <c r="G1346" s="12">
        <v>81897719002</v>
      </c>
      <c r="H1346" s="11">
        <v>6.7876799999999999</v>
      </c>
      <c r="I1346" s="11">
        <f t="shared" si="163"/>
        <v>13.57536</v>
      </c>
      <c r="J1346" s="11">
        <f t="shared" si="165"/>
        <v>6.7876799999999999</v>
      </c>
      <c r="K1346" s="11">
        <f t="shared" si="164"/>
        <v>13.57536</v>
      </c>
      <c r="L1346" s="10">
        <v>0</v>
      </c>
      <c r="N1346" s="118">
        <f t="shared" si="158"/>
        <v>0</v>
      </c>
      <c r="O1346" s="118">
        <f t="shared" si="159"/>
        <v>6.7876799999999999</v>
      </c>
    </row>
    <row r="1347" spans="1:15" x14ac:dyDescent="0.25">
      <c r="A1347" s="32" t="s">
        <v>713</v>
      </c>
      <c r="B1347" t="s">
        <v>711</v>
      </c>
      <c r="C1347" s="19">
        <v>28</v>
      </c>
      <c r="D1347" s="18" t="s">
        <v>712</v>
      </c>
      <c r="E1347" s="13">
        <v>1</v>
      </c>
      <c r="F1347" t="s">
        <v>711</v>
      </c>
      <c r="G1347" s="12">
        <v>81897719002</v>
      </c>
      <c r="H1347" s="11">
        <v>26.2912</v>
      </c>
      <c r="I1347" s="11">
        <f t="shared" si="163"/>
        <v>26.2912</v>
      </c>
      <c r="J1347" s="11">
        <f t="shared" si="165"/>
        <v>26.2912</v>
      </c>
      <c r="K1347" s="11">
        <f t="shared" si="164"/>
        <v>26.2912</v>
      </c>
      <c r="L1347" s="10">
        <v>0</v>
      </c>
      <c r="N1347" s="118">
        <f t="shared" si="158"/>
        <v>0</v>
      </c>
      <c r="O1347" s="118">
        <f t="shared" si="159"/>
        <v>26.2912</v>
      </c>
    </row>
    <row r="1348" spans="1:15" x14ac:dyDescent="0.25">
      <c r="A1348" s="32" t="s">
        <v>710</v>
      </c>
      <c r="B1348" t="s">
        <v>708</v>
      </c>
      <c r="C1348" s="19">
        <v>29</v>
      </c>
      <c r="D1348" s="18" t="s">
        <v>709</v>
      </c>
      <c r="E1348" s="13">
        <v>1</v>
      </c>
      <c r="F1348" s="12" t="s">
        <v>708</v>
      </c>
      <c r="G1348" s="12">
        <v>81897719002</v>
      </c>
      <c r="H1348" s="11">
        <v>145.61279999999999</v>
      </c>
      <c r="I1348" s="11">
        <f t="shared" si="163"/>
        <v>145.61279999999999</v>
      </c>
      <c r="J1348" s="11">
        <f t="shared" si="165"/>
        <v>145.61279999999999</v>
      </c>
      <c r="K1348" s="11">
        <f t="shared" si="164"/>
        <v>145.61279999999999</v>
      </c>
      <c r="L1348" s="10">
        <v>0</v>
      </c>
      <c r="N1348" s="118">
        <f t="shared" ref="N1348:N1411" si="166">H1348*L1348</f>
        <v>0</v>
      </c>
      <c r="O1348" s="118">
        <f t="shared" ref="O1348:O1411" si="167">H1348-N1348</f>
        <v>145.61279999999999</v>
      </c>
    </row>
    <row r="1349" spans="1:15" x14ac:dyDescent="0.25">
      <c r="A1349" s="32" t="s">
        <v>707</v>
      </c>
      <c r="B1349" t="s">
        <v>378</v>
      </c>
      <c r="C1349" s="19">
        <v>30</v>
      </c>
      <c r="D1349" s="18" t="s">
        <v>379</v>
      </c>
      <c r="E1349" s="13">
        <v>2</v>
      </c>
      <c r="F1349" s="12" t="s">
        <v>378</v>
      </c>
      <c r="G1349" s="12">
        <v>81897719002</v>
      </c>
      <c r="H1349" s="11">
        <v>11.64776</v>
      </c>
      <c r="I1349" s="11">
        <f t="shared" si="163"/>
        <v>23.29552</v>
      </c>
      <c r="J1349" s="11">
        <f t="shared" si="165"/>
        <v>11.64776</v>
      </c>
      <c r="K1349" s="11">
        <f t="shared" si="164"/>
        <v>23.29552</v>
      </c>
      <c r="L1349" s="10">
        <v>0</v>
      </c>
      <c r="N1349" s="118">
        <f t="shared" si="166"/>
        <v>0</v>
      </c>
      <c r="O1349" s="118">
        <f t="shared" si="167"/>
        <v>11.64776</v>
      </c>
    </row>
    <row r="1350" spans="1:15" x14ac:dyDescent="0.25">
      <c r="A1350" s="32" t="s">
        <v>706</v>
      </c>
      <c r="B1350" t="s">
        <v>251</v>
      </c>
      <c r="C1350" s="19">
        <v>31</v>
      </c>
      <c r="D1350" s="18" t="s">
        <v>252</v>
      </c>
      <c r="E1350" s="13">
        <v>2</v>
      </c>
      <c r="F1350" s="12" t="s">
        <v>251</v>
      </c>
      <c r="G1350" s="12">
        <v>81897719002</v>
      </c>
      <c r="H1350" s="11">
        <v>12.6084</v>
      </c>
      <c r="I1350" s="11">
        <f t="shared" si="163"/>
        <v>25.216799999999999</v>
      </c>
      <c r="J1350" s="11">
        <f t="shared" si="165"/>
        <v>12.6084</v>
      </c>
      <c r="K1350" s="11">
        <f t="shared" si="164"/>
        <v>25.216799999999999</v>
      </c>
      <c r="L1350" s="10">
        <v>0</v>
      </c>
      <c r="N1350" s="118">
        <f t="shared" si="166"/>
        <v>0</v>
      </c>
      <c r="O1350" s="118">
        <f t="shared" si="167"/>
        <v>12.6084</v>
      </c>
    </row>
    <row r="1351" spans="1:15" x14ac:dyDescent="0.25">
      <c r="A1351" s="32" t="s">
        <v>705</v>
      </c>
      <c r="B1351" t="s">
        <v>128</v>
      </c>
      <c r="C1351" s="19">
        <v>32</v>
      </c>
      <c r="D1351" s="18" t="s">
        <v>129</v>
      </c>
      <c r="E1351" s="13">
        <v>2</v>
      </c>
      <c r="F1351" s="12" t="s">
        <v>128</v>
      </c>
      <c r="G1351" s="12">
        <v>81897719002</v>
      </c>
      <c r="H1351" s="11">
        <v>15.05424</v>
      </c>
      <c r="I1351" s="11">
        <f t="shared" si="163"/>
        <v>30.10848</v>
      </c>
      <c r="J1351" s="11">
        <f t="shared" si="165"/>
        <v>15.05424</v>
      </c>
      <c r="K1351" s="11">
        <f t="shared" si="164"/>
        <v>30.10848</v>
      </c>
      <c r="L1351" s="10">
        <v>0</v>
      </c>
      <c r="N1351" s="118">
        <f t="shared" si="166"/>
        <v>0</v>
      </c>
      <c r="O1351" s="118">
        <f t="shared" si="167"/>
        <v>15.05424</v>
      </c>
    </row>
    <row r="1352" spans="1:15" x14ac:dyDescent="0.25">
      <c r="A1352" s="32" t="s">
        <v>704</v>
      </c>
      <c r="B1352" t="s">
        <v>119</v>
      </c>
      <c r="C1352" s="19">
        <v>33</v>
      </c>
      <c r="D1352" s="18" t="s">
        <v>120</v>
      </c>
      <c r="E1352" s="13">
        <v>5</v>
      </c>
      <c r="F1352" s="12" t="s">
        <v>119</v>
      </c>
      <c r="G1352" s="12">
        <v>81897719002</v>
      </c>
      <c r="H1352" s="11">
        <v>12.147040000000001</v>
      </c>
      <c r="I1352" s="11">
        <f t="shared" ref="I1352:I1383" si="168">H1352*E1352</f>
        <v>60.735200000000006</v>
      </c>
      <c r="J1352" s="11">
        <f t="shared" si="165"/>
        <v>12.147040000000001</v>
      </c>
      <c r="K1352" s="11">
        <f t="shared" ref="K1352:K1383" si="169">J1352*E1352</f>
        <v>60.735200000000006</v>
      </c>
      <c r="L1352" s="10">
        <v>0</v>
      </c>
      <c r="N1352" s="118">
        <f t="shared" si="166"/>
        <v>0</v>
      </c>
      <c r="O1352" s="118">
        <f t="shared" si="167"/>
        <v>12.147040000000001</v>
      </c>
    </row>
    <row r="1353" spans="1:15" x14ac:dyDescent="0.25">
      <c r="A1353" s="32" t="s">
        <v>703</v>
      </c>
      <c r="B1353" t="s">
        <v>116</v>
      </c>
      <c r="C1353" s="19">
        <v>34</v>
      </c>
      <c r="D1353" s="18" t="s">
        <v>117</v>
      </c>
      <c r="E1353" s="13">
        <v>5</v>
      </c>
      <c r="F1353" s="12" t="s">
        <v>116</v>
      </c>
      <c r="G1353" s="12">
        <v>81897719002</v>
      </c>
      <c r="H1353" s="11">
        <v>14.06832</v>
      </c>
      <c r="I1353" s="11">
        <f t="shared" si="168"/>
        <v>70.3416</v>
      </c>
      <c r="J1353" s="11">
        <f t="shared" si="165"/>
        <v>14.06832</v>
      </c>
      <c r="K1353" s="11">
        <f t="shared" si="169"/>
        <v>70.3416</v>
      </c>
      <c r="L1353" s="10">
        <v>0</v>
      </c>
      <c r="N1353" s="118">
        <f t="shared" si="166"/>
        <v>0</v>
      </c>
      <c r="O1353" s="118">
        <f t="shared" si="167"/>
        <v>14.06832</v>
      </c>
    </row>
    <row r="1354" spans="1:15" x14ac:dyDescent="0.25">
      <c r="A1354" s="32" t="s">
        <v>702</v>
      </c>
      <c r="B1354" t="s">
        <v>256</v>
      </c>
      <c r="C1354" s="19">
        <v>35</v>
      </c>
      <c r="D1354" s="18" t="s">
        <v>257</v>
      </c>
      <c r="E1354" s="13">
        <v>5</v>
      </c>
      <c r="F1354" s="12" t="s">
        <v>256</v>
      </c>
      <c r="G1354" s="12">
        <v>81897719002</v>
      </c>
      <c r="H1354" s="11">
        <v>12.147040000000001</v>
      </c>
      <c r="I1354" s="11">
        <f t="shared" si="168"/>
        <v>60.735200000000006</v>
      </c>
      <c r="J1354" s="11">
        <f t="shared" si="165"/>
        <v>12.147040000000001</v>
      </c>
      <c r="K1354" s="11">
        <f t="shared" si="169"/>
        <v>60.735200000000006</v>
      </c>
      <c r="L1354" s="10">
        <v>0</v>
      </c>
      <c r="N1354" s="118">
        <f t="shared" si="166"/>
        <v>0</v>
      </c>
      <c r="O1354" s="118">
        <f t="shared" si="167"/>
        <v>12.147040000000001</v>
      </c>
    </row>
    <row r="1355" spans="1:15" x14ac:dyDescent="0.25">
      <c r="A1355" s="32" t="s">
        <v>701</v>
      </c>
      <c r="B1355" t="s">
        <v>259</v>
      </c>
      <c r="C1355" s="19">
        <v>36</v>
      </c>
      <c r="D1355" s="18" t="s">
        <v>260</v>
      </c>
      <c r="E1355" s="13">
        <v>5</v>
      </c>
      <c r="F1355" s="12" t="s">
        <v>259</v>
      </c>
      <c r="G1355" s="12">
        <v>81897719002</v>
      </c>
      <c r="H1355" s="11">
        <v>11.64776</v>
      </c>
      <c r="I1355" s="11">
        <f t="shared" si="168"/>
        <v>58.238799999999998</v>
      </c>
      <c r="J1355" s="11">
        <f t="shared" si="165"/>
        <v>11.64776</v>
      </c>
      <c r="K1355" s="11">
        <f t="shared" si="169"/>
        <v>58.238799999999998</v>
      </c>
      <c r="L1355" s="10">
        <v>0</v>
      </c>
      <c r="N1355" s="118">
        <f t="shared" si="166"/>
        <v>0</v>
      </c>
      <c r="O1355" s="118">
        <f t="shared" si="167"/>
        <v>11.64776</v>
      </c>
    </row>
    <row r="1356" spans="1:15" x14ac:dyDescent="0.25">
      <c r="A1356" s="32" t="s">
        <v>700</v>
      </c>
      <c r="B1356" t="s">
        <v>107</v>
      </c>
      <c r="C1356" s="19">
        <v>37</v>
      </c>
      <c r="D1356" s="18" t="s">
        <v>108</v>
      </c>
      <c r="E1356" s="13">
        <v>1</v>
      </c>
      <c r="F1356" s="12" t="s">
        <v>107</v>
      </c>
      <c r="G1356" s="12">
        <v>81897719002</v>
      </c>
      <c r="H1356" s="11">
        <v>16.975519999999999</v>
      </c>
      <c r="I1356" s="11">
        <f t="shared" si="168"/>
        <v>16.975519999999999</v>
      </c>
      <c r="J1356" s="11">
        <f t="shared" si="165"/>
        <v>16.975519999999999</v>
      </c>
      <c r="K1356" s="11">
        <f t="shared" si="169"/>
        <v>16.975519999999999</v>
      </c>
      <c r="L1356" s="10">
        <v>0</v>
      </c>
      <c r="N1356" s="118">
        <f t="shared" si="166"/>
        <v>0</v>
      </c>
      <c r="O1356" s="118">
        <f t="shared" si="167"/>
        <v>16.975519999999999</v>
      </c>
    </row>
    <row r="1357" spans="1:15" x14ac:dyDescent="0.25">
      <c r="A1357" s="32" t="s">
        <v>699</v>
      </c>
      <c r="B1357" t="s">
        <v>697</v>
      </c>
      <c r="C1357" s="19">
        <v>38</v>
      </c>
      <c r="D1357" s="18" t="s">
        <v>698</v>
      </c>
      <c r="E1357" s="13">
        <v>1</v>
      </c>
      <c r="F1357" s="12" t="s">
        <v>697</v>
      </c>
      <c r="G1357" s="12" t="s">
        <v>695</v>
      </c>
      <c r="H1357" s="11">
        <v>53.378720000000001</v>
      </c>
      <c r="I1357" s="11">
        <f t="shared" si="168"/>
        <v>53.378720000000001</v>
      </c>
      <c r="J1357" s="11">
        <f t="shared" si="165"/>
        <v>53.378720000000001</v>
      </c>
      <c r="K1357" s="11">
        <f t="shared" si="169"/>
        <v>53.378720000000001</v>
      </c>
      <c r="L1357" s="10">
        <v>0</v>
      </c>
      <c r="N1357" s="118">
        <f t="shared" si="166"/>
        <v>0</v>
      </c>
      <c r="O1357" s="118">
        <f t="shared" si="167"/>
        <v>53.378720000000001</v>
      </c>
    </row>
    <row r="1358" spans="1:15" x14ac:dyDescent="0.25">
      <c r="A1358" s="32" t="s">
        <v>696</v>
      </c>
      <c r="B1358" t="s">
        <v>457</v>
      </c>
      <c r="C1358" s="19">
        <v>39</v>
      </c>
      <c r="D1358" s="18" t="s">
        <v>458</v>
      </c>
      <c r="E1358" s="13">
        <v>1</v>
      </c>
      <c r="F1358" s="12" t="s">
        <v>457</v>
      </c>
      <c r="G1358" s="12" t="s">
        <v>695</v>
      </c>
      <c r="H1358" s="11">
        <v>55.830880000000001</v>
      </c>
      <c r="I1358" s="11">
        <f t="shared" si="168"/>
        <v>55.830880000000001</v>
      </c>
      <c r="J1358" s="11">
        <f t="shared" si="165"/>
        <v>55.830880000000001</v>
      </c>
      <c r="K1358" s="11">
        <f t="shared" si="169"/>
        <v>55.830880000000001</v>
      </c>
      <c r="L1358" s="10">
        <v>0</v>
      </c>
      <c r="N1358" s="118">
        <f t="shared" si="166"/>
        <v>0</v>
      </c>
      <c r="O1358" s="118">
        <f t="shared" si="167"/>
        <v>55.830880000000001</v>
      </c>
    </row>
    <row r="1359" spans="1:15" x14ac:dyDescent="0.25">
      <c r="A1359" s="32" t="s">
        <v>694</v>
      </c>
      <c r="B1359" t="s">
        <v>586</v>
      </c>
      <c r="C1359" s="19">
        <v>40</v>
      </c>
      <c r="D1359" s="18" t="s">
        <v>587</v>
      </c>
      <c r="E1359" s="13">
        <v>1</v>
      </c>
      <c r="F1359" s="12" t="s">
        <v>586</v>
      </c>
      <c r="G1359" s="12">
        <v>81897719002</v>
      </c>
      <c r="H1359" s="11">
        <v>14.56128</v>
      </c>
      <c r="I1359" s="11">
        <f t="shared" si="168"/>
        <v>14.56128</v>
      </c>
      <c r="J1359" s="11">
        <f t="shared" si="165"/>
        <v>14.56128</v>
      </c>
      <c r="K1359" s="11">
        <f t="shared" si="169"/>
        <v>14.56128</v>
      </c>
      <c r="L1359" s="10">
        <v>0</v>
      </c>
      <c r="N1359" s="118">
        <f t="shared" si="166"/>
        <v>0</v>
      </c>
      <c r="O1359" s="118">
        <f t="shared" si="167"/>
        <v>14.56128</v>
      </c>
    </row>
    <row r="1360" spans="1:15" x14ac:dyDescent="0.25">
      <c r="A1360" s="32" t="s">
        <v>693</v>
      </c>
      <c r="B1360" t="s">
        <v>691</v>
      </c>
      <c r="C1360" s="19">
        <v>41</v>
      </c>
      <c r="D1360" s="18" t="s">
        <v>692</v>
      </c>
      <c r="E1360" s="13">
        <v>1</v>
      </c>
      <c r="F1360" s="12" t="s">
        <v>691</v>
      </c>
      <c r="G1360" s="12">
        <v>81897719002</v>
      </c>
      <c r="H1360" s="11">
        <v>14.56128</v>
      </c>
      <c r="I1360" s="11">
        <f t="shared" si="168"/>
        <v>14.56128</v>
      </c>
      <c r="J1360" s="11">
        <f t="shared" si="165"/>
        <v>14.56128</v>
      </c>
      <c r="K1360" s="11">
        <f t="shared" si="169"/>
        <v>14.56128</v>
      </c>
      <c r="L1360" s="10">
        <v>0</v>
      </c>
      <c r="N1360" s="118">
        <f t="shared" si="166"/>
        <v>0</v>
      </c>
      <c r="O1360" s="118">
        <f t="shared" si="167"/>
        <v>14.56128</v>
      </c>
    </row>
    <row r="1361" spans="1:15" x14ac:dyDescent="0.25">
      <c r="A1361" s="32" t="s">
        <v>690</v>
      </c>
      <c r="B1361" t="s">
        <v>688</v>
      </c>
      <c r="C1361" s="19">
        <v>42</v>
      </c>
      <c r="D1361" s="18" t="s">
        <v>689</v>
      </c>
      <c r="E1361" s="13">
        <v>1</v>
      </c>
      <c r="F1361" s="12" t="s">
        <v>688</v>
      </c>
      <c r="G1361" s="12">
        <v>81897719002</v>
      </c>
      <c r="H1361" s="11">
        <v>174.73536000000001</v>
      </c>
      <c r="I1361" s="11">
        <f t="shared" si="168"/>
        <v>174.73536000000001</v>
      </c>
      <c r="J1361" s="11">
        <f t="shared" si="165"/>
        <v>174.73536000000001</v>
      </c>
      <c r="K1361" s="11">
        <f t="shared" si="169"/>
        <v>174.73536000000001</v>
      </c>
      <c r="L1361" s="10">
        <v>0</v>
      </c>
      <c r="N1361" s="118">
        <f t="shared" si="166"/>
        <v>0</v>
      </c>
      <c r="O1361" s="118">
        <f t="shared" si="167"/>
        <v>174.73536000000001</v>
      </c>
    </row>
    <row r="1362" spans="1:15" x14ac:dyDescent="0.25">
      <c r="A1362" s="32" t="s">
        <v>687</v>
      </c>
      <c r="B1362" t="s">
        <v>101</v>
      </c>
      <c r="C1362" s="19">
        <v>43</v>
      </c>
      <c r="D1362" s="18" t="s">
        <v>102</v>
      </c>
      <c r="E1362" s="13">
        <v>1</v>
      </c>
      <c r="F1362" s="12" t="s">
        <v>101</v>
      </c>
      <c r="G1362" s="12">
        <v>81897719002</v>
      </c>
      <c r="H1362" s="11">
        <v>2.6796800000000003</v>
      </c>
      <c r="I1362" s="11">
        <f t="shared" si="168"/>
        <v>2.6796800000000003</v>
      </c>
      <c r="J1362" s="11">
        <f t="shared" si="165"/>
        <v>2.6796800000000003</v>
      </c>
      <c r="K1362" s="11">
        <f t="shared" si="169"/>
        <v>2.6796800000000003</v>
      </c>
      <c r="L1362" s="10">
        <v>0</v>
      </c>
      <c r="N1362" s="118">
        <f t="shared" si="166"/>
        <v>0</v>
      </c>
      <c r="O1362" s="118">
        <f t="shared" si="167"/>
        <v>2.6796800000000003</v>
      </c>
    </row>
    <row r="1363" spans="1:15" x14ac:dyDescent="0.25">
      <c r="A1363" s="32" t="s">
        <v>686</v>
      </c>
      <c r="B1363" t="s">
        <v>684</v>
      </c>
      <c r="C1363" s="19">
        <v>44</v>
      </c>
      <c r="D1363" s="18" t="s">
        <v>685</v>
      </c>
      <c r="E1363" s="13">
        <v>1</v>
      </c>
      <c r="F1363" s="12" t="s">
        <v>684</v>
      </c>
      <c r="G1363" s="12">
        <v>81897719002</v>
      </c>
      <c r="H1363" s="11">
        <v>9.6948800000000013</v>
      </c>
      <c r="I1363" s="11">
        <f t="shared" si="168"/>
        <v>9.6948800000000013</v>
      </c>
      <c r="J1363" s="11">
        <f t="shared" si="165"/>
        <v>9.6948800000000013</v>
      </c>
      <c r="K1363" s="11">
        <f t="shared" si="169"/>
        <v>9.6948800000000013</v>
      </c>
      <c r="L1363" s="10">
        <v>0</v>
      </c>
      <c r="N1363" s="118">
        <f t="shared" si="166"/>
        <v>0</v>
      </c>
      <c r="O1363" s="118">
        <f t="shared" si="167"/>
        <v>9.6948800000000013</v>
      </c>
    </row>
    <row r="1364" spans="1:15" x14ac:dyDescent="0.25">
      <c r="A1364" s="32" t="s">
        <v>683</v>
      </c>
      <c r="B1364" t="s">
        <v>442</v>
      </c>
      <c r="C1364" s="19">
        <v>45</v>
      </c>
      <c r="D1364" s="18" t="s">
        <v>443</v>
      </c>
      <c r="E1364" s="13">
        <v>1</v>
      </c>
      <c r="F1364" s="12" t="s">
        <v>442</v>
      </c>
      <c r="G1364" s="12">
        <v>81897719002</v>
      </c>
      <c r="H1364" s="11">
        <v>9.088160000000002</v>
      </c>
      <c r="I1364" s="11">
        <f t="shared" si="168"/>
        <v>9.088160000000002</v>
      </c>
      <c r="J1364" s="11">
        <f t="shared" si="165"/>
        <v>9.088160000000002</v>
      </c>
      <c r="K1364" s="11">
        <f t="shared" si="169"/>
        <v>9.088160000000002</v>
      </c>
      <c r="L1364" s="10">
        <v>0</v>
      </c>
      <c r="N1364" s="118">
        <f t="shared" si="166"/>
        <v>0</v>
      </c>
      <c r="O1364" s="118">
        <f t="shared" si="167"/>
        <v>9.088160000000002</v>
      </c>
    </row>
    <row r="1365" spans="1:15" x14ac:dyDescent="0.25">
      <c r="A1365" s="32" t="s">
        <v>682</v>
      </c>
      <c r="B1365" t="s">
        <v>183</v>
      </c>
      <c r="C1365" s="19">
        <v>46</v>
      </c>
      <c r="D1365" s="18" t="s">
        <v>184</v>
      </c>
      <c r="E1365" s="13">
        <v>1</v>
      </c>
      <c r="F1365" s="12" t="s">
        <v>183</v>
      </c>
      <c r="G1365" s="12">
        <v>81897719002</v>
      </c>
      <c r="H1365" s="11">
        <v>13.948239999999998</v>
      </c>
      <c r="I1365" s="11">
        <f t="shared" si="168"/>
        <v>13.948239999999998</v>
      </c>
      <c r="J1365" s="11">
        <f t="shared" si="165"/>
        <v>13.948239999999998</v>
      </c>
      <c r="K1365" s="11">
        <f t="shared" si="169"/>
        <v>13.948239999999998</v>
      </c>
      <c r="L1365" s="10">
        <v>0</v>
      </c>
      <c r="N1365" s="118">
        <f t="shared" si="166"/>
        <v>0</v>
      </c>
      <c r="O1365" s="118">
        <f t="shared" si="167"/>
        <v>13.948239999999998</v>
      </c>
    </row>
    <row r="1366" spans="1:15" x14ac:dyDescent="0.25">
      <c r="A1366" s="32" t="s">
        <v>681</v>
      </c>
      <c r="B1366" t="s">
        <v>89</v>
      </c>
      <c r="C1366" s="19">
        <v>47</v>
      </c>
      <c r="D1366" s="18" t="s">
        <v>90</v>
      </c>
      <c r="E1366" s="13">
        <v>1</v>
      </c>
      <c r="F1366" s="12" t="s">
        <v>89</v>
      </c>
      <c r="G1366" s="12">
        <v>81897719002</v>
      </c>
      <c r="H1366" s="11">
        <v>13.948239999999998</v>
      </c>
      <c r="I1366" s="11">
        <f t="shared" si="168"/>
        <v>13.948239999999998</v>
      </c>
      <c r="J1366" s="11">
        <f t="shared" si="165"/>
        <v>13.948239999999998</v>
      </c>
      <c r="K1366" s="11">
        <f t="shared" si="169"/>
        <v>13.948239999999998</v>
      </c>
      <c r="L1366" s="10">
        <v>0</v>
      </c>
      <c r="N1366" s="118">
        <f t="shared" si="166"/>
        <v>0</v>
      </c>
      <c r="O1366" s="118">
        <f t="shared" si="167"/>
        <v>13.948239999999998</v>
      </c>
    </row>
    <row r="1367" spans="1:15" x14ac:dyDescent="0.25">
      <c r="A1367" s="32" t="s">
        <v>680</v>
      </c>
      <c r="B1367" t="s">
        <v>678</v>
      </c>
      <c r="C1367" s="19">
        <v>48</v>
      </c>
      <c r="D1367" s="18" t="s">
        <v>679</v>
      </c>
      <c r="E1367" s="13">
        <v>1</v>
      </c>
      <c r="F1367" s="12" t="s">
        <v>678</v>
      </c>
      <c r="G1367" s="12">
        <v>81897719002</v>
      </c>
      <c r="H1367" s="11">
        <v>13.366799999999998</v>
      </c>
      <c r="I1367" s="11">
        <f t="shared" si="168"/>
        <v>13.366799999999998</v>
      </c>
      <c r="J1367" s="11">
        <f t="shared" si="165"/>
        <v>13.366799999999998</v>
      </c>
      <c r="K1367" s="11">
        <f t="shared" si="169"/>
        <v>13.366799999999998</v>
      </c>
      <c r="L1367" s="10">
        <v>0</v>
      </c>
      <c r="N1367" s="118">
        <f t="shared" si="166"/>
        <v>0</v>
      </c>
      <c r="O1367" s="118">
        <f t="shared" si="167"/>
        <v>13.366799999999998</v>
      </c>
    </row>
    <row r="1368" spans="1:15" x14ac:dyDescent="0.25">
      <c r="A1368" s="32" t="s">
        <v>677</v>
      </c>
      <c r="B1368" t="s">
        <v>86</v>
      </c>
      <c r="C1368" s="19">
        <v>49</v>
      </c>
      <c r="D1368" s="18" t="s">
        <v>45</v>
      </c>
      <c r="E1368" s="13">
        <v>1</v>
      </c>
      <c r="F1368" s="12" t="s">
        <v>44</v>
      </c>
      <c r="G1368" s="12" t="s">
        <v>427</v>
      </c>
      <c r="H1368" s="11">
        <v>277.06880000000001</v>
      </c>
      <c r="I1368" s="11">
        <f t="shared" si="168"/>
        <v>277.06880000000001</v>
      </c>
      <c r="J1368" s="11">
        <f t="shared" si="165"/>
        <v>277.06880000000001</v>
      </c>
      <c r="K1368" s="11">
        <f t="shared" si="169"/>
        <v>277.06880000000001</v>
      </c>
      <c r="L1368" s="10">
        <v>0</v>
      </c>
      <c r="N1368" s="118">
        <f t="shared" si="166"/>
        <v>0</v>
      </c>
      <c r="O1368" s="118">
        <f t="shared" si="167"/>
        <v>277.06880000000001</v>
      </c>
    </row>
    <row r="1369" spans="1:15" x14ac:dyDescent="0.25">
      <c r="A1369" s="32" t="s">
        <v>676</v>
      </c>
      <c r="B1369" t="s">
        <v>86</v>
      </c>
      <c r="C1369" s="19">
        <v>50</v>
      </c>
      <c r="D1369" s="18" t="s">
        <v>87</v>
      </c>
      <c r="E1369" s="13">
        <v>1</v>
      </c>
      <c r="F1369" s="12" t="s">
        <v>86</v>
      </c>
      <c r="G1369" s="12" t="s">
        <v>427</v>
      </c>
      <c r="H1369" s="11">
        <v>392.26343999999995</v>
      </c>
      <c r="I1369" s="11">
        <f t="shared" si="168"/>
        <v>392.26343999999995</v>
      </c>
      <c r="J1369" s="11">
        <f t="shared" si="165"/>
        <v>392.26343999999995</v>
      </c>
      <c r="K1369" s="11">
        <f t="shared" si="169"/>
        <v>392.26343999999995</v>
      </c>
      <c r="L1369" s="10">
        <v>0</v>
      </c>
      <c r="N1369" s="118">
        <f t="shared" si="166"/>
        <v>0</v>
      </c>
      <c r="O1369" s="118">
        <f t="shared" si="167"/>
        <v>392.26343999999995</v>
      </c>
    </row>
    <row r="1370" spans="1:15" x14ac:dyDescent="0.25">
      <c r="B1370" t="s">
        <v>576</v>
      </c>
      <c r="C1370" s="19">
        <v>51</v>
      </c>
      <c r="D1370" s="18" t="s">
        <v>577</v>
      </c>
      <c r="E1370" s="13">
        <v>1</v>
      </c>
      <c r="F1370" s="12" t="s">
        <v>576</v>
      </c>
      <c r="G1370" s="12" t="s">
        <v>427</v>
      </c>
      <c r="H1370" s="11">
        <v>425.91744</v>
      </c>
      <c r="I1370" s="11">
        <f t="shared" si="168"/>
        <v>425.91744</v>
      </c>
      <c r="J1370" s="11">
        <f t="shared" si="165"/>
        <v>425.91744</v>
      </c>
      <c r="K1370" s="11">
        <f t="shared" si="169"/>
        <v>425.91744</v>
      </c>
      <c r="L1370" s="10">
        <v>0</v>
      </c>
      <c r="N1370" s="118">
        <f t="shared" si="166"/>
        <v>0</v>
      </c>
      <c r="O1370" s="118">
        <f t="shared" si="167"/>
        <v>425.91744</v>
      </c>
    </row>
    <row r="1371" spans="1:15" x14ac:dyDescent="0.25">
      <c r="B1371" t="s">
        <v>574</v>
      </c>
      <c r="C1371" s="19">
        <v>52</v>
      </c>
      <c r="D1371" s="18" t="s">
        <v>575</v>
      </c>
      <c r="E1371" s="13">
        <v>2</v>
      </c>
      <c r="F1371" s="12" t="s">
        <v>574</v>
      </c>
      <c r="G1371" s="12" t="s">
        <v>427</v>
      </c>
      <c r="H1371" s="11">
        <v>6.8761600000000005</v>
      </c>
      <c r="I1371" s="11">
        <f t="shared" si="168"/>
        <v>13.752320000000001</v>
      </c>
      <c r="J1371" s="11">
        <f t="shared" si="165"/>
        <v>6.8761600000000005</v>
      </c>
      <c r="K1371" s="11">
        <f t="shared" si="169"/>
        <v>13.752320000000001</v>
      </c>
      <c r="L1371" s="10">
        <v>0</v>
      </c>
      <c r="N1371" s="118">
        <f t="shared" si="166"/>
        <v>0</v>
      </c>
      <c r="O1371" s="118">
        <f t="shared" si="167"/>
        <v>6.8761600000000005</v>
      </c>
    </row>
    <row r="1372" spans="1:15" x14ac:dyDescent="0.25">
      <c r="C1372" s="9"/>
      <c r="D1372" s="8" t="s">
        <v>1</v>
      </c>
      <c r="E1372" s="8">
        <f>SUM(E1320:E1371)</f>
        <v>80</v>
      </c>
      <c r="F1372" s="8"/>
      <c r="G1372" s="8"/>
      <c r="H1372" s="7"/>
      <c r="I1372" s="7">
        <f>SUM(I1320:I1371)</f>
        <v>3193.0662399999997</v>
      </c>
      <c r="J1372" s="8"/>
      <c r="K1372" s="7">
        <f>SUM(K1320:K1371)</f>
        <v>3193.0662399999997</v>
      </c>
      <c r="L1372" s="6"/>
      <c r="N1372" s="118">
        <f t="shared" si="166"/>
        <v>0</v>
      </c>
      <c r="O1372" s="118">
        <f t="shared" si="167"/>
        <v>0</v>
      </c>
    </row>
    <row r="1373" spans="1:15" x14ac:dyDescent="0.25">
      <c r="D1373" t="s">
        <v>0</v>
      </c>
      <c r="N1373" s="118">
        <f t="shared" si="166"/>
        <v>0</v>
      </c>
      <c r="O1373" s="118">
        <f t="shared" si="167"/>
        <v>0</v>
      </c>
    </row>
    <row r="1374" spans="1:15" x14ac:dyDescent="0.25">
      <c r="C1374" s="37"/>
      <c r="D1374" s="24" t="s">
        <v>675</v>
      </c>
      <c r="N1374" s="118">
        <f t="shared" si="166"/>
        <v>0</v>
      </c>
      <c r="O1374" s="118">
        <f t="shared" si="167"/>
        <v>0</v>
      </c>
    </row>
    <row r="1375" spans="1:15" ht="30" x14ac:dyDescent="0.25">
      <c r="C1375" s="24" t="s">
        <v>28</v>
      </c>
      <c r="D1375" s="24" t="s">
        <v>27</v>
      </c>
      <c r="E1375" s="24" t="s">
        <v>26</v>
      </c>
      <c r="F1375" s="24" t="s">
        <v>25</v>
      </c>
      <c r="G1375" s="24" t="s">
        <v>24</v>
      </c>
      <c r="H1375" s="116" t="s">
        <v>21</v>
      </c>
      <c r="I1375" s="24" t="s">
        <v>23</v>
      </c>
      <c r="J1375" s="24" t="s">
        <v>2928</v>
      </c>
      <c r="K1375" s="24" t="s">
        <v>2927</v>
      </c>
      <c r="L1375" s="23" t="s">
        <v>22</v>
      </c>
      <c r="N1375" s="118" t="e">
        <f t="shared" si="166"/>
        <v>#VALUE!</v>
      </c>
      <c r="O1375" s="118" t="e">
        <f t="shared" si="167"/>
        <v>#VALUE!</v>
      </c>
    </row>
    <row r="1376" spans="1:15" x14ac:dyDescent="0.25">
      <c r="A1376" s="32" t="s">
        <v>674</v>
      </c>
      <c r="B1376" t="s">
        <v>672</v>
      </c>
      <c r="C1376" s="19">
        <v>1</v>
      </c>
      <c r="D1376" s="18" t="s">
        <v>673</v>
      </c>
      <c r="E1376" s="13">
        <v>2</v>
      </c>
      <c r="F1376" s="25" t="s">
        <v>672</v>
      </c>
      <c r="G1376" s="25">
        <v>81897719002</v>
      </c>
      <c r="H1376" s="11">
        <v>80.087040000000002</v>
      </c>
      <c r="I1376" s="11">
        <f t="shared" ref="I1376:I1383" si="170">H1376*E1376</f>
        <v>160.17408</v>
      </c>
      <c r="J1376" s="11">
        <f>O1376</f>
        <v>80.087040000000002</v>
      </c>
      <c r="K1376" s="11">
        <f t="shared" ref="K1376:K1383" si="171">J1376*E1376</f>
        <v>160.17408</v>
      </c>
      <c r="L1376" s="10">
        <v>0</v>
      </c>
      <c r="N1376" s="118">
        <f t="shared" si="166"/>
        <v>0</v>
      </c>
      <c r="O1376" s="118">
        <f t="shared" si="167"/>
        <v>80.087040000000002</v>
      </c>
    </row>
    <row r="1377" spans="1:15" x14ac:dyDescent="0.25">
      <c r="A1377" s="32" t="s">
        <v>671</v>
      </c>
      <c r="B1377" t="s">
        <v>309</v>
      </c>
      <c r="C1377" s="19">
        <v>2</v>
      </c>
      <c r="D1377" s="18" t="s">
        <v>310</v>
      </c>
      <c r="E1377" s="13">
        <v>2</v>
      </c>
      <c r="F1377" s="25" t="s">
        <v>309</v>
      </c>
      <c r="G1377" s="25">
        <v>81897719002</v>
      </c>
      <c r="H1377" s="11">
        <v>12.147040000000001</v>
      </c>
      <c r="I1377" s="11">
        <f t="shared" si="170"/>
        <v>24.294080000000001</v>
      </c>
      <c r="J1377" s="11">
        <f t="shared" ref="J1377:J1422" si="172">O1377</f>
        <v>12.147040000000001</v>
      </c>
      <c r="K1377" s="11">
        <f t="shared" si="171"/>
        <v>24.294080000000001</v>
      </c>
      <c r="L1377" s="10">
        <v>0</v>
      </c>
      <c r="N1377" s="118">
        <f t="shared" si="166"/>
        <v>0</v>
      </c>
      <c r="O1377" s="118">
        <f t="shared" si="167"/>
        <v>12.147040000000001</v>
      </c>
    </row>
    <row r="1378" spans="1:15" x14ac:dyDescent="0.25">
      <c r="A1378" s="35" t="s">
        <v>670</v>
      </c>
      <c r="B1378" t="s">
        <v>669</v>
      </c>
      <c r="C1378" s="19">
        <v>3</v>
      </c>
      <c r="D1378" s="18" t="s">
        <v>668</v>
      </c>
      <c r="E1378" s="13">
        <v>2</v>
      </c>
      <c r="F1378" s="25">
        <v>10448</v>
      </c>
      <c r="G1378" s="25">
        <v>81087610003</v>
      </c>
      <c r="H1378" s="11">
        <v>23.29552</v>
      </c>
      <c r="I1378" s="11">
        <f t="shared" si="170"/>
        <v>46.59104</v>
      </c>
      <c r="J1378" s="11">
        <f t="shared" si="172"/>
        <v>23.29552</v>
      </c>
      <c r="K1378" s="11">
        <f t="shared" si="171"/>
        <v>46.59104</v>
      </c>
      <c r="L1378" s="10">
        <v>0</v>
      </c>
      <c r="N1378" s="118">
        <f t="shared" si="166"/>
        <v>0</v>
      </c>
      <c r="O1378" s="118">
        <f t="shared" si="167"/>
        <v>23.29552</v>
      </c>
    </row>
    <row r="1379" spans="1:15" x14ac:dyDescent="0.25">
      <c r="A1379" s="35" t="s">
        <v>667</v>
      </c>
      <c r="B1379" t="s">
        <v>666</v>
      </c>
      <c r="C1379" s="19">
        <v>4</v>
      </c>
      <c r="D1379" s="18" t="s">
        <v>665</v>
      </c>
      <c r="E1379" s="13">
        <v>2</v>
      </c>
      <c r="F1379" s="25">
        <v>10450</v>
      </c>
      <c r="G1379" s="25">
        <v>81087610003</v>
      </c>
      <c r="H1379" s="11">
        <v>29.12256</v>
      </c>
      <c r="I1379" s="11">
        <f t="shared" si="170"/>
        <v>58.24512</v>
      </c>
      <c r="J1379" s="11">
        <f t="shared" si="172"/>
        <v>29.12256</v>
      </c>
      <c r="K1379" s="11">
        <f t="shared" si="171"/>
        <v>58.24512</v>
      </c>
      <c r="L1379" s="10">
        <v>0</v>
      </c>
      <c r="N1379" s="118">
        <f t="shared" si="166"/>
        <v>0</v>
      </c>
      <c r="O1379" s="118">
        <f t="shared" si="167"/>
        <v>29.12256</v>
      </c>
    </row>
    <row r="1380" spans="1:15" x14ac:dyDescent="0.25">
      <c r="A1380" s="35" t="s">
        <v>664</v>
      </c>
      <c r="B1380" t="s">
        <v>663</v>
      </c>
      <c r="C1380" s="19">
        <v>5</v>
      </c>
      <c r="D1380" s="18" t="s">
        <v>662</v>
      </c>
      <c r="E1380" s="13">
        <v>1</v>
      </c>
      <c r="F1380" s="25">
        <v>10447</v>
      </c>
      <c r="G1380" s="25">
        <v>81087610003</v>
      </c>
      <c r="H1380" s="11">
        <v>23.29552</v>
      </c>
      <c r="I1380" s="11">
        <f t="shared" si="170"/>
        <v>23.29552</v>
      </c>
      <c r="J1380" s="11">
        <f t="shared" si="172"/>
        <v>23.29552</v>
      </c>
      <c r="K1380" s="11">
        <f t="shared" si="171"/>
        <v>23.29552</v>
      </c>
      <c r="L1380" s="10">
        <v>0</v>
      </c>
      <c r="N1380" s="118">
        <f t="shared" si="166"/>
        <v>0</v>
      </c>
      <c r="O1380" s="118">
        <f t="shared" si="167"/>
        <v>23.29552</v>
      </c>
    </row>
    <row r="1381" spans="1:15" x14ac:dyDescent="0.25">
      <c r="A1381" s="35" t="s">
        <v>661</v>
      </c>
      <c r="B1381" t="s">
        <v>660</v>
      </c>
      <c r="C1381" s="19">
        <v>6</v>
      </c>
      <c r="D1381" s="18" t="s">
        <v>659</v>
      </c>
      <c r="E1381" s="13">
        <v>1</v>
      </c>
      <c r="F1381" s="25">
        <v>10449</v>
      </c>
      <c r="G1381" s="25">
        <v>81087610003</v>
      </c>
      <c r="H1381" s="11">
        <v>23.29552</v>
      </c>
      <c r="I1381" s="11">
        <f t="shared" si="170"/>
        <v>23.29552</v>
      </c>
      <c r="J1381" s="11">
        <f t="shared" si="172"/>
        <v>23.29552</v>
      </c>
      <c r="K1381" s="11">
        <f t="shared" si="171"/>
        <v>23.29552</v>
      </c>
      <c r="L1381" s="10">
        <v>0</v>
      </c>
      <c r="N1381" s="118">
        <f t="shared" si="166"/>
        <v>0</v>
      </c>
      <c r="O1381" s="118">
        <f t="shared" si="167"/>
        <v>23.29552</v>
      </c>
    </row>
    <row r="1382" spans="1:15" x14ac:dyDescent="0.25">
      <c r="A1382" s="32" t="s">
        <v>658</v>
      </c>
      <c r="B1382" t="s">
        <v>656</v>
      </c>
      <c r="C1382" s="19">
        <v>7</v>
      </c>
      <c r="D1382" s="18" t="s">
        <v>657</v>
      </c>
      <c r="E1382" s="13">
        <v>1</v>
      </c>
      <c r="F1382" s="25" t="s">
        <v>656</v>
      </c>
      <c r="G1382" s="25">
        <v>81897719002</v>
      </c>
      <c r="H1382" s="11">
        <v>160.17408</v>
      </c>
      <c r="I1382" s="11">
        <f t="shared" si="170"/>
        <v>160.17408</v>
      </c>
      <c r="J1382" s="11">
        <f t="shared" si="172"/>
        <v>160.17408</v>
      </c>
      <c r="K1382" s="11">
        <f t="shared" si="171"/>
        <v>160.17408</v>
      </c>
      <c r="L1382" s="10">
        <v>0</v>
      </c>
      <c r="N1382" s="118">
        <f t="shared" si="166"/>
        <v>0</v>
      </c>
      <c r="O1382" s="118">
        <f t="shared" si="167"/>
        <v>160.17408</v>
      </c>
    </row>
    <row r="1383" spans="1:15" x14ac:dyDescent="0.25">
      <c r="A1383" s="32" t="s">
        <v>655</v>
      </c>
      <c r="B1383" s="5" t="s">
        <v>653</v>
      </c>
      <c r="C1383" s="19">
        <v>8</v>
      </c>
      <c r="D1383" s="18" t="s">
        <v>654</v>
      </c>
      <c r="E1383" s="13">
        <v>1</v>
      </c>
      <c r="F1383" s="25" t="s">
        <v>653</v>
      </c>
      <c r="G1383" s="25">
        <v>81897719002</v>
      </c>
      <c r="H1383" s="11">
        <v>160.17408</v>
      </c>
      <c r="I1383" s="11">
        <f t="shared" si="170"/>
        <v>160.17408</v>
      </c>
      <c r="J1383" s="11">
        <f t="shared" si="172"/>
        <v>160.17408</v>
      </c>
      <c r="K1383" s="11">
        <f t="shared" si="171"/>
        <v>160.17408</v>
      </c>
      <c r="L1383" s="10">
        <v>0</v>
      </c>
      <c r="N1383" s="118">
        <f t="shared" si="166"/>
        <v>0</v>
      </c>
      <c r="O1383" s="118">
        <f t="shared" si="167"/>
        <v>160.17408</v>
      </c>
    </row>
    <row r="1384" spans="1:15" x14ac:dyDescent="0.25">
      <c r="A1384" s="34" t="s">
        <v>652</v>
      </c>
      <c r="B1384" t="s">
        <v>651</v>
      </c>
      <c r="C1384" s="19">
        <v>9</v>
      </c>
      <c r="D1384" s="18" t="s">
        <v>650</v>
      </c>
      <c r="E1384" s="13">
        <v>2</v>
      </c>
      <c r="F1384" s="25" t="s">
        <v>3056</v>
      </c>
      <c r="G1384" s="25">
        <v>81897719006</v>
      </c>
      <c r="H1384" s="11">
        <v>88.3536</v>
      </c>
      <c r="I1384" s="11">
        <v>218.44</v>
      </c>
      <c r="J1384" s="11">
        <f t="shared" si="172"/>
        <v>88.3536</v>
      </c>
      <c r="K1384" s="11">
        <v>257.75919999999996</v>
      </c>
      <c r="L1384" s="10">
        <v>0</v>
      </c>
      <c r="N1384" s="118">
        <f t="shared" si="166"/>
        <v>0</v>
      </c>
      <c r="O1384" s="118">
        <f t="shared" si="167"/>
        <v>88.3536</v>
      </c>
    </row>
    <row r="1385" spans="1:15" x14ac:dyDescent="0.25">
      <c r="A1385" s="32" t="s">
        <v>649</v>
      </c>
      <c r="B1385" t="s">
        <v>647</v>
      </c>
      <c r="C1385" s="19">
        <v>10</v>
      </c>
      <c r="D1385" s="18" t="s">
        <v>648</v>
      </c>
      <c r="E1385" s="13">
        <v>1</v>
      </c>
      <c r="F1385" s="25" t="s">
        <v>647</v>
      </c>
      <c r="G1385" s="25">
        <v>81897719002</v>
      </c>
      <c r="H1385" s="11">
        <v>33.988959999999999</v>
      </c>
      <c r="I1385" s="11">
        <f t="shared" ref="I1385:I1422" si="173">H1385*E1385</f>
        <v>33.988959999999999</v>
      </c>
      <c r="J1385" s="11">
        <f t="shared" si="172"/>
        <v>33.988959999999999</v>
      </c>
      <c r="K1385" s="11">
        <f t="shared" ref="K1385:K1422" si="174">J1385*E1385</f>
        <v>33.988959999999999</v>
      </c>
      <c r="L1385" s="10">
        <v>0</v>
      </c>
      <c r="N1385" s="118">
        <f t="shared" si="166"/>
        <v>0</v>
      </c>
      <c r="O1385" s="118">
        <f t="shared" si="167"/>
        <v>33.988959999999999</v>
      </c>
    </row>
    <row r="1386" spans="1:15" x14ac:dyDescent="0.25">
      <c r="A1386" s="32" t="s">
        <v>646</v>
      </c>
      <c r="B1386" t="s">
        <v>644</v>
      </c>
      <c r="C1386" s="19">
        <v>11</v>
      </c>
      <c r="D1386" s="18" t="s">
        <v>645</v>
      </c>
      <c r="E1386" s="13">
        <v>1</v>
      </c>
      <c r="F1386" s="25" t="s">
        <v>644</v>
      </c>
      <c r="G1386" s="25">
        <v>81897719002</v>
      </c>
      <c r="H1386" s="11">
        <v>58.24512</v>
      </c>
      <c r="I1386" s="11">
        <f t="shared" si="173"/>
        <v>58.24512</v>
      </c>
      <c r="J1386" s="11">
        <f t="shared" si="172"/>
        <v>58.24512</v>
      </c>
      <c r="K1386" s="11">
        <f t="shared" si="174"/>
        <v>58.24512</v>
      </c>
      <c r="L1386" s="10">
        <v>0</v>
      </c>
      <c r="N1386" s="118">
        <f t="shared" si="166"/>
        <v>0</v>
      </c>
      <c r="O1386" s="118">
        <f t="shared" si="167"/>
        <v>58.24512</v>
      </c>
    </row>
    <row r="1387" spans="1:15" s="5" customFormat="1" x14ac:dyDescent="0.25">
      <c r="A1387" s="32" t="s">
        <v>643</v>
      </c>
      <c r="B1387" t="s">
        <v>642</v>
      </c>
      <c r="C1387" s="19">
        <v>12</v>
      </c>
      <c r="D1387" s="18" t="s">
        <v>641</v>
      </c>
      <c r="E1387" s="13">
        <v>1</v>
      </c>
      <c r="F1387" s="25" t="s">
        <v>158</v>
      </c>
      <c r="G1387" s="25" t="s">
        <v>427</v>
      </c>
      <c r="H1387" s="11">
        <v>3.72248</v>
      </c>
      <c r="I1387" s="11">
        <f t="shared" si="173"/>
        <v>3.72248</v>
      </c>
      <c r="J1387" s="11">
        <f t="shared" si="172"/>
        <v>3.72248</v>
      </c>
      <c r="K1387" s="11">
        <f t="shared" si="174"/>
        <v>3.72248</v>
      </c>
      <c r="L1387" s="10">
        <v>0</v>
      </c>
      <c r="N1387" s="118">
        <f t="shared" si="166"/>
        <v>0</v>
      </c>
      <c r="O1387" s="118">
        <f t="shared" si="167"/>
        <v>3.72248</v>
      </c>
    </row>
    <row r="1388" spans="1:15" x14ac:dyDescent="0.25">
      <c r="A1388" s="32" t="s">
        <v>640</v>
      </c>
      <c r="B1388" t="s">
        <v>638</v>
      </c>
      <c r="C1388" s="19">
        <v>13</v>
      </c>
      <c r="D1388" s="18" t="s">
        <v>639</v>
      </c>
      <c r="E1388" s="13">
        <v>1</v>
      </c>
      <c r="F1388" s="25" t="s">
        <v>638</v>
      </c>
      <c r="G1388" s="25">
        <v>81897719002</v>
      </c>
      <c r="H1388" s="11">
        <v>20.38832</v>
      </c>
      <c r="I1388" s="11">
        <f t="shared" si="173"/>
        <v>20.38832</v>
      </c>
      <c r="J1388" s="11">
        <f t="shared" si="172"/>
        <v>20.38832</v>
      </c>
      <c r="K1388" s="11">
        <f t="shared" si="174"/>
        <v>20.38832</v>
      </c>
      <c r="L1388" s="10">
        <v>0</v>
      </c>
      <c r="N1388" s="118">
        <f t="shared" si="166"/>
        <v>0</v>
      </c>
      <c r="O1388" s="118">
        <f t="shared" si="167"/>
        <v>20.38832</v>
      </c>
    </row>
    <row r="1389" spans="1:15" x14ac:dyDescent="0.25">
      <c r="A1389" s="32" t="s">
        <v>637</v>
      </c>
      <c r="B1389" t="s">
        <v>635</v>
      </c>
      <c r="C1389" s="19">
        <v>14</v>
      </c>
      <c r="D1389" s="18" t="s">
        <v>636</v>
      </c>
      <c r="E1389" s="13">
        <v>1</v>
      </c>
      <c r="F1389" s="25" t="s">
        <v>635</v>
      </c>
      <c r="G1389" s="25">
        <v>81897719002</v>
      </c>
      <c r="H1389" s="11">
        <v>20.38832</v>
      </c>
      <c r="I1389" s="11">
        <f t="shared" si="173"/>
        <v>20.38832</v>
      </c>
      <c r="J1389" s="11">
        <f t="shared" si="172"/>
        <v>20.38832</v>
      </c>
      <c r="K1389" s="11">
        <f t="shared" si="174"/>
        <v>20.38832</v>
      </c>
      <c r="L1389" s="10">
        <v>0</v>
      </c>
      <c r="N1389" s="118">
        <f t="shared" si="166"/>
        <v>0</v>
      </c>
      <c r="O1389" s="118">
        <f t="shared" si="167"/>
        <v>20.38832</v>
      </c>
    </row>
    <row r="1390" spans="1:15" x14ac:dyDescent="0.25">
      <c r="A1390" s="32" t="s">
        <v>634</v>
      </c>
      <c r="B1390" t="s">
        <v>632</v>
      </c>
      <c r="C1390" s="19">
        <v>15</v>
      </c>
      <c r="D1390" s="18" t="s">
        <v>633</v>
      </c>
      <c r="E1390" s="13">
        <v>2</v>
      </c>
      <c r="F1390" s="25" t="s">
        <v>632</v>
      </c>
      <c r="G1390" s="25">
        <v>81897719002</v>
      </c>
      <c r="H1390" s="11">
        <v>25.2484</v>
      </c>
      <c r="I1390" s="11">
        <f t="shared" si="173"/>
        <v>50.4968</v>
      </c>
      <c r="J1390" s="11">
        <f t="shared" si="172"/>
        <v>25.2484</v>
      </c>
      <c r="K1390" s="11">
        <f t="shared" si="174"/>
        <v>50.4968</v>
      </c>
      <c r="L1390" s="10">
        <v>0</v>
      </c>
      <c r="N1390" s="118">
        <f t="shared" si="166"/>
        <v>0</v>
      </c>
      <c r="O1390" s="118">
        <f t="shared" si="167"/>
        <v>25.2484</v>
      </c>
    </row>
    <row r="1391" spans="1:15" x14ac:dyDescent="0.25">
      <c r="A1391" s="32" t="s">
        <v>631</v>
      </c>
      <c r="B1391" t="s">
        <v>629</v>
      </c>
      <c r="C1391" s="19">
        <v>16</v>
      </c>
      <c r="D1391" s="18" t="s">
        <v>630</v>
      </c>
      <c r="E1391" s="13">
        <v>1</v>
      </c>
      <c r="F1391" s="25" t="s">
        <v>629</v>
      </c>
      <c r="G1391" s="25">
        <v>81897719002</v>
      </c>
      <c r="H1391" s="11">
        <v>26.209040000000002</v>
      </c>
      <c r="I1391" s="11">
        <f t="shared" si="173"/>
        <v>26.209040000000002</v>
      </c>
      <c r="J1391" s="11">
        <f t="shared" si="172"/>
        <v>26.209040000000002</v>
      </c>
      <c r="K1391" s="11">
        <f t="shared" si="174"/>
        <v>26.209040000000002</v>
      </c>
      <c r="L1391" s="10">
        <v>0</v>
      </c>
      <c r="N1391" s="118">
        <f t="shared" si="166"/>
        <v>0</v>
      </c>
      <c r="O1391" s="118">
        <f t="shared" si="167"/>
        <v>26.209040000000002</v>
      </c>
    </row>
    <row r="1392" spans="1:15" x14ac:dyDescent="0.25">
      <c r="A1392" s="32" t="s">
        <v>628</v>
      </c>
      <c r="B1392" t="s">
        <v>626</v>
      </c>
      <c r="C1392" s="19">
        <v>17</v>
      </c>
      <c r="D1392" s="18" t="s">
        <v>627</v>
      </c>
      <c r="E1392" s="13">
        <v>1</v>
      </c>
      <c r="F1392" s="25" t="s">
        <v>626</v>
      </c>
      <c r="G1392" s="25">
        <v>81897719002</v>
      </c>
      <c r="H1392" s="11">
        <v>17.474799999999998</v>
      </c>
      <c r="I1392" s="11">
        <f t="shared" si="173"/>
        <v>17.474799999999998</v>
      </c>
      <c r="J1392" s="11">
        <f t="shared" si="172"/>
        <v>17.474799999999998</v>
      </c>
      <c r="K1392" s="11">
        <f t="shared" si="174"/>
        <v>17.474799999999998</v>
      </c>
      <c r="L1392" s="10">
        <v>0</v>
      </c>
      <c r="N1392" s="118">
        <f t="shared" si="166"/>
        <v>0</v>
      </c>
      <c r="O1392" s="118">
        <f t="shared" si="167"/>
        <v>17.474799999999998</v>
      </c>
    </row>
    <row r="1393" spans="1:15" x14ac:dyDescent="0.25">
      <c r="A1393" s="32" t="s">
        <v>625</v>
      </c>
      <c r="B1393" t="s">
        <v>623</v>
      </c>
      <c r="C1393" s="19">
        <v>18</v>
      </c>
      <c r="D1393" s="18" t="s">
        <v>624</v>
      </c>
      <c r="E1393" s="13">
        <v>1</v>
      </c>
      <c r="F1393" s="25" t="s">
        <v>623</v>
      </c>
      <c r="G1393" s="25">
        <v>81897719002</v>
      </c>
      <c r="H1393" s="11">
        <v>21.348960000000002</v>
      </c>
      <c r="I1393" s="11">
        <f t="shared" si="173"/>
        <v>21.348960000000002</v>
      </c>
      <c r="J1393" s="11">
        <f t="shared" si="172"/>
        <v>21.348960000000002</v>
      </c>
      <c r="K1393" s="11">
        <f t="shared" si="174"/>
        <v>21.348960000000002</v>
      </c>
      <c r="L1393" s="10">
        <v>0</v>
      </c>
      <c r="N1393" s="118">
        <f t="shared" si="166"/>
        <v>0</v>
      </c>
      <c r="O1393" s="118">
        <f t="shared" si="167"/>
        <v>21.348960000000002</v>
      </c>
    </row>
    <row r="1394" spans="1:15" x14ac:dyDescent="0.25">
      <c r="A1394" s="32" t="s">
        <v>622</v>
      </c>
      <c r="B1394" t="s">
        <v>620</v>
      </c>
      <c r="C1394" s="19">
        <v>19</v>
      </c>
      <c r="D1394" s="18" t="s">
        <v>621</v>
      </c>
      <c r="E1394" s="13">
        <v>2</v>
      </c>
      <c r="F1394" s="25" t="s">
        <v>620</v>
      </c>
      <c r="G1394" s="25">
        <v>81897719002</v>
      </c>
      <c r="H1394" s="11">
        <v>9.6948800000000013</v>
      </c>
      <c r="I1394" s="11">
        <f t="shared" si="173"/>
        <v>19.389760000000003</v>
      </c>
      <c r="J1394" s="11">
        <f t="shared" si="172"/>
        <v>9.6948800000000013</v>
      </c>
      <c r="K1394" s="11">
        <f t="shared" si="174"/>
        <v>19.389760000000003</v>
      </c>
      <c r="L1394" s="10">
        <v>0</v>
      </c>
      <c r="N1394" s="118">
        <f t="shared" si="166"/>
        <v>0</v>
      </c>
      <c r="O1394" s="118">
        <f t="shared" si="167"/>
        <v>9.6948800000000013</v>
      </c>
    </row>
    <row r="1395" spans="1:15" x14ac:dyDescent="0.25">
      <c r="A1395" s="32" t="s">
        <v>619</v>
      </c>
      <c r="B1395" t="s">
        <v>617</v>
      </c>
      <c r="C1395" s="19">
        <v>20</v>
      </c>
      <c r="D1395" s="18" t="s">
        <v>618</v>
      </c>
      <c r="E1395" s="13">
        <v>1</v>
      </c>
      <c r="F1395" t="s">
        <v>617</v>
      </c>
      <c r="G1395" s="25">
        <v>81897710012</v>
      </c>
      <c r="H1395" s="11">
        <v>56.684079999999994</v>
      </c>
      <c r="I1395" s="11">
        <f t="shared" si="173"/>
        <v>56.684079999999994</v>
      </c>
      <c r="J1395" s="11">
        <f t="shared" si="172"/>
        <v>56.684079999999994</v>
      </c>
      <c r="K1395" s="11">
        <f t="shared" si="174"/>
        <v>56.684079999999994</v>
      </c>
      <c r="L1395" s="10">
        <v>0</v>
      </c>
      <c r="N1395" s="118">
        <f t="shared" si="166"/>
        <v>0</v>
      </c>
      <c r="O1395" s="118">
        <f t="shared" si="167"/>
        <v>56.684079999999994</v>
      </c>
    </row>
    <row r="1396" spans="1:15" x14ac:dyDescent="0.25">
      <c r="A1396" s="32" t="s">
        <v>616</v>
      </c>
      <c r="B1396" t="s">
        <v>614</v>
      </c>
      <c r="C1396" s="19">
        <v>21</v>
      </c>
      <c r="D1396" s="18" t="s">
        <v>615</v>
      </c>
      <c r="E1396" s="13">
        <v>1</v>
      </c>
      <c r="F1396" s="25" t="s">
        <v>614</v>
      </c>
      <c r="G1396" s="25">
        <v>81897719002</v>
      </c>
      <c r="H1396" s="11">
        <v>48.550239999999995</v>
      </c>
      <c r="I1396" s="11">
        <f t="shared" si="173"/>
        <v>48.550239999999995</v>
      </c>
      <c r="J1396" s="11">
        <f t="shared" si="172"/>
        <v>48.550239999999995</v>
      </c>
      <c r="K1396" s="11">
        <f t="shared" si="174"/>
        <v>48.550239999999995</v>
      </c>
      <c r="L1396" s="10">
        <v>0</v>
      </c>
      <c r="N1396" s="118">
        <f t="shared" si="166"/>
        <v>0</v>
      </c>
      <c r="O1396" s="118">
        <f t="shared" si="167"/>
        <v>48.550239999999995</v>
      </c>
    </row>
    <row r="1397" spans="1:15" x14ac:dyDescent="0.25">
      <c r="A1397" s="32" t="s">
        <v>613</v>
      </c>
      <c r="B1397" t="s">
        <v>611</v>
      </c>
      <c r="C1397" s="19">
        <v>22</v>
      </c>
      <c r="D1397" s="18" t="s">
        <v>612</v>
      </c>
      <c r="E1397" s="13">
        <v>2</v>
      </c>
      <c r="F1397" t="s">
        <v>611</v>
      </c>
      <c r="G1397" s="25">
        <v>81897719002</v>
      </c>
      <c r="H1397" s="11">
        <v>21.841920000000002</v>
      </c>
      <c r="I1397" s="11">
        <f t="shared" si="173"/>
        <v>43.683840000000004</v>
      </c>
      <c r="J1397" s="11">
        <f t="shared" si="172"/>
        <v>21.841920000000002</v>
      </c>
      <c r="K1397" s="11">
        <f t="shared" si="174"/>
        <v>43.683840000000004</v>
      </c>
      <c r="L1397" s="10">
        <v>0</v>
      </c>
      <c r="N1397" s="118">
        <f t="shared" si="166"/>
        <v>0</v>
      </c>
      <c r="O1397" s="118">
        <f t="shared" si="167"/>
        <v>21.841920000000002</v>
      </c>
    </row>
    <row r="1398" spans="1:15" x14ac:dyDescent="0.25">
      <c r="A1398" s="32" t="s">
        <v>610</v>
      </c>
      <c r="B1398" t="s">
        <v>131</v>
      </c>
      <c r="C1398" s="19">
        <v>23</v>
      </c>
      <c r="D1398" s="18" t="s">
        <v>132</v>
      </c>
      <c r="E1398" s="13">
        <v>6</v>
      </c>
      <c r="F1398" s="25" t="s">
        <v>131</v>
      </c>
      <c r="G1398" s="25">
        <v>81897719002</v>
      </c>
      <c r="H1398" s="11">
        <v>11.64776</v>
      </c>
      <c r="I1398" s="11">
        <f t="shared" si="173"/>
        <v>69.886560000000003</v>
      </c>
      <c r="J1398" s="11">
        <f t="shared" si="172"/>
        <v>11.64776</v>
      </c>
      <c r="K1398" s="11">
        <f t="shared" si="174"/>
        <v>69.886560000000003</v>
      </c>
      <c r="L1398" s="10">
        <v>0</v>
      </c>
      <c r="N1398" s="118">
        <f t="shared" si="166"/>
        <v>0</v>
      </c>
      <c r="O1398" s="118">
        <f t="shared" si="167"/>
        <v>11.64776</v>
      </c>
    </row>
    <row r="1399" spans="1:15" x14ac:dyDescent="0.25">
      <c r="A1399" s="32" t="s">
        <v>609</v>
      </c>
      <c r="B1399" t="s">
        <v>110</v>
      </c>
      <c r="C1399" s="19">
        <v>24</v>
      </c>
      <c r="D1399" s="18" t="s">
        <v>111</v>
      </c>
      <c r="E1399" s="13">
        <v>1</v>
      </c>
      <c r="F1399" s="25" t="s">
        <v>110</v>
      </c>
      <c r="G1399" s="25">
        <v>81897719002</v>
      </c>
      <c r="H1399" s="11">
        <v>27.169680000000003</v>
      </c>
      <c r="I1399" s="11">
        <f t="shared" si="173"/>
        <v>27.169680000000003</v>
      </c>
      <c r="J1399" s="11">
        <f t="shared" si="172"/>
        <v>27.169680000000003</v>
      </c>
      <c r="K1399" s="11">
        <f t="shared" si="174"/>
        <v>27.169680000000003</v>
      </c>
      <c r="L1399" s="10">
        <v>0</v>
      </c>
      <c r="N1399" s="118">
        <f t="shared" si="166"/>
        <v>0</v>
      </c>
      <c r="O1399" s="118">
        <f t="shared" si="167"/>
        <v>27.169680000000003</v>
      </c>
    </row>
    <row r="1400" spans="1:15" x14ac:dyDescent="0.25">
      <c r="A1400" s="32" t="s">
        <v>608</v>
      </c>
      <c r="B1400" t="s">
        <v>12</v>
      </c>
      <c r="C1400" s="19">
        <v>25</v>
      </c>
      <c r="D1400" s="18" t="s">
        <v>13</v>
      </c>
      <c r="E1400" s="13">
        <v>1</v>
      </c>
      <c r="F1400" s="25" t="s">
        <v>12</v>
      </c>
      <c r="G1400" s="25">
        <v>81897719002</v>
      </c>
      <c r="H1400" s="11">
        <v>28.161920000000002</v>
      </c>
      <c r="I1400" s="11">
        <f t="shared" si="173"/>
        <v>28.161920000000002</v>
      </c>
      <c r="J1400" s="11">
        <f t="shared" si="172"/>
        <v>28.161920000000002</v>
      </c>
      <c r="K1400" s="11">
        <f t="shared" si="174"/>
        <v>28.161920000000002</v>
      </c>
      <c r="L1400" s="10">
        <v>0</v>
      </c>
      <c r="N1400" s="118">
        <f t="shared" si="166"/>
        <v>0</v>
      </c>
      <c r="O1400" s="118">
        <f t="shared" si="167"/>
        <v>28.161920000000002</v>
      </c>
    </row>
    <row r="1401" spans="1:15" x14ac:dyDescent="0.25">
      <c r="A1401" s="32" t="s">
        <v>607</v>
      </c>
      <c r="B1401" t="s">
        <v>605</v>
      </c>
      <c r="C1401" s="19">
        <v>26</v>
      </c>
      <c r="D1401" s="18" t="s">
        <v>606</v>
      </c>
      <c r="E1401" s="13">
        <v>1</v>
      </c>
      <c r="F1401" s="25" t="s">
        <v>605</v>
      </c>
      <c r="G1401" s="25">
        <v>81897719002</v>
      </c>
      <c r="H1401" s="11">
        <v>17.967759999999998</v>
      </c>
      <c r="I1401" s="11">
        <f t="shared" si="173"/>
        <v>17.967759999999998</v>
      </c>
      <c r="J1401" s="11">
        <f t="shared" si="172"/>
        <v>17.967759999999998</v>
      </c>
      <c r="K1401" s="11">
        <f t="shared" si="174"/>
        <v>17.967759999999998</v>
      </c>
      <c r="L1401" s="10">
        <v>0</v>
      </c>
      <c r="N1401" s="118">
        <f t="shared" si="166"/>
        <v>0</v>
      </c>
      <c r="O1401" s="118">
        <f t="shared" si="167"/>
        <v>17.967759999999998</v>
      </c>
    </row>
    <row r="1402" spans="1:15" x14ac:dyDescent="0.25">
      <c r="A1402" s="32" t="s">
        <v>604</v>
      </c>
      <c r="B1402" t="s">
        <v>140</v>
      </c>
      <c r="C1402" s="19">
        <v>27</v>
      </c>
      <c r="D1402" s="18" t="s">
        <v>141</v>
      </c>
      <c r="E1402" s="13">
        <v>1</v>
      </c>
      <c r="F1402" s="25" t="s">
        <v>140</v>
      </c>
      <c r="G1402" s="25">
        <v>81897719002</v>
      </c>
      <c r="H1402" s="11">
        <v>21.348960000000002</v>
      </c>
      <c r="I1402" s="11">
        <f t="shared" si="173"/>
        <v>21.348960000000002</v>
      </c>
      <c r="J1402" s="11">
        <f t="shared" si="172"/>
        <v>21.348960000000002</v>
      </c>
      <c r="K1402" s="11">
        <f t="shared" si="174"/>
        <v>21.348960000000002</v>
      </c>
      <c r="L1402" s="10">
        <v>0</v>
      </c>
      <c r="N1402" s="118">
        <f t="shared" si="166"/>
        <v>0</v>
      </c>
      <c r="O1402" s="118">
        <f t="shared" si="167"/>
        <v>21.348960000000002</v>
      </c>
    </row>
    <row r="1403" spans="1:15" x14ac:dyDescent="0.25">
      <c r="A1403" s="32" t="s">
        <v>603</v>
      </c>
      <c r="B1403" t="s">
        <v>365</v>
      </c>
      <c r="C1403" s="19">
        <v>28</v>
      </c>
      <c r="D1403" s="18" t="s">
        <v>366</v>
      </c>
      <c r="E1403" s="13">
        <v>1</v>
      </c>
      <c r="F1403" s="25" t="s">
        <v>365</v>
      </c>
      <c r="G1403" s="25">
        <v>81897719002</v>
      </c>
      <c r="H1403" s="11">
        <v>38.817440000000005</v>
      </c>
      <c r="I1403" s="11">
        <f t="shared" si="173"/>
        <v>38.817440000000005</v>
      </c>
      <c r="J1403" s="11">
        <f t="shared" si="172"/>
        <v>38.817440000000005</v>
      </c>
      <c r="K1403" s="11">
        <f t="shared" si="174"/>
        <v>38.817440000000005</v>
      </c>
      <c r="L1403" s="10">
        <v>0</v>
      </c>
      <c r="N1403" s="118">
        <f t="shared" si="166"/>
        <v>0</v>
      </c>
      <c r="O1403" s="118">
        <f t="shared" si="167"/>
        <v>38.817440000000005</v>
      </c>
    </row>
    <row r="1404" spans="1:15" x14ac:dyDescent="0.25">
      <c r="A1404" s="32" t="s">
        <v>602</v>
      </c>
      <c r="B1404" t="s">
        <v>116</v>
      </c>
      <c r="C1404" s="19">
        <v>29</v>
      </c>
      <c r="D1404" s="18" t="s">
        <v>117</v>
      </c>
      <c r="E1404" s="13">
        <v>6</v>
      </c>
      <c r="F1404" s="25" t="s">
        <v>116</v>
      </c>
      <c r="G1404" s="25">
        <v>81897719002</v>
      </c>
      <c r="H1404" s="11">
        <v>14.06832</v>
      </c>
      <c r="I1404" s="11">
        <f t="shared" si="173"/>
        <v>84.40992</v>
      </c>
      <c r="J1404" s="11">
        <f t="shared" si="172"/>
        <v>14.06832</v>
      </c>
      <c r="K1404" s="11">
        <f t="shared" si="174"/>
        <v>84.40992</v>
      </c>
      <c r="L1404" s="10">
        <v>0</v>
      </c>
      <c r="N1404" s="118">
        <f t="shared" si="166"/>
        <v>0</v>
      </c>
      <c r="O1404" s="118">
        <f t="shared" si="167"/>
        <v>14.06832</v>
      </c>
    </row>
    <row r="1405" spans="1:15" x14ac:dyDescent="0.25">
      <c r="A1405" s="32" t="s">
        <v>601</v>
      </c>
      <c r="B1405" t="s">
        <v>599</v>
      </c>
      <c r="C1405" s="19">
        <v>30</v>
      </c>
      <c r="D1405" s="18" t="s">
        <v>600</v>
      </c>
      <c r="E1405" s="13">
        <v>6</v>
      </c>
      <c r="F1405" s="25" t="s">
        <v>599</v>
      </c>
      <c r="G1405" s="25">
        <v>81897719002</v>
      </c>
      <c r="H1405" s="11">
        <v>13.600640000000002</v>
      </c>
      <c r="I1405" s="11">
        <f t="shared" si="173"/>
        <v>81.603840000000019</v>
      </c>
      <c r="J1405" s="11">
        <f t="shared" si="172"/>
        <v>13.600640000000002</v>
      </c>
      <c r="K1405" s="11">
        <f t="shared" si="174"/>
        <v>81.603840000000019</v>
      </c>
      <c r="L1405" s="10">
        <v>0</v>
      </c>
      <c r="N1405" s="118">
        <f t="shared" si="166"/>
        <v>0</v>
      </c>
      <c r="O1405" s="118">
        <f t="shared" si="167"/>
        <v>13.600640000000002</v>
      </c>
    </row>
    <row r="1406" spans="1:15" x14ac:dyDescent="0.25">
      <c r="A1406" s="32" t="s">
        <v>598</v>
      </c>
      <c r="B1406" t="s">
        <v>128</v>
      </c>
      <c r="C1406" s="19">
        <v>31</v>
      </c>
      <c r="D1406" s="18" t="s">
        <v>129</v>
      </c>
      <c r="E1406" s="13">
        <v>2</v>
      </c>
      <c r="F1406" s="25" t="s">
        <v>128</v>
      </c>
      <c r="G1406" s="25">
        <v>81897719002</v>
      </c>
      <c r="H1406" s="11">
        <v>15.05424</v>
      </c>
      <c r="I1406" s="11">
        <f t="shared" si="173"/>
        <v>30.10848</v>
      </c>
      <c r="J1406" s="11">
        <f t="shared" si="172"/>
        <v>15.05424</v>
      </c>
      <c r="K1406" s="11">
        <f t="shared" si="174"/>
        <v>30.10848</v>
      </c>
      <c r="L1406" s="10">
        <v>0</v>
      </c>
      <c r="N1406" s="118">
        <f t="shared" si="166"/>
        <v>0</v>
      </c>
      <c r="O1406" s="118">
        <f t="shared" si="167"/>
        <v>15.05424</v>
      </c>
    </row>
    <row r="1407" spans="1:15" x14ac:dyDescent="0.25">
      <c r="A1407" s="32" t="s">
        <v>597</v>
      </c>
      <c r="B1407" t="s">
        <v>125</v>
      </c>
      <c r="C1407" s="19">
        <v>32</v>
      </c>
      <c r="D1407" s="18" t="s">
        <v>126</v>
      </c>
      <c r="E1407" s="13">
        <v>2</v>
      </c>
      <c r="F1407" s="25" t="s">
        <v>125</v>
      </c>
      <c r="G1407" s="25">
        <v>81897719002</v>
      </c>
      <c r="H1407" s="11">
        <v>14.56128</v>
      </c>
      <c r="I1407" s="11">
        <f t="shared" si="173"/>
        <v>29.12256</v>
      </c>
      <c r="J1407" s="11">
        <f t="shared" si="172"/>
        <v>14.56128</v>
      </c>
      <c r="K1407" s="11">
        <f t="shared" si="174"/>
        <v>29.12256</v>
      </c>
      <c r="L1407" s="10">
        <v>0</v>
      </c>
      <c r="N1407" s="118">
        <f t="shared" si="166"/>
        <v>0</v>
      </c>
      <c r="O1407" s="118">
        <f t="shared" si="167"/>
        <v>14.56128</v>
      </c>
    </row>
    <row r="1408" spans="1:15" x14ac:dyDescent="0.25">
      <c r="A1408" s="32" t="s">
        <v>596</v>
      </c>
      <c r="B1408" t="s">
        <v>256</v>
      </c>
      <c r="C1408" s="19">
        <v>33</v>
      </c>
      <c r="D1408" s="18" t="s">
        <v>257</v>
      </c>
      <c r="E1408" s="13">
        <v>4</v>
      </c>
      <c r="F1408" s="25" t="s">
        <v>256</v>
      </c>
      <c r="G1408" s="25">
        <v>81897719002</v>
      </c>
      <c r="H1408" s="11">
        <v>12.147040000000001</v>
      </c>
      <c r="I1408" s="11">
        <f t="shared" si="173"/>
        <v>48.588160000000002</v>
      </c>
      <c r="J1408" s="11">
        <f t="shared" si="172"/>
        <v>12.147040000000001</v>
      </c>
      <c r="K1408" s="11">
        <f t="shared" si="174"/>
        <v>48.588160000000002</v>
      </c>
      <c r="L1408" s="10">
        <v>0</v>
      </c>
      <c r="N1408" s="118">
        <f t="shared" si="166"/>
        <v>0</v>
      </c>
      <c r="O1408" s="118">
        <f t="shared" si="167"/>
        <v>12.147040000000001</v>
      </c>
    </row>
    <row r="1409" spans="1:15" x14ac:dyDescent="0.25">
      <c r="A1409" s="32" t="s">
        <v>595</v>
      </c>
      <c r="B1409" t="s">
        <v>259</v>
      </c>
      <c r="C1409" s="19">
        <v>34</v>
      </c>
      <c r="D1409" s="18" t="s">
        <v>260</v>
      </c>
      <c r="E1409" s="13">
        <v>4</v>
      </c>
      <c r="F1409" s="25" t="s">
        <v>259</v>
      </c>
      <c r="G1409" s="25">
        <v>81897719002</v>
      </c>
      <c r="H1409" s="11">
        <v>11.64776</v>
      </c>
      <c r="I1409" s="11">
        <f t="shared" si="173"/>
        <v>46.59104</v>
      </c>
      <c r="J1409" s="11">
        <f t="shared" si="172"/>
        <v>11.64776</v>
      </c>
      <c r="K1409" s="11">
        <f t="shared" si="174"/>
        <v>46.59104</v>
      </c>
      <c r="L1409" s="10">
        <v>0</v>
      </c>
      <c r="N1409" s="118">
        <f t="shared" si="166"/>
        <v>0</v>
      </c>
      <c r="O1409" s="118">
        <f t="shared" si="167"/>
        <v>11.64776</v>
      </c>
    </row>
    <row r="1410" spans="1:15" x14ac:dyDescent="0.25">
      <c r="A1410" s="32" t="s">
        <v>594</v>
      </c>
      <c r="B1410" t="s">
        <v>146</v>
      </c>
      <c r="C1410" s="19">
        <v>35</v>
      </c>
      <c r="D1410" s="18" t="s">
        <v>147</v>
      </c>
      <c r="E1410" s="13">
        <v>2</v>
      </c>
      <c r="F1410" s="25" t="s">
        <v>146</v>
      </c>
      <c r="G1410" s="25">
        <v>81897719002</v>
      </c>
      <c r="H1410" s="11">
        <v>7.28064</v>
      </c>
      <c r="I1410" s="11">
        <f t="shared" si="173"/>
        <v>14.56128</v>
      </c>
      <c r="J1410" s="11">
        <f t="shared" si="172"/>
        <v>7.28064</v>
      </c>
      <c r="K1410" s="11">
        <f t="shared" si="174"/>
        <v>14.56128</v>
      </c>
      <c r="L1410" s="10">
        <v>0</v>
      </c>
      <c r="N1410" s="118">
        <f t="shared" si="166"/>
        <v>0</v>
      </c>
      <c r="O1410" s="118">
        <f t="shared" si="167"/>
        <v>7.28064</v>
      </c>
    </row>
    <row r="1411" spans="1:15" x14ac:dyDescent="0.25">
      <c r="A1411" s="32" t="s">
        <v>593</v>
      </c>
      <c r="B1411" t="s">
        <v>152</v>
      </c>
      <c r="C1411" s="19">
        <v>36</v>
      </c>
      <c r="D1411" s="18" t="s">
        <v>153</v>
      </c>
      <c r="E1411" s="13">
        <v>2</v>
      </c>
      <c r="F1411" s="25" t="s">
        <v>152</v>
      </c>
      <c r="G1411" s="25">
        <v>81897719002</v>
      </c>
      <c r="H1411" s="11">
        <v>6.7876799999999999</v>
      </c>
      <c r="I1411" s="11">
        <f t="shared" si="173"/>
        <v>13.57536</v>
      </c>
      <c r="J1411" s="11">
        <f t="shared" si="172"/>
        <v>6.7876799999999999</v>
      </c>
      <c r="K1411" s="11">
        <f t="shared" si="174"/>
        <v>13.57536</v>
      </c>
      <c r="L1411" s="10">
        <v>0</v>
      </c>
      <c r="N1411" s="118">
        <f t="shared" si="166"/>
        <v>0</v>
      </c>
      <c r="O1411" s="118">
        <f t="shared" si="167"/>
        <v>6.7876799999999999</v>
      </c>
    </row>
    <row r="1412" spans="1:15" x14ac:dyDescent="0.25">
      <c r="A1412" s="32" t="s">
        <v>592</v>
      </c>
      <c r="B1412" t="s">
        <v>454</v>
      </c>
      <c r="C1412" s="19">
        <v>37</v>
      </c>
      <c r="D1412" s="18" t="s">
        <v>455</v>
      </c>
      <c r="E1412" s="13">
        <v>2</v>
      </c>
      <c r="F1412" s="25" t="s">
        <v>454</v>
      </c>
      <c r="G1412" s="25">
        <v>81897719003</v>
      </c>
      <c r="H1412" s="11">
        <v>60.659360000000007</v>
      </c>
      <c r="I1412" s="11">
        <f t="shared" si="173"/>
        <v>121.31872000000001</v>
      </c>
      <c r="J1412" s="11">
        <f t="shared" si="172"/>
        <v>60.659360000000007</v>
      </c>
      <c r="K1412" s="11">
        <f t="shared" si="174"/>
        <v>121.31872000000001</v>
      </c>
      <c r="L1412" s="10">
        <v>0</v>
      </c>
      <c r="N1412" s="118">
        <f t="shared" ref="N1412:N1475" si="175">H1412*L1412</f>
        <v>0</v>
      </c>
      <c r="O1412" s="118">
        <f t="shared" ref="O1412:O1475" si="176">H1412-N1412</f>
        <v>60.659360000000007</v>
      </c>
    </row>
    <row r="1413" spans="1:15" x14ac:dyDescent="0.25">
      <c r="A1413" s="32" t="s">
        <v>591</v>
      </c>
      <c r="B1413" t="s">
        <v>589</v>
      </c>
      <c r="C1413" s="19">
        <v>38</v>
      </c>
      <c r="D1413" s="18" t="s">
        <v>590</v>
      </c>
      <c r="E1413" s="13">
        <v>2</v>
      </c>
      <c r="F1413" s="25" t="s">
        <v>589</v>
      </c>
      <c r="G1413" s="25">
        <v>81897719003</v>
      </c>
      <c r="H1413" s="11">
        <v>135.91792000000001</v>
      </c>
      <c r="I1413" s="11">
        <f t="shared" si="173"/>
        <v>271.83584000000002</v>
      </c>
      <c r="J1413" s="11">
        <f t="shared" si="172"/>
        <v>135.91792000000001</v>
      </c>
      <c r="K1413" s="11">
        <f t="shared" si="174"/>
        <v>271.83584000000002</v>
      </c>
      <c r="L1413" s="10">
        <v>0</v>
      </c>
      <c r="N1413" s="118">
        <f t="shared" si="175"/>
        <v>0</v>
      </c>
      <c r="O1413" s="118">
        <f t="shared" si="176"/>
        <v>135.91792000000001</v>
      </c>
    </row>
    <row r="1414" spans="1:15" x14ac:dyDescent="0.25">
      <c r="A1414" s="32" t="s">
        <v>588</v>
      </c>
      <c r="B1414" t="s">
        <v>586</v>
      </c>
      <c r="C1414" s="19">
        <v>39</v>
      </c>
      <c r="D1414" s="18" t="s">
        <v>587</v>
      </c>
      <c r="E1414" s="13">
        <v>1</v>
      </c>
      <c r="F1414" s="25" t="s">
        <v>586</v>
      </c>
      <c r="G1414" s="25">
        <v>81897719002</v>
      </c>
      <c r="H1414" s="11">
        <v>14.56128</v>
      </c>
      <c r="I1414" s="11">
        <f t="shared" si="173"/>
        <v>14.56128</v>
      </c>
      <c r="J1414" s="11">
        <f t="shared" si="172"/>
        <v>14.56128</v>
      </c>
      <c r="K1414" s="11">
        <f t="shared" si="174"/>
        <v>14.56128</v>
      </c>
      <c r="L1414" s="10">
        <v>0</v>
      </c>
      <c r="N1414" s="118">
        <f t="shared" si="175"/>
        <v>0</v>
      </c>
      <c r="O1414" s="118">
        <f t="shared" si="176"/>
        <v>14.56128</v>
      </c>
    </row>
    <row r="1415" spans="1:15" x14ac:dyDescent="0.25">
      <c r="A1415" s="32" t="s">
        <v>585</v>
      </c>
      <c r="B1415" t="s">
        <v>583</v>
      </c>
      <c r="C1415" s="19">
        <v>40</v>
      </c>
      <c r="D1415" s="18" t="s">
        <v>584</v>
      </c>
      <c r="E1415" s="13">
        <v>1</v>
      </c>
      <c r="F1415" s="25" t="s">
        <v>583</v>
      </c>
      <c r="G1415" s="25">
        <v>81897719002</v>
      </c>
      <c r="H1415" s="11">
        <v>24.256160000000001</v>
      </c>
      <c r="I1415" s="11">
        <f t="shared" si="173"/>
        <v>24.256160000000001</v>
      </c>
      <c r="J1415" s="11">
        <f t="shared" si="172"/>
        <v>24.256160000000001</v>
      </c>
      <c r="K1415" s="11">
        <f t="shared" si="174"/>
        <v>24.256160000000001</v>
      </c>
      <c r="L1415" s="10">
        <v>0</v>
      </c>
      <c r="N1415" s="118">
        <f t="shared" si="175"/>
        <v>0</v>
      </c>
      <c r="O1415" s="118">
        <f t="shared" si="176"/>
        <v>24.256160000000001</v>
      </c>
    </row>
    <row r="1416" spans="1:15" x14ac:dyDescent="0.25">
      <c r="A1416" s="32" t="s">
        <v>582</v>
      </c>
      <c r="B1416" t="s">
        <v>92</v>
      </c>
      <c r="C1416" s="19">
        <v>41</v>
      </c>
      <c r="D1416" s="18" t="s">
        <v>93</v>
      </c>
      <c r="E1416" s="13">
        <v>1</v>
      </c>
      <c r="F1416" s="25" t="s">
        <v>92</v>
      </c>
      <c r="G1416" s="25">
        <v>81897719002</v>
      </c>
      <c r="H1416" s="11">
        <v>16.3688</v>
      </c>
      <c r="I1416" s="11">
        <f t="shared" si="173"/>
        <v>16.3688</v>
      </c>
      <c r="J1416" s="11">
        <f t="shared" si="172"/>
        <v>16.3688</v>
      </c>
      <c r="K1416" s="11">
        <f t="shared" si="174"/>
        <v>16.3688</v>
      </c>
      <c r="L1416" s="10">
        <v>0</v>
      </c>
      <c r="N1416" s="118">
        <f t="shared" si="175"/>
        <v>0</v>
      </c>
      <c r="O1416" s="118">
        <f t="shared" si="176"/>
        <v>16.3688</v>
      </c>
    </row>
    <row r="1417" spans="1:15" x14ac:dyDescent="0.25">
      <c r="A1417" s="32" t="s">
        <v>581</v>
      </c>
      <c r="B1417" t="s">
        <v>438</v>
      </c>
      <c r="C1417" s="19">
        <v>42</v>
      </c>
      <c r="D1417" s="18" t="s">
        <v>439</v>
      </c>
      <c r="E1417" s="13">
        <v>1</v>
      </c>
      <c r="F1417" s="25" t="s">
        <v>438</v>
      </c>
      <c r="G1417" s="25">
        <v>81897719002</v>
      </c>
      <c r="H1417" s="11">
        <v>15.787360000000001</v>
      </c>
      <c r="I1417" s="11">
        <f t="shared" si="173"/>
        <v>15.787360000000001</v>
      </c>
      <c r="J1417" s="11">
        <f t="shared" si="172"/>
        <v>15.787360000000001</v>
      </c>
      <c r="K1417" s="11">
        <f t="shared" si="174"/>
        <v>15.787360000000001</v>
      </c>
      <c r="L1417" s="10">
        <v>0</v>
      </c>
      <c r="N1417" s="118">
        <f t="shared" si="175"/>
        <v>0</v>
      </c>
      <c r="O1417" s="118">
        <f t="shared" si="176"/>
        <v>15.787360000000001</v>
      </c>
    </row>
    <row r="1418" spans="1:15" x14ac:dyDescent="0.25">
      <c r="A1418" s="32" t="s">
        <v>580</v>
      </c>
      <c r="B1418" t="s">
        <v>89</v>
      </c>
      <c r="C1418" s="19">
        <v>43</v>
      </c>
      <c r="D1418" s="18" t="s">
        <v>90</v>
      </c>
      <c r="E1418" s="13">
        <v>1</v>
      </c>
      <c r="F1418" s="25" t="s">
        <v>89</v>
      </c>
      <c r="G1418" s="25">
        <v>81897719002</v>
      </c>
      <c r="H1418" s="11">
        <v>13.948239999999998</v>
      </c>
      <c r="I1418" s="11">
        <f t="shared" si="173"/>
        <v>13.948239999999998</v>
      </c>
      <c r="J1418" s="11">
        <f t="shared" si="172"/>
        <v>13.948239999999998</v>
      </c>
      <c r="K1418" s="11">
        <f t="shared" si="174"/>
        <v>13.948239999999998</v>
      </c>
      <c r="L1418" s="10">
        <v>0</v>
      </c>
      <c r="N1418" s="118">
        <f t="shared" si="175"/>
        <v>0</v>
      </c>
      <c r="O1418" s="118">
        <f t="shared" si="176"/>
        <v>13.948239999999998</v>
      </c>
    </row>
    <row r="1419" spans="1:15" x14ac:dyDescent="0.25">
      <c r="A1419" s="32" t="s">
        <v>579</v>
      </c>
      <c r="B1419" t="s">
        <v>44</v>
      </c>
      <c r="C1419" s="19">
        <v>44</v>
      </c>
      <c r="D1419" s="18" t="s">
        <v>45</v>
      </c>
      <c r="E1419" s="13">
        <v>1</v>
      </c>
      <c r="F1419" s="25" t="s">
        <v>44</v>
      </c>
      <c r="G1419" s="25" t="s">
        <v>427</v>
      </c>
      <c r="H1419" s="11">
        <v>277.06880000000001</v>
      </c>
      <c r="I1419" s="11">
        <f t="shared" si="173"/>
        <v>277.06880000000001</v>
      </c>
      <c r="J1419" s="11">
        <f t="shared" si="172"/>
        <v>277.06880000000001</v>
      </c>
      <c r="K1419" s="11">
        <f t="shared" si="174"/>
        <v>277.06880000000001</v>
      </c>
      <c r="L1419" s="10">
        <v>0</v>
      </c>
      <c r="N1419" s="118">
        <f t="shared" si="175"/>
        <v>0</v>
      </c>
      <c r="O1419" s="118">
        <f t="shared" si="176"/>
        <v>277.06880000000001</v>
      </c>
    </row>
    <row r="1420" spans="1:15" x14ac:dyDescent="0.25">
      <c r="A1420" s="32" t="s">
        <v>578</v>
      </c>
      <c r="B1420" t="s">
        <v>86</v>
      </c>
      <c r="C1420" s="19">
        <v>45</v>
      </c>
      <c r="D1420" s="18" t="s">
        <v>87</v>
      </c>
      <c r="E1420" s="13">
        <v>1</v>
      </c>
      <c r="F1420" s="25" t="s">
        <v>86</v>
      </c>
      <c r="G1420" s="25" t="s">
        <v>427</v>
      </c>
      <c r="H1420" s="11">
        <v>392.26343999999995</v>
      </c>
      <c r="I1420" s="11">
        <f t="shared" si="173"/>
        <v>392.26343999999995</v>
      </c>
      <c r="J1420" s="11">
        <f t="shared" si="172"/>
        <v>392.26343999999995</v>
      </c>
      <c r="K1420" s="11">
        <f t="shared" si="174"/>
        <v>392.26343999999995</v>
      </c>
      <c r="L1420" s="10">
        <v>0</v>
      </c>
      <c r="N1420" s="118">
        <f t="shared" si="175"/>
        <v>0</v>
      </c>
      <c r="O1420" s="118">
        <f t="shared" si="176"/>
        <v>392.26343999999995</v>
      </c>
    </row>
    <row r="1421" spans="1:15" x14ac:dyDescent="0.25">
      <c r="B1421" t="s">
        <v>576</v>
      </c>
      <c r="C1421" s="19">
        <v>46</v>
      </c>
      <c r="D1421" s="18" t="s">
        <v>577</v>
      </c>
      <c r="E1421" s="13">
        <v>1</v>
      </c>
      <c r="F1421" s="25" t="s">
        <v>576</v>
      </c>
      <c r="G1421" s="25" t="s">
        <v>427</v>
      </c>
      <c r="H1421" s="11">
        <v>425.91744</v>
      </c>
      <c r="I1421" s="11">
        <f t="shared" si="173"/>
        <v>425.91744</v>
      </c>
      <c r="J1421" s="11">
        <f t="shared" si="172"/>
        <v>425.91744</v>
      </c>
      <c r="K1421" s="11">
        <f t="shared" si="174"/>
        <v>425.91744</v>
      </c>
      <c r="L1421" s="10">
        <v>0</v>
      </c>
      <c r="N1421" s="118">
        <f t="shared" si="175"/>
        <v>0</v>
      </c>
      <c r="O1421" s="118">
        <f t="shared" si="176"/>
        <v>425.91744</v>
      </c>
    </row>
    <row r="1422" spans="1:15" x14ac:dyDescent="0.25">
      <c r="B1422" t="s">
        <v>574</v>
      </c>
      <c r="C1422" s="19">
        <v>47</v>
      </c>
      <c r="D1422" s="18" t="s">
        <v>575</v>
      </c>
      <c r="E1422" s="13">
        <v>2</v>
      </c>
      <c r="F1422" s="25" t="s">
        <v>574</v>
      </c>
      <c r="G1422" s="25" t="s">
        <v>427</v>
      </c>
      <c r="H1422" s="11">
        <v>6.8761600000000005</v>
      </c>
      <c r="I1422" s="11">
        <f t="shared" si="173"/>
        <v>13.752320000000001</v>
      </c>
      <c r="J1422" s="11">
        <f t="shared" si="172"/>
        <v>6.8761600000000005</v>
      </c>
      <c r="K1422" s="11">
        <f t="shared" si="174"/>
        <v>13.752320000000001</v>
      </c>
      <c r="L1422" s="10">
        <v>0</v>
      </c>
      <c r="N1422" s="118">
        <f t="shared" si="175"/>
        <v>0</v>
      </c>
      <c r="O1422" s="118">
        <f t="shared" si="176"/>
        <v>6.8761600000000005</v>
      </c>
    </row>
    <row r="1423" spans="1:15" x14ac:dyDescent="0.25">
      <c r="C1423" s="9"/>
      <c r="D1423" s="8" t="s">
        <v>1</v>
      </c>
      <c r="E1423" s="8">
        <f>SUM(E1376:E1422)</f>
        <v>83</v>
      </c>
      <c r="F1423" s="8"/>
      <c r="G1423" s="8"/>
      <c r="H1423" s="7"/>
      <c r="I1423" s="7">
        <f>SUM(I1376:I1422)</f>
        <v>3434.2456000000006</v>
      </c>
      <c r="J1423" s="8"/>
      <c r="K1423" s="7">
        <f>SUM(K1376:K1422)</f>
        <v>3473.5648000000006</v>
      </c>
      <c r="L1423" s="6"/>
      <c r="N1423" s="118">
        <f t="shared" si="175"/>
        <v>0</v>
      </c>
      <c r="O1423" s="118">
        <f t="shared" si="176"/>
        <v>0</v>
      </c>
    </row>
    <row r="1424" spans="1:15" x14ac:dyDescent="0.25">
      <c r="D1424" t="s">
        <v>0</v>
      </c>
      <c r="N1424" s="118">
        <f t="shared" si="175"/>
        <v>0</v>
      </c>
      <c r="O1424" s="118">
        <f t="shared" si="176"/>
        <v>0</v>
      </c>
    </row>
    <row r="1425" spans="1:15" x14ac:dyDescent="0.25">
      <c r="C1425" s="36"/>
      <c r="D1425" s="24" t="s">
        <v>573</v>
      </c>
      <c r="N1425" s="118">
        <f t="shared" si="175"/>
        <v>0</v>
      </c>
      <c r="O1425" s="118">
        <f t="shared" si="176"/>
        <v>0</v>
      </c>
    </row>
    <row r="1426" spans="1:15" ht="30" x14ac:dyDescent="0.25">
      <c r="C1426" s="24" t="s">
        <v>28</v>
      </c>
      <c r="D1426" s="24" t="s">
        <v>27</v>
      </c>
      <c r="E1426" s="24" t="s">
        <v>26</v>
      </c>
      <c r="F1426" s="24" t="s">
        <v>25</v>
      </c>
      <c r="G1426" s="24" t="s">
        <v>24</v>
      </c>
      <c r="H1426" s="116" t="s">
        <v>21</v>
      </c>
      <c r="I1426" s="24" t="s">
        <v>23</v>
      </c>
      <c r="J1426" s="24" t="s">
        <v>2928</v>
      </c>
      <c r="K1426" s="24" t="s">
        <v>2927</v>
      </c>
      <c r="L1426" s="23" t="s">
        <v>22</v>
      </c>
      <c r="N1426" s="118" t="e">
        <f t="shared" si="175"/>
        <v>#VALUE!</v>
      </c>
      <c r="O1426" s="118" t="e">
        <f t="shared" si="176"/>
        <v>#VALUE!</v>
      </c>
    </row>
    <row r="1427" spans="1:15" x14ac:dyDescent="0.25">
      <c r="A1427" s="34" t="s">
        <v>572</v>
      </c>
      <c r="C1427" s="19">
        <v>1</v>
      </c>
      <c r="D1427" s="18" t="s">
        <v>571</v>
      </c>
      <c r="E1427" s="13">
        <v>1</v>
      </c>
      <c r="F1427" s="18" t="s">
        <v>3059</v>
      </c>
      <c r="G1427" s="25">
        <v>81897710042</v>
      </c>
      <c r="H1427" s="11">
        <v>41.117600000000003</v>
      </c>
      <c r="I1427" s="11">
        <f t="shared" ref="I1427:I1438" si="177">H1427*E1427</f>
        <v>41.117600000000003</v>
      </c>
      <c r="J1427" s="11">
        <f>O1427</f>
        <v>41.117600000000003</v>
      </c>
      <c r="K1427" s="11">
        <f t="shared" ref="K1427:K1438" si="178">J1427*E1427</f>
        <v>41.117600000000003</v>
      </c>
      <c r="L1427" s="10">
        <v>0</v>
      </c>
      <c r="N1427" s="118">
        <f t="shared" si="175"/>
        <v>0</v>
      </c>
      <c r="O1427" s="118">
        <f t="shared" si="176"/>
        <v>41.117600000000003</v>
      </c>
    </row>
    <row r="1428" spans="1:15" x14ac:dyDescent="0.25">
      <c r="A1428" s="35" t="s">
        <v>570</v>
      </c>
      <c r="C1428" s="19">
        <v>2</v>
      </c>
      <c r="D1428" s="18" t="s">
        <v>569</v>
      </c>
      <c r="E1428" s="13">
        <v>1</v>
      </c>
      <c r="F1428" s="18" t="s">
        <v>3060</v>
      </c>
      <c r="G1428" s="25" t="s">
        <v>2614</v>
      </c>
      <c r="H1428" s="11">
        <v>79.656080000000003</v>
      </c>
      <c r="I1428" s="11">
        <f t="shared" si="177"/>
        <v>79.656080000000003</v>
      </c>
      <c r="J1428" s="11">
        <f t="shared" ref="J1428:J1438" si="179">O1428</f>
        <v>79.656080000000003</v>
      </c>
      <c r="K1428" s="11">
        <f t="shared" si="178"/>
        <v>79.656080000000003</v>
      </c>
      <c r="L1428" s="10">
        <v>0</v>
      </c>
      <c r="N1428" s="118">
        <f t="shared" si="175"/>
        <v>0</v>
      </c>
      <c r="O1428" s="118">
        <f t="shared" si="176"/>
        <v>79.656080000000003</v>
      </c>
    </row>
    <row r="1429" spans="1:15" x14ac:dyDescent="0.25">
      <c r="A1429" s="35" t="s">
        <v>568</v>
      </c>
      <c r="C1429" s="19">
        <v>3</v>
      </c>
      <c r="D1429" s="18" t="s">
        <v>567</v>
      </c>
      <c r="E1429" s="13">
        <v>1</v>
      </c>
      <c r="F1429" s="18" t="s">
        <v>3061</v>
      </c>
      <c r="G1429" s="25" t="s">
        <v>2614</v>
      </c>
      <c r="H1429" s="11">
        <v>79.656080000000003</v>
      </c>
      <c r="I1429" s="11">
        <f t="shared" si="177"/>
        <v>79.656080000000003</v>
      </c>
      <c r="J1429" s="11">
        <f t="shared" si="179"/>
        <v>79.656080000000003</v>
      </c>
      <c r="K1429" s="11">
        <f t="shared" si="178"/>
        <v>79.656080000000003</v>
      </c>
      <c r="L1429" s="10">
        <v>0</v>
      </c>
      <c r="N1429" s="118">
        <f t="shared" si="175"/>
        <v>0</v>
      </c>
      <c r="O1429" s="118">
        <f t="shared" si="176"/>
        <v>79.656080000000003</v>
      </c>
    </row>
    <row r="1430" spans="1:15" x14ac:dyDescent="0.25">
      <c r="A1430" s="35" t="s">
        <v>566</v>
      </c>
      <c r="C1430" s="19">
        <v>4</v>
      </c>
      <c r="D1430" s="18" t="s">
        <v>565</v>
      </c>
      <c r="E1430" s="13">
        <v>1</v>
      </c>
      <c r="F1430" s="18" t="s">
        <v>3062</v>
      </c>
      <c r="G1430" s="25" t="s">
        <v>2614</v>
      </c>
      <c r="H1430" s="11">
        <v>79.656080000000003</v>
      </c>
      <c r="I1430" s="11">
        <f t="shared" si="177"/>
        <v>79.656080000000003</v>
      </c>
      <c r="J1430" s="11">
        <f t="shared" si="179"/>
        <v>79.656080000000003</v>
      </c>
      <c r="K1430" s="11">
        <f t="shared" si="178"/>
        <v>79.656080000000003</v>
      </c>
      <c r="L1430" s="10">
        <v>0</v>
      </c>
      <c r="N1430" s="118">
        <f t="shared" si="175"/>
        <v>0</v>
      </c>
      <c r="O1430" s="118">
        <f t="shared" si="176"/>
        <v>79.656080000000003</v>
      </c>
    </row>
    <row r="1431" spans="1:15" x14ac:dyDescent="0.25">
      <c r="A1431" s="34" t="s">
        <v>564</v>
      </c>
      <c r="C1431" s="19">
        <v>5</v>
      </c>
      <c r="D1431" s="18" t="s">
        <v>563</v>
      </c>
      <c r="E1431" s="13">
        <v>1</v>
      </c>
      <c r="F1431" s="18" t="s">
        <v>3063</v>
      </c>
      <c r="G1431" s="25">
        <v>81897710042</v>
      </c>
      <c r="H1431" s="11">
        <v>66.472080000000005</v>
      </c>
      <c r="I1431" s="11">
        <f t="shared" si="177"/>
        <v>66.472080000000005</v>
      </c>
      <c r="J1431" s="11">
        <f t="shared" si="179"/>
        <v>66.472080000000005</v>
      </c>
      <c r="K1431" s="11">
        <f t="shared" si="178"/>
        <v>66.472080000000005</v>
      </c>
      <c r="L1431" s="10">
        <v>0</v>
      </c>
      <c r="N1431" s="118">
        <f t="shared" si="175"/>
        <v>0</v>
      </c>
      <c r="O1431" s="118">
        <f t="shared" si="176"/>
        <v>66.472080000000005</v>
      </c>
    </row>
    <row r="1432" spans="1:15" x14ac:dyDescent="0.25">
      <c r="A1432" s="34" t="s">
        <v>562</v>
      </c>
      <c r="C1432" s="19">
        <v>6</v>
      </c>
      <c r="D1432" s="18" t="s">
        <v>561</v>
      </c>
      <c r="E1432" s="13">
        <v>1</v>
      </c>
      <c r="F1432" s="18" t="s">
        <v>3064</v>
      </c>
      <c r="G1432" s="25">
        <v>81897710042</v>
      </c>
      <c r="H1432" s="11">
        <v>66.472080000000005</v>
      </c>
      <c r="I1432" s="11">
        <f t="shared" si="177"/>
        <v>66.472080000000005</v>
      </c>
      <c r="J1432" s="11">
        <f t="shared" si="179"/>
        <v>66.472080000000005</v>
      </c>
      <c r="K1432" s="11">
        <f t="shared" si="178"/>
        <v>66.472080000000005</v>
      </c>
      <c r="L1432" s="10">
        <v>0</v>
      </c>
      <c r="N1432" s="118">
        <f t="shared" si="175"/>
        <v>0</v>
      </c>
      <c r="O1432" s="118">
        <f t="shared" si="176"/>
        <v>66.472080000000005</v>
      </c>
    </row>
    <row r="1433" spans="1:15" x14ac:dyDescent="0.25">
      <c r="A1433" s="34" t="s">
        <v>560</v>
      </c>
      <c r="C1433" s="19">
        <v>7</v>
      </c>
      <c r="D1433" s="18" t="s">
        <v>559</v>
      </c>
      <c r="E1433" s="13">
        <v>1</v>
      </c>
      <c r="F1433" s="18" t="s">
        <v>3065</v>
      </c>
      <c r="G1433" s="25">
        <v>81897710042</v>
      </c>
      <c r="H1433" s="11">
        <v>60.423920000000003</v>
      </c>
      <c r="I1433" s="11">
        <f t="shared" si="177"/>
        <v>60.423920000000003</v>
      </c>
      <c r="J1433" s="11">
        <f t="shared" si="179"/>
        <v>60.423920000000003</v>
      </c>
      <c r="K1433" s="11">
        <f t="shared" si="178"/>
        <v>60.423920000000003</v>
      </c>
      <c r="L1433" s="10">
        <v>0</v>
      </c>
      <c r="N1433" s="118">
        <f t="shared" si="175"/>
        <v>0</v>
      </c>
      <c r="O1433" s="118">
        <f t="shared" si="176"/>
        <v>60.423920000000003</v>
      </c>
    </row>
    <row r="1434" spans="1:15" x14ac:dyDescent="0.25">
      <c r="A1434" s="34" t="s">
        <v>558</v>
      </c>
      <c r="B1434" s="5"/>
      <c r="C1434" s="19">
        <v>8</v>
      </c>
      <c r="D1434" s="18" t="s">
        <v>557</v>
      </c>
      <c r="E1434" s="13">
        <v>1</v>
      </c>
      <c r="F1434" s="18" t="s">
        <v>3066</v>
      </c>
      <c r="G1434" s="25">
        <v>81897710042</v>
      </c>
      <c r="H1434" s="11">
        <v>61.247920000000001</v>
      </c>
      <c r="I1434" s="11">
        <f t="shared" si="177"/>
        <v>61.247920000000001</v>
      </c>
      <c r="J1434" s="11">
        <f t="shared" si="179"/>
        <v>61.247920000000001</v>
      </c>
      <c r="K1434" s="11">
        <f t="shared" si="178"/>
        <v>61.247920000000001</v>
      </c>
      <c r="L1434" s="10">
        <v>0</v>
      </c>
      <c r="N1434" s="118">
        <f t="shared" si="175"/>
        <v>0</v>
      </c>
      <c r="O1434" s="118">
        <f t="shared" si="176"/>
        <v>61.247920000000001</v>
      </c>
    </row>
    <row r="1435" spans="1:15" x14ac:dyDescent="0.25">
      <c r="A1435" s="32" t="s">
        <v>556</v>
      </c>
      <c r="C1435" s="19">
        <v>9</v>
      </c>
      <c r="D1435" s="18" t="s">
        <v>555</v>
      </c>
      <c r="E1435" s="13">
        <v>1</v>
      </c>
      <c r="F1435" s="25" t="s">
        <v>554</v>
      </c>
      <c r="G1435" s="25" t="s">
        <v>427</v>
      </c>
      <c r="H1435" s="11">
        <v>253.91559999999998</v>
      </c>
      <c r="I1435" s="11">
        <f t="shared" si="177"/>
        <v>253.91559999999998</v>
      </c>
      <c r="J1435" s="11">
        <f t="shared" si="179"/>
        <v>253.91559999999998</v>
      </c>
      <c r="K1435" s="11">
        <f t="shared" si="178"/>
        <v>253.91559999999998</v>
      </c>
      <c r="L1435" s="10">
        <v>0</v>
      </c>
      <c r="N1435" s="118">
        <f t="shared" si="175"/>
        <v>0</v>
      </c>
      <c r="O1435" s="118">
        <f t="shared" si="176"/>
        <v>253.91559999999998</v>
      </c>
    </row>
    <row r="1436" spans="1:15" x14ac:dyDescent="0.25">
      <c r="A1436" s="32" t="s">
        <v>553</v>
      </c>
      <c r="C1436" s="19">
        <v>10</v>
      </c>
      <c r="D1436" s="18" t="s">
        <v>552</v>
      </c>
      <c r="E1436" s="13">
        <v>1</v>
      </c>
      <c r="F1436" s="25" t="s">
        <v>551</v>
      </c>
      <c r="G1436" s="25" t="s">
        <v>427</v>
      </c>
      <c r="H1436" s="11">
        <v>393.50120000000004</v>
      </c>
      <c r="I1436" s="11">
        <f t="shared" si="177"/>
        <v>393.50120000000004</v>
      </c>
      <c r="J1436" s="11">
        <f t="shared" si="179"/>
        <v>393.50120000000004</v>
      </c>
      <c r="K1436" s="11">
        <f t="shared" si="178"/>
        <v>393.50120000000004</v>
      </c>
      <c r="L1436" s="10">
        <v>0</v>
      </c>
      <c r="N1436" s="118">
        <f t="shared" si="175"/>
        <v>0</v>
      </c>
      <c r="O1436" s="118">
        <f t="shared" si="176"/>
        <v>393.50120000000004</v>
      </c>
    </row>
    <row r="1437" spans="1:15" x14ac:dyDescent="0.25">
      <c r="C1437" s="19">
        <v>11</v>
      </c>
      <c r="D1437" s="18" t="s">
        <v>85</v>
      </c>
      <c r="E1437" s="13">
        <v>1</v>
      </c>
      <c r="F1437" s="25" t="s">
        <v>84</v>
      </c>
      <c r="G1437" s="25" t="s">
        <v>427</v>
      </c>
      <c r="H1437" s="11">
        <v>433.83600000000001</v>
      </c>
      <c r="I1437" s="11">
        <f t="shared" si="177"/>
        <v>433.83600000000001</v>
      </c>
      <c r="J1437" s="11">
        <f t="shared" si="179"/>
        <v>433.83600000000001</v>
      </c>
      <c r="K1437" s="11">
        <f t="shared" si="178"/>
        <v>433.83600000000001</v>
      </c>
      <c r="L1437" s="10">
        <v>0</v>
      </c>
      <c r="N1437" s="118">
        <f t="shared" si="175"/>
        <v>0</v>
      </c>
      <c r="O1437" s="118">
        <f t="shared" si="176"/>
        <v>433.83600000000001</v>
      </c>
    </row>
    <row r="1438" spans="1:15" s="5" customFormat="1" x14ac:dyDescent="0.25">
      <c r="B1438"/>
      <c r="C1438" s="19">
        <v>12</v>
      </c>
      <c r="D1438" s="18" t="s">
        <v>83</v>
      </c>
      <c r="E1438" s="13">
        <v>2</v>
      </c>
      <c r="F1438" s="25" t="s">
        <v>82</v>
      </c>
      <c r="G1438" s="25" t="s">
        <v>427</v>
      </c>
      <c r="H1438" s="11">
        <v>7.0039999999999996</v>
      </c>
      <c r="I1438" s="11">
        <f t="shared" si="177"/>
        <v>14.007999999999999</v>
      </c>
      <c r="J1438" s="11">
        <f t="shared" si="179"/>
        <v>7.0039999999999996</v>
      </c>
      <c r="K1438" s="11">
        <f t="shared" si="178"/>
        <v>14.007999999999999</v>
      </c>
      <c r="L1438" s="10">
        <v>0</v>
      </c>
      <c r="N1438" s="118">
        <f t="shared" si="175"/>
        <v>0</v>
      </c>
      <c r="O1438" s="118">
        <f t="shared" si="176"/>
        <v>7.0039999999999996</v>
      </c>
    </row>
    <row r="1439" spans="1:15" x14ac:dyDescent="0.25">
      <c r="C1439" s="9"/>
      <c r="D1439" s="8" t="s">
        <v>1</v>
      </c>
      <c r="E1439" s="8">
        <f>SUM(E1427:E1438)</f>
        <v>13</v>
      </c>
      <c r="F1439" s="8"/>
      <c r="G1439" s="8"/>
      <c r="H1439" s="7"/>
      <c r="I1439" s="7">
        <f>SUM(I1427:I1438)</f>
        <v>1629.9626400000002</v>
      </c>
      <c r="J1439" s="8"/>
      <c r="K1439" s="7">
        <f>SUM(K1427:K1438)</f>
        <v>1629.9626400000002</v>
      </c>
      <c r="L1439" s="6"/>
      <c r="N1439" s="118">
        <f t="shared" si="175"/>
        <v>0</v>
      </c>
      <c r="O1439" s="118">
        <f t="shared" si="176"/>
        <v>0</v>
      </c>
    </row>
    <row r="1440" spans="1:15" x14ac:dyDescent="0.25">
      <c r="D1440" t="s">
        <v>0</v>
      </c>
      <c r="N1440" s="118">
        <f t="shared" si="175"/>
        <v>0</v>
      </c>
      <c r="O1440" s="118">
        <f t="shared" si="176"/>
        <v>0</v>
      </c>
    </row>
    <row r="1441" spans="1:15" x14ac:dyDescent="0.25">
      <c r="D1441" s="24" t="s">
        <v>550</v>
      </c>
      <c r="N1441" s="118">
        <f t="shared" si="175"/>
        <v>0</v>
      </c>
      <c r="O1441" s="118">
        <f t="shared" si="176"/>
        <v>0</v>
      </c>
    </row>
    <row r="1442" spans="1:15" ht="30" x14ac:dyDescent="0.25">
      <c r="C1442" s="24" t="s">
        <v>28</v>
      </c>
      <c r="D1442" s="24" t="s">
        <v>27</v>
      </c>
      <c r="E1442" s="24" t="s">
        <v>26</v>
      </c>
      <c r="F1442" s="24" t="s">
        <v>25</v>
      </c>
      <c r="G1442" s="24" t="s">
        <v>24</v>
      </c>
      <c r="H1442" s="116" t="s">
        <v>21</v>
      </c>
      <c r="I1442" s="24" t="s">
        <v>23</v>
      </c>
      <c r="J1442" s="24" t="s">
        <v>2928</v>
      </c>
      <c r="K1442" s="24" t="s">
        <v>2927</v>
      </c>
      <c r="L1442" s="23" t="s">
        <v>22</v>
      </c>
      <c r="N1442" s="118" t="e">
        <f t="shared" si="175"/>
        <v>#VALUE!</v>
      </c>
      <c r="O1442" s="118" t="e">
        <f t="shared" si="176"/>
        <v>#VALUE!</v>
      </c>
    </row>
    <row r="1443" spans="1:15" x14ac:dyDescent="0.25">
      <c r="A1443" s="32" t="s">
        <v>549</v>
      </c>
      <c r="B1443" t="s">
        <v>547</v>
      </c>
      <c r="C1443" s="19">
        <v>1</v>
      </c>
      <c r="D1443" s="18" t="s">
        <v>548</v>
      </c>
      <c r="E1443" s="13">
        <v>1</v>
      </c>
      <c r="F1443" t="s">
        <v>547</v>
      </c>
      <c r="G1443" s="25">
        <v>81897710023</v>
      </c>
      <c r="H1443" s="11">
        <v>67.823440000000005</v>
      </c>
      <c r="I1443" s="11">
        <f t="shared" ref="I1443:I1470" si="180">H1443*E1443</f>
        <v>67.823440000000005</v>
      </c>
      <c r="J1443" s="11">
        <f>O1443</f>
        <v>67.823440000000005</v>
      </c>
      <c r="K1443" s="11">
        <f t="shared" ref="K1443:K1470" si="181">J1443*E1443</f>
        <v>67.823440000000005</v>
      </c>
      <c r="L1443" s="10">
        <v>0</v>
      </c>
      <c r="N1443" s="118">
        <f t="shared" si="175"/>
        <v>0</v>
      </c>
      <c r="O1443" s="118">
        <f t="shared" si="176"/>
        <v>67.823440000000005</v>
      </c>
    </row>
    <row r="1444" spans="1:15" x14ac:dyDescent="0.25">
      <c r="A1444" s="32" t="s">
        <v>546</v>
      </c>
      <c r="B1444" t="s">
        <v>286</v>
      </c>
      <c r="C1444" s="19">
        <v>2</v>
      </c>
      <c r="D1444" s="18" t="s">
        <v>287</v>
      </c>
      <c r="E1444" s="13">
        <v>1</v>
      </c>
      <c r="F1444" s="25" t="s">
        <v>286</v>
      </c>
      <c r="G1444" s="25">
        <v>81897719002</v>
      </c>
      <c r="H1444" s="11">
        <v>6.3036000000000003</v>
      </c>
      <c r="I1444" s="11">
        <f t="shared" si="180"/>
        <v>6.3036000000000003</v>
      </c>
      <c r="J1444" s="11">
        <f t="shared" ref="J1444:J1470" si="182">O1444</f>
        <v>6.3036000000000003</v>
      </c>
      <c r="K1444" s="11">
        <f t="shared" si="181"/>
        <v>6.3036000000000003</v>
      </c>
      <c r="L1444" s="10">
        <v>0</v>
      </c>
      <c r="N1444" s="118">
        <f t="shared" si="175"/>
        <v>0</v>
      </c>
      <c r="O1444" s="118">
        <f t="shared" si="176"/>
        <v>6.3036000000000003</v>
      </c>
    </row>
    <row r="1445" spans="1:15" x14ac:dyDescent="0.25">
      <c r="A1445" s="35" t="s">
        <v>545</v>
      </c>
      <c r="B1445" t="s">
        <v>409</v>
      </c>
      <c r="C1445" s="19">
        <v>3</v>
      </c>
      <c r="D1445" s="18" t="s">
        <v>485</v>
      </c>
      <c r="E1445" s="13">
        <v>1</v>
      </c>
      <c r="F1445" s="18" t="s">
        <v>409</v>
      </c>
      <c r="G1445" s="25">
        <v>81897710021</v>
      </c>
      <c r="H1445" s="11">
        <v>4.2106399999999997</v>
      </c>
      <c r="I1445" s="11">
        <f t="shared" si="180"/>
        <v>4.2106399999999997</v>
      </c>
      <c r="J1445" s="11">
        <f t="shared" si="182"/>
        <v>4.2106399999999997</v>
      </c>
      <c r="K1445" s="11">
        <f t="shared" si="181"/>
        <v>4.2106399999999997</v>
      </c>
      <c r="L1445" s="10">
        <v>0</v>
      </c>
      <c r="N1445" s="118">
        <f t="shared" si="175"/>
        <v>0</v>
      </c>
      <c r="O1445" s="118">
        <f t="shared" si="176"/>
        <v>4.2106399999999997</v>
      </c>
    </row>
    <row r="1446" spans="1:15" x14ac:dyDescent="0.25">
      <c r="A1446" s="32" t="s">
        <v>544</v>
      </c>
      <c r="B1446" s="5" t="s">
        <v>542</v>
      </c>
      <c r="C1446" s="19">
        <v>4</v>
      </c>
      <c r="D1446" s="18" t="s">
        <v>543</v>
      </c>
      <c r="E1446" s="13">
        <v>1</v>
      </c>
      <c r="F1446" s="18" t="s">
        <v>542</v>
      </c>
      <c r="G1446" s="25">
        <v>81897710018</v>
      </c>
      <c r="H1446" s="11">
        <v>52.76</v>
      </c>
      <c r="I1446" s="11">
        <f t="shared" si="180"/>
        <v>52.76</v>
      </c>
      <c r="J1446" s="11">
        <f t="shared" si="182"/>
        <v>52.76</v>
      </c>
      <c r="K1446" s="11">
        <f t="shared" si="181"/>
        <v>52.76</v>
      </c>
      <c r="L1446" s="10">
        <v>0</v>
      </c>
      <c r="N1446" s="118">
        <f t="shared" si="175"/>
        <v>0</v>
      </c>
      <c r="O1446" s="118">
        <f t="shared" si="176"/>
        <v>52.76</v>
      </c>
    </row>
    <row r="1447" spans="1:15" x14ac:dyDescent="0.25">
      <c r="A1447" s="32" t="s">
        <v>541</v>
      </c>
      <c r="B1447" t="s">
        <v>482</v>
      </c>
      <c r="C1447" s="19">
        <v>5</v>
      </c>
      <c r="D1447" s="18" t="s">
        <v>483</v>
      </c>
      <c r="E1447" s="13">
        <v>2</v>
      </c>
      <c r="F1447" s="25" t="s">
        <v>482</v>
      </c>
      <c r="G1447" s="25">
        <v>81897719002</v>
      </c>
      <c r="H1447" s="11">
        <v>12.607200000000001</v>
      </c>
      <c r="I1447" s="11">
        <f t="shared" si="180"/>
        <v>25.214400000000001</v>
      </c>
      <c r="J1447" s="11">
        <f t="shared" si="182"/>
        <v>12.607200000000001</v>
      </c>
      <c r="K1447" s="11">
        <f t="shared" si="181"/>
        <v>25.214400000000001</v>
      </c>
      <c r="L1447" s="10">
        <v>0</v>
      </c>
      <c r="N1447" s="118">
        <f t="shared" si="175"/>
        <v>0</v>
      </c>
      <c r="O1447" s="118">
        <f t="shared" si="176"/>
        <v>12.607200000000001</v>
      </c>
    </row>
    <row r="1448" spans="1:15" x14ac:dyDescent="0.25">
      <c r="A1448" s="34" t="s">
        <v>540</v>
      </c>
      <c r="B1448" t="s">
        <v>539</v>
      </c>
      <c r="C1448" s="19">
        <v>6</v>
      </c>
      <c r="D1448" s="18" t="s">
        <v>538</v>
      </c>
      <c r="E1448" s="13">
        <v>1</v>
      </c>
      <c r="F1448" s="18" t="s">
        <v>3067</v>
      </c>
      <c r="G1448" s="25">
        <v>81897719006</v>
      </c>
      <c r="H1448" s="11">
        <v>19.841919999999998</v>
      </c>
      <c r="I1448" s="11">
        <f t="shared" si="180"/>
        <v>19.841919999999998</v>
      </c>
      <c r="J1448" s="11">
        <f t="shared" si="182"/>
        <v>19.841919999999998</v>
      </c>
      <c r="K1448" s="11">
        <f t="shared" si="181"/>
        <v>19.841919999999998</v>
      </c>
      <c r="L1448" s="10">
        <v>0</v>
      </c>
      <c r="N1448" s="118">
        <f t="shared" si="175"/>
        <v>0</v>
      </c>
      <c r="O1448" s="118">
        <f t="shared" si="176"/>
        <v>19.841919999999998</v>
      </c>
    </row>
    <row r="1449" spans="1:15" x14ac:dyDescent="0.25">
      <c r="A1449" s="32" t="s">
        <v>537</v>
      </c>
      <c r="B1449" t="s">
        <v>535</v>
      </c>
      <c r="C1449" s="19">
        <v>7</v>
      </c>
      <c r="D1449" s="18" t="s">
        <v>536</v>
      </c>
      <c r="E1449" s="13">
        <v>2</v>
      </c>
      <c r="F1449" s="25" t="s">
        <v>535</v>
      </c>
      <c r="G1449" s="25">
        <v>81897719002</v>
      </c>
      <c r="H1449" s="11">
        <v>7.13584</v>
      </c>
      <c r="I1449" s="11">
        <f t="shared" si="180"/>
        <v>14.27168</v>
      </c>
      <c r="J1449" s="11">
        <f t="shared" si="182"/>
        <v>7.13584</v>
      </c>
      <c r="K1449" s="11">
        <f t="shared" si="181"/>
        <v>14.27168</v>
      </c>
      <c r="L1449" s="10">
        <v>0</v>
      </c>
      <c r="N1449" s="118">
        <f t="shared" si="175"/>
        <v>0</v>
      </c>
      <c r="O1449" s="118">
        <f t="shared" si="176"/>
        <v>7.13584</v>
      </c>
    </row>
    <row r="1450" spans="1:15" s="5" customFormat="1" x14ac:dyDescent="0.25">
      <c r="A1450" s="32" t="s">
        <v>534</v>
      </c>
      <c r="B1450" t="s">
        <v>532</v>
      </c>
      <c r="C1450" s="19">
        <v>8</v>
      </c>
      <c r="D1450" s="18" t="s">
        <v>533</v>
      </c>
      <c r="E1450" s="13">
        <v>1</v>
      </c>
      <c r="F1450" s="25" t="s">
        <v>532</v>
      </c>
      <c r="G1450" s="25">
        <v>81897719002</v>
      </c>
      <c r="H1450" s="11">
        <v>9.6572800000000019</v>
      </c>
      <c r="I1450" s="11">
        <f t="shared" si="180"/>
        <v>9.6572800000000019</v>
      </c>
      <c r="J1450" s="11">
        <f t="shared" si="182"/>
        <v>9.6572800000000019</v>
      </c>
      <c r="K1450" s="11">
        <f t="shared" si="181"/>
        <v>9.6572800000000019</v>
      </c>
      <c r="L1450" s="10">
        <v>0</v>
      </c>
      <c r="N1450" s="118">
        <f t="shared" si="175"/>
        <v>0</v>
      </c>
      <c r="O1450" s="118">
        <f t="shared" si="176"/>
        <v>9.6572800000000019</v>
      </c>
    </row>
    <row r="1451" spans="1:15" x14ac:dyDescent="0.25">
      <c r="A1451" s="32" t="s">
        <v>531</v>
      </c>
      <c r="B1451" t="s">
        <v>476</v>
      </c>
      <c r="C1451" s="19">
        <v>9</v>
      </c>
      <c r="D1451" s="18" t="s">
        <v>477</v>
      </c>
      <c r="E1451" s="13">
        <v>1</v>
      </c>
      <c r="F1451" s="25" t="s">
        <v>476</v>
      </c>
      <c r="G1451" s="25">
        <v>81897719002</v>
      </c>
      <c r="H1451" s="11">
        <v>7.5643199999999995</v>
      </c>
      <c r="I1451" s="11">
        <f t="shared" si="180"/>
        <v>7.5643199999999995</v>
      </c>
      <c r="J1451" s="11">
        <f t="shared" si="182"/>
        <v>7.5643199999999995</v>
      </c>
      <c r="K1451" s="11">
        <f t="shared" si="181"/>
        <v>7.5643199999999995</v>
      </c>
      <c r="L1451" s="10">
        <v>0</v>
      </c>
      <c r="N1451" s="118">
        <f t="shared" si="175"/>
        <v>0</v>
      </c>
      <c r="O1451" s="118">
        <f t="shared" si="176"/>
        <v>7.5643199999999995</v>
      </c>
    </row>
    <row r="1452" spans="1:15" x14ac:dyDescent="0.25">
      <c r="A1452" s="32" t="s">
        <v>530</v>
      </c>
      <c r="B1452" t="s">
        <v>230</v>
      </c>
      <c r="C1452" s="19">
        <v>10</v>
      </c>
      <c r="D1452" s="18" t="s">
        <v>231</v>
      </c>
      <c r="E1452" s="13">
        <v>2</v>
      </c>
      <c r="F1452" s="25" t="s">
        <v>230</v>
      </c>
      <c r="G1452" s="25">
        <v>81897719002</v>
      </c>
      <c r="H1452" s="11">
        <v>5.8751199999999999</v>
      </c>
      <c r="I1452" s="11">
        <f t="shared" si="180"/>
        <v>11.75024</v>
      </c>
      <c r="J1452" s="11">
        <f t="shared" si="182"/>
        <v>5.8751199999999999</v>
      </c>
      <c r="K1452" s="11">
        <f t="shared" si="181"/>
        <v>11.75024</v>
      </c>
      <c r="L1452" s="10">
        <v>0</v>
      </c>
      <c r="N1452" s="118">
        <f t="shared" si="175"/>
        <v>0</v>
      </c>
      <c r="O1452" s="118">
        <f t="shared" si="176"/>
        <v>5.8751199999999999</v>
      </c>
    </row>
    <row r="1453" spans="1:15" x14ac:dyDescent="0.25">
      <c r="A1453" s="32" t="s">
        <v>529</v>
      </c>
      <c r="B1453" t="s">
        <v>113</v>
      </c>
      <c r="C1453" s="19">
        <v>11</v>
      </c>
      <c r="D1453" s="18" t="s">
        <v>114</v>
      </c>
      <c r="E1453" s="13">
        <v>4</v>
      </c>
      <c r="F1453" s="25" t="s">
        <v>113</v>
      </c>
      <c r="G1453" s="25">
        <v>81897719002</v>
      </c>
      <c r="H1453" s="11">
        <v>12.607200000000001</v>
      </c>
      <c r="I1453" s="11">
        <f t="shared" si="180"/>
        <v>50.428800000000003</v>
      </c>
      <c r="J1453" s="11">
        <f t="shared" si="182"/>
        <v>12.607200000000001</v>
      </c>
      <c r="K1453" s="11">
        <f t="shared" si="181"/>
        <v>50.428800000000003</v>
      </c>
      <c r="L1453" s="10">
        <v>0</v>
      </c>
      <c r="N1453" s="118">
        <f t="shared" si="175"/>
        <v>0</v>
      </c>
      <c r="O1453" s="118">
        <f t="shared" si="176"/>
        <v>12.607200000000001</v>
      </c>
    </row>
    <row r="1454" spans="1:15" x14ac:dyDescent="0.25">
      <c r="A1454" s="32" t="s">
        <v>528</v>
      </c>
      <c r="B1454" t="s">
        <v>251</v>
      </c>
      <c r="C1454" s="19">
        <v>12</v>
      </c>
      <c r="D1454" s="18" t="s">
        <v>252</v>
      </c>
      <c r="E1454" s="13">
        <v>3</v>
      </c>
      <c r="F1454" s="25" t="s">
        <v>251</v>
      </c>
      <c r="G1454" s="25">
        <v>81897719002</v>
      </c>
      <c r="H1454" s="11">
        <v>10.917999999999999</v>
      </c>
      <c r="I1454" s="11">
        <f t="shared" si="180"/>
        <v>32.753999999999998</v>
      </c>
      <c r="J1454" s="11">
        <f t="shared" si="182"/>
        <v>10.917999999999999</v>
      </c>
      <c r="K1454" s="11">
        <f t="shared" si="181"/>
        <v>32.753999999999998</v>
      </c>
      <c r="L1454" s="10">
        <v>0</v>
      </c>
      <c r="N1454" s="118">
        <f t="shared" si="175"/>
        <v>0</v>
      </c>
      <c r="O1454" s="118">
        <f t="shared" si="176"/>
        <v>10.917999999999999</v>
      </c>
    </row>
    <row r="1455" spans="1:15" x14ac:dyDescent="0.25">
      <c r="A1455" s="32" t="s">
        <v>527</v>
      </c>
      <c r="B1455" t="s">
        <v>525</v>
      </c>
      <c r="C1455" s="19">
        <v>13</v>
      </c>
      <c r="D1455" s="18" t="s">
        <v>526</v>
      </c>
      <c r="E1455" s="13">
        <v>1</v>
      </c>
      <c r="F1455" s="25" t="s">
        <v>525</v>
      </c>
      <c r="G1455" s="25">
        <v>81897719002</v>
      </c>
      <c r="H1455" s="11">
        <v>13.439439999999998</v>
      </c>
      <c r="I1455" s="11">
        <f t="shared" si="180"/>
        <v>13.439439999999998</v>
      </c>
      <c r="J1455" s="11">
        <f t="shared" si="182"/>
        <v>13.439439999999998</v>
      </c>
      <c r="K1455" s="11">
        <f t="shared" si="181"/>
        <v>13.439439999999998</v>
      </c>
      <c r="L1455" s="10">
        <v>0</v>
      </c>
      <c r="N1455" s="118">
        <f t="shared" si="175"/>
        <v>0</v>
      </c>
      <c r="O1455" s="118">
        <f t="shared" si="176"/>
        <v>13.439439999999998</v>
      </c>
    </row>
    <row r="1456" spans="1:15" x14ac:dyDescent="0.25">
      <c r="A1456" s="35" t="s">
        <v>524</v>
      </c>
      <c r="B1456" t="s">
        <v>522</v>
      </c>
      <c r="C1456" s="19">
        <v>14</v>
      </c>
      <c r="D1456" s="18" t="s">
        <v>523</v>
      </c>
      <c r="E1456" s="13">
        <v>1</v>
      </c>
      <c r="F1456" t="s">
        <v>522</v>
      </c>
      <c r="G1456" s="25">
        <v>81897710022</v>
      </c>
      <c r="H1456" s="11">
        <v>42.032240000000002</v>
      </c>
      <c r="I1456" s="11">
        <f t="shared" si="180"/>
        <v>42.032240000000002</v>
      </c>
      <c r="J1456" s="11">
        <f t="shared" si="182"/>
        <v>42.032240000000002</v>
      </c>
      <c r="K1456" s="11">
        <f t="shared" si="181"/>
        <v>42.032240000000002</v>
      </c>
      <c r="L1456" s="10">
        <v>0</v>
      </c>
      <c r="N1456" s="118">
        <f t="shared" si="175"/>
        <v>0</v>
      </c>
      <c r="O1456" s="118">
        <f t="shared" si="176"/>
        <v>42.032240000000002</v>
      </c>
    </row>
    <row r="1457" spans="1:15" x14ac:dyDescent="0.25">
      <c r="A1457" s="32" t="s">
        <v>521</v>
      </c>
      <c r="B1457" t="s">
        <v>457</v>
      </c>
      <c r="C1457" s="19">
        <v>15</v>
      </c>
      <c r="D1457" s="18" t="s">
        <v>458</v>
      </c>
      <c r="E1457" s="13">
        <v>1</v>
      </c>
      <c r="F1457" s="25" t="s">
        <v>457</v>
      </c>
      <c r="G1457" s="25">
        <v>81897719003</v>
      </c>
      <c r="H1457" s="11">
        <v>48.335839999999997</v>
      </c>
      <c r="I1457" s="11">
        <f t="shared" si="180"/>
        <v>48.335839999999997</v>
      </c>
      <c r="J1457" s="11">
        <f t="shared" si="182"/>
        <v>48.335839999999997</v>
      </c>
      <c r="K1457" s="11">
        <f t="shared" si="181"/>
        <v>48.335839999999997</v>
      </c>
      <c r="L1457" s="10">
        <v>0</v>
      </c>
      <c r="N1457" s="118">
        <f t="shared" si="175"/>
        <v>0</v>
      </c>
      <c r="O1457" s="118">
        <f t="shared" si="176"/>
        <v>48.335839999999997</v>
      </c>
    </row>
    <row r="1458" spans="1:15" x14ac:dyDescent="0.25">
      <c r="A1458" s="32" t="s">
        <v>520</v>
      </c>
      <c r="B1458" t="s">
        <v>451</v>
      </c>
      <c r="C1458" s="19">
        <v>16</v>
      </c>
      <c r="D1458" s="18" t="s">
        <v>452</v>
      </c>
      <c r="E1458" s="13">
        <v>1</v>
      </c>
      <c r="F1458" s="25" t="s">
        <v>451</v>
      </c>
      <c r="G1458" s="25">
        <v>81897719003</v>
      </c>
      <c r="H1458" s="11">
        <v>56.732399999999998</v>
      </c>
      <c r="I1458" s="11">
        <f t="shared" si="180"/>
        <v>56.732399999999998</v>
      </c>
      <c r="J1458" s="11">
        <f t="shared" si="182"/>
        <v>56.732399999999998</v>
      </c>
      <c r="K1458" s="11">
        <f t="shared" si="181"/>
        <v>56.732399999999998</v>
      </c>
      <c r="L1458" s="10">
        <v>0</v>
      </c>
      <c r="N1458" s="118">
        <f t="shared" si="175"/>
        <v>0</v>
      </c>
      <c r="O1458" s="118">
        <f t="shared" si="176"/>
        <v>56.732399999999998</v>
      </c>
    </row>
    <row r="1459" spans="1:15" x14ac:dyDescent="0.25">
      <c r="A1459" s="32" t="s">
        <v>519</v>
      </c>
      <c r="B1459" t="s">
        <v>448</v>
      </c>
      <c r="C1459" s="19">
        <v>17</v>
      </c>
      <c r="D1459" s="18" t="s">
        <v>449</v>
      </c>
      <c r="E1459" s="13">
        <v>1</v>
      </c>
      <c r="F1459" t="s">
        <v>448</v>
      </c>
      <c r="G1459" s="25">
        <v>81897710012</v>
      </c>
      <c r="H1459" s="11">
        <v>8.1081599999999998</v>
      </c>
      <c r="I1459" s="11">
        <f t="shared" si="180"/>
        <v>8.1081599999999998</v>
      </c>
      <c r="J1459" s="11">
        <f t="shared" si="182"/>
        <v>8.1081599999999998</v>
      </c>
      <c r="K1459" s="11">
        <f t="shared" si="181"/>
        <v>8.1081599999999998</v>
      </c>
      <c r="L1459" s="10">
        <v>0</v>
      </c>
      <c r="N1459" s="118">
        <f t="shared" si="175"/>
        <v>0</v>
      </c>
      <c r="O1459" s="118">
        <f t="shared" si="176"/>
        <v>8.1081599999999998</v>
      </c>
    </row>
    <row r="1460" spans="1:15" x14ac:dyDescent="0.25">
      <c r="A1460" s="32" t="s">
        <v>518</v>
      </c>
      <c r="B1460" t="s">
        <v>516</v>
      </c>
      <c r="C1460" s="19">
        <v>18</v>
      </c>
      <c r="D1460" s="18" t="s">
        <v>517</v>
      </c>
      <c r="E1460" s="13">
        <v>1</v>
      </c>
      <c r="F1460" s="25" t="s">
        <v>516</v>
      </c>
      <c r="G1460" s="25">
        <v>81897719002</v>
      </c>
      <c r="H1460" s="11">
        <v>11.321760000000001</v>
      </c>
      <c r="I1460" s="11">
        <f t="shared" si="180"/>
        <v>11.321760000000001</v>
      </c>
      <c r="J1460" s="11">
        <f t="shared" si="182"/>
        <v>11.321760000000001</v>
      </c>
      <c r="K1460" s="11">
        <f t="shared" si="181"/>
        <v>11.321760000000001</v>
      </c>
      <c r="L1460" s="10">
        <v>0</v>
      </c>
      <c r="N1460" s="118">
        <f t="shared" si="175"/>
        <v>0</v>
      </c>
      <c r="O1460" s="118">
        <f t="shared" si="176"/>
        <v>11.321760000000001</v>
      </c>
    </row>
    <row r="1461" spans="1:15" x14ac:dyDescent="0.25">
      <c r="A1461" s="32" t="s">
        <v>515</v>
      </c>
      <c r="B1461" t="s">
        <v>445</v>
      </c>
      <c r="C1461" s="19">
        <v>19</v>
      </c>
      <c r="D1461" s="18" t="s">
        <v>446</v>
      </c>
      <c r="E1461" s="13">
        <v>1</v>
      </c>
      <c r="F1461" s="25" t="s">
        <v>445</v>
      </c>
      <c r="G1461" s="25">
        <v>81897719002</v>
      </c>
      <c r="H1461" s="11">
        <v>8.3965599999999991</v>
      </c>
      <c r="I1461" s="11">
        <f t="shared" si="180"/>
        <v>8.3965599999999991</v>
      </c>
      <c r="J1461" s="11">
        <f t="shared" si="182"/>
        <v>8.3965599999999991</v>
      </c>
      <c r="K1461" s="11">
        <f t="shared" si="181"/>
        <v>8.3965599999999991</v>
      </c>
      <c r="L1461" s="10">
        <v>0</v>
      </c>
      <c r="N1461" s="118">
        <f t="shared" si="175"/>
        <v>0</v>
      </c>
      <c r="O1461" s="118">
        <f t="shared" si="176"/>
        <v>8.3965599999999991</v>
      </c>
    </row>
    <row r="1462" spans="1:15" x14ac:dyDescent="0.25">
      <c r="A1462" s="32" t="s">
        <v>514</v>
      </c>
      <c r="B1462" t="s">
        <v>89</v>
      </c>
      <c r="C1462" s="19">
        <v>20</v>
      </c>
      <c r="D1462" s="18" t="s">
        <v>90</v>
      </c>
      <c r="E1462" s="13">
        <v>1</v>
      </c>
      <c r="F1462" s="25" t="s">
        <v>89</v>
      </c>
      <c r="G1462" s="25">
        <v>81897719002</v>
      </c>
      <c r="H1462" s="11">
        <v>12.079839999999999</v>
      </c>
      <c r="I1462" s="11">
        <f t="shared" si="180"/>
        <v>12.079839999999999</v>
      </c>
      <c r="J1462" s="11">
        <f t="shared" si="182"/>
        <v>12.079839999999999</v>
      </c>
      <c r="K1462" s="11">
        <f t="shared" si="181"/>
        <v>12.079839999999999</v>
      </c>
      <c r="L1462" s="10">
        <v>0</v>
      </c>
      <c r="N1462" s="118">
        <f t="shared" si="175"/>
        <v>0</v>
      </c>
      <c r="O1462" s="118">
        <f t="shared" si="176"/>
        <v>12.079839999999999</v>
      </c>
    </row>
    <row r="1463" spans="1:15" x14ac:dyDescent="0.25">
      <c r="A1463" s="32" t="s">
        <v>513</v>
      </c>
      <c r="B1463" t="s">
        <v>511</v>
      </c>
      <c r="C1463" s="19">
        <v>21</v>
      </c>
      <c r="D1463" s="18" t="s">
        <v>512</v>
      </c>
      <c r="E1463" s="13">
        <v>1</v>
      </c>
      <c r="F1463" s="25" t="s">
        <v>511</v>
      </c>
      <c r="G1463" s="25">
        <v>81897719002</v>
      </c>
      <c r="H1463" s="11">
        <v>13.670160000000001</v>
      </c>
      <c r="I1463" s="11">
        <f t="shared" si="180"/>
        <v>13.670160000000001</v>
      </c>
      <c r="J1463" s="11">
        <f t="shared" si="182"/>
        <v>13.670160000000001</v>
      </c>
      <c r="K1463" s="11">
        <f t="shared" si="181"/>
        <v>13.670160000000001</v>
      </c>
      <c r="L1463" s="10">
        <v>0</v>
      </c>
      <c r="N1463" s="118">
        <f t="shared" si="175"/>
        <v>0</v>
      </c>
      <c r="O1463" s="118">
        <f t="shared" si="176"/>
        <v>13.670160000000001</v>
      </c>
    </row>
    <row r="1464" spans="1:15" x14ac:dyDescent="0.25">
      <c r="A1464" s="35" t="s">
        <v>510</v>
      </c>
      <c r="B1464" t="s">
        <v>509</v>
      </c>
      <c r="C1464" s="19">
        <v>22</v>
      </c>
      <c r="D1464" s="18" t="s">
        <v>508</v>
      </c>
      <c r="E1464" s="13">
        <v>1</v>
      </c>
      <c r="F1464" s="25" t="s">
        <v>3068</v>
      </c>
      <c r="G1464" s="25">
        <v>81897710017</v>
      </c>
      <c r="H1464" s="11">
        <v>54.029679999999999</v>
      </c>
      <c r="I1464" s="11">
        <f t="shared" si="180"/>
        <v>54.029679999999999</v>
      </c>
      <c r="J1464" s="11">
        <f t="shared" si="182"/>
        <v>54.029679999999999</v>
      </c>
      <c r="K1464" s="11">
        <f t="shared" si="181"/>
        <v>54.029679999999999</v>
      </c>
      <c r="L1464" s="10">
        <v>0</v>
      </c>
      <c r="N1464" s="118">
        <f t="shared" si="175"/>
        <v>0</v>
      </c>
      <c r="O1464" s="118">
        <f t="shared" si="176"/>
        <v>54.029679999999999</v>
      </c>
    </row>
    <row r="1465" spans="1:15" x14ac:dyDescent="0.25">
      <c r="A1465" s="35" t="s">
        <v>507</v>
      </c>
      <c r="B1465" t="s">
        <v>506</v>
      </c>
      <c r="C1465" s="19">
        <v>23</v>
      </c>
      <c r="D1465" s="18" t="s">
        <v>505</v>
      </c>
      <c r="E1465" s="13">
        <v>1</v>
      </c>
      <c r="F1465" s="25" t="s">
        <v>3069</v>
      </c>
      <c r="G1465" s="25">
        <v>81897710017</v>
      </c>
      <c r="H1465" s="11">
        <v>51.788400000000003</v>
      </c>
      <c r="I1465" s="11">
        <f t="shared" si="180"/>
        <v>51.788400000000003</v>
      </c>
      <c r="J1465" s="11">
        <f t="shared" si="182"/>
        <v>51.788400000000003</v>
      </c>
      <c r="K1465" s="11">
        <f t="shared" si="181"/>
        <v>51.788400000000003</v>
      </c>
      <c r="L1465" s="10">
        <v>0</v>
      </c>
      <c r="N1465" s="118">
        <f t="shared" si="175"/>
        <v>0</v>
      </c>
      <c r="O1465" s="118">
        <f t="shared" si="176"/>
        <v>51.788400000000003</v>
      </c>
    </row>
    <row r="1466" spans="1:15" x14ac:dyDescent="0.25">
      <c r="A1466" s="35" t="s">
        <v>504</v>
      </c>
      <c r="B1466" t="s">
        <v>299</v>
      </c>
      <c r="C1466" s="19">
        <v>24</v>
      </c>
      <c r="D1466" s="18" t="s">
        <v>300</v>
      </c>
      <c r="E1466" s="13">
        <v>1</v>
      </c>
      <c r="F1466" s="25" t="s">
        <v>299</v>
      </c>
      <c r="G1466" s="25">
        <v>81897719002</v>
      </c>
      <c r="H1466" s="11">
        <v>30.257279999999998</v>
      </c>
      <c r="I1466" s="11">
        <f t="shared" si="180"/>
        <v>30.257279999999998</v>
      </c>
      <c r="J1466" s="11">
        <f t="shared" si="182"/>
        <v>30.257279999999998</v>
      </c>
      <c r="K1466" s="11">
        <f t="shared" si="181"/>
        <v>30.257279999999998</v>
      </c>
      <c r="L1466" s="10">
        <v>0</v>
      </c>
      <c r="N1466" s="118">
        <f t="shared" si="175"/>
        <v>0</v>
      </c>
      <c r="O1466" s="118">
        <f t="shared" si="176"/>
        <v>30.257279999999998</v>
      </c>
    </row>
    <row r="1467" spans="1:15" x14ac:dyDescent="0.25">
      <c r="A1467" s="32" t="s">
        <v>503</v>
      </c>
      <c r="B1467" t="s">
        <v>435</v>
      </c>
      <c r="C1467" s="19">
        <v>25</v>
      </c>
      <c r="D1467" s="18" t="s">
        <v>502</v>
      </c>
      <c r="E1467" s="13">
        <v>1</v>
      </c>
      <c r="F1467" s="25" t="s">
        <v>435</v>
      </c>
      <c r="G1467" s="25" t="s">
        <v>427</v>
      </c>
      <c r="H1467" s="11">
        <v>210.43312</v>
      </c>
      <c r="I1467" s="11">
        <f t="shared" si="180"/>
        <v>210.43312</v>
      </c>
      <c r="J1467" s="11">
        <f t="shared" si="182"/>
        <v>210.43312</v>
      </c>
      <c r="K1467" s="11">
        <f t="shared" si="181"/>
        <v>210.43312</v>
      </c>
      <c r="L1467" s="10">
        <v>0</v>
      </c>
      <c r="N1467" s="118">
        <f t="shared" si="175"/>
        <v>0</v>
      </c>
      <c r="O1467" s="118">
        <f t="shared" si="176"/>
        <v>210.43312</v>
      </c>
    </row>
    <row r="1468" spans="1:15" x14ac:dyDescent="0.25">
      <c r="A1468" s="32" t="s">
        <v>501</v>
      </c>
      <c r="B1468" t="s">
        <v>433</v>
      </c>
      <c r="C1468" s="19">
        <v>26</v>
      </c>
      <c r="D1468" s="18" t="s">
        <v>500</v>
      </c>
      <c r="E1468" s="13">
        <v>1</v>
      </c>
      <c r="F1468" s="25" t="s">
        <v>433</v>
      </c>
      <c r="G1468" s="25" t="s">
        <v>427</v>
      </c>
      <c r="H1468" s="11">
        <v>252.03688</v>
      </c>
      <c r="I1468" s="11">
        <f t="shared" si="180"/>
        <v>252.03688</v>
      </c>
      <c r="J1468" s="11">
        <f t="shared" si="182"/>
        <v>252.03688</v>
      </c>
      <c r="K1468" s="11">
        <f t="shared" si="181"/>
        <v>252.03688</v>
      </c>
      <c r="L1468" s="10">
        <v>0</v>
      </c>
      <c r="N1468" s="118">
        <f t="shared" si="175"/>
        <v>0</v>
      </c>
      <c r="O1468" s="118">
        <f t="shared" si="176"/>
        <v>252.03688</v>
      </c>
    </row>
    <row r="1469" spans="1:15" x14ac:dyDescent="0.25">
      <c r="B1469" t="s">
        <v>432</v>
      </c>
      <c r="C1469" s="19">
        <v>27</v>
      </c>
      <c r="D1469" s="18" t="s">
        <v>499</v>
      </c>
      <c r="E1469" s="13">
        <v>1</v>
      </c>
      <c r="F1469" s="25" t="s">
        <v>432</v>
      </c>
      <c r="G1469" s="25" t="s">
        <v>427</v>
      </c>
      <c r="H1469" s="11">
        <v>273.01591999999994</v>
      </c>
      <c r="I1469" s="11">
        <f t="shared" si="180"/>
        <v>273.01591999999994</v>
      </c>
      <c r="J1469" s="11">
        <f t="shared" si="182"/>
        <v>273.01591999999994</v>
      </c>
      <c r="K1469" s="11">
        <f t="shared" si="181"/>
        <v>273.01591999999994</v>
      </c>
      <c r="L1469" s="10">
        <v>0</v>
      </c>
      <c r="N1469" s="118">
        <f t="shared" si="175"/>
        <v>0</v>
      </c>
      <c r="O1469" s="118">
        <f t="shared" si="176"/>
        <v>273.01591999999994</v>
      </c>
    </row>
    <row r="1470" spans="1:15" x14ac:dyDescent="0.25">
      <c r="B1470" t="s">
        <v>428</v>
      </c>
      <c r="C1470" s="19">
        <v>28</v>
      </c>
      <c r="D1470" s="18" t="s">
        <v>429</v>
      </c>
      <c r="E1470" s="13">
        <v>2</v>
      </c>
      <c r="F1470" s="25" t="s">
        <v>428</v>
      </c>
      <c r="G1470" s="25" t="s">
        <v>427</v>
      </c>
      <c r="H1470" s="11">
        <v>5.9575200000000006</v>
      </c>
      <c r="I1470" s="11">
        <f t="shared" si="180"/>
        <v>11.915040000000001</v>
      </c>
      <c r="J1470" s="11">
        <f t="shared" si="182"/>
        <v>5.9575200000000006</v>
      </c>
      <c r="K1470" s="11">
        <f t="shared" si="181"/>
        <v>11.915040000000001</v>
      </c>
      <c r="L1470" s="10">
        <v>0</v>
      </c>
      <c r="N1470" s="118">
        <f t="shared" si="175"/>
        <v>0</v>
      </c>
      <c r="O1470" s="118">
        <f t="shared" si="176"/>
        <v>5.9575200000000006</v>
      </c>
    </row>
    <row r="1471" spans="1:15" x14ac:dyDescent="0.25">
      <c r="C1471" s="9"/>
      <c r="D1471" s="8" t="s">
        <v>1</v>
      </c>
      <c r="E1471" s="8">
        <f>SUM(E1443:E1470)</f>
        <v>37</v>
      </c>
      <c r="F1471" s="8"/>
      <c r="G1471" s="8"/>
      <c r="H1471" s="7"/>
      <c r="I1471" s="7">
        <f>SUM(I1443:I1470)</f>
        <v>1400.1730399999999</v>
      </c>
      <c r="J1471" s="8"/>
      <c r="K1471" s="7">
        <f>SUM(K1443:K1470)</f>
        <v>1400.1730399999999</v>
      </c>
      <c r="L1471" s="6"/>
      <c r="N1471" s="118">
        <f t="shared" si="175"/>
        <v>0</v>
      </c>
      <c r="O1471" s="118">
        <f t="shared" si="176"/>
        <v>0</v>
      </c>
    </row>
    <row r="1472" spans="1:15" x14ac:dyDescent="0.25">
      <c r="D1472" t="s">
        <v>0</v>
      </c>
      <c r="N1472" s="118">
        <f t="shared" si="175"/>
        <v>0</v>
      </c>
      <c r="O1472" s="118">
        <f t="shared" si="176"/>
        <v>0</v>
      </c>
    </row>
    <row r="1473" spans="1:15" x14ac:dyDescent="0.25">
      <c r="D1473" s="24" t="s">
        <v>498</v>
      </c>
      <c r="N1473" s="118">
        <f t="shared" si="175"/>
        <v>0</v>
      </c>
      <c r="O1473" s="118">
        <f t="shared" si="176"/>
        <v>0</v>
      </c>
    </row>
    <row r="1474" spans="1:15" ht="30" x14ac:dyDescent="0.25">
      <c r="C1474" s="24" t="s">
        <v>28</v>
      </c>
      <c r="D1474" s="24" t="s">
        <v>27</v>
      </c>
      <c r="E1474" s="24" t="s">
        <v>26</v>
      </c>
      <c r="F1474" s="24" t="s">
        <v>25</v>
      </c>
      <c r="G1474" s="24" t="s">
        <v>24</v>
      </c>
      <c r="H1474" s="116" t="s">
        <v>21</v>
      </c>
      <c r="I1474" s="24" t="s">
        <v>23</v>
      </c>
      <c r="J1474" s="24" t="s">
        <v>2928</v>
      </c>
      <c r="K1474" s="24" t="s">
        <v>2927</v>
      </c>
      <c r="L1474" s="23" t="s">
        <v>22</v>
      </c>
      <c r="N1474" s="118" t="e">
        <f t="shared" si="175"/>
        <v>#VALUE!</v>
      </c>
      <c r="O1474" s="118" t="e">
        <f t="shared" si="176"/>
        <v>#VALUE!</v>
      </c>
    </row>
    <row r="1475" spans="1:15" x14ac:dyDescent="0.25">
      <c r="A1475" t="s">
        <v>497</v>
      </c>
      <c r="B1475" t="s">
        <v>495</v>
      </c>
      <c r="C1475" s="19">
        <v>1</v>
      </c>
      <c r="D1475" s="18" t="s">
        <v>496</v>
      </c>
      <c r="E1475" s="13">
        <v>1</v>
      </c>
      <c r="F1475" s="25" t="s">
        <v>495</v>
      </c>
      <c r="G1475" s="25">
        <v>81897719002</v>
      </c>
      <c r="H1475" s="11">
        <v>18.482319999999998</v>
      </c>
      <c r="I1475" s="11">
        <f t="shared" ref="I1475:I1508" si="183">H1475*E1475</f>
        <v>18.482319999999998</v>
      </c>
      <c r="J1475" s="11">
        <f>O1475</f>
        <v>18.482319999999998</v>
      </c>
      <c r="K1475" s="11">
        <f t="shared" ref="K1475:K1508" si="184">J1475*E1475</f>
        <v>18.482319999999998</v>
      </c>
      <c r="L1475" s="10">
        <v>0</v>
      </c>
      <c r="N1475" s="118">
        <f t="shared" si="175"/>
        <v>0</v>
      </c>
      <c r="O1475" s="118">
        <f t="shared" si="176"/>
        <v>18.482319999999998</v>
      </c>
    </row>
    <row r="1476" spans="1:15" x14ac:dyDescent="0.25">
      <c r="A1476" t="s">
        <v>494</v>
      </c>
      <c r="B1476" t="s">
        <v>492</v>
      </c>
      <c r="C1476" s="19">
        <v>2</v>
      </c>
      <c r="D1476" s="18" t="s">
        <v>493</v>
      </c>
      <c r="E1476" s="13">
        <v>1</v>
      </c>
      <c r="F1476" s="25" t="s">
        <v>492</v>
      </c>
      <c r="G1476" s="25">
        <v>81897719002</v>
      </c>
      <c r="H1476" s="11">
        <v>19.339279999999999</v>
      </c>
      <c r="I1476" s="11">
        <f t="shared" si="183"/>
        <v>19.339279999999999</v>
      </c>
      <c r="J1476" s="11">
        <f t="shared" ref="J1476:J1508" si="185">O1476</f>
        <v>19.339279999999999</v>
      </c>
      <c r="K1476" s="11">
        <f t="shared" si="184"/>
        <v>19.339279999999999</v>
      </c>
      <c r="L1476" s="10">
        <v>0</v>
      </c>
      <c r="N1476" s="118">
        <f t="shared" ref="N1476:N1539" si="186">H1476*L1476</f>
        <v>0</v>
      </c>
      <c r="O1476" s="118">
        <f t="shared" ref="O1476:O1539" si="187">H1476-N1476</f>
        <v>19.339279999999999</v>
      </c>
    </row>
    <row r="1477" spans="1:15" x14ac:dyDescent="0.25">
      <c r="A1477" t="s">
        <v>491</v>
      </c>
      <c r="B1477" t="s">
        <v>422</v>
      </c>
      <c r="C1477" s="19">
        <v>3</v>
      </c>
      <c r="D1477" s="18" t="s">
        <v>423</v>
      </c>
      <c r="E1477" s="13">
        <v>4</v>
      </c>
      <c r="F1477" s="25" t="s">
        <v>422</v>
      </c>
      <c r="G1477" s="25">
        <v>81897719002</v>
      </c>
      <c r="H1477" s="11">
        <v>9.25352</v>
      </c>
      <c r="I1477" s="11">
        <f t="shared" si="183"/>
        <v>37.01408</v>
      </c>
      <c r="J1477" s="11">
        <f t="shared" si="185"/>
        <v>9.25352</v>
      </c>
      <c r="K1477" s="11">
        <f t="shared" si="184"/>
        <v>37.01408</v>
      </c>
      <c r="L1477" s="10">
        <v>0</v>
      </c>
      <c r="N1477" s="118">
        <f t="shared" si="186"/>
        <v>0</v>
      </c>
      <c r="O1477" s="118">
        <f t="shared" si="187"/>
        <v>9.25352</v>
      </c>
    </row>
    <row r="1478" spans="1:15" x14ac:dyDescent="0.25">
      <c r="A1478" t="s">
        <v>490</v>
      </c>
      <c r="B1478" t="s">
        <v>488</v>
      </c>
      <c r="C1478" s="19">
        <v>4</v>
      </c>
      <c r="D1478" s="18" t="s">
        <v>489</v>
      </c>
      <c r="E1478" s="13">
        <v>1</v>
      </c>
      <c r="F1478" s="25" t="s">
        <v>488</v>
      </c>
      <c r="G1478" s="25">
        <v>81897719002</v>
      </c>
      <c r="H1478" s="11">
        <v>7.5643199999999995</v>
      </c>
      <c r="I1478" s="11">
        <f t="shared" si="183"/>
        <v>7.5643199999999995</v>
      </c>
      <c r="J1478" s="11">
        <f t="shared" si="185"/>
        <v>7.5643199999999995</v>
      </c>
      <c r="K1478" s="11">
        <f t="shared" si="184"/>
        <v>7.5643199999999995</v>
      </c>
      <c r="L1478" s="10">
        <v>0</v>
      </c>
      <c r="N1478" s="118">
        <f t="shared" si="186"/>
        <v>0</v>
      </c>
      <c r="O1478" s="118">
        <f t="shared" si="187"/>
        <v>7.5643199999999995</v>
      </c>
    </row>
    <row r="1479" spans="1:15" x14ac:dyDescent="0.25">
      <c r="A1479" t="s">
        <v>487</v>
      </c>
      <c r="B1479" s="5" t="s">
        <v>286</v>
      </c>
      <c r="C1479" s="19">
        <v>5</v>
      </c>
      <c r="D1479" s="18" t="s">
        <v>287</v>
      </c>
      <c r="E1479" s="13">
        <v>1</v>
      </c>
      <c r="F1479" s="25" t="s">
        <v>286</v>
      </c>
      <c r="G1479" s="25">
        <v>81897719002</v>
      </c>
      <c r="H1479" s="11">
        <v>6.3036000000000003</v>
      </c>
      <c r="I1479" s="11">
        <f t="shared" si="183"/>
        <v>6.3036000000000003</v>
      </c>
      <c r="J1479" s="11">
        <f t="shared" si="185"/>
        <v>6.3036000000000003</v>
      </c>
      <c r="K1479" s="11">
        <f t="shared" si="184"/>
        <v>6.3036000000000003</v>
      </c>
      <c r="L1479" s="10">
        <v>0</v>
      </c>
      <c r="N1479" s="118">
        <f t="shared" si="186"/>
        <v>0</v>
      </c>
      <c r="O1479" s="118">
        <f t="shared" si="187"/>
        <v>6.3036000000000003</v>
      </c>
    </row>
    <row r="1480" spans="1:15" x14ac:dyDescent="0.25">
      <c r="A1480" t="s">
        <v>486</v>
      </c>
      <c r="B1480" t="s">
        <v>409</v>
      </c>
      <c r="C1480" s="19">
        <v>6</v>
      </c>
      <c r="D1480" s="18" t="s">
        <v>485</v>
      </c>
      <c r="E1480" s="13">
        <v>1</v>
      </c>
      <c r="F1480" t="s">
        <v>409</v>
      </c>
      <c r="G1480" s="25">
        <v>81897710021</v>
      </c>
      <c r="H1480" s="11">
        <v>4.2106399999999997</v>
      </c>
      <c r="I1480" s="11">
        <f t="shared" si="183"/>
        <v>4.2106399999999997</v>
      </c>
      <c r="J1480" s="11">
        <f t="shared" si="185"/>
        <v>4.2106399999999997</v>
      </c>
      <c r="K1480" s="11">
        <f t="shared" si="184"/>
        <v>4.2106399999999997</v>
      </c>
      <c r="L1480" s="10">
        <v>0</v>
      </c>
      <c r="N1480" s="118">
        <f t="shared" si="186"/>
        <v>0</v>
      </c>
      <c r="O1480" s="118">
        <f t="shared" si="187"/>
        <v>4.2106399999999997</v>
      </c>
    </row>
    <row r="1481" spans="1:15" x14ac:dyDescent="0.25">
      <c r="A1481" t="s">
        <v>484</v>
      </c>
      <c r="B1481" t="s">
        <v>482</v>
      </c>
      <c r="C1481" s="19">
        <v>7</v>
      </c>
      <c r="D1481" s="18" t="s">
        <v>483</v>
      </c>
      <c r="E1481" s="13">
        <v>2</v>
      </c>
      <c r="F1481" s="25" t="s">
        <v>482</v>
      </c>
      <c r="G1481" s="25">
        <v>81897719002</v>
      </c>
      <c r="H1481" s="11">
        <v>12.607200000000001</v>
      </c>
      <c r="I1481" s="11">
        <f t="shared" si="183"/>
        <v>25.214400000000001</v>
      </c>
      <c r="J1481" s="11">
        <f t="shared" si="185"/>
        <v>12.607200000000001</v>
      </c>
      <c r="K1481" s="11">
        <f t="shared" si="184"/>
        <v>25.214400000000001</v>
      </c>
      <c r="L1481" s="10">
        <v>0</v>
      </c>
      <c r="N1481" s="118">
        <f t="shared" si="186"/>
        <v>0</v>
      </c>
      <c r="O1481" s="118">
        <f t="shared" si="187"/>
        <v>12.607200000000001</v>
      </c>
    </row>
    <row r="1482" spans="1:15" x14ac:dyDescent="0.25">
      <c r="A1482" t="s">
        <v>481</v>
      </c>
      <c r="B1482" t="s">
        <v>479</v>
      </c>
      <c r="C1482" s="19">
        <v>8</v>
      </c>
      <c r="D1482" s="18" t="s">
        <v>480</v>
      </c>
      <c r="E1482" s="13">
        <v>2</v>
      </c>
      <c r="F1482" s="25" t="s">
        <v>479</v>
      </c>
      <c r="G1482" s="25">
        <v>81897719002</v>
      </c>
      <c r="H1482" s="11">
        <v>15.128639999999999</v>
      </c>
      <c r="I1482" s="11">
        <f t="shared" si="183"/>
        <v>30.257279999999998</v>
      </c>
      <c r="J1482" s="11">
        <f t="shared" si="185"/>
        <v>15.128639999999999</v>
      </c>
      <c r="K1482" s="11">
        <f t="shared" si="184"/>
        <v>30.257279999999998</v>
      </c>
      <c r="L1482" s="10">
        <v>0</v>
      </c>
      <c r="N1482" s="118">
        <f t="shared" si="186"/>
        <v>0</v>
      </c>
      <c r="O1482" s="118">
        <f t="shared" si="187"/>
        <v>15.128639999999999</v>
      </c>
    </row>
    <row r="1483" spans="1:15" s="5" customFormat="1" x14ac:dyDescent="0.25">
      <c r="A1483" s="5" t="s">
        <v>478</v>
      </c>
      <c r="B1483" t="s">
        <v>476</v>
      </c>
      <c r="C1483" s="19">
        <v>9</v>
      </c>
      <c r="D1483" s="18" t="s">
        <v>477</v>
      </c>
      <c r="E1483" s="13">
        <v>2</v>
      </c>
      <c r="F1483" s="25" t="s">
        <v>476</v>
      </c>
      <c r="G1483" s="25">
        <v>81897719002</v>
      </c>
      <c r="H1483" s="11">
        <v>7.5643199999999995</v>
      </c>
      <c r="I1483" s="11">
        <f t="shared" si="183"/>
        <v>15.128639999999999</v>
      </c>
      <c r="J1483" s="11">
        <f t="shared" si="185"/>
        <v>7.5643199999999995</v>
      </c>
      <c r="K1483" s="11">
        <f t="shared" si="184"/>
        <v>15.128639999999999</v>
      </c>
      <c r="L1483" s="10">
        <v>0</v>
      </c>
      <c r="N1483" s="118">
        <f t="shared" si="186"/>
        <v>0</v>
      </c>
      <c r="O1483" s="118">
        <f t="shared" si="187"/>
        <v>7.5643199999999995</v>
      </c>
    </row>
    <row r="1484" spans="1:15" x14ac:dyDescent="0.25">
      <c r="A1484" t="s">
        <v>475</v>
      </c>
      <c r="B1484" t="s">
        <v>12</v>
      </c>
      <c r="C1484" s="19">
        <v>10</v>
      </c>
      <c r="D1484" s="18" t="s">
        <v>13</v>
      </c>
      <c r="E1484" s="13">
        <v>1</v>
      </c>
      <c r="F1484" s="25" t="s">
        <v>12</v>
      </c>
      <c r="G1484" s="25">
        <v>81897719002</v>
      </c>
      <c r="H1484" s="11">
        <v>24.382159999999999</v>
      </c>
      <c r="I1484" s="11">
        <f t="shared" si="183"/>
        <v>24.382159999999999</v>
      </c>
      <c r="J1484" s="11">
        <f t="shared" si="185"/>
        <v>24.382159999999999</v>
      </c>
      <c r="K1484" s="11">
        <f t="shared" si="184"/>
        <v>24.382159999999999</v>
      </c>
      <c r="L1484" s="10">
        <v>0</v>
      </c>
      <c r="N1484" s="118">
        <f t="shared" si="186"/>
        <v>0</v>
      </c>
      <c r="O1484" s="118">
        <f t="shared" si="187"/>
        <v>24.382159999999999</v>
      </c>
    </row>
    <row r="1485" spans="1:15" x14ac:dyDescent="0.25">
      <c r="A1485" t="s">
        <v>474</v>
      </c>
      <c r="B1485" t="s">
        <v>230</v>
      </c>
      <c r="C1485" s="19">
        <v>11</v>
      </c>
      <c r="D1485" s="18" t="s">
        <v>231</v>
      </c>
      <c r="E1485" s="13">
        <v>1</v>
      </c>
      <c r="F1485" s="25" t="s">
        <v>230</v>
      </c>
      <c r="G1485" s="25">
        <v>81897719002</v>
      </c>
      <c r="H1485" s="11">
        <v>5.8751199999999999</v>
      </c>
      <c r="I1485" s="11">
        <f t="shared" si="183"/>
        <v>5.8751199999999999</v>
      </c>
      <c r="J1485" s="11">
        <f t="shared" si="185"/>
        <v>5.8751199999999999</v>
      </c>
      <c r="K1485" s="11">
        <f t="shared" si="184"/>
        <v>5.8751199999999999</v>
      </c>
      <c r="L1485" s="10">
        <v>0</v>
      </c>
      <c r="N1485" s="118">
        <f t="shared" si="186"/>
        <v>0</v>
      </c>
      <c r="O1485" s="118">
        <f t="shared" si="187"/>
        <v>5.8751199999999999</v>
      </c>
    </row>
    <row r="1486" spans="1:15" x14ac:dyDescent="0.25">
      <c r="A1486" t="s">
        <v>473</v>
      </c>
      <c r="B1486" t="s">
        <v>233</v>
      </c>
      <c r="C1486" s="19">
        <v>12</v>
      </c>
      <c r="D1486" s="18" t="s">
        <v>234</v>
      </c>
      <c r="E1486" s="13">
        <v>1</v>
      </c>
      <c r="F1486" s="25" t="s">
        <v>233</v>
      </c>
      <c r="G1486" s="25">
        <v>81897719002</v>
      </c>
      <c r="H1486" s="11">
        <v>5.4713599999999998</v>
      </c>
      <c r="I1486" s="11">
        <f t="shared" si="183"/>
        <v>5.4713599999999998</v>
      </c>
      <c r="J1486" s="11">
        <f t="shared" si="185"/>
        <v>5.4713599999999998</v>
      </c>
      <c r="K1486" s="11">
        <f t="shared" si="184"/>
        <v>5.4713599999999998</v>
      </c>
      <c r="L1486" s="10">
        <v>0</v>
      </c>
      <c r="N1486" s="118">
        <f t="shared" si="186"/>
        <v>0</v>
      </c>
      <c r="O1486" s="118">
        <f t="shared" si="187"/>
        <v>5.4713599999999998</v>
      </c>
    </row>
    <row r="1487" spans="1:15" x14ac:dyDescent="0.25">
      <c r="A1487" t="s">
        <v>472</v>
      </c>
      <c r="B1487" t="s">
        <v>113</v>
      </c>
      <c r="C1487" s="19">
        <v>13</v>
      </c>
      <c r="D1487" s="18" t="s">
        <v>114</v>
      </c>
      <c r="E1487" s="13">
        <v>2</v>
      </c>
      <c r="F1487" s="25" t="s">
        <v>113</v>
      </c>
      <c r="G1487" s="25">
        <v>81897719002</v>
      </c>
      <c r="H1487" s="11">
        <v>12.607200000000001</v>
      </c>
      <c r="I1487" s="11">
        <f t="shared" si="183"/>
        <v>25.214400000000001</v>
      </c>
      <c r="J1487" s="11">
        <f t="shared" si="185"/>
        <v>12.607200000000001</v>
      </c>
      <c r="K1487" s="11">
        <f t="shared" si="184"/>
        <v>25.214400000000001</v>
      </c>
      <c r="L1487" s="10">
        <v>0</v>
      </c>
      <c r="N1487" s="118">
        <f t="shared" si="186"/>
        <v>0</v>
      </c>
      <c r="O1487" s="118">
        <f t="shared" si="187"/>
        <v>12.607200000000001</v>
      </c>
    </row>
    <row r="1488" spans="1:15" x14ac:dyDescent="0.25">
      <c r="A1488" t="s">
        <v>471</v>
      </c>
      <c r="B1488" t="s">
        <v>469</v>
      </c>
      <c r="C1488" s="19">
        <v>14</v>
      </c>
      <c r="D1488" s="18" t="s">
        <v>470</v>
      </c>
      <c r="E1488" s="13">
        <v>2</v>
      </c>
      <c r="F1488" s="25" t="s">
        <v>469</v>
      </c>
      <c r="G1488" s="25">
        <v>81897719002</v>
      </c>
      <c r="H1488" s="11">
        <v>4.2106399999999997</v>
      </c>
      <c r="I1488" s="11">
        <f t="shared" si="183"/>
        <v>8.4212799999999994</v>
      </c>
      <c r="J1488" s="11">
        <f t="shared" si="185"/>
        <v>4.2106399999999997</v>
      </c>
      <c r="K1488" s="11">
        <f t="shared" si="184"/>
        <v>8.4212799999999994</v>
      </c>
      <c r="L1488" s="10">
        <v>0</v>
      </c>
      <c r="N1488" s="118">
        <f t="shared" si="186"/>
        <v>0</v>
      </c>
      <c r="O1488" s="118">
        <f t="shared" si="187"/>
        <v>4.2106399999999997</v>
      </c>
    </row>
    <row r="1489" spans="1:15" x14ac:dyDescent="0.25">
      <c r="A1489" t="s">
        <v>468</v>
      </c>
      <c r="B1489" t="s">
        <v>227</v>
      </c>
      <c r="C1489" s="19">
        <v>15</v>
      </c>
      <c r="D1489" s="18" t="s">
        <v>228</v>
      </c>
      <c r="E1489" s="13">
        <v>2</v>
      </c>
      <c r="F1489" s="25" t="s">
        <v>227</v>
      </c>
      <c r="G1489" s="25">
        <v>81897719002</v>
      </c>
      <c r="H1489" s="11">
        <v>3.7821599999999997</v>
      </c>
      <c r="I1489" s="11">
        <f t="shared" si="183"/>
        <v>7.5643199999999995</v>
      </c>
      <c r="J1489" s="11">
        <f t="shared" si="185"/>
        <v>3.7821599999999997</v>
      </c>
      <c r="K1489" s="11">
        <f t="shared" si="184"/>
        <v>7.5643199999999995</v>
      </c>
      <c r="L1489" s="10">
        <v>0</v>
      </c>
      <c r="N1489" s="118">
        <f t="shared" si="186"/>
        <v>0</v>
      </c>
      <c r="O1489" s="118">
        <f t="shared" si="187"/>
        <v>3.7821599999999997</v>
      </c>
    </row>
    <row r="1490" spans="1:15" x14ac:dyDescent="0.25">
      <c r="A1490" t="s">
        <v>467</v>
      </c>
      <c r="B1490" t="s">
        <v>131</v>
      </c>
      <c r="C1490" s="19">
        <v>16</v>
      </c>
      <c r="D1490" s="18" t="s">
        <v>132</v>
      </c>
      <c r="E1490" s="13">
        <v>4</v>
      </c>
      <c r="F1490" s="25" t="s">
        <v>131</v>
      </c>
      <c r="G1490" s="25">
        <v>81897719002</v>
      </c>
      <c r="H1490" s="11">
        <v>10.085760000000001</v>
      </c>
      <c r="I1490" s="11">
        <f t="shared" si="183"/>
        <v>40.343040000000002</v>
      </c>
      <c r="J1490" s="11">
        <f t="shared" si="185"/>
        <v>10.085760000000001</v>
      </c>
      <c r="K1490" s="11">
        <f t="shared" si="184"/>
        <v>40.343040000000002</v>
      </c>
      <c r="L1490" s="10">
        <v>0</v>
      </c>
      <c r="N1490" s="118">
        <f t="shared" si="186"/>
        <v>0</v>
      </c>
      <c r="O1490" s="118">
        <f t="shared" si="187"/>
        <v>10.085760000000001</v>
      </c>
    </row>
    <row r="1491" spans="1:15" x14ac:dyDescent="0.25">
      <c r="A1491" t="s">
        <v>466</v>
      </c>
      <c r="B1491" t="s">
        <v>256</v>
      </c>
      <c r="C1491" s="19">
        <v>17</v>
      </c>
      <c r="D1491" s="18" t="s">
        <v>257</v>
      </c>
      <c r="E1491" s="13">
        <v>6</v>
      </c>
      <c r="F1491" s="25" t="s">
        <v>256</v>
      </c>
      <c r="G1491" s="25">
        <v>81897719002</v>
      </c>
      <c r="H1491" s="11">
        <v>10.514240000000001</v>
      </c>
      <c r="I1491" s="11">
        <f t="shared" si="183"/>
        <v>63.085440000000006</v>
      </c>
      <c r="J1491" s="11">
        <f t="shared" si="185"/>
        <v>10.514240000000001</v>
      </c>
      <c r="K1491" s="11">
        <f t="shared" si="184"/>
        <v>63.085440000000006</v>
      </c>
      <c r="L1491" s="10">
        <v>0</v>
      </c>
      <c r="N1491" s="118">
        <f t="shared" si="186"/>
        <v>0</v>
      </c>
      <c r="O1491" s="118">
        <f t="shared" si="187"/>
        <v>10.514240000000001</v>
      </c>
    </row>
    <row r="1492" spans="1:15" x14ac:dyDescent="0.25">
      <c r="A1492" t="s">
        <v>465</v>
      </c>
      <c r="B1492" t="s">
        <v>259</v>
      </c>
      <c r="C1492" s="19">
        <v>18</v>
      </c>
      <c r="D1492" s="18" t="s">
        <v>260</v>
      </c>
      <c r="E1492" s="13">
        <v>6</v>
      </c>
      <c r="F1492" s="25" t="s">
        <v>259</v>
      </c>
      <c r="G1492" s="25">
        <v>81897719002</v>
      </c>
      <c r="H1492" s="11">
        <v>10.085760000000001</v>
      </c>
      <c r="I1492" s="11">
        <f t="shared" si="183"/>
        <v>60.514560000000003</v>
      </c>
      <c r="J1492" s="11">
        <f t="shared" si="185"/>
        <v>10.085760000000001</v>
      </c>
      <c r="K1492" s="11">
        <f t="shared" si="184"/>
        <v>60.514560000000003</v>
      </c>
      <c r="L1492" s="10">
        <v>0</v>
      </c>
      <c r="N1492" s="118">
        <f t="shared" si="186"/>
        <v>0</v>
      </c>
      <c r="O1492" s="118">
        <f t="shared" si="187"/>
        <v>10.085760000000001</v>
      </c>
    </row>
    <row r="1493" spans="1:15" x14ac:dyDescent="0.25">
      <c r="A1493" t="s">
        <v>464</v>
      </c>
      <c r="B1493" t="s">
        <v>119</v>
      </c>
      <c r="C1493" s="19">
        <v>19</v>
      </c>
      <c r="D1493" s="18" t="s">
        <v>120</v>
      </c>
      <c r="E1493" s="13">
        <v>4</v>
      </c>
      <c r="F1493" s="25" t="s">
        <v>119</v>
      </c>
      <c r="G1493" s="25">
        <v>81897719002</v>
      </c>
      <c r="H1493" s="11">
        <v>10.514240000000001</v>
      </c>
      <c r="I1493" s="11">
        <f t="shared" si="183"/>
        <v>42.056960000000004</v>
      </c>
      <c r="J1493" s="11">
        <f t="shared" si="185"/>
        <v>10.514240000000001</v>
      </c>
      <c r="K1493" s="11">
        <f t="shared" si="184"/>
        <v>42.056960000000004</v>
      </c>
      <c r="L1493" s="10">
        <v>0</v>
      </c>
      <c r="N1493" s="118">
        <f t="shared" si="186"/>
        <v>0</v>
      </c>
      <c r="O1493" s="118">
        <f t="shared" si="187"/>
        <v>10.514240000000001</v>
      </c>
    </row>
    <row r="1494" spans="1:15" x14ac:dyDescent="0.25">
      <c r="A1494" t="s">
        <v>463</v>
      </c>
      <c r="B1494" t="s">
        <v>122</v>
      </c>
      <c r="C1494" s="19">
        <v>20</v>
      </c>
      <c r="D1494" s="18" t="s">
        <v>123</v>
      </c>
      <c r="E1494" s="13">
        <v>2</v>
      </c>
      <c r="F1494" s="25" t="s">
        <v>122</v>
      </c>
      <c r="G1494" s="25">
        <v>81897719002</v>
      </c>
      <c r="H1494" s="11">
        <v>10.085760000000001</v>
      </c>
      <c r="I1494" s="11">
        <f t="shared" si="183"/>
        <v>20.171520000000001</v>
      </c>
      <c r="J1494" s="11">
        <f t="shared" si="185"/>
        <v>10.085760000000001</v>
      </c>
      <c r="K1494" s="11">
        <f t="shared" si="184"/>
        <v>20.171520000000001</v>
      </c>
      <c r="L1494" s="10">
        <v>0</v>
      </c>
      <c r="N1494" s="118">
        <f t="shared" si="186"/>
        <v>0</v>
      </c>
      <c r="O1494" s="118">
        <f t="shared" si="187"/>
        <v>10.085760000000001</v>
      </c>
    </row>
    <row r="1495" spans="1:15" x14ac:dyDescent="0.25">
      <c r="A1495" t="s">
        <v>462</v>
      </c>
      <c r="B1495" t="s">
        <v>460</v>
      </c>
      <c r="C1495" s="19">
        <v>21</v>
      </c>
      <c r="D1495" s="18" t="s">
        <v>461</v>
      </c>
      <c r="E1495" s="13">
        <v>1</v>
      </c>
      <c r="F1495" s="25" t="s">
        <v>460</v>
      </c>
      <c r="G1495" s="25">
        <v>81897719002</v>
      </c>
      <c r="H1495" s="11">
        <v>11.774959999999998</v>
      </c>
      <c r="I1495" s="11">
        <f t="shared" si="183"/>
        <v>11.774959999999998</v>
      </c>
      <c r="J1495" s="11">
        <f t="shared" si="185"/>
        <v>11.774959999999998</v>
      </c>
      <c r="K1495" s="11">
        <f t="shared" si="184"/>
        <v>11.774959999999998</v>
      </c>
      <c r="L1495" s="10">
        <v>0</v>
      </c>
      <c r="N1495" s="118">
        <f t="shared" si="186"/>
        <v>0</v>
      </c>
      <c r="O1495" s="118">
        <f t="shared" si="187"/>
        <v>11.774959999999998</v>
      </c>
    </row>
    <row r="1496" spans="1:15" x14ac:dyDescent="0.25">
      <c r="A1496" t="s">
        <v>459</v>
      </c>
      <c r="B1496" t="s">
        <v>457</v>
      </c>
      <c r="C1496" s="19">
        <v>22</v>
      </c>
      <c r="D1496" s="18" t="s">
        <v>458</v>
      </c>
      <c r="E1496" s="13">
        <v>1</v>
      </c>
      <c r="F1496" s="25" t="s">
        <v>457</v>
      </c>
      <c r="G1496" s="25">
        <v>81897719003</v>
      </c>
      <c r="H1496" s="11">
        <v>48.335839999999997</v>
      </c>
      <c r="I1496" s="11">
        <f t="shared" si="183"/>
        <v>48.335839999999997</v>
      </c>
      <c r="J1496" s="11">
        <f t="shared" si="185"/>
        <v>48.335839999999997</v>
      </c>
      <c r="K1496" s="11">
        <f t="shared" si="184"/>
        <v>48.335839999999997</v>
      </c>
      <c r="L1496" s="10">
        <v>0</v>
      </c>
      <c r="N1496" s="118">
        <f t="shared" si="186"/>
        <v>0</v>
      </c>
      <c r="O1496" s="118">
        <f t="shared" si="187"/>
        <v>48.335839999999997</v>
      </c>
    </row>
    <row r="1497" spans="1:15" x14ac:dyDescent="0.25">
      <c r="A1497" t="s">
        <v>456</v>
      </c>
      <c r="B1497" t="s">
        <v>454</v>
      </c>
      <c r="C1497" s="19">
        <v>23</v>
      </c>
      <c r="D1497" s="18" t="s">
        <v>455</v>
      </c>
      <c r="E1497" s="13">
        <v>1</v>
      </c>
      <c r="F1497" s="25" t="s">
        <v>454</v>
      </c>
      <c r="G1497" s="25">
        <v>81897719003</v>
      </c>
      <c r="H1497" s="11">
        <v>52.521760000000008</v>
      </c>
      <c r="I1497" s="11">
        <f t="shared" si="183"/>
        <v>52.521760000000008</v>
      </c>
      <c r="J1497" s="11">
        <f t="shared" si="185"/>
        <v>52.521760000000008</v>
      </c>
      <c r="K1497" s="11">
        <f t="shared" si="184"/>
        <v>52.521760000000008</v>
      </c>
      <c r="L1497" s="10">
        <v>0</v>
      </c>
      <c r="N1497" s="118">
        <f t="shared" si="186"/>
        <v>0</v>
      </c>
      <c r="O1497" s="118">
        <f t="shared" si="187"/>
        <v>52.521760000000008</v>
      </c>
    </row>
    <row r="1498" spans="1:15" x14ac:dyDescent="0.25">
      <c r="A1498" t="s">
        <v>453</v>
      </c>
      <c r="B1498" t="s">
        <v>451</v>
      </c>
      <c r="C1498" s="19">
        <v>24</v>
      </c>
      <c r="D1498" s="18" t="s">
        <v>452</v>
      </c>
      <c r="E1498" s="13">
        <v>1</v>
      </c>
      <c r="F1498" s="25" t="s">
        <v>451</v>
      </c>
      <c r="G1498" s="25">
        <v>81897719003</v>
      </c>
      <c r="H1498" s="11">
        <v>56.732399999999998</v>
      </c>
      <c r="I1498" s="11">
        <f t="shared" si="183"/>
        <v>56.732399999999998</v>
      </c>
      <c r="J1498" s="11">
        <f t="shared" si="185"/>
        <v>56.732399999999998</v>
      </c>
      <c r="K1498" s="11">
        <f t="shared" si="184"/>
        <v>56.732399999999998</v>
      </c>
      <c r="L1498" s="10">
        <v>0</v>
      </c>
      <c r="N1498" s="118">
        <f t="shared" si="186"/>
        <v>0</v>
      </c>
      <c r="O1498" s="118">
        <f t="shared" si="187"/>
        <v>56.732399999999998</v>
      </c>
    </row>
    <row r="1499" spans="1:15" x14ac:dyDescent="0.25">
      <c r="A1499" t="s">
        <v>450</v>
      </c>
      <c r="B1499" t="s">
        <v>448</v>
      </c>
      <c r="C1499" s="19">
        <v>25</v>
      </c>
      <c r="D1499" s="18" t="s">
        <v>449</v>
      </c>
      <c r="E1499" s="13">
        <v>1</v>
      </c>
      <c r="F1499" t="s">
        <v>448</v>
      </c>
      <c r="G1499" s="25">
        <v>81897710012</v>
      </c>
      <c r="H1499" s="11">
        <v>8.1081599999999998</v>
      </c>
      <c r="I1499" s="11">
        <f t="shared" si="183"/>
        <v>8.1081599999999998</v>
      </c>
      <c r="J1499" s="11">
        <f t="shared" si="185"/>
        <v>8.1081599999999998</v>
      </c>
      <c r="K1499" s="11">
        <f t="shared" si="184"/>
        <v>8.1081599999999998</v>
      </c>
      <c r="L1499" s="10">
        <v>0</v>
      </c>
      <c r="N1499" s="118">
        <f t="shared" si="186"/>
        <v>0</v>
      </c>
      <c r="O1499" s="118">
        <f t="shared" si="187"/>
        <v>8.1081599999999998</v>
      </c>
    </row>
    <row r="1500" spans="1:15" x14ac:dyDescent="0.25">
      <c r="A1500" t="s">
        <v>447</v>
      </c>
      <c r="B1500" t="s">
        <v>445</v>
      </c>
      <c r="C1500" s="19">
        <v>26</v>
      </c>
      <c r="D1500" s="18" t="s">
        <v>446</v>
      </c>
      <c r="E1500" s="13">
        <v>1</v>
      </c>
      <c r="F1500" s="25" t="s">
        <v>445</v>
      </c>
      <c r="G1500" s="25">
        <v>81897719002</v>
      </c>
      <c r="H1500" s="11">
        <v>8.3965599999999991</v>
      </c>
      <c r="I1500" s="11">
        <f t="shared" si="183"/>
        <v>8.3965599999999991</v>
      </c>
      <c r="J1500" s="11">
        <f t="shared" si="185"/>
        <v>8.3965599999999991</v>
      </c>
      <c r="K1500" s="11">
        <f t="shared" si="184"/>
        <v>8.3965599999999991</v>
      </c>
      <c r="L1500" s="10">
        <v>0</v>
      </c>
      <c r="N1500" s="118">
        <f t="shared" si="186"/>
        <v>0</v>
      </c>
      <c r="O1500" s="118">
        <f t="shared" si="187"/>
        <v>8.3965599999999991</v>
      </c>
    </row>
    <row r="1501" spans="1:15" x14ac:dyDescent="0.25">
      <c r="A1501" t="s">
        <v>444</v>
      </c>
      <c r="B1501" t="s">
        <v>442</v>
      </c>
      <c r="C1501" s="19">
        <v>27</v>
      </c>
      <c r="D1501" s="18" t="s">
        <v>443</v>
      </c>
      <c r="E1501" s="13">
        <v>1</v>
      </c>
      <c r="F1501" s="25" t="s">
        <v>442</v>
      </c>
      <c r="G1501" s="25">
        <v>81897719002</v>
      </c>
      <c r="H1501" s="11">
        <v>7.8692000000000002</v>
      </c>
      <c r="I1501" s="11">
        <f t="shared" si="183"/>
        <v>7.8692000000000002</v>
      </c>
      <c r="J1501" s="11">
        <f t="shared" si="185"/>
        <v>7.8692000000000002</v>
      </c>
      <c r="K1501" s="11">
        <f t="shared" si="184"/>
        <v>7.8692000000000002</v>
      </c>
      <c r="L1501" s="10">
        <v>0</v>
      </c>
      <c r="N1501" s="118">
        <f t="shared" si="186"/>
        <v>0</v>
      </c>
      <c r="O1501" s="118">
        <f t="shared" si="187"/>
        <v>7.8692000000000002</v>
      </c>
    </row>
    <row r="1502" spans="1:15" x14ac:dyDescent="0.25">
      <c r="A1502" t="s">
        <v>441</v>
      </c>
      <c r="B1502" t="s">
        <v>92</v>
      </c>
      <c r="C1502" s="19">
        <v>28</v>
      </c>
      <c r="D1502" s="18" t="s">
        <v>93</v>
      </c>
      <c r="E1502" s="13">
        <v>1</v>
      </c>
      <c r="F1502" s="25" t="s">
        <v>92</v>
      </c>
      <c r="G1502" s="25">
        <v>81897719002</v>
      </c>
      <c r="H1502" s="11">
        <v>14.172800000000001</v>
      </c>
      <c r="I1502" s="11">
        <f t="shared" si="183"/>
        <v>14.172800000000001</v>
      </c>
      <c r="J1502" s="11">
        <f t="shared" si="185"/>
        <v>14.172800000000001</v>
      </c>
      <c r="K1502" s="11">
        <f t="shared" si="184"/>
        <v>14.172800000000001</v>
      </c>
      <c r="L1502" s="10">
        <v>0</v>
      </c>
      <c r="N1502" s="118">
        <f t="shared" si="186"/>
        <v>0</v>
      </c>
      <c r="O1502" s="118">
        <f t="shared" si="187"/>
        <v>14.172800000000001</v>
      </c>
    </row>
    <row r="1503" spans="1:15" x14ac:dyDescent="0.25">
      <c r="A1503" t="s">
        <v>440</v>
      </c>
      <c r="B1503" t="s">
        <v>438</v>
      </c>
      <c r="C1503" s="19">
        <v>29</v>
      </c>
      <c r="D1503" s="18" t="s">
        <v>439</v>
      </c>
      <c r="E1503" s="13">
        <v>1</v>
      </c>
      <c r="F1503" s="25" t="s">
        <v>438</v>
      </c>
      <c r="G1503" s="25">
        <v>81897719002</v>
      </c>
      <c r="H1503" s="11">
        <v>13.670160000000001</v>
      </c>
      <c r="I1503" s="11">
        <f t="shared" si="183"/>
        <v>13.670160000000001</v>
      </c>
      <c r="J1503" s="11">
        <f t="shared" si="185"/>
        <v>13.670160000000001</v>
      </c>
      <c r="K1503" s="11">
        <f t="shared" si="184"/>
        <v>13.670160000000001</v>
      </c>
      <c r="L1503" s="10">
        <v>0</v>
      </c>
      <c r="N1503" s="118">
        <f t="shared" si="186"/>
        <v>0</v>
      </c>
      <c r="O1503" s="118">
        <f t="shared" si="187"/>
        <v>13.670160000000001</v>
      </c>
    </row>
    <row r="1504" spans="1:15" x14ac:dyDescent="0.25">
      <c r="A1504" t="s">
        <v>437</v>
      </c>
      <c r="B1504" t="s">
        <v>89</v>
      </c>
      <c r="C1504" s="19">
        <v>30</v>
      </c>
      <c r="D1504" s="18" t="s">
        <v>90</v>
      </c>
      <c r="E1504" s="13">
        <v>1</v>
      </c>
      <c r="F1504" s="25" t="s">
        <v>89</v>
      </c>
      <c r="G1504" s="25">
        <v>81897719002</v>
      </c>
      <c r="H1504" s="11">
        <v>12.079839999999999</v>
      </c>
      <c r="I1504" s="11">
        <f t="shared" si="183"/>
        <v>12.079839999999999</v>
      </c>
      <c r="J1504" s="11">
        <f t="shared" si="185"/>
        <v>12.079839999999999</v>
      </c>
      <c r="K1504" s="11">
        <f t="shared" si="184"/>
        <v>12.079839999999999</v>
      </c>
      <c r="L1504" s="10">
        <v>0</v>
      </c>
      <c r="N1504" s="118">
        <f t="shared" si="186"/>
        <v>0</v>
      </c>
      <c r="O1504" s="118">
        <f t="shared" si="187"/>
        <v>12.079839999999999</v>
      </c>
    </row>
    <row r="1505" spans="1:15" x14ac:dyDescent="0.25">
      <c r="A1505" t="s">
        <v>436</v>
      </c>
      <c r="B1505" t="s">
        <v>435</v>
      </c>
      <c r="C1505" s="19">
        <v>31</v>
      </c>
      <c r="D1505" s="18" t="s">
        <v>45</v>
      </c>
      <c r="E1505" s="13">
        <v>1</v>
      </c>
      <c r="F1505" s="25" t="s">
        <v>44</v>
      </c>
      <c r="G1505" s="25" t="s">
        <v>427</v>
      </c>
      <c r="H1505" s="11">
        <v>239.89112</v>
      </c>
      <c r="I1505" s="11">
        <f t="shared" si="183"/>
        <v>239.89112</v>
      </c>
      <c r="J1505" s="11">
        <f t="shared" si="185"/>
        <v>239.89112</v>
      </c>
      <c r="K1505" s="11">
        <f t="shared" si="184"/>
        <v>239.89112</v>
      </c>
      <c r="L1505" s="10">
        <v>0</v>
      </c>
      <c r="N1505" s="118">
        <f t="shared" si="186"/>
        <v>0</v>
      </c>
      <c r="O1505" s="118">
        <f t="shared" si="187"/>
        <v>239.89112</v>
      </c>
    </row>
    <row r="1506" spans="1:15" x14ac:dyDescent="0.25">
      <c r="A1506" t="s">
        <v>434</v>
      </c>
      <c r="B1506" t="s">
        <v>433</v>
      </c>
      <c r="C1506" s="19">
        <v>32</v>
      </c>
      <c r="D1506" s="18" t="s">
        <v>87</v>
      </c>
      <c r="E1506" s="13">
        <v>1</v>
      </c>
      <c r="F1506" s="25" t="s">
        <v>86</v>
      </c>
      <c r="G1506" s="25" t="s">
        <v>427</v>
      </c>
      <c r="H1506" s="11">
        <v>339.62808000000001</v>
      </c>
      <c r="I1506" s="11">
        <f t="shared" si="183"/>
        <v>339.62808000000001</v>
      </c>
      <c r="J1506" s="11">
        <f t="shared" si="185"/>
        <v>339.62808000000001</v>
      </c>
      <c r="K1506" s="11">
        <f t="shared" si="184"/>
        <v>339.62808000000001</v>
      </c>
      <c r="L1506" s="10">
        <v>0</v>
      </c>
      <c r="N1506" s="118">
        <f t="shared" si="186"/>
        <v>0</v>
      </c>
      <c r="O1506" s="118">
        <f t="shared" si="187"/>
        <v>339.62808000000001</v>
      </c>
    </row>
    <row r="1507" spans="1:15" x14ac:dyDescent="0.25">
      <c r="B1507" t="s">
        <v>432</v>
      </c>
      <c r="C1507" s="19">
        <v>33</v>
      </c>
      <c r="D1507" s="18" t="s">
        <v>431</v>
      </c>
      <c r="E1507" s="13">
        <v>1</v>
      </c>
      <c r="F1507" s="25" t="s">
        <v>430</v>
      </c>
      <c r="G1507" s="25" t="s">
        <v>427</v>
      </c>
      <c r="H1507" s="11">
        <v>395.09976</v>
      </c>
      <c r="I1507" s="11">
        <f t="shared" si="183"/>
        <v>395.09976</v>
      </c>
      <c r="J1507" s="11">
        <f t="shared" si="185"/>
        <v>395.09976</v>
      </c>
      <c r="K1507" s="11">
        <f t="shared" si="184"/>
        <v>395.09976</v>
      </c>
      <c r="L1507" s="10">
        <v>0</v>
      </c>
      <c r="N1507" s="118">
        <f t="shared" si="186"/>
        <v>0</v>
      </c>
      <c r="O1507" s="118">
        <f t="shared" si="187"/>
        <v>395.09976</v>
      </c>
    </row>
    <row r="1508" spans="1:15" x14ac:dyDescent="0.25">
      <c r="B1508" t="s">
        <v>428</v>
      </c>
      <c r="C1508" s="19">
        <v>34</v>
      </c>
      <c r="D1508" s="18" t="s">
        <v>429</v>
      </c>
      <c r="E1508" s="13">
        <v>2</v>
      </c>
      <c r="F1508" s="25" t="s">
        <v>428</v>
      </c>
      <c r="G1508" s="25" t="s">
        <v>427</v>
      </c>
      <c r="H1508" s="11">
        <v>5.9575200000000006</v>
      </c>
      <c r="I1508" s="11">
        <f t="shared" si="183"/>
        <v>11.915040000000001</v>
      </c>
      <c r="J1508" s="11">
        <f t="shared" si="185"/>
        <v>5.9575200000000006</v>
      </c>
      <c r="K1508" s="11">
        <f t="shared" si="184"/>
        <v>11.915040000000001</v>
      </c>
      <c r="L1508" s="10">
        <v>0</v>
      </c>
      <c r="N1508" s="118">
        <f t="shared" si="186"/>
        <v>0</v>
      </c>
      <c r="O1508" s="118">
        <f t="shared" si="187"/>
        <v>5.9575200000000006</v>
      </c>
    </row>
    <row r="1509" spans="1:15" x14ac:dyDescent="0.25">
      <c r="C1509" s="9"/>
      <c r="D1509" s="8" t="s">
        <v>1</v>
      </c>
      <c r="E1509" s="8">
        <f>SUM(E1475:E1508)</f>
        <v>61</v>
      </c>
      <c r="F1509" s="8"/>
      <c r="G1509" s="8"/>
      <c r="H1509" s="7"/>
      <c r="I1509" s="7">
        <f>SUM(I1475:I1508)</f>
        <v>1686.8104000000003</v>
      </c>
      <c r="J1509" s="8"/>
      <c r="K1509" s="7">
        <f>SUM(K1475:K1508)</f>
        <v>1686.8104000000003</v>
      </c>
      <c r="L1509" s="6"/>
      <c r="N1509" s="118">
        <f t="shared" si="186"/>
        <v>0</v>
      </c>
      <c r="O1509" s="118">
        <f t="shared" si="187"/>
        <v>0</v>
      </c>
    </row>
    <row r="1510" spans="1:15" x14ac:dyDescent="0.25">
      <c r="D1510" t="s">
        <v>0</v>
      </c>
      <c r="N1510" s="118">
        <f t="shared" si="186"/>
        <v>0</v>
      </c>
      <c r="O1510" s="118">
        <f t="shared" si="187"/>
        <v>0</v>
      </c>
    </row>
    <row r="1511" spans="1:15" x14ac:dyDescent="0.25">
      <c r="D1511" s="24" t="s">
        <v>426</v>
      </c>
      <c r="N1511" s="118">
        <f t="shared" si="186"/>
        <v>0</v>
      </c>
      <c r="O1511" s="118">
        <f t="shared" si="187"/>
        <v>0</v>
      </c>
    </row>
    <row r="1512" spans="1:15" ht="30" x14ac:dyDescent="0.25">
      <c r="C1512" s="24" t="s">
        <v>28</v>
      </c>
      <c r="D1512" s="24" t="s">
        <v>27</v>
      </c>
      <c r="E1512" s="24" t="s">
        <v>26</v>
      </c>
      <c r="F1512" s="24" t="s">
        <v>25</v>
      </c>
      <c r="G1512" s="24" t="s">
        <v>24</v>
      </c>
      <c r="H1512" s="116" t="s">
        <v>21</v>
      </c>
      <c r="I1512" s="24" t="s">
        <v>23</v>
      </c>
      <c r="J1512" s="24" t="s">
        <v>2928</v>
      </c>
      <c r="K1512" s="24" t="s">
        <v>2927</v>
      </c>
      <c r="L1512" s="23" t="s">
        <v>22</v>
      </c>
      <c r="N1512" s="118" t="e">
        <f t="shared" si="186"/>
        <v>#VALUE!</v>
      </c>
      <c r="O1512" s="118" t="e">
        <f t="shared" si="187"/>
        <v>#VALUE!</v>
      </c>
    </row>
    <row r="1513" spans="1:15" x14ac:dyDescent="0.25">
      <c r="A1513" t="s">
        <v>425</v>
      </c>
      <c r="C1513" s="19">
        <v>1</v>
      </c>
      <c r="D1513" s="18" t="s">
        <v>165</v>
      </c>
      <c r="E1513" s="13">
        <v>6</v>
      </c>
      <c r="F1513" s="25" t="s">
        <v>164</v>
      </c>
      <c r="G1513" s="25"/>
      <c r="H1513" s="11">
        <v>5.2241600000000004</v>
      </c>
      <c r="I1513" s="11">
        <f t="shared" ref="I1513:I1544" si="188">H1513*E1513</f>
        <v>31.34496</v>
      </c>
      <c r="J1513" s="11">
        <f>O1513</f>
        <v>5.2241600000000004</v>
      </c>
      <c r="K1513" s="11">
        <f t="shared" ref="K1513:K1544" si="189">J1513*E1513</f>
        <v>31.34496</v>
      </c>
      <c r="L1513" s="10">
        <v>0</v>
      </c>
      <c r="N1513" s="118">
        <f t="shared" si="186"/>
        <v>0</v>
      </c>
      <c r="O1513" s="118">
        <f t="shared" si="187"/>
        <v>5.2241600000000004</v>
      </c>
    </row>
    <row r="1514" spans="1:15" x14ac:dyDescent="0.25">
      <c r="A1514" t="s">
        <v>424</v>
      </c>
      <c r="C1514" s="19">
        <v>2</v>
      </c>
      <c r="D1514" s="18" t="s">
        <v>423</v>
      </c>
      <c r="E1514" s="13">
        <v>1</v>
      </c>
      <c r="F1514" s="25" t="s">
        <v>422</v>
      </c>
      <c r="G1514" s="25"/>
      <c r="H1514" s="11">
        <v>10.885040000000002</v>
      </c>
      <c r="I1514" s="11">
        <f t="shared" si="188"/>
        <v>10.885040000000002</v>
      </c>
      <c r="J1514" s="11">
        <f t="shared" ref="J1514:J1575" si="190">O1514</f>
        <v>10.885040000000002</v>
      </c>
      <c r="K1514" s="11">
        <f t="shared" si="189"/>
        <v>10.885040000000002</v>
      </c>
      <c r="L1514" s="10">
        <v>0</v>
      </c>
      <c r="N1514" s="118">
        <f t="shared" si="186"/>
        <v>0</v>
      </c>
      <c r="O1514" s="118">
        <f t="shared" si="187"/>
        <v>10.885040000000002</v>
      </c>
    </row>
    <row r="1515" spans="1:15" x14ac:dyDescent="0.25">
      <c r="A1515" t="s">
        <v>421</v>
      </c>
      <c r="C1515" s="19">
        <v>3</v>
      </c>
      <c r="D1515" s="18" t="s">
        <v>420</v>
      </c>
      <c r="E1515" s="13">
        <v>1</v>
      </c>
      <c r="F1515" s="25" t="s">
        <v>419</v>
      </c>
      <c r="G1515" s="25"/>
      <c r="H1515" s="11">
        <v>296.64</v>
      </c>
      <c r="I1515" s="11">
        <f t="shared" si="188"/>
        <v>296.64</v>
      </c>
      <c r="J1515" s="11">
        <f t="shared" si="190"/>
        <v>296.64</v>
      </c>
      <c r="K1515" s="11">
        <f t="shared" si="189"/>
        <v>296.64</v>
      </c>
      <c r="L1515" s="10">
        <v>0</v>
      </c>
      <c r="N1515" s="118">
        <f t="shared" si="186"/>
        <v>0</v>
      </c>
      <c r="O1515" s="118">
        <f t="shared" si="187"/>
        <v>296.64</v>
      </c>
    </row>
    <row r="1516" spans="1:15" x14ac:dyDescent="0.25">
      <c r="A1516" t="s">
        <v>295</v>
      </c>
      <c r="C1516" s="19">
        <v>4</v>
      </c>
      <c r="D1516" s="18" t="s">
        <v>294</v>
      </c>
      <c r="E1516" s="13">
        <v>1</v>
      </c>
      <c r="F1516" s="25" t="s">
        <v>293</v>
      </c>
      <c r="G1516" s="25"/>
      <c r="H1516" s="11">
        <v>118.65600000000001</v>
      </c>
      <c r="I1516" s="11">
        <f t="shared" si="188"/>
        <v>118.65600000000001</v>
      </c>
      <c r="J1516" s="11">
        <f t="shared" si="190"/>
        <v>118.65600000000001</v>
      </c>
      <c r="K1516" s="11">
        <f t="shared" si="189"/>
        <v>118.65600000000001</v>
      </c>
      <c r="L1516" s="10">
        <v>0</v>
      </c>
      <c r="N1516" s="118">
        <f t="shared" si="186"/>
        <v>0</v>
      </c>
      <c r="O1516" s="118">
        <f t="shared" si="187"/>
        <v>118.65600000000001</v>
      </c>
    </row>
    <row r="1517" spans="1:15" x14ac:dyDescent="0.25">
      <c r="A1517" t="s">
        <v>418</v>
      </c>
      <c r="C1517" s="19">
        <v>5</v>
      </c>
      <c r="D1517" s="18" t="s">
        <v>417</v>
      </c>
      <c r="E1517" s="13">
        <v>1</v>
      </c>
      <c r="F1517" s="25" t="s">
        <v>416</v>
      </c>
      <c r="G1517" s="25"/>
      <c r="H1517" s="11">
        <v>19.78424</v>
      </c>
      <c r="I1517" s="11">
        <f t="shared" si="188"/>
        <v>19.78424</v>
      </c>
      <c r="J1517" s="11">
        <f t="shared" si="190"/>
        <v>19.78424</v>
      </c>
      <c r="K1517" s="11">
        <f t="shared" si="189"/>
        <v>19.78424</v>
      </c>
      <c r="L1517" s="10">
        <v>0</v>
      </c>
      <c r="N1517" s="118">
        <f t="shared" si="186"/>
        <v>0</v>
      </c>
      <c r="O1517" s="118">
        <f t="shared" si="187"/>
        <v>19.78424</v>
      </c>
    </row>
    <row r="1518" spans="1:15" x14ac:dyDescent="0.25">
      <c r="A1518" t="s">
        <v>415</v>
      </c>
      <c r="B1518" s="5"/>
      <c r="C1518" s="19">
        <v>6</v>
      </c>
      <c r="D1518" s="18" t="s">
        <v>414</v>
      </c>
      <c r="E1518" s="13">
        <v>1</v>
      </c>
      <c r="F1518" s="25" t="s">
        <v>413</v>
      </c>
      <c r="G1518" s="25"/>
      <c r="H1518" s="11">
        <v>35.596800000000002</v>
      </c>
      <c r="I1518" s="11">
        <f t="shared" si="188"/>
        <v>35.596800000000002</v>
      </c>
      <c r="J1518" s="11">
        <f t="shared" si="190"/>
        <v>35.596800000000002</v>
      </c>
      <c r="K1518" s="11">
        <f t="shared" si="189"/>
        <v>35.596800000000002</v>
      </c>
      <c r="L1518" s="10">
        <v>0</v>
      </c>
      <c r="N1518" s="118">
        <f t="shared" si="186"/>
        <v>0</v>
      </c>
      <c r="O1518" s="118">
        <f t="shared" si="187"/>
        <v>35.596800000000002</v>
      </c>
    </row>
    <row r="1519" spans="1:15" x14ac:dyDescent="0.25">
      <c r="A1519" t="s">
        <v>305</v>
      </c>
      <c r="C1519" s="19">
        <v>7</v>
      </c>
      <c r="D1519" s="18" t="s">
        <v>171</v>
      </c>
      <c r="E1519" s="13">
        <v>1</v>
      </c>
      <c r="F1519" s="25" t="s">
        <v>170</v>
      </c>
      <c r="G1519" s="25"/>
      <c r="H1519" s="11">
        <v>35.596800000000002</v>
      </c>
      <c r="I1519" s="11">
        <f t="shared" si="188"/>
        <v>35.596800000000002</v>
      </c>
      <c r="J1519" s="11">
        <f t="shared" si="190"/>
        <v>35.596800000000002</v>
      </c>
      <c r="K1519" s="11">
        <f t="shared" si="189"/>
        <v>35.596800000000002</v>
      </c>
      <c r="L1519" s="10">
        <v>0</v>
      </c>
      <c r="N1519" s="118">
        <f t="shared" si="186"/>
        <v>0</v>
      </c>
      <c r="O1519" s="118">
        <f t="shared" si="187"/>
        <v>35.596800000000002</v>
      </c>
    </row>
    <row r="1520" spans="1:15" x14ac:dyDescent="0.25">
      <c r="A1520" t="s">
        <v>301</v>
      </c>
      <c r="C1520" s="19">
        <v>8</v>
      </c>
      <c r="D1520" s="18" t="s">
        <v>300</v>
      </c>
      <c r="E1520" s="13">
        <v>1</v>
      </c>
      <c r="F1520" s="25" t="s">
        <v>299</v>
      </c>
      <c r="G1520" s="25"/>
      <c r="H1520" s="11">
        <v>35.596800000000002</v>
      </c>
      <c r="I1520" s="11">
        <f t="shared" si="188"/>
        <v>35.596800000000002</v>
      </c>
      <c r="J1520" s="11">
        <f t="shared" si="190"/>
        <v>35.596800000000002</v>
      </c>
      <c r="K1520" s="11">
        <f t="shared" si="189"/>
        <v>35.596800000000002</v>
      </c>
      <c r="L1520" s="10">
        <v>0</v>
      </c>
      <c r="N1520" s="118">
        <f t="shared" si="186"/>
        <v>0</v>
      </c>
      <c r="O1520" s="118">
        <f t="shared" si="187"/>
        <v>35.596800000000002</v>
      </c>
    </row>
    <row r="1521" spans="1:15" x14ac:dyDescent="0.25">
      <c r="A1521" t="s">
        <v>412</v>
      </c>
      <c r="C1521" s="19">
        <v>9</v>
      </c>
      <c r="D1521" s="18" t="s">
        <v>287</v>
      </c>
      <c r="E1521" s="13">
        <v>1</v>
      </c>
      <c r="F1521" s="25" t="s">
        <v>286</v>
      </c>
      <c r="G1521" s="25"/>
      <c r="H1521" s="11">
        <v>7.4160000000000004</v>
      </c>
      <c r="I1521" s="11">
        <f t="shared" si="188"/>
        <v>7.4160000000000004</v>
      </c>
      <c r="J1521" s="11">
        <f t="shared" si="190"/>
        <v>7.4160000000000004</v>
      </c>
      <c r="K1521" s="11">
        <f t="shared" si="189"/>
        <v>7.4160000000000004</v>
      </c>
      <c r="L1521" s="10">
        <v>0</v>
      </c>
      <c r="N1521" s="118">
        <f t="shared" si="186"/>
        <v>0</v>
      </c>
      <c r="O1521" s="118">
        <f t="shared" si="187"/>
        <v>7.4160000000000004</v>
      </c>
    </row>
    <row r="1522" spans="1:15" s="5" customFormat="1" x14ac:dyDescent="0.25">
      <c r="A1522" s="5" t="s">
        <v>411</v>
      </c>
      <c r="B1522"/>
      <c r="C1522" s="19">
        <v>10</v>
      </c>
      <c r="D1522" s="18" t="s">
        <v>410</v>
      </c>
      <c r="E1522" s="13">
        <v>1</v>
      </c>
      <c r="F1522" t="s">
        <v>409</v>
      </c>
      <c r="G1522" s="25"/>
      <c r="H1522" s="11">
        <v>4.9522399999999998</v>
      </c>
      <c r="I1522" s="11">
        <f t="shared" si="188"/>
        <v>4.9522399999999998</v>
      </c>
      <c r="J1522" s="11">
        <f t="shared" si="190"/>
        <v>4.9522399999999998</v>
      </c>
      <c r="K1522" s="11">
        <f t="shared" si="189"/>
        <v>4.9522399999999998</v>
      </c>
      <c r="L1522" s="10">
        <v>0</v>
      </c>
      <c r="N1522" s="118">
        <f t="shared" si="186"/>
        <v>0</v>
      </c>
      <c r="O1522" s="118">
        <f t="shared" si="187"/>
        <v>4.9522399999999998</v>
      </c>
    </row>
    <row r="1523" spans="1:15" x14ac:dyDescent="0.25">
      <c r="A1523" t="s">
        <v>408</v>
      </c>
      <c r="C1523" s="19">
        <v>11</v>
      </c>
      <c r="D1523" s="18" t="s">
        <v>407</v>
      </c>
      <c r="E1523" s="13">
        <v>1</v>
      </c>
      <c r="F1523" s="25" t="s">
        <v>406</v>
      </c>
      <c r="G1523" s="25"/>
      <c r="H1523" s="11">
        <v>111.24</v>
      </c>
      <c r="I1523" s="11">
        <f t="shared" si="188"/>
        <v>111.24</v>
      </c>
      <c r="J1523" s="11">
        <f t="shared" si="190"/>
        <v>111.24</v>
      </c>
      <c r="K1523" s="11">
        <f t="shared" si="189"/>
        <v>111.24</v>
      </c>
      <c r="L1523" s="10">
        <v>0</v>
      </c>
      <c r="N1523" s="118">
        <f t="shared" si="186"/>
        <v>0</v>
      </c>
      <c r="O1523" s="118">
        <f t="shared" si="187"/>
        <v>111.24</v>
      </c>
    </row>
    <row r="1524" spans="1:15" x14ac:dyDescent="0.25">
      <c r="A1524" t="s">
        <v>405</v>
      </c>
      <c r="C1524" s="19">
        <v>12</v>
      </c>
      <c r="D1524" s="18" t="s">
        <v>404</v>
      </c>
      <c r="E1524" s="13">
        <v>1</v>
      </c>
      <c r="F1524" s="25" t="s">
        <v>403</v>
      </c>
      <c r="G1524" s="25"/>
      <c r="H1524" s="11">
        <v>49.448239999999998</v>
      </c>
      <c r="I1524" s="11">
        <f t="shared" si="188"/>
        <v>49.448239999999998</v>
      </c>
      <c r="J1524" s="11">
        <f t="shared" si="190"/>
        <v>49.448239999999998</v>
      </c>
      <c r="K1524" s="11">
        <f t="shared" si="189"/>
        <v>49.448239999999998</v>
      </c>
      <c r="L1524" s="10">
        <v>0</v>
      </c>
      <c r="N1524" s="118">
        <f t="shared" si="186"/>
        <v>0</v>
      </c>
      <c r="O1524" s="118">
        <f t="shared" si="187"/>
        <v>49.448239999999998</v>
      </c>
    </row>
    <row r="1525" spans="1:15" x14ac:dyDescent="0.25">
      <c r="A1525" t="s">
        <v>402</v>
      </c>
      <c r="C1525" s="19">
        <v>13</v>
      </c>
      <c r="D1525" s="18" t="s">
        <v>401</v>
      </c>
      <c r="E1525" s="13">
        <v>1</v>
      </c>
      <c r="F1525" s="25" t="s">
        <v>400</v>
      </c>
      <c r="G1525" s="25"/>
      <c r="H1525" s="11">
        <v>24.711759999999998</v>
      </c>
      <c r="I1525" s="11">
        <f t="shared" si="188"/>
        <v>24.711759999999998</v>
      </c>
      <c r="J1525" s="11">
        <f t="shared" si="190"/>
        <v>24.711759999999998</v>
      </c>
      <c r="K1525" s="11">
        <f t="shared" si="189"/>
        <v>24.711759999999998</v>
      </c>
      <c r="L1525" s="10">
        <v>0</v>
      </c>
      <c r="N1525" s="118">
        <f t="shared" si="186"/>
        <v>0</v>
      </c>
      <c r="O1525" s="118">
        <f t="shared" si="187"/>
        <v>24.711759999999998</v>
      </c>
    </row>
    <row r="1526" spans="1:15" x14ac:dyDescent="0.25">
      <c r="A1526" t="s">
        <v>399</v>
      </c>
      <c r="C1526" s="19">
        <v>14</v>
      </c>
      <c r="D1526" s="18" t="s">
        <v>398</v>
      </c>
      <c r="E1526" s="13">
        <v>1</v>
      </c>
      <c r="F1526" s="25" t="s">
        <v>397</v>
      </c>
      <c r="G1526" s="25"/>
      <c r="H1526" s="11">
        <v>24.711759999999998</v>
      </c>
      <c r="I1526" s="11">
        <f t="shared" si="188"/>
        <v>24.711759999999998</v>
      </c>
      <c r="J1526" s="11">
        <f t="shared" si="190"/>
        <v>24.711759999999998</v>
      </c>
      <c r="K1526" s="11">
        <f t="shared" si="189"/>
        <v>24.711759999999998</v>
      </c>
      <c r="L1526" s="10">
        <v>0</v>
      </c>
      <c r="N1526" s="118">
        <f t="shared" si="186"/>
        <v>0</v>
      </c>
      <c r="O1526" s="118">
        <f t="shared" si="187"/>
        <v>24.711759999999998</v>
      </c>
    </row>
    <row r="1527" spans="1:15" x14ac:dyDescent="0.25">
      <c r="A1527" t="s">
        <v>396</v>
      </c>
      <c r="C1527" s="19">
        <v>15</v>
      </c>
      <c r="D1527" s="18" t="s">
        <v>395</v>
      </c>
      <c r="E1527" s="13">
        <v>1</v>
      </c>
      <c r="F1527" s="25" t="s">
        <v>394</v>
      </c>
      <c r="G1527" s="25"/>
      <c r="H1527" s="11">
        <v>24.711759999999998</v>
      </c>
      <c r="I1527" s="11">
        <f t="shared" si="188"/>
        <v>24.711759999999998</v>
      </c>
      <c r="J1527" s="11">
        <f t="shared" si="190"/>
        <v>24.711759999999998</v>
      </c>
      <c r="K1527" s="11">
        <f t="shared" si="189"/>
        <v>24.711759999999998</v>
      </c>
      <c r="L1527" s="10">
        <v>0</v>
      </c>
      <c r="N1527" s="118">
        <f t="shared" si="186"/>
        <v>0</v>
      </c>
      <c r="O1527" s="118">
        <f t="shared" si="187"/>
        <v>24.711759999999998</v>
      </c>
    </row>
    <row r="1528" spans="1:15" x14ac:dyDescent="0.25">
      <c r="A1528" t="s">
        <v>393</v>
      </c>
      <c r="C1528" s="19">
        <v>16</v>
      </c>
      <c r="D1528" s="18" t="s">
        <v>392</v>
      </c>
      <c r="E1528" s="13">
        <v>1</v>
      </c>
      <c r="F1528" s="25" t="s">
        <v>391</v>
      </c>
      <c r="G1528" s="25"/>
      <c r="H1528" s="11">
        <v>24.711759999999998</v>
      </c>
      <c r="I1528" s="11">
        <f t="shared" si="188"/>
        <v>24.711759999999998</v>
      </c>
      <c r="J1528" s="11">
        <f t="shared" si="190"/>
        <v>24.711759999999998</v>
      </c>
      <c r="K1528" s="11">
        <f t="shared" si="189"/>
        <v>24.711759999999998</v>
      </c>
      <c r="L1528" s="10">
        <v>0</v>
      </c>
      <c r="N1528" s="118">
        <f t="shared" si="186"/>
        <v>0</v>
      </c>
      <c r="O1528" s="118">
        <f t="shared" si="187"/>
        <v>24.711759999999998</v>
      </c>
    </row>
    <row r="1529" spans="1:15" x14ac:dyDescent="0.25">
      <c r="A1529" t="s">
        <v>390</v>
      </c>
      <c r="C1529" s="19">
        <v>17</v>
      </c>
      <c r="D1529" s="18" t="s">
        <v>389</v>
      </c>
      <c r="E1529" s="13">
        <v>2</v>
      </c>
      <c r="F1529" s="25" t="s">
        <v>388</v>
      </c>
      <c r="G1529" s="25"/>
      <c r="H1529" s="11">
        <v>49.448239999999998</v>
      </c>
      <c r="I1529" s="11">
        <f t="shared" si="188"/>
        <v>98.896479999999997</v>
      </c>
      <c r="J1529" s="11">
        <f t="shared" si="190"/>
        <v>49.448239999999998</v>
      </c>
      <c r="K1529" s="11">
        <f t="shared" si="189"/>
        <v>98.896479999999997</v>
      </c>
      <c r="L1529" s="10">
        <v>0</v>
      </c>
      <c r="N1529" s="118">
        <f t="shared" si="186"/>
        <v>0</v>
      </c>
      <c r="O1529" s="118">
        <f t="shared" si="187"/>
        <v>49.448239999999998</v>
      </c>
    </row>
    <row r="1530" spans="1:15" x14ac:dyDescent="0.25">
      <c r="A1530" t="s">
        <v>387</v>
      </c>
      <c r="C1530" s="19">
        <v>18</v>
      </c>
      <c r="D1530" s="18" t="s">
        <v>386</v>
      </c>
      <c r="E1530" s="13">
        <v>2</v>
      </c>
      <c r="F1530" s="25" t="s">
        <v>385</v>
      </c>
      <c r="G1530" s="25"/>
      <c r="H1530" s="11">
        <v>103.824</v>
      </c>
      <c r="I1530" s="11">
        <f t="shared" si="188"/>
        <v>207.648</v>
      </c>
      <c r="J1530" s="11">
        <f t="shared" si="190"/>
        <v>103.824</v>
      </c>
      <c r="K1530" s="11">
        <f t="shared" si="189"/>
        <v>207.648</v>
      </c>
      <c r="L1530" s="10">
        <v>0</v>
      </c>
      <c r="N1530" s="118">
        <f t="shared" si="186"/>
        <v>0</v>
      </c>
      <c r="O1530" s="118">
        <f t="shared" si="187"/>
        <v>103.824</v>
      </c>
    </row>
    <row r="1531" spans="1:15" x14ac:dyDescent="0.25">
      <c r="A1531" t="s">
        <v>384</v>
      </c>
      <c r="C1531" s="19">
        <v>19</v>
      </c>
      <c r="D1531" s="18" t="s">
        <v>383</v>
      </c>
      <c r="E1531" s="13">
        <v>1</v>
      </c>
      <c r="F1531" s="25" t="s">
        <v>382</v>
      </c>
      <c r="G1531" s="25"/>
      <c r="H1531" s="11">
        <v>12.368239999999998</v>
      </c>
      <c r="I1531" s="11">
        <f t="shared" si="188"/>
        <v>12.368239999999998</v>
      </c>
      <c r="J1531" s="11">
        <f t="shared" si="190"/>
        <v>12.368239999999998</v>
      </c>
      <c r="K1531" s="11">
        <f t="shared" si="189"/>
        <v>12.368239999999998</v>
      </c>
      <c r="L1531" s="10">
        <v>0</v>
      </c>
      <c r="N1531" s="118">
        <f t="shared" si="186"/>
        <v>0</v>
      </c>
      <c r="O1531" s="118">
        <f t="shared" si="187"/>
        <v>12.368239999999998</v>
      </c>
    </row>
    <row r="1532" spans="1:15" x14ac:dyDescent="0.25">
      <c r="A1532" t="s">
        <v>285</v>
      </c>
      <c r="C1532" s="19">
        <v>20</v>
      </c>
      <c r="D1532" s="18" t="s">
        <v>114</v>
      </c>
      <c r="E1532" s="13">
        <v>4</v>
      </c>
      <c r="F1532" s="25" t="s">
        <v>113</v>
      </c>
      <c r="G1532" s="25"/>
      <c r="H1532" s="11">
        <v>14.832000000000001</v>
      </c>
      <c r="I1532" s="11">
        <f t="shared" si="188"/>
        <v>59.328000000000003</v>
      </c>
      <c r="J1532" s="11">
        <f t="shared" si="190"/>
        <v>14.832000000000001</v>
      </c>
      <c r="K1532" s="11">
        <f t="shared" si="189"/>
        <v>59.328000000000003</v>
      </c>
      <c r="L1532" s="10">
        <v>0</v>
      </c>
      <c r="N1532" s="118">
        <f t="shared" si="186"/>
        <v>0</v>
      </c>
      <c r="O1532" s="118">
        <f t="shared" si="187"/>
        <v>14.832000000000001</v>
      </c>
    </row>
    <row r="1533" spans="1:15" x14ac:dyDescent="0.25">
      <c r="A1533" t="s">
        <v>381</v>
      </c>
      <c r="C1533" s="19">
        <v>21</v>
      </c>
      <c r="D1533" s="18" t="s">
        <v>280</v>
      </c>
      <c r="E1533" s="13">
        <v>2</v>
      </c>
      <c r="F1533" s="25" t="s">
        <v>279</v>
      </c>
      <c r="G1533" s="25"/>
      <c r="H1533" s="11">
        <v>17.798400000000001</v>
      </c>
      <c r="I1533" s="11">
        <f t="shared" si="188"/>
        <v>35.596800000000002</v>
      </c>
      <c r="J1533" s="11">
        <f t="shared" si="190"/>
        <v>17.798400000000001</v>
      </c>
      <c r="K1533" s="11">
        <f t="shared" si="189"/>
        <v>35.596800000000002</v>
      </c>
      <c r="L1533" s="10">
        <v>0</v>
      </c>
      <c r="N1533" s="118">
        <f t="shared" si="186"/>
        <v>0</v>
      </c>
      <c r="O1533" s="118">
        <f t="shared" si="187"/>
        <v>17.798400000000001</v>
      </c>
    </row>
    <row r="1534" spans="1:15" x14ac:dyDescent="0.25">
      <c r="A1534" t="s">
        <v>380</v>
      </c>
      <c r="C1534" s="19">
        <v>22</v>
      </c>
      <c r="D1534" s="18" t="s">
        <v>379</v>
      </c>
      <c r="E1534" s="13">
        <v>6</v>
      </c>
      <c r="F1534" s="25" t="s">
        <v>378</v>
      </c>
      <c r="G1534" s="25"/>
      <c r="H1534" s="11">
        <v>11.865599999999999</v>
      </c>
      <c r="I1534" s="11">
        <f t="shared" si="188"/>
        <v>71.193599999999989</v>
      </c>
      <c r="J1534" s="11">
        <f t="shared" si="190"/>
        <v>11.865599999999999</v>
      </c>
      <c r="K1534" s="11">
        <f t="shared" si="189"/>
        <v>71.193599999999989</v>
      </c>
      <c r="L1534" s="10">
        <v>0</v>
      </c>
      <c r="N1534" s="118">
        <f t="shared" si="186"/>
        <v>0</v>
      </c>
      <c r="O1534" s="118">
        <f t="shared" si="187"/>
        <v>11.865599999999999</v>
      </c>
    </row>
    <row r="1535" spans="1:15" x14ac:dyDescent="0.25">
      <c r="A1535" t="s">
        <v>115</v>
      </c>
      <c r="C1535" s="19">
        <v>23</v>
      </c>
      <c r="D1535" s="18" t="s">
        <v>111</v>
      </c>
      <c r="E1535" s="13">
        <v>1</v>
      </c>
      <c r="F1535" s="25" t="s">
        <v>110</v>
      </c>
      <c r="G1535" s="25"/>
      <c r="H1535" s="11">
        <v>27.678160000000002</v>
      </c>
      <c r="I1535" s="11">
        <f t="shared" si="188"/>
        <v>27.678160000000002</v>
      </c>
      <c r="J1535" s="11">
        <f t="shared" si="190"/>
        <v>27.678160000000002</v>
      </c>
      <c r="K1535" s="11">
        <f t="shared" si="189"/>
        <v>27.678160000000002</v>
      </c>
      <c r="L1535" s="10">
        <v>0</v>
      </c>
      <c r="N1535" s="118">
        <f t="shared" si="186"/>
        <v>0</v>
      </c>
      <c r="O1535" s="118">
        <f t="shared" si="187"/>
        <v>27.678160000000002</v>
      </c>
    </row>
    <row r="1536" spans="1:15" x14ac:dyDescent="0.25">
      <c r="A1536" t="s">
        <v>377</v>
      </c>
      <c r="C1536" s="19">
        <v>24</v>
      </c>
      <c r="D1536" s="18" t="s">
        <v>376</v>
      </c>
      <c r="E1536" s="13">
        <v>2</v>
      </c>
      <c r="F1536" s="25" t="s">
        <v>375</v>
      </c>
      <c r="G1536" s="25"/>
      <c r="H1536" s="11">
        <v>26.194959999999998</v>
      </c>
      <c r="I1536" s="11">
        <f t="shared" si="188"/>
        <v>52.389919999999996</v>
      </c>
      <c r="J1536" s="11">
        <f t="shared" si="190"/>
        <v>26.194959999999998</v>
      </c>
      <c r="K1536" s="11">
        <f t="shared" si="189"/>
        <v>52.389919999999996</v>
      </c>
      <c r="L1536" s="10">
        <v>0</v>
      </c>
      <c r="N1536" s="118">
        <f t="shared" si="186"/>
        <v>0</v>
      </c>
      <c r="O1536" s="118">
        <f t="shared" si="187"/>
        <v>26.194959999999998</v>
      </c>
    </row>
    <row r="1537" spans="1:15" x14ac:dyDescent="0.25">
      <c r="A1537" t="s">
        <v>374</v>
      </c>
      <c r="C1537" s="19">
        <v>25</v>
      </c>
      <c r="D1537" s="18" t="s">
        <v>272</v>
      </c>
      <c r="E1537" s="13">
        <v>1</v>
      </c>
      <c r="F1537" s="25" t="s">
        <v>271</v>
      </c>
      <c r="G1537" s="25"/>
      <c r="H1537" s="11">
        <v>24.711759999999998</v>
      </c>
      <c r="I1537" s="11">
        <f t="shared" si="188"/>
        <v>24.711759999999998</v>
      </c>
      <c r="J1537" s="11">
        <f t="shared" si="190"/>
        <v>24.711759999999998</v>
      </c>
      <c r="K1537" s="11">
        <f t="shared" si="189"/>
        <v>24.711759999999998</v>
      </c>
      <c r="L1537" s="10">
        <v>0</v>
      </c>
      <c r="N1537" s="118">
        <f t="shared" si="186"/>
        <v>0</v>
      </c>
      <c r="O1537" s="118">
        <f t="shared" si="187"/>
        <v>24.711759999999998</v>
      </c>
    </row>
    <row r="1538" spans="1:15" x14ac:dyDescent="0.25">
      <c r="A1538" t="s">
        <v>373</v>
      </c>
      <c r="C1538" s="19">
        <v>26</v>
      </c>
      <c r="D1538" s="18" t="s">
        <v>372</v>
      </c>
      <c r="E1538" s="13">
        <v>1</v>
      </c>
      <c r="F1538" s="25" t="s">
        <v>371</v>
      </c>
      <c r="G1538" s="25"/>
      <c r="H1538" s="11">
        <v>17.295759999999998</v>
      </c>
      <c r="I1538" s="11">
        <f t="shared" si="188"/>
        <v>17.295759999999998</v>
      </c>
      <c r="J1538" s="11">
        <f t="shared" si="190"/>
        <v>17.295759999999998</v>
      </c>
      <c r="K1538" s="11">
        <f t="shared" si="189"/>
        <v>17.295759999999998</v>
      </c>
      <c r="L1538" s="10">
        <v>0</v>
      </c>
      <c r="N1538" s="118">
        <f t="shared" si="186"/>
        <v>0</v>
      </c>
      <c r="O1538" s="118">
        <f t="shared" si="187"/>
        <v>17.295759999999998</v>
      </c>
    </row>
    <row r="1539" spans="1:15" x14ac:dyDescent="0.25">
      <c r="A1539" t="s">
        <v>370</v>
      </c>
      <c r="C1539" s="19">
        <v>27</v>
      </c>
      <c r="D1539" s="18" t="s">
        <v>369</v>
      </c>
      <c r="E1539" s="13">
        <v>1</v>
      </c>
      <c r="F1539" s="25" t="s">
        <v>368</v>
      </c>
      <c r="G1539" s="25"/>
      <c r="H1539" s="11">
        <v>17.798400000000001</v>
      </c>
      <c r="I1539" s="11">
        <f t="shared" si="188"/>
        <v>17.798400000000001</v>
      </c>
      <c r="J1539" s="11">
        <f t="shared" si="190"/>
        <v>17.798400000000001</v>
      </c>
      <c r="K1539" s="11">
        <f t="shared" si="189"/>
        <v>17.798400000000001</v>
      </c>
      <c r="L1539" s="10">
        <v>0</v>
      </c>
      <c r="N1539" s="118">
        <f t="shared" si="186"/>
        <v>0</v>
      </c>
      <c r="O1539" s="118">
        <f t="shared" si="187"/>
        <v>17.798400000000001</v>
      </c>
    </row>
    <row r="1540" spans="1:15" x14ac:dyDescent="0.25">
      <c r="A1540" t="s">
        <v>367</v>
      </c>
      <c r="C1540" s="19">
        <v>28</v>
      </c>
      <c r="D1540" s="18" t="s">
        <v>366</v>
      </c>
      <c r="E1540" s="13">
        <v>1</v>
      </c>
      <c r="F1540" s="25" t="s">
        <v>365</v>
      </c>
      <c r="G1540" s="25"/>
      <c r="H1540" s="11">
        <v>39.543760000000006</v>
      </c>
      <c r="I1540" s="11">
        <f t="shared" si="188"/>
        <v>39.543760000000006</v>
      </c>
      <c r="J1540" s="11">
        <f t="shared" si="190"/>
        <v>39.543760000000006</v>
      </c>
      <c r="K1540" s="11">
        <f t="shared" si="189"/>
        <v>39.543760000000006</v>
      </c>
      <c r="L1540" s="10">
        <v>0</v>
      </c>
      <c r="N1540" s="118">
        <f t="shared" ref="N1540:N1603" si="191">H1540*L1540</f>
        <v>0</v>
      </c>
      <c r="O1540" s="118">
        <f t="shared" ref="O1540:O1603" si="192">H1540-N1540</f>
        <v>39.543760000000006</v>
      </c>
    </row>
    <row r="1541" spans="1:15" x14ac:dyDescent="0.25">
      <c r="A1541" t="s">
        <v>364</v>
      </c>
      <c r="C1541" s="19">
        <v>29</v>
      </c>
      <c r="D1541" s="18" t="s">
        <v>123</v>
      </c>
      <c r="E1541" s="13">
        <v>4</v>
      </c>
      <c r="F1541" s="25" t="s">
        <v>122</v>
      </c>
      <c r="G1541" s="25"/>
      <c r="H1541" s="11">
        <v>11.865599999999999</v>
      </c>
      <c r="I1541" s="11">
        <f t="shared" si="188"/>
        <v>47.462399999999995</v>
      </c>
      <c r="J1541" s="11">
        <f t="shared" si="190"/>
        <v>11.865599999999999</v>
      </c>
      <c r="K1541" s="11">
        <f t="shared" si="189"/>
        <v>47.462399999999995</v>
      </c>
      <c r="L1541" s="10">
        <v>0</v>
      </c>
      <c r="N1541" s="118">
        <f t="shared" si="191"/>
        <v>0</v>
      </c>
      <c r="O1541" s="118">
        <f t="shared" si="192"/>
        <v>11.865599999999999</v>
      </c>
    </row>
    <row r="1542" spans="1:15" x14ac:dyDescent="0.25">
      <c r="A1542" t="s">
        <v>363</v>
      </c>
      <c r="C1542" s="19">
        <v>30</v>
      </c>
      <c r="D1542" s="18" t="s">
        <v>120</v>
      </c>
      <c r="E1542" s="13">
        <v>6</v>
      </c>
      <c r="F1542" s="25" t="s">
        <v>119</v>
      </c>
      <c r="G1542" s="25"/>
      <c r="H1542" s="11">
        <v>12.368239999999998</v>
      </c>
      <c r="I1542" s="11">
        <f t="shared" si="188"/>
        <v>74.209439999999987</v>
      </c>
      <c r="J1542" s="11">
        <f t="shared" si="190"/>
        <v>12.368239999999998</v>
      </c>
      <c r="K1542" s="11">
        <f t="shared" si="189"/>
        <v>74.209439999999987</v>
      </c>
      <c r="L1542" s="10">
        <v>0</v>
      </c>
      <c r="N1542" s="118">
        <f t="shared" si="191"/>
        <v>0</v>
      </c>
      <c r="O1542" s="118">
        <f t="shared" si="192"/>
        <v>12.368239999999998</v>
      </c>
    </row>
    <row r="1543" spans="1:15" x14ac:dyDescent="0.25">
      <c r="A1543" t="s">
        <v>253</v>
      </c>
      <c r="C1543" s="19">
        <v>31</v>
      </c>
      <c r="D1543" s="18" t="s">
        <v>252</v>
      </c>
      <c r="E1543" s="13">
        <v>4</v>
      </c>
      <c r="F1543" s="25" t="s">
        <v>251</v>
      </c>
      <c r="G1543" s="25"/>
      <c r="H1543" s="11">
        <v>12.846159999999999</v>
      </c>
      <c r="I1543" s="11">
        <f t="shared" si="188"/>
        <v>51.384639999999997</v>
      </c>
      <c r="J1543" s="11">
        <f t="shared" si="190"/>
        <v>12.846159999999999</v>
      </c>
      <c r="K1543" s="11">
        <f t="shared" si="189"/>
        <v>51.384639999999997</v>
      </c>
      <c r="L1543" s="10">
        <v>0</v>
      </c>
      <c r="N1543" s="118">
        <f t="shared" si="191"/>
        <v>0</v>
      </c>
      <c r="O1543" s="118">
        <f t="shared" si="192"/>
        <v>12.846159999999999</v>
      </c>
    </row>
    <row r="1544" spans="1:15" x14ac:dyDescent="0.25">
      <c r="A1544" t="s">
        <v>250</v>
      </c>
      <c r="C1544" s="19">
        <v>32</v>
      </c>
      <c r="D1544" s="18" t="s">
        <v>249</v>
      </c>
      <c r="E1544" s="13">
        <v>4</v>
      </c>
      <c r="F1544" s="25" t="s">
        <v>248</v>
      </c>
      <c r="G1544" s="25"/>
      <c r="H1544" s="11">
        <v>13.348799999999999</v>
      </c>
      <c r="I1544" s="11">
        <f t="shared" si="188"/>
        <v>53.395199999999996</v>
      </c>
      <c r="J1544" s="11">
        <f t="shared" si="190"/>
        <v>13.348799999999999</v>
      </c>
      <c r="K1544" s="11">
        <f t="shared" si="189"/>
        <v>53.395199999999996</v>
      </c>
      <c r="L1544" s="10">
        <v>0</v>
      </c>
      <c r="N1544" s="118">
        <f t="shared" si="191"/>
        <v>0</v>
      </c>
      <c r="O1544" s="118">
        <f t="shared" si="192"/>
        <v>13.348799999999999</v>
      </c>
    </row>
    <row r="1545" spans="1:15" x14ac:dyDescent="0.25">
      <c r="A1545" t="s">
        <v>362</v>
      </c>
      <c r="C1545" s="19">
        <v>33</v>
      </c>
      <c r="D1545" s="18" t="s">
        <v>361</v>
      </c>
      <c r="E1545" s="13">
        <v>1</v>
      </c>
      <c r="F1545" s="25" t="s">
        <v>360</v>
      </c>
      <c r="G1545" s="25"/>
      <c r="H1545" s="11">
        <v>35.596800000000002</v>
      </c>
      <c r="I1545" s="11">
        <f t="shared" ref="I1545:I1576" si="193">H1545*E1545</f>
        <v>35.596800000000002</v>
      </c>
      <c r="J1545" s="11">
        <f t="shared" si="190"/>
        <v>35.596800000000002</v>
      </c>
      <c r="K1545" s="11">
        <f t="shared" ref="K1545:K1576" si="194">J1545*E1545</f>
        <v>35.596800000000002</v>
      </c>
      <c r="L1545" s="10">
        <v>0</v>
      </c>
      <c r="N1545" s="118">
        <f t="shared" si="191"/>
        <v>0</v>
      </c>
      <c r="O1545" s="118">
        <f t="shared" si="192"/>
        <v>35.596800000000002</v>
      </c>
    </row>
    <row r="1546" spans="1:15" x14ac:dyDescent="0.25">
      <c r="A1546" t="s">
        <v>359</v>
      </c>
      <c r="C1546" s="19">
        <v>34</v>
      </c>
      <c r="D1546" s="18" t="s">
        <v>358</v>
      </c>
      <c r="E1546" s="13">
        <v>2</v>
      </c>
      <c r="F1546" s="25" t="s">
        <v>357</v>
      </c>
      <c r="G1546" s="25"/>
      <c r="H1546" s="11">
        <v>13.851439999999998</v>
      </c>
      <c r="I1546" s="11">
        <f t="shared" si="193"/>
        <v>27.702879999999997</v>
      </c>
      <c r="J1546" s="11">
        <f t="shared" si="190"/>
        <v>13.851439999999998</v>
      </c>
      <c r="K1546" s="11">
        <f t="shared" si="194"/>
        <v>27.702879999999997</v>
      </c>
      <c r="L1546" s="10">
        <v>0</v>
      </c>
      <c r="N1546" s="118">
        <f t="shared" si="191"/>
        <v>0</v>
      </c>
      <c r="O1546" s="118">
        <f t="shared" si="192"/>
        <v>13.851439999999998</v>
      </c>
    </row>
    <row r="1547" spans="1:15" x14ac:dyDescent="0.25">
      <c r="A1547" t="s">
        <v>356</v>
      </c>
      <c r="C1547" s="19">
        <v>35</v>
      </c>
      <c r="D1547" s="18" t="s">
        <v>243</v>
      </c>
      <c r="E1547" s="13">
        <v>2</v>
      </c>
      <c r="F1547" s="25" t="s">
        <v>242</v>
      </c>
      <c r="G1547" s="25"/>
      <c r="H1547" s="11">
        <v>14.832000000000001</v>
      </c>
      <c r="I1547" s="11">
        <f t="shared" si="193"/>
        <v>29.664000000000001</v>
      </c>
      <c r="J1547" s="11">
        <f t="shared" si="190"/>
        <v>14.832000000000001</v>
      </c>
      <c r="K1547" s="11">
        <f t="shared" si="194"/>
        <v>29.664000000000001</v>
      </c>
      <c r="L1547" s="10">
        <v>0</v>
      </c>
      <c r="N1547" s="118">
        <f t="shared" si="191"/>
        <v>0</v>
      </c>
      <c r="O1547" s="118">
        <f t="shared" si="192"/>
        <v>14.832000000000001</v>
      </c>
    </row>
    <row r="1548" spans="1:15" x14ac:dyDescent="0.25">
      <c r="A1548" t="s">
        <v>355</v>
      </c>
      <c r="C1548" s="19">
        <v>36</v>
      </c>
      <c r="D1548" s="18" t="s">
        <v>260</v>
      </c>
      <c r="E1548" s="13">
        <v>4</v>
      </c>
      <c r="F1548" s="25" t="s">
        <v>259</v>
      </c>
      <c r="G1548" s="25"/>
      <c r="H1548" s="11">
        <v>11.865599999999999</v>
      </c>
      <c r="I1548" s="11">
        <f t="shared" si="193"/>
        <v>47.462399999999995</v>
      </c>
      <c r="J1548" s="11">
        <f t="shared" si="190"/>
        <v>11.865599999999999</v>
      </c>
      <c r="K1548" s="11">
        <f t="shared" si="194"/>
        <v>47.462399999999995</v>
      </c>
      <c r="L1548" s="10">
        <v>0</v>
      </c>
      <c r="N1548" s="118">
        <f t="shared" si="191"/>
        <v>0</v>
      </c>
      <c r="O1548" s="118">
        <f t="shared" si="192"/>
        <v>11.865599999999999</v>
      </c>
    </row>
    <row r="1549" spans="1:15" x14ac:dyDescent="0.25">
      <c r="A1549" t="s">
        <v>354</v>
      </c>
      <c r="C1549" s="19">
        <v>37</v>
      </c>
      <c r="D1549" s="18" t="s">
        <v>257</v>
      </c>
      <c r="E1549" s="13">
        <v>10</v>
      </c>
      <c r="F1549" s="25" t="s">
        <v>256</v>
      </c>
      <c r="G1549" s="25"/>
      <c r="H1549" s="11">
        <v>12.368239999999998</v>
      </c>
      <c r="I1549" s="11">
        <f t="shared" si="193"/>
        <v>123.68239999999999</v>
      </c>
      <c r="J1549" s="11">
        <f t="shared" si="190"/>
        <v>12.368239999999998</v>
      </c>
      <c r="K1549" s="11">
        <f t="shared" si="194"/>
        <v>123.68239999999999</v>
      </c>
      <c r="L1549" s="10">
        <v>0</v>
      </c>
      <c r="N1549" s="118">
        <f t="shared" si="191"/>
        <v>0</v>
      </c>
      <c r="O1549" s="118">
        <f t="shared" si="192"/>
        <v>12.368239999999998</v>
      </c>
    </row>
    <row r="1550" spans="1:15" x14ac:dyDescent="0.25">
      <c r="A1550" t="s">
        <v>353</v>
      </c>
      <c r="C1550" s="19">
        <v>38</v>
      </c>
      <c r="D1550" s="18" t="s">
        <v>234</v>
      </c>
      <c r="E1550" s="13">
        <v>1</v>
      </c>
      <c r="F1550" s="25" t="s">
        <v>233</v>
      </c>
      <c r="G1550" s="25"/>
      <c r="H1550" s="11">
        <v>6.4354399999999989</v>
      </c>
      <c r="I1550" s="11">
        <f t="shared" si="193"/>
        <v>6.4354399999999989</v>
      </c>
      <c r="J1550" s="11">
        <f t="shared" si="190"/>
        <v>6.4354399999999989</v>
      </c>
      <c r="K1550" s="11">
        <f t="shared" si="194"/>
        <v>6.4354399999999989</v>
      </c>
      <c r="L1550" s="10">
        <v>0</v>
      </c>
      <c r="N1550" s="118">
        <f t="shared" si="191"/>
        <v>0</v>
      </c>
      <c r="O1550" s="118">
        <f t="shared" si="192"/>
        <v>6.4354399999999989</v>
      </c>
    </row>
    <row r="1551" spans="1:15" x14ac:dyDescent="0.25">
      <c r="A1551" t="s">
        <v>352</v>
      </c>
      <c r="C1551" s="19">
        <v>39</v>
      </c>
      <c r="D1551" s="18" t="s">
        <v>231</v>
      </c>
      <c r="E1551" s="13">
        <v>1</v>
      </c>
      <c r="F1551" s="25" t="s">
        <v>230</v>
      </c>
      <c r="G1551" s="25"/>
      <c r="H1551" s="11">
        <v>6.9133600000000008</v>
      </c>
      <c r="I1551" s="11">
        <f t="shared" si="193"/>
        <v>6.9133600000000008</v>
      </c>
      <c r="J1551" s="11">
        <f t="shared" si="190"/>
        <v>6.9133600000000008</v>
      </c>
      <c r="K1551" s="11">
        <f t="shared" si="194"/>
        <v>6.9133600000000008</v>
      </c>
      <c r="L1551" s="10">
        <v>0</v>
      </c>
      <c r="N1551" s="118">
        <f t="shared" si="191"/>
        <v>0</v>
      </c>
      <c r="O1551" s="118">
        <f t="shared" si="192"/>
        <v>6.9133600000000008</v>
      </c>
    </row>
    <row r="1552" spans="1:15" x14ac:dyDescent="0.25">
      <c r="A1552" t="s">
        <v>351</v>
      </c>
      <c r="C1552" s="19">
        <v>40</v>
      </c>
      <c r="D1552" s="18" t="s">
        <v>228</v>
      </c>
      <c r="E1552" s="13">
        <v>1</v>
      </c>
      <c r="F1552" s="25" t="s">
        <v>227</v>
      </c>
      <c r="G1552" s="25"/>
      <c r="H1552" s="11">
        <v>4.4496000000000002</v>
      </c>
      <c r="I1552" s="11">
        <f t="shared" si="193"/>
        <v>4.4496000000000002</v>
      </c>
      <c r="J1552" s="11">
        <f t="shared" si="190"/>
        <v>4.4496000000000002</v>
      </c>
      <c r="K1552" s="11">
        <f t="shared" si="194"/>
        <v>4.4496000000000002</v>
      </c>
      <c r="L1552" s="10">
        <v>0</v>
      </c>
      <c r="N1552" s="118">
        <f t="shared" si="191"/>
        <v>0</v>
      </c>
      <c r="O1552" s="118">
        <f t="shared" si="192"/>
        <v>4.4496000000000002</v>
      </c>
    </row>
    <row r="1553" spans="1:15" x14ac:dyDescent="0.25">
      <c r="A1553" t="s">
        <v>350</v>
      </c>
      <c r="C1553" s="19">
        <v>41</v>
      </c>
      <c r="D1553" s="18" t="s">
        <v>153</v>
      </c>
      <c r="E1553" s="13">
        <v>1</v>
      </c>
      <c r="F1553" s="25" t="s">
        <v>152</v>
      </c>
      <c r="G1553" s="25"/>
      <c r="H1553" s="11">
        <v>6.9133600000000008</v>
      </c>
      <c r="I1553" s="11">
        <f t="shared" si="193"/>
        <v>6.9133600000000008</v>
      </c>
      <c r="J1553" s="11">
        <f t="shared" si="190"/>
        <v>6.9133600000000008</v>
      </c>
      <c r="K1553" s="11">
        <f t="shared" si="194"/>
        <v>6.9133600000000008</v>
      </c>
      <c r="L1553" s="10">
        <v>0</v>
      </c>
      <c r="N1553" s="118">
        <f t="shared" si="191"/>
        <v>0</v>
      </c>
      <c r="O1553" s="118">
        <f t="shared" si="192"/>
        <v>6.9133600000000008</v>
      </c>
    </row>
    <row r="1554" spans="1:15" x14ac:dyDescent="0.25">
      <c r="A1554" t="s">
        <v>349</v>
      </c>
      <c r="C1554" s="19">
        <v>42</v>
      </c>
      <c r="D1554" s="18" t="s">
        <v>150</v>
      </c>
      <c r="E1554" s="13">
        <v>1</v>
      </c>
      <c r="F1554" s="25" t="s">
        <v>149</v>
      </c>
      <c r="G1554" s="25"/>
      <c r="H1554" s="11">
        <v>6.4354399999999989</v>
      </c>
      <c r="I1554" s="11">
        <f t="shared" si="193"/>
        <v>6.4354399999999989</v>
      </c>
      <c r="J1554" s="11">
        <f t="shared" si="190"/>
        <v>6.4354399999999989</v>
      </c>
      <c r="K1554" s="11">
        <f t="shared" si="194"/>
        <v>6.4354399999999989</v>
      </c>
      <c r="L1554" s="10">
        <v>0</v>
      </c>
      <c r="N1554" s="118">
        <f t="shared" si="191"/>
        <v>0</v>
      </c>
      <c r="O1554" s="118">
        <f t="shared" si="192"/>
        <v>6.4354399999999989</v>
      </c>
    </row>
    <row r="1555" spans="1:15" x14ac:dyDescent="0.25">
      <c r="A1555" t="s">
        <v>348</v>
      </c>
      <c r="C1555" s="19">
        <v>43</v>
      </c>
      <c r="D1555" s="18" t="s">
        <v>147</v>
      </c>
      <c r="E1555" s="13">
        <v>1</v>
      </c>
      <c r="F1555" s="25" t="s">
        <v>146</v>
      </c>
      <c r="G1555" s="25"/>
      <c r="H1555" s="11">
        <v>7.4160000000000004</v>
      </c>
      <c r="I1555" s="11">
        <f t="shared" si="193"/>
        <v>7.4160000000000004</v>
      </c>
      <c r="J1555" s="11">
        <f t="shared" si="190"/>
        <v>7.4160000000000004</v>
      </c>
      <c r="K1555" s="11">
        <f t="shared" si="194"/>
        <v>7.4160000000000004</v>
      </c>
      <c r="L1555" s="10">
        <v>0</v>
      </c>
      <c r="N1555" s="118">
        <f t="shared" si="191"/>
        <v>0</v>
      </c>
      <c r="O1555" s="118">
        <f t="shared" si="192"/>
        <v>7.4160000000000004</v>
      </c>
    </row>
    <row r="1556" spans="1:15" x14ac:dyDescent="0.25">
      <c r="A1556" t="s">
        <v>347</v>
      </c>
      <c r="C1556" s="19">
        <v>44</v>
      </c>
      <c r="D1556" s="18" t="s">
        <v>346</v>
      </c>
      <c r="E1556" s="13">
        <v>1</v>
      </c>
      <c r="F1556" s="25" t="s">
        <v>345</v>
      </c>
      <c r="G1556" s="25"/>
      <c r="H1556" s="11">
        <v>88.992000000000004</v>
      </c>
      <c r="I1556" s="11">
        <f t="shared" si="193"/>
        <v>88.992000000000004</v>
      </c>
      <c r="J1556" s="11">
        <f t="shared" si="190"/>
        <v>88.992000000000004</v>
      </c>
      <c r="K1556" s="11">
        <f t="shared" si="194"/>
        <v>88.992000000000004</v>
      </c>
      <c r="L1556" s="10">
        <v>0</v>
      </c>
      <c r="N1556" s="118">
        <f t="shared" si="191"/>
        <v>0</v>
      </c>
      <c r="O1556" s="118">
        <f t="shared" si="192"/>
        <v>88.992000000000004</v>
      </c>
    </row>
    <row r="1557" spans="1:15" x14ac:dyDescent="0.25">
      <c r="A1557" t="s">
        <v>210</v>
      </c>
      <c r="C1557" s="19">
        <v>45</v>
      </c>
      <c r="D1557" s="18" t="s">
        <v>209</v>
      </c>
      <c r="E1557" s="13">
        <v>1</v>
      </c>
      <c r="F1557" s="25" t="s">
        <v>208</v>
      </c>
      <c r="G1557" s="25"/>
      <c r="H1557" s="11">
        <v>13.348799999999999</v>
      </c>
      <c r="I1557" s="11">
        <f t="shared" si="193"/>
        <v>13.348799999999999</v>
      </c>
      <c r="J1557" s="11">
        <f t="shared" si="190"/>
        <v>13.348799999999999</v>
      </c>
      <c r="K1557" s="11">
        <f t="shared" si="194"/>
        <v>13.348799999999999</v>
      </c>
      <c r="L1557" s="10">
        <v>0</v>
      </c>
      <c r="N1557" s="118">
        <f t="shared" si="191"/>
        <v>0</v>
      </c>
      <c r="O1557" s="118">
        <f t="shared" si="192"/>
        <v>13.348799999999999</v>
      </c>
    </row>
    <row r="1558" spans="1:15" x14ac:dyDescent="0.25">
      <c r="A1558" t="s">
        <v>207</v>
      </c>
      <c r="C1558" s="19">
        <v>46</v>
      </c>
      <c r="D1558" s="18" t="s">
        <v>108</v>
      </c>
      <c r="E1558" s="13">
        <v>1</v>
      </c>
      <c r="F1558" s="25" t="s">
        <v>107</v>
      </c>
      <c r="G1558" s="25"/>
      <c r="H1558" s="11">
        <v>17.295759999999998</v>
      </c>
      <c r="I1558" s="11">
        <f t="shared" si="193"/>
        <v>17.295759999999998</v>
      </c>
      <c r="J1558" s="11">
        <f t="shared" si="190"/>
        <v>17.295759999999998</v>
      </c>
      <c r="K1558" s="11">
        <f t="shared" si="194"/>
        <v>17.295759999999998</v>
      </c>
      <c r="L1558" s="10">
        <v>0</v>
      </c>
      <c r="N1558" s="118">
        <f t="shared" si="191"/>
        <v>0</v>
      </c>
      <c r="O1558" s="118">
        <f t="shared" si="192"/>
        <v>17.295759999999998</v>
      </c>
    </row>
    <row r="1559" spans="1:15" x14ac:dyDescent="0.25">
      <c r="A1559" t="s">
        <v>344</v>
      </c>
      <c r="C1559" s="19">
        <v>47</v>
      </c>
      <c r="D1559" s="18" t="s">
        <v>343</v>
      </c>
      <c r="E1559" s="13">
        <v>1</v>
      </c>
      <c r="F1559" s="25" t="s">
        <v>342</v>
      </c>
      <c r="G1559" s="25"/>
      <c r="H1559" s="11">
        <v>49.448239999999998</v>
      </c>
      <c r="I1559" s="11">
        <f t="shared" si="193"/>
        <v>49.448239999999998</v>
      </c>
      <c r="J1559" s="11">
        <f t="shared" si="190"/>
        <v>49.448239999999998</v>
      </c>
      <c r="K1559" s="11">
        <f t="shared" si="194"/>
        <v>49.448239999999998</v>
      </c>
      <c r="L1559" s="10">
        <v>0</v>
      </c>
      <c r="N1559" s="118">
        <f t="shared" si="191"/>
        <v>0</v>
      </c>
      <c r="O1559" s="118">
        <f t="shared" si="192"/>
        <v>49.448239999999998</v>
      </c>
    </row>
    <row r="1560" spans="1:15" x14ac:dyDescent="0.25">
      <c r="A1560" t="s">
        <v>341</v>
      </c>
      <c r="C1560" s="19">
        <v>48</v>
      </c>
      <c r="D1560" s="18" t="s">
        <v>340</v>
      </c>
      <c r="E1560" s="13">
        <v>1</v>
      </c>
      <c r="F1560" s="25" t="s">
        <v>339</v>
      </c>
      <c r="G1560" s="25"/>
      <c r="H1560" s="11">
        <v>16.076240000000002</v>
      </c>
      <c r="I1560" s="11">
        <f t="shared" si="193"/>
        <v>16.076240000000002</v>
      </c>
      <c r="J1560" s="11">
        <f t="shared" si="190"/>
        <v>16.076240000000002</v>
      </c>
      <c r="K1560" s="11">
        <f t="shared" si="194"/>
        <v>16.076240000000002</v>
      </c>
      <c r="L1560" s="10">
        <v>0</v>
      </c>
      <c r="N1560" s="118">
        <f t="shared" si="191"/>
        <v>0</v>
      </c>
      <c r="O1560" s="118">
        <f t="shared" si="192"/>
        <v>16.076240000000002</v>
      </c>
    </row>
    <row r="1561" spans="1:15" x14ac:dyDescent="0.25">
      <c r="A1561" t="s">
        <v>338</v>
      </c>
      <c r="C1561" s="19">
        <v>49</v>
      </c>
      <c r="D1561" s="18" t="s">
        <v>190</v>
      </c>
      <c r="E1561" s="13">
        <v>1</v>
      </c>
      <c r="F1561" s="25" t="s">
        <v>189</v>
      </c>
      <c r="G1561" s="25"/>
      <c r="H1561" s="11">
        <v>16.669520000000002</v>
      </c>
      <c r="I1561" s="11">
        <f t="shared" si="193"/>
        <v>16.669520000000002</v>
      </c>
      <c r="J1561" s="11">
        <f t="shared" si="190"/>
        <v>16.669520000000002</v>
      </c>
      <c r="K1561" s="11">
        <f t="shared" si="194"/>
        <v>16.669520000000002</v>
      </c>
      <c r="L1561" s="10">
        <v>0</v>
      </c>
      <c r="N1561" s="118">
        <f t="shared" si="191"/>
        <v>0</v>
      </c>
      <c r="O1561" s="118">
        <f t="shared" si="192"/>
        <v>16.669520000000002</v>
      </c>
    </row>
    <row r="1562" spans="1:15" x14ac:dyDescent="0.25">
      <c r="A1562" t="s">
        <v>337</v>
      </c>
      <c r="C1562" s="19">
        <v>50</v>
      </c>
      <c r="D1562" s="18" t="s">
        <v>336</v>
      </c>
      <c r="E1562" s="13">
        <v>1</v>
      </c>
      <c r="F1562" s="25" t="s">
        <v>335</v>
      </c>
      <c r="G1562" s="25"/>
      <c r="H1562" s="11">
        <v>14.205759999999998</v>
      </c>
      <c r="I1562" s="11">
        <f t="shared" si="193"/>
        <v>14.205759999999998</v>
      </c>
      <c r="J1562" s="11">
        <f t="shared" si="190"/>
        <v>14.205759999999998</v>
      </c>
      <c r="K1562" s="11">
        <f t="shared" si="194"/>
        <v>14.205759999999998</v>
      </c>
      <c r="L1562" s="10">
        <v>0</v>
      </c>
      <c r="N1562" s="118">
        <f t="shared" si="191"/>
        <v>0</v>
      </c>
      <c r="O1562" s="118">
        <f t="shared" si="192"/>
        <v>14.205759999999998</v>
      </c>
    </row>
    <row r="1563" spans="1:15" x14ac:dyDescent="0.25">
      <c r="A1563" t="s">
        <v>334</v>
      </c>
      <c r="C1563" s="19">
        <v>51</v>
      </c>
      <c r="D1563" s="18" t="s">
        <v>184</v>
      </c>
      <c r="E1563" s="13">
        <v>1</v>
      </c>
      <c r="F1563" s="25" t="s">
        <v>183</v>
      </c>
      <c r="G1563" s="25"/>
      <c r="H1563" s="11">
        <v>14.205759999999998</v>
      </c>
      <c r="I1563" s="11">
        <f t="shared" si="193"/>
        <v>14.205759999999998</v>
      </c>
      <c r="J1563" s="11">
        <f t="shared" si="190"/>
        <v>14.205759999999998</v>
      </c>
      <c r="K1563" s="11">
        <f t="shared" si="194"/>
        <v>14.205759999999998</v>
      </c>
      <c r="L1563" s="10">
        <v>0</v>
      </c>
      <c r="N1563" s="118">
        <f t="shared" si="191"/>
        <v>0</v>
      </c>
      <c r="O1563" s="118">
        <f t="shared" si="192"/>
        <v>14.205759999999998</v>
      </c>
    </row>
    <row r="1564" spans="1:15" x14ac:dyDescent="0.25">
      <c r="A1564" t="s">
        <v>333</v>
      </c>
      <c r="C1564" s="19">
        <v>52</v>
      </c>
      <c r="D1564" s="18" t="s">
        <v>181</v>
      </c>
      <c r="E1564" s="13">
        <v>1</v>
      </c>
      <c r="F1564" s="25" t="s">
        <v>180</v>
      </c>
      <c r="G1564" s="25"/>
      <c r="H1564" s="11">
        <v>16.669520000000002</v>
      </c>
      <c r="I1564" s="11">
        <f t="shared" si="193"/>
        <v>16.669520000000002</v>
      </c>
      <c r="J1564" s="11">
        <f t="shared" si="190"/>
        <v>16.669520000000002</v>
      </c>
      <c r="K1564" s="11">
        <f t="shared" si="194"/>
        <v>16.669520000000002</v>
      </c>
      <c r="L1564" s="10">
        <v>0</v>
      </c>
      <c r="N1564" s="118">
        <f t="shared" si="191"/>
        <v>0</v>
      </c>
      <c r="O1564" s="118">
        <f t="shared" si="192"/>
        <v>16.669520000000002</v>
      </c>
    </row>
    <row r="1565" spans="1:15" x14ac:dyDescent="0.25">
      <c r="A1565" t="s">
        <v>332</v>
      </c>
      <c r="C1565" s="19">
        <v>53</v>
      </c>
      <c r="D1565" s="18" t="s">
        <v>331</v>
      </c>
      <c r="E1565" s="13">
        <v>1</v>
      </c>
      <c r="F1565" s="25" t="s">
        <v>330</v>
      </c>
      <c r="G1565" s="25"/>
      <c r="H1565" s="11">
        <v>18.572959999999998</v>
      </c>
      <c r="I1565" s="11">
        <f t="shared" si="193"/>
        <v>18.572959999999998</v>
      </c>
      <c r="J1565" s="11">
        <f t="shared" si="190"/>
        <v>18.572959999999998</v>
      </c>
      <c r="K1565" s="11">
        <f t="shared" si="194"/>
        <v>18.572959999999998</v>
      </c>
      <c r="L1565" s="10">
        <v>0</v>
      </c>
      <c r="N1565" s="118">
        <f t="shared" si="191"/>
        <v>0</v>
      </c>
      <c r="O1565" s="118">
        <f t="shared" si="192"/>
        <v>18.572959999999998</v>
      </c>
    </row>
    <row r="1566" spans="1:15" x14ac:dyDescent="0.25">
      <c r="A1566" t="s">
        <v>329</v>
      </c>
      <c r="C1566" s="19">
        <v>54</v>
      </c>
      <c r="D1566" s="18" t="s">
        <v>328</v>
      </c>
      <c r="E1566" s="13">
        <v>1</v>
      </c>
      <c r="F1566" s="25" t="s">
        <v>327</v>
      </c>
      <c r="G1566" s="25"/>
      <c r="H1566" s="11">
        <v>39.543760000000006</v>
      </c>
      <c r="I1566" s="11">
        <f t="shared" si="193"/>
        <v>39.543760000000006</v>
      </c>
      <c r="J1566" s="11">
        <f t="shared" si="190"/>
        <v>39.543760000000006</v>
      </c>
      <c r="K1566" s="11">
        <f t="shared" si="194"/>
        <v>39.543760000000006</v>
      </c>
      <c r="L1566" s="10">
        <v>0</v>
      </c>
      <c r="N1566" s="118">
        <f t="shared" si="191"/>
        <v>0</v>
      </c>
      <c r="O1566" s="118">
        <f t="shared" si="192"/>
        <v>39.543760000000006</v>
      </c>
    </row>
    <row r="1567" spans="1:15" x14ac:dyDescent="0.25">
      <c r="A1567" t="s">
        <v>326</v>
      </c>
      <c r="C1567" s="19">
        <v>55</v>
      </c>
      <c r="D1567" s="18" t="s">
        <v>325</v>
      </c>
      <c r="E1567" s="13">
        <v>1</v>
      </c>
      <c r="F1567" s="25" t="s">
        <v>324</v>
      </c>
      <c r="G1567" s="25"/>
      <c r="H1567" s="11">
        <v>2.0764800000000001</v>
      </c>
      <c r="I1567" s="11">
        <f t="shared" si="193"/>
        <v>2.0764800000000001</v>
      </c>
      <c r="J1567" s="11">
        <f t="shared" si="190"/>
        <v>2.0764800000000001</v>
      </c>
      <c r="K1567" s="11">
        <f t="shared" si="194"/>
        <v>2.0764800000000001</v>
      </c>
      <c r="L1567" s="10">
        <v>0</v>
      </c>
      <c r="N1567" s="118">
        <f t="shared" si="191"/>
        <v>0</v>
      </c>
      <c r="O1567" s="118">
        <f t="shared" si="192"/>
        <v>2.0764800000000001</v>
      </c>
    </row>
    <row r="1568" spans="1:15" x14ac:dyDescent="0.25">
      <c r="A1568" t="s">
        <v>206</v>
      </c>
      <c r="C1568" s="19">
        <v>56</v>
      </c>
      <c r="D1568" s="18" t="s">
        <v>205</v>
      </c>
      <c r="E1568" s="13">
        <v>1</v>
      </c>
      <c r="F1568" s="25" t="s">
        <v>204</v>
      </c>
      <c r="G1568" s="25"/>
      <c r="H1568" s="11">
        <v>3.2300800000000001</v>
      </c>
      <c r="I1568" s="11">
        <f t="shared" si="193"/>
        <v>3.2300800000000001</v>
      </c>
      <c r="J1568" s="11">
        <f t="shared" si="190"/>
        <v>3.2300800000000001</v>
      </c>
      <c r="K1568" s="11">
        <f t="shared" si="194"/>
        <v>3.2300800000000001</v>
      </c>
      <c r="L1568" s="10">
        <v>0</v>
      </c>
      <c r="N1568" s="118">
        <f t="shared" si="191"/>
        <v>0</v>
      </c>
      <c r="O1568" s="118">
        <f t="shared" si="192"/>
        <v>3.2300800000000001</v>
      </c>
    </row>
    <row r="1569" spans="1:15" x14ac:dyDescent="0.25">
      <c r="A1569" t="s">
        <v>323</v>
      </c>
      <c r="C1569" s="19">
        <v>57</v>
      </c>
      <c r="D1569" s="18" t="s">
        <v>178</v>
      </c>
      <c r="E1569" s="13">
        <v>1</v>
      </c>
      <c r="F1569" s="25" t="s">
        <v>177</v>
      </c>
      <c r="G1569" s="25"/>
      <c r="H1569" s="11">
        <v>29.664000000000001</v>
      </c>
      <c r="I1569" s="11">
        <f t="shared" si="193"/>
        <v>29.664000000000001</v>
      </c>
      <c r="J1569" s="11">
        <f t="shared" si="190"/>
        <v>29.664000000000001</v>
      </c>
      <c r="K1569" s="11">
        <f t="shared" si="194"/>
        <v>29.664000000000001</v>
      </c>
      <c r="L1569" s="10">
        <v>0</v>
      </c>
      <c r="N1569" s="118">
        <f t="shared" si="191"/>
        <v>0</v>
      </c>
      <c r="O1569" s="118">
        <f t="shared" si="192"/>
        <v>29.664000000000001</v>
      </c>
    </row>
    <row r="1570" spans="1:15" x14ac:dyDescent="0.25">
      <c r="A1570" t="s">
        <v>322</v>
      </c>
      <c r="C1570" s="19">
        <v>58</v>
      </c>
      <c r="D1570" s="18" t="s">
        <v>175</v>
      </c>
      <c r="E1570" s="13">
        <v>1</v>
      </c>
      <c r="F1570" s="25" t="s">
        <v>174</v>
      </c>
      <c r="G1570" s="25"/>
      <c r="H1570" s="11">
        <v>29.664000000000001</v>
      </c>
      <c r="I1570" s="11">
        <f t="shared" si="193"/>
        <v>29.664000000000001</v>
      </c>
      <c r="J1570" s="11">
        <f t="shared" si="190"/>
        <v>29.664000000000001</v>
      </c>
      <c r="K1570" s="11">
        <f t="shared" si="194"/>
        <v>29.664000000000001</v>
      </c>
      <c r="L1570" s="10">
        <v>0</v>
      </c>
      <c r="N1570" s="118">
        <f t="shared" si="191"/>
        <v>0</v>
      </c>
      <c r="O1570" s="118">
        <f t="shared" si="192"/>
        <v>29.664000000000001</v>
      </c>
    </row>
    <row r="1571" spans="1:15" x14ac:dyDescent="0.25">
      <c r="A1571" t="s">
        <v>91</v>
      </c>
      <c r="C1571" s="19">
        <v>59</v>
      </c>
      <c r="D1571" s="18" t="s">
        <v>321</v>
      </c>
      <c r="E1571" s="13">
        <v>1</v>
      </c>
      <c r="F1571" s="25" t="s">
        <v>320</v>
      </c>
      <c r="G1571" s="25"/>
      <c r="H1571" s="11">
        <v>293.79720000000003</v>
      </c>
      <c r="I1571" s="11">
        <f t="shared" si="193"/>
        <v>293.79720000000003</v>
      </c>
      <c r="J1571" s="11">
        <f t="shared" si="190"/>
        <v>293.79720000000003</v>
      </c>
      <c r="K1571" s="11">
        <f t="shared" si="194"/>
        <v>293.79720000000003</v>
      </c>
      <c r="L1571" s="10">
        <v>0</v>
      </c>
      <c r="N1571" s="118">
        <f t="shared" si="191"/>
        <v>0</v>
      </c>
      <c r="O1571" s="118">
        <f t="shared" si="192"/>
        <v>293.79720000000003</v>
      </c>
    </row>
    <row r="1572" spans="1:15" x14ac:dyDescent="0.25">
      <c r="A1572" t="s">
        <v>319</v>
      </c>
      <c r="C1572" s="19">
        <v>60</v>
      </c>
      <c r="D1572" s="18" t="s">
        <v>318</v>
      </c>
      <c r="E1572" s="13">
        <v>1</v>
      </c>
      <c r="F1572" s="25" t="s">
        <v>317</v>
      </c>
      <c r="G1572" s="25"/>
      <c r="H1572" s="11">
        <v>305.86879999999996</v>
      </c>
      <c r="I1572" s="11">
        <f t="shared" si="193"/>
        <v>305.86879999999996</v>
      </c>
      <c r="J1572" s="11">
        <f t="shared" si="190"/>
        <v>305.86879999999996</v>
      </c>
      <c r="K1572" s="11">
        <f t="shared" si="194"/>
        <v>305.86879999999996</v>
      </c>
      <c r="L1572" s="10">
        <v>0</v>
      </c>
      <c r="N1572" s="118">
        <f t="shared" si="191"/>
        <v>0</v>
      </c>
      <c r="O1572" s="118">
        <f t="shared" si="192"/>
        <v>305.86879999999996</v>
      </c>
    </row>
    <row r="1573" spans="1:15" x14ac:dyDescent="0.25">
      <c r="C1573" s="19">
        <v>61</v>
      </c>
      <c r="D1573" s="18" t="s">
        <v>316</v>
      </c>
      <c r="E1573" s="13">
        <v>1</v>
      </c>
      <c r="F1573" s="25" t="s">
        <v>315</v>
      </c>
      <c r="G1573" s="25"/>
      <c r="H1573" s="11">
        <v>431.85840000000002</v>
      </c>
      <c r="I1573" s="11">
        <f t="shared" si="193"/>
        <v>431.85840000000002</v>
      </c>
      <c r="J1573" s="11">
        <f t="shared" si="190"/>
        <v>431.85840000000002</v>
      </c>
      <c r="K1573" s="11">
        <f t="shared" si="194"/>
        <v>431.85840000000002</v>
      </c>
      <c r="L1573" s="10">
        <v>0</v>
      </c>
      <c r="N1573" s="118">
        <f t="shared" si="191"/>
        <v>0</v>
      </c>
      <c r="O1573" s="118">
        <f t="shared" si="192"/>
        <v>431.85840000000002</v>
      </c>
    </row>
    <row r="1574" spans="1:15" x14ac:dyDescent="0.25">
      <c r="C1574" s="19">
        <v>62</v>
      </c>
      <c r="D1574" s="18" t="s">
        <v>314</v>
      </c>
      <c r="E1574" s="13">
        <v>1</v>
      </c>
      <c r="F1574" s="25" t="s">
        <v>313</v>
      </c>
      <c r="G1574" s="25"/>
      <c r="H1574" s="11">
        <v>498.27280000000007</v>
      </c>
      <c r="I1574" s="11">
        <f t="shared" si="193"/>
        <v>498.27280000000007</v>
      </c>
      <c r="J1574" s="11">
        <f t="shared" si="190"/>
        <v>498.27280000000007</v>
      </c>
      <c r="K1574" s="11">
        <f t="shared" si="194"/>
        <v>498.27280000000007</v>
      </c>
      <c r="L1574" s="10">
        <v>0</v>
      </c>
      <c r="N1574" s="118">
        <f t="shared" si="191"/>
        <v>0</v>
      </c>
      <c r="O1574" s="118">
        <f t="shared" si="192"/>
        <v>498.27280000000007</v>
      </c>
    </row>
    <row r="1575" spans="1:15" x14ac:dyDescent="0.25">
      <c r="C1575" s="19">
        <v>63</v>
      </c>
      <c r="D1575" s="18" t="s">
        <v>83</v>
      </c>
      <c r="E1575" s="13">
        <v>2</v>
      </c>
      <c r="F1575" s="25" t="s">
        <v>82</v>
      </c>
      <c r="G1575" s="25"/>
      <c r="H1575" s="11">
        <v>7.0039999999999996</v>
      </c>
      <c r="I1575" s="11">
        <f t="shared" si="193"/>
        <v>14.007999999999999</v>
      </c>
      <c r="J1575" s="11">
        <f t="shared" si="190"/>
        <v>7.0039999999999996</v>
      </c>
      <c r="K1575" s="11">
        <f t="shared" si="194"/>
        <v>14.007999999999999</v>
      </c>
      <c r="L1575" s="10">
        <v>0</v>
      </c>
      <c r="N1575" s="118">
        <f t="shared" si="191"/>
        <v>0</v>
      </c>
      <c r="O1575" s="118">
        <f t="shared" si="192"/>
        <v>7.0039999999999996</v>
      </c>
    </row>
    <row r="1576" spans="1:15" x14ac:dyDescent="0.25">
      <c r="C1576" s="9"/>
      <c r="D1576" s="8" t="s">
        <v>1</v>
      </c>
      <c r="E1576" s="8">
        <f>SUM(E1513:E1575)</f>
        <v>109</v>
      </c>
      <c r="F1576" s="8"/>
      <c r="G1576" s="8"/>
      <c r="H1576" s="7"/>
      <c r="I1576" s="7">
        <f>SUM(I1513:I1575)</f>
        <v>3963.04448</v>
      </c>
      <c r="J1576" s="8"/>
      <c r="K1576" s="7">
        <f>SUM(K1513:K1575)</f>
        <v>3963.04448</v>
      </c>
      <c r="L1576" s="6"/>
      <c r="N1576" s="118">
        <f t="shared" si="191"/>
        <v>0</v>
      </c>
      <c r="O1576" s="118">
        <f t="shared" si="192"/>
        <v>0</v>
      </c>
    </row>
    <row r="1577" spans="1:15" x14ac:dyDescent="0.25">
      <c r="D1577" t="s">
        <v>0</v>
      </c>
      <c r="N1577" s="118">
        <f t="shared" si="191"/>
        <v>0</v>
      </c>
      <c r="O1577" s="118">
        <f t="shared" si="192"/>
        <v>0</v>
      </c>
    </row>
    <row r="1578" spans="1:15" x14ac:dyDescent="0.25">
      <c r="D1578" s="24" t="s">
        <v>312</v>
      </c>
      <c r="N1578" s="118">
        <f t="shared" si="191"/>
        <v>0</v>
      </c>
      <c r="O1578" s="118">
        <f t="shared" si="192"/>
        <v>0</v>
      </c>
    </row>
    <row r="1579" spans="1:15" ht="30" x14ac:dyDescent="0.25">
      <c r="C1579" s="24" t="s">
        <v>28</v>
      </c>
      <c r="D1579" s="24" t="s">
        <v>27</v>
      </c>
      <c r="E1579" s="24" t="s">
        <v>26</v>
      </c>
      <c r="F1579" s="24" t="s">
        <v>25</v>
      </c>
      <c r="G1579" s="24" t="s">
        <v>24</v>
      </c>
      <c r="H1579" s="116" t="s">
        <v>21</v>
      </c>
      <c r="I1579" s="24" t="s">
        <v>23</v>
      </c>
      <c r="J1579" s="24" t="s">
        <v>2928</v>
      </c>
      <c r="K1579" s="24" t="s">
        <v>2927</v>
      </c>
      <c r="L1579" s="23" t="s">
        <v>22</v>
      </c>
      <c r="N1579" s="118" t="e">
        <f t="shared" si="191"/>
        <v>#VALUE!</v>
      </c>
      <c r="O1579" s="118" t="e">
        <f t="shared" si="192"/>
        <v>#VALUE!</v>
      </c>
    </row>
    <row r="1580" spans="1:15" x14ac:dyDescent="0.25">
      <c r="A1580" s="32" t="s">
        <v>311</v>
      </c>
      <c r="C1580" s="19">
        <v>1</v>
      </c>
      <c r="D1580" s="18" t="s">
        <v>310</v>
      </c>
      <c r="E1580" s="13">
        <v>1</v>
      </c>
      <c r="F1580" s="25" t="s">
        <v>309</v>
      </c>
      <c r="G1580" s="25"/>
      <c r="H1580" s="11">
        <v>12.368239999999998</v>
      </c>
      <c r="I1580" s="11">
        <f t="shared" ref="I1580:I1611" si="195">H1580*E1580</f>
        <v>12.368239999999998</v>
      </c>
      <c r="J1580" s="11">
        <f>O1580</f>
        <v>12.368239999999998</v>
      </c>
      <c r="K1580" s="11">
        <f t="shared" ref="K1580:K1611" si="196">J1580*E1580</f>
        <v>12.368239999999998</v>
      </c>
      <c r="L1580" s="10">
        <v>0</v>
      </c>
      <c r="N1580" s="118">
        <f t="shared" si="191"/>
        <v>0</v>
      </c>
      <c r="O1580" s="118">
        <f t="shared" si="192"/>
        <v>12.368239999999998</v>
      </c>
    </row>
    <row r="1581" spans="1:15" x14ac:dyDescent="0.25">
      <c r="A1581" s="32" t="s">
        <v>308</v>
      </c>
      <c r="C1581" s="19">
        <v>2</v>
      </c>
      <c r="D1581" s="18" t="s">
        <v>307</v>
      </c>
      <c r="E1581" s="13">
        <v>2</v>
      </c>
      <c r="F1581" s="25" t="s">
        <v>306</v>
      </c>
      <c r="G1581" s="25"/>
      <c r="H1581" s="11">
        <v>19.78424</v>
      </c>
      <c r="I1581" s="11">
        <f t="shared" si="195"/>
        <v>39.568480000000001</v>
      </c>
      <c r="J1581" s="11">
        <f t="shared" ref="J1581:J1637" si="197">O1581</f>
        <v>19.78424</v>
      </c>
      <c r="K1581" s="11">
        <f t="shared" si="196"/>
        <v>39.568480000000001</v>
      </c>
      <c r="L1581" s="10">
        <v>0</v>
      </c>
      <c r="N1581" s="118">
        <f t="shared" si="191"/>
        <v>0</v>
      </c>
      <c r="O1581" s="118">
        <f t="shared" si="192"/>
        <v>19.78424</v>
      </c>
    </row>
    <row r="1582" spans="1:15" x14ac:dyDescent="0.25">
      <c r="A1582" s="32" t="s">
        <v>305</v>
      </c>
      <c r="C1582" s="19">
        <v>3</v>
      </c>
      <c r="D1582" s="18" t="s">
        <v>171</v>
      </c>
      <c r="E1582" s="13">
        <v>1</v>
      </c>
      <c r="F1582" s="25" t="s">
        <v>170</v>
      </c>
      <c r="G1582" s="25"/>
      <c r="H1582" s="11">
        <v>35.596800000000002</v>
      </c>
      <c r="I1582" s="11">
        <f t="shared" si="195"/>
        <v>35.596800000000002</v>
      </c>
      <c r="J1582" s="11">
        <f t="shared" si="197"/>
        <v>35.596800000000002</v>
      </c>
      <c r="K1582" s="11">
        <f t="shared" si="196"/>
        <v>35.596800000000002</v>
      </c>
      <c r="L1582" s="10">
        <v>0</v>
      </c>
      <c r="N1582" s="118">
        <f t="shared" si="191"/>
        <v>0</v>
      </c>
      <c r="O1582" s="118">
        <f t="shared" si="192"/>
        <v>35.596800000000002</v>
      </c>
    </row>
    <row r="1583" spans="1:15" x14ac:dyDescent="0.25">
      <c r="A1583" s="32" t="s">
        <v>304</v>
      </c>
      <c r="C1583" s="19">
        <v>4</v>
      </c>
      <c r="D1583" s="18" t="s">
        <v>303</v>
      </c>
      <c r="E1583" s="13">
        <v>1</v>
      </c>
      <c r="F1583" s="25" t="s">
        <v>302</v>
      </c>
      <c r="G1583" s="25"/>
      <c r="H1583" s="11">
        <v>35.596800000000002</v>
      </c>
      <c r="I1583" s="11">
        <f t="shared" si="195"/>
        <v>35.596800000000002</v>
      </c>
      <c r="J1583" s="11">
        <f t="shared" si="197"/>
        <v>35.596800000000002</v>
      </c>
      <c r="K1583" s="11">
        <f t="shared" si="196"/>
        <v>35.596800000000002</v>
      </c>
      <c r="L1583" s="10">
        <v>0</v>
      </c>
      <c r="N1583" s="118">
        <f t="shared" si="191"/>
        <v>0</v>
      </c>
      <c r="O1583" s="118">
        <f t="shared" si="192"/>
        <v>35.596800000000002</v>
      </c>
    </row>
    <row r="1584" spans="1:15" x14ac:dyDescent="0.25">
      <c r="A1584" s="32" t="s">
        <v>301</v>
      </c>
      <c r="C1584" s="19">
        <v>5</v>
      </c>
      <c r="D1584" s="18" t="s">
        <v>300</v>
      </c>
      <c r="E1584" s="13">
        <v>1</v>
      </c>
      <c r="F1584" s="25" t="s">
        <v>299</v>
      </c>
      <c r="G1584" s="25"/>
      <c r="H1584" s="11">
        <v>35.596800000000002</v>
      </c>
      <c r="I1584" s="11">
        <f t="shared" si="195"/>
        <v>35.596800000000002</v>
      </c>
      <c r="J1584" s="11">
        <f t="shared" si="197"/>
        <v>35.596800000000002</v>
      </c>
      <c r="K1584" s="11">
        <f t="shared" si="196"/>
        <v>35.596800000000002</v>
      </c>
      <c r="L1584" s="10">
        <v>0</v>
      </c>
      <c r="N1584" s="118">
        <f t="shared" si="191"/>
        <v>0</v>
      </c>
      <c r="O1584" s="118">
        <f t="shared" si="192"/>
        <v>35.596800000000002</v>
      </c>
    </row>
    <row r="1585" spans="1:15" x14ac:dyDescent="0.25">
      <c r="A1585" s="32" t="s">
        <v>298</v>
      </c>
      <c r="B1585" s="5"/>
      <c r="C1585" s="19">
        <v>6</v>
      </c>
      <c r="D1585" s="18" t="s">
        <v>297</v>
      </c>
      <c r="E1585" s="13">
        <v>1</v>
      </c>
      <c r="F1585" s="25" t="s">
        <v>296</v>
      </c>
      <c r="G1585" s="25"/>
      <c r="H1585" s="11">
        <v>19.78424</v>
      </c>
      <c r="I1585" s="11">
        <f t="shared" si="195"/>
        <v>19.78424</v>
      </c>
      <c r="J1585" s="11">
        <f t="shared" si="197"/>
        <v>19.78424</v>
      </c>
      <c r="K1585" s="11">
        <f t="shared" si="196"/>
        <v>19.78424</v>
      </c>
      <c r="L1585" s="10">
        <v>0</v>
      </c>
      <c r="N1585" s="118">
        <f t="shared" si="191"/>
        <v>0</v>
      </c>
      <c r="O1585" s="118">
        <f t="shared" si="192"/>
        <v>19.78424</v>
      </c>
    </row>
    <row r="1586" spans="1:15" x14ac:dyDescent="0.25">
      <c r="A1586" s="32" t="s">
        <v>295</v>
      </c>
      <c r="C1586" s="19">
        <v>7</v>
      </c>
      <c r="D1586" s="18" t="s">
        <v>294</v>
      </c>
      <c r="E1586" s="13">
        <v>1</v>
      </c>
      <c r="F1586" s="25" t="s">
        <v>293</v>
      </c>
      <c r="G1586" s="25"/>
      <c r="H1586" s="11">
        <v>118.65600000000001</v>
      </c>
      <c r="I1586" s="11">
        <f t="shared" si="195"/>
        <v>118.65600000000001</v>
      </c>
      <c r="J1586" s="11">
        <f t="shared" si="197"/>
        <v>118.65600000000001</v>
      </c>
      <c r="K1586" s="11">
        <f t="shared" si="196"/>
        <v>118.65600000000001</v>
      </c>
      <c r="L1586" s="10">
        <v>0</v>
      </c>
      <c r="N1586" s="118">
        <f t="shared" si="191"/>
        <v>0</v>
      </c>
      <c r="O1586" s="118">
        <f t="shared" si="192"/>
        <v>118.65600000000001</v>
      </c>
    </row>
    <row r="1587" spans="1:15" x14ac:dyDescent="0.25">
      <c r="A1587" s="32" t="s">
        <v>292</v>
      </c>
      <c r="C1587" s="19">
        <v>8</v>
      </c>
      <c r="D1587" s="18" t="s">
        <v>291</v>
      </c>
      <c r="E1587" s="13">
        <v>1</v>
      </c>
      <c r="F1587" s="25" t="s">
        <v>290</v>
      </c>
      <c r="G1587" s="25"/>
      <c r="H1587" s="11">
        <v>118.65600000000001</v>
      </c>
      <c r="I1587" s="11">
        <f t="shared" si="195"/>
        <v>118.65600000000001</v>
      </c>
      <c r="J1587" s="11">
        <f t="shared" si="197"/>
        <v>118.65600000000001</v>
      </c>
      <c r="K1587" s="11">
        <f t="shared" si="196"/>
        <v>118.65600000000001</v>
      </c>
      <c r="L1587" s="10">
        <v>0</v>
      </c>
      <c r="N1587" s="118">
        <f t="shared" si="191"/>
        <v>0</v>
      </c>
      <c r="O1587" s="118">
        <f t="shared" si="192"/>
        <v>118.65600000000001</v>
      </c>
    </row>
    <row r="1588" spans="1:15" x14ac:dyDescent="0.25">
      <c r="A1588" s="32" t="s">
        <v>289</v>
      </c>
      <c r="C1588" s="19">
        <v>9</v>
      </c>
      <c r="D1588" s="18" t="s">
        <v>165</v>
      </c>
      <c r="E1588" s="13">
        <v>8</v>
      </c>
      <c r="F1588" s="25" t="s">
        <v>164</v>
      </c>
      <c r="G1588" s="25"/>
      <c r="H1588" s="11">
        <v>5.2241600000000004</v>
      </c>
      <c r="I1588" s="11">
        <f t="shared" si="195"/>
        <v>41.793280000000003</v>
      </c>
      <c r="J1588" s="11">
        <f t="shared" si="197"/>
        <v>5.2241600000000004</v>
      </c>
      <c r="K1588" s="11">
        <f t="shared" si="196"/>
        <v>41.793280000000003</v>
      </c>
      <c r="L1588" s="10">
        <v>0</v>
      </c>
      <c r="N1588" s="118">
        <f t="shared" si="191"/>
        <v>0</v>
      </c>
      <c r="O1588" s="118">
        <f t="shared" si="192"/>
        <v>5.2241600000000004</v>
      </c>
    </row>
    <row r="1589" spans="1:15" s="5" customFormat="1" x14ac:dyDescent="0.25">
      <c r="A1589" s="32" t="s">
        <v>288</v>
      </c>
      <c r="B1589"/>
      <c r="C1589" s="19">
        <v>10</v>
      </c>
      <c r="D1589" s="18" t="s">
        <v>287</v>
      </c>
      <c r="E1589" s="13">
        <v>1</v>
      </c>
      <c r="F1589" s="25" t="s">
        <v>286</v>
      </c>
      <c r="G1589" s="25"/>
      <c r="H1589" s="11">
        <v>7.4160000000000004</v>
      </c>
      <c r="I1589" s="11">
        <f t="shared" si="195"/>
        <v>7.4160000000000004</v>
      </c>
      <c r="J1589" s="11">
        <f t="shared" si="197"/>
        <v>7.4160000000000004</v>
      </c>
      <c r="K1589" s="11">
        <f t="shared" si="196"/>
        <v>7.4160000000000004</v>
      </c>
      <c r="L1589" s="10">
        <v>0</v>
      </c>
      <c r="N1589" s="118">
        <f t="shared" si="191"/>
        <v>0</v>
      </c>
      <c r="O1589" s="118">
        <f t="shared" si="192"/>
        <v>7.4160000000000004</v>
      </c>
    </row>
    <row r="1590" spans="1:15" x14ac:dyDescent="0.25">
      <c r="A1590" s="32" t="s">
        <v>285</v>
      </c>
      <c r="C1590" s="19">
        <v>11</v>
      </c>
      <c r="D1590" s="18" t="s">
        <v>114</v>
      </c>
      <c r="E1590" s="13">
        <v>4</v>
      </c>
      <c r="F1590" s="25" t="s">
        <v>113</v>
      </c>
      <c r="G1590" s="25"/>
      <c r="H1590" s="11">
        <v>14.832000000000001</v>
      </c>
      <c r="I1590" s="11">
        <f t="shared" si="195"/>
        <v>59.328000000000003</v>
      </c>
      <c r="J1590" s="11">
        <f t="shared" si="197"/>
        <v>14.832000000000001</v>
      </c>
      <c r="K1590" s="11">
        <f t="shared" si="196"/>
        <v>59.328000000000003</v>
      </c>
      <c r="L1590" s="10">
        <v>0</v>
      </c>
      <c r="N1590" s="118">
        <f t="shared" si="191"/>
        <v>0</v>
      </c>
      <c r="O1590" s="118">
        <f t="shared" si="192"/>
        <v>14.832000000000001</v>
      </c>
    </row>
    <row r="1591" spans="1:15" x14ac:dyDescent="0.25">
      <c r="A1591" s="32" t="s">
        <v>284</v>
      </c>
      <c r="C1591" s="19">
        <v>12</v>
      </c>
      <c r="D1591" s="18" t="s">
        <v>283</v>
      </c>
      <c r="E1591" s="13">
        <v>4</v>
      </c>
      <c r="F1591" s="25" t="s">
        <v>282</v>
      </c>
      <c r="G1591" s="25"/>
      <c r="H1591" s="11">
        <v>22.248000000000001</v>
      </c>
      <c r="I1591" s="11">
        <f t="shared" si="195"/>
        <v>88.992000000000004</v>
      </c>
      <c r="J1591" s="11">
        <f t="shared" si="197"/>
        <v>22.248000000000001</v>
      </c>
      <c r="K1591" s="11">
        <f t="shared" si="196"/>
        <v>88.992000000000004</v>
      </c>
      <c r="L1591" s="10">
        <v>0</v>
      </c>
      <c r="N1591" s="118">
        <f t="shared" si="191"/>
        <v>0</v>
      </c>
      <c r="O1591" s="118">
        <f t="shared" si="192"/>
        <v>22.248000000000001</v>
      </c>
    </row>
    <row r="1592" spans="1:15" x14ac:dyDescent="0.25">
      <c r="A1592" s="32" t="s">
        <v>281</v>
      </c>
      <c r="C1592" s="19">
        <v>13</v>
      </c>
      <c r="D1592" s="18" t="s">
        <v>280</v>
      </c>
      <c r="E1592" s="13">
        <v>2</v>
      </c>
      <c r="F1592" s="25" t="s">
        <v>279</v>
      </c>
      <c r="G1592" s="25"/>
      <c r="H1592" s="11">
        <v>17.798400000000001</v>
      </c>
      <c r="I1592" s="11">
        <f t="shared" si="195"/>
        <v>35.596800000000002</v>
      </c>
      <c r="J1592" s="11">
        <f t="shared" si="197"/>
        <v>17.798400000000001</v>
      </c>
      <c r="K1592" s="11">
        <f t="shared" si="196"/>
        <v>35.596800000000002</v>
      </c>
      <c r="L1592" s="10">
        <v>0</v>
      </c>
      <c r="N1592" s="118">
        <f t="shared" si="191"/>
        <v>0</v>
      </c>
      <c r="O1592" s="118">
        <f t="shared" si="192"/>
        <v>17.798400000000001</v>
      </c>
    </row>
    <row r="1593" spans="1:15" x14ac:dyDescent="0.25">
      <c r="A1593" s="32" t="s">
        <v>278</v>
      </c>
      <c r="C1593" s="19">
        <v>14</v>
      </c>
      <c r="D1593" s="18" t="s">
        <v>277</v>
      </c>
      <c r="E1593" s="13">
        <v>2</v>
      </c>
      <c r="F1593" s="25" t="s">
        <v>276</v>
      </c>
      <c r="G1593" s="25"/>
      <c r="H1593" s="11">
        <v>21.745360000000002</v>
      </c>
      <c r="I1593" s="11">
        <f t="shared" si="195"/>
        <v>43.490720000000003</v>
      </c>
      <c r="J1593" s="11">
        <f t="shared" si="197"/>
        <v>21.745360000000002</v>
      </c>
      <c r="K1593" s="11">
        <f t="shared" si="196"/>
        <v>43.490720000000003</v>
      </c>
      <c r="L1593" s="10">
        <v>0</v>
      </c>
      <c r="N1593" s="118">
        <f t="shared" si="191"/>
        <v>0</v>
      </c>
      <c r="O1593" s="118">
        <f t="shared" si="192"/>
        <v>21.745360000000002</v>
      </c>
    </row>
    <row r="1594" spans="1:15" x14ac:dyDescent="0.25">
      <c r="A1594" s="32" t="s">
        <v>275</v>
      </c>
      <c r="C1594" s="19">
        <v>15</v>
      </c>
      <c r="D1594" s="18" t="s">
        <v>132</v>
      </c>
      <c r="E1594" s="13">
        <v>6</v>
      </c>
      <c r="F1594" s="25" t="s">
        <v>131</v>
      </c>
      <c r="G1594" s="25"/>
      <c r="H1594" s="11">
        <v>11.865599999999999</v>
      </c>
      <c r="I1594" s="11">
        <f t="shared" si="195"/>
        <v>71.193599999999989</v>
      </c>
      <c r="J1594" s="11">
        <f t="shared" si="197"/>
        <v>11.865599999999999</v>
      </c>
      <c r="K1594" s="11">
        <f t="shared" si="196"/>
        <v>71.193599999999989</v>
      </c>
      <c r="L1594" s="10">
        <v>0</v>
      </c>
      <c r="N1594" s="118">
        <f t="shared" si="191"/>
        <v>0</v>
      </c>
      <c r="O1594" s="118">
        <f t="shared" si="192"/>
        <v>11.865599999999999</v>
      </c>
    </row>
    <row r="1595" spans="1:15" x14ac:dyDescent="0.25">
      <c r="A1595" s="32" t="s">
        <v>274</v>
      </c>
      <c r="C1595" s="19">
        <v>16</v>
      </c>
      <c r="D1595" s="18" t="s">
        <v>111</v>
      </c>
      <c r="E1595" s="13">
        <v>1</v>
      </c>
      <c r="F1595" s="25" t="s">
        <v>110</v>
      </c>
      <c r="G1595" s="25"/>
      <c r="H1595" s="11">
        <v>27.678160000000002</v>
      </c>
      <c r="I1595" s="11">
        <f t="shared" si="195"/>
        <v>27.678160000000002</v>
      </c>
      <c r="J1595" s="11">
        <f t="shared" si="197"/>
        <v>27.678160000000002</v>
      </c>
      <c r="K1595" s="11">
        <f t="shared" si="196"/>
        <v>27.678160000000002</v>
      </c>
      <c r="L1595" s="10">
        <v>0</v>
      </c>
      <c r="N1595" s="118">
        <f t="shared" si="191"/>
        <v>0</v>
      </c>
      <c r="O1595" s="118">
        <f t="shared" si="192"/>
        <v>27.678160000000002</v>
      </c>
    </row>
    <row r="1596" spans="1:15" x14ac:dyDescent="0.25">
      <c r="A1596" s="32" t="s">
        <v>273</v>
      </c>
      <c r="C1596" s="19">
        <v>17</v>
      </c>
      <c r="D1596" s="18" t="s">
        <v>272</v>
      </c>
      <c r="E1596" s="13">
        <v>1</v>
      </c>
      <c r="F1596" s="25" t="s">
        <v>271</v>
      </c>
      <c r="G1596" s="25"/>
      <c r="H1596" s="11">
        <v>24.711759999999998</v>
      </c>
      <c r="I1596" s="11">
        <f t="shared" si="195"/>
        <v>24.711759999999998</v>
      </c>
      <c r="J1596" s="11">
        <f t="shared" si="197"/>
        <v>24.711759999999998</v>
      </c>
      <c r="K1596" s="11">
        <f t="shared" si="196"/>
        <v>24.711759999999998</v>
      </c>
      <c r="L1596" s="10">
        <v>0</v>
      </c>
      <c r="N1596" s="118">
        <f t="shared" si="191"/>
        <v>0</v>
      </c>
      <c r="O1596" s="118">
        <f t="shared" si="192"/>
        <v>24.711759999999998</v>
      </c>
    </row>
    <row r="1597" spans="1:15" x14ac:dyDescent="0.25">
      <c r="A1597" s="32" t="s">
        <v>270</v>
      </c>
      <c r="C1597" s="19">
        <v>18</v>
      </c>
      <c r="D1597" s="18" t="s">
        <v>269</v>
      </c>
      <c r="E1597" s="13">
        <v>1</v>
      </c>
      <c r="F1597" s="25" t="s">
        <v>268</v>
      </c>
      <c r="G1597" s="25"/>
      <c r="H1597" s="11">
        <v>17.295759999999998</v>
      </c>
      <c r="I1597" s="11">
        <f t="shared" si="195"/>
        <v>17.295759999999998</v>
      </c>
      <c r="J1597" s="11">
        <f t="shared" si="197"/>
        <v>17.295759999999998</v>
      </c>
      <c r="K1597" s="11">
        <f t="shared" si="196"/>
        <v>17.295759999999998</v>
      </c>
      <c r="L1597" s="10">
        <v>0</v>
      </c>
      <c r="N1597" s="118">
        <f t="shared" si="191"/>
        <v>0</v>
      </c>
      <c r="O1597" s="118">
        <f t="shared" si="192"/>
        <v>17.295759999999998</v>
      </c>
    </row>
    <row r="1598" spans="1:15" x14ac:dyDescent="0.25">
      <c r="A1598" s="32" t="s">
        <v>267</v>
      </c>
      <c r="C1598" s="19">
        <v>19</v>
      </c>
      <c r="D1598" s="18" t="s">
        <v>266</v>
      </c>
      <c r="E1598" s="13">
        <v>1</v>
      </c>
      <c r="F1598" s="25" t="s">
        <v>265</v>
      </c>
      <c r="G1598" s="25"/>
      <c r="H1598" s="11">
        <v>17.798400000000001</v>
      </c>
      <c r="I1598" s="11">
        <f t="shared" si="195"/>
        <v>17.798400000000001</v>
      </c>
      <c r="J1598" s="11">
        <f t="shared" si="197"/>
        <v>17.798400000000001</v>
      </c>
      <c r="K1598" s="11">
        <f t="shared" si="196"/>
        <v>17.798400000000001</v>
      </c>
      <c r="L1598" s="10">
        <v>0</v>
      </c>
      <c r="N1598" s="118">
        <f t="shared" si="191"/>
        <v>0</v>
      </c>
      <c r="O1598" s="118">
        <f t="shared" si="192"/>
        <v>17.798400000000001</v>
      </c>
    </row>
    <row r="1599" spans="1:15" x14ac:dyDescent="0.25">
      <c r="A1599" s="32" t="s">
        <v>264</v>
      </c>
      <c r="C1599" s="19">
        <v>20</v>
      </c>
      <c r="D1599" s="18" t="s">
        <v>263</v>
      </c>
      <c r="E1599" s="13">
        <v>2</v>
      </c>
      <c r="F1599" s="25" t="s">
        <v>262</v>
      </c>
      <c r="G1599" s="25"/>
      <c r="H1599" s="11">
        <v>21.745360000000002</v>
      </c>
      <c r="I1599" s="11">
        <f t="shared" si="195"/>
        <v>43.490720000000003</v>
      </c>
      <c r="J1599" s="11">
        <f t="shared" si="197"/>
        <v>21.745360000000002</v>
      </c>
      <c r="K1599" s="11">
        <f t="shared" si="196"/>
        <v>43.490720000000003</v>
      </c>
      <c r="L1599" s="10">
        <v>0</v>
      </c>
      <c r="N1599" s="118">
        <f t="shared" si="191"/>
        <v>0</v>
      </c>
      <c r="O1599" s="118">
        <f t="shared" si="192"/>
        <v>21.745360000000002</v>
      </c>
    </row>
    <row r="1600" spans="1:15" x14ac:dyDescent="0.25">
      <c r="A1600" s="32" t="s">
        <v>261</v>
      </c>
      <c r="C1600" s="19">
        <v>21</v>
      </c>
      <c r="D1600" s="18" t="s">
        <v>260</v>
      </c>
      <c r="E1600" s="13">
        <v>8</v>
      </c>
      <c r="F1600" s="25" t="s">
        <v>259</v>
      </c>
      <c r="G1600" s="25"/>
      <c r="H1600" s="11">
        <v>11.865599999999999</v>
      </c>
      <c r="I1600" s="11">
        <f t="shared" si="195"/>
        <v>94.924799999999991</v>
      </c>
      <c r="J1600" s="11">
        <f t="shared" si="197"/>
        <v>11.865599999999999</v>
      </c>
      <c r="K1600" s="11">
        <f t="shared" si="196"/>
        <v>94.924799999999991</v>
      </c>
      <c r="L1600" s="10">
        <v>0</v>
      </c>
      <c r="N1600" s="118">
        <f t="shared" si="191"/>
        <v>0</v>
      </c>
      <c r="O1600" s="118">
        <f t="shared" si="192"/>
        <v>11.865599999999999</v>
      </c>
    </row>
    <row r="1601" spans="1:15" x14ac:dyDescent="0.25">
      <c r="A1601" s="32" t="s">
        <v>258</v>
      </c>
      <c r="C1601" s="19">
        <v>22</v>
      </c>
      <c r="D1601" s="18" t="s">
        <v>257</v>
      </c>
      <c r="E1601" s="13">
        <v>10</v>
      </c>
      <c r="F1601" s="25" t="s">
        <v>256</v>
      </c>
      <c r="G1601" s="25"/>
      <c r="H1601" s="11">
        <v>12.368239999999998</v>
      </c>
      <c r="I1601" s="11">
        <f t="shared" si="195"/>
        <v>123.68239999999999</v>
      </c>
      <c r="J1601" s="11">
        <f t="shared" si="197"/>
        <v>12.368239999999998</v>
      </c>
      <c r="K1601" s="11">
        <f t="shared" si="196"/>
        <v>123.68239999999999</v>
      </c>
      <c r="L1601" s="10">
        <v>0</v>
      </c>
      <c r="N1601" s="118">
        <f t="shared" si="191"/>
        <v>0</v>
      </c>
      <c r="O1601" s="118">
        <f t="shared" si="192"/>
        <v>12.368239999999998</v>
      </c>
    </row>
    <row r="1602" spans="1:15" x14ac:dyDescent="0.25">
      <c r="A1602" s="32" t="s">
        <v>255</v>
      </c>
      <c r="C1602" s="19">
        <v>23</v>
      </c>
      <c r="D1602" s="18" t="s">
        <v>123</v>
      </c>
      <c r="E1602" s="13">
        <v>6</v>
      </c>
      <c r="F1602" s="25" t="s">
        <v>122</v>
      </c>
      <c r="G1602" s="25"/>
      <c r="H1602" s="11">
        <v>11.865599999999999</v>
      </c>
      <c r="I1602" s="11">
        <f t="shared" si="195"/>
        <v>71.193599999999989</v>
      </c>
      <c r="J1602" s="11">
        <f t="shared" si="197"/>
        <v>11.865599999999999</v>
      </c>
      <c r="K1602" s="11">
        <f t="shared" si="196"/>
        <v>71.193599999999989</v>
      </c>
      <c r="L1602" s="10">
        <v>0</v>
      </c>
      <c r="N1602" s="118">
        <f t="shared" si="191"/>
        <v>0</v>
      </c>
      <c r="O1602" s="118">
        <f t="shared" si="192"/>
        <v>11.865599999999999</v>
      </c>
    </row>
    <row r="1603" spans="1:15" x14ac:dyDescent="0.25">
      <c r="A1603" s="32" t="s">
        <v>254</v>
      </c>
      <c r="C1603" s="19">
        <v>24</v>
      </c>
      <c r="D1603" s="18" t="s">
        <v>120</v>
      </c>
      <c r="E1603" s="13">
        <v>6</v>
      </c>
      <c r="F1603" s="25" t="s">
        <v>119</v>
      </c>
      <c r="G1603" s="25"/>
      <c r="H1603" s="11">
        <v>12.368239999999998</v>
      </c>
      <c r="I1603" s="11">
        <f t="shared" si="195"/>
        <v>74.209439999999987</v>
      </c>
      <c r="J1603" s="11">
        <f t="shared" si="197"/>
        <v>12.368239999999998</v>
      </c>
      <c r="K1603" s="11">
        <f t="shared" si="196"/>
        <v>74.209439999999987</v>
      </c>
      <c r="L1603" s="10">
        <v>0</v>
      </c>
      <c r="N1603" s="118">
        <f t="shared" si="191"/>
        <v>0</v>
      </c>
      <c r="O1603" s="118">
        <f t="shared" si="192"/>
        <v>12.368239999999998</v>
      </c>
    </row>
    <row r="1604" spans="1:15" x14ac:dyDescent="0.25">
      <c r="A1604" s="32" t="s">
        <v>253</v>
      </c>
      <c r="C1604" s="19">
        <v>25</v>
      </c>
      <c r="D1604" s="18" t="s">
        <v>252</v>
      </c>
      <c r="E1604" s="13">
        <v>4</v>
      </c>
      <c r="F1604" s="25" t="s">
        <v>251</v>
      </c>
      <c r="G1604" s="25"/>
      <c r="H1604" s="11">
        <v>12.846159999999999</v>
      </c>
      <c r="I1604" s="11">
        <f t="shared" si="195"/>
        <v>51.384639999999997</v>
      </c>
      <c r="J1604" s="11">
        <f t="shared" si="197"/>
        <v>12.846159999999999</v>
      </c>
      <c r="K1604" s="11">
        <f t="shared" si="196"/>
        <v>51.384639999999997</v>
      </c>
      <c r="L1604" s="10">
        <v>0</v>
      </c>
      <c r="N1604" s="118">
        <f t="shared" ref="N1604:N1667" si="198">H1604*L1604</f>
        <v>0</v>
      </c>
      <c r="O1604" s="118">
        <f t="shared" ref="O1604:O1667" si="199">H1604-N1604</f>
        <v>12.846159999999999</v>
      </c>
    </row>
    <row r="1605" spans="1:15" x14ac:dyDescent="0.25">
      <c r="A1605" s="32" t="s">
        <v>250</v>
      </c>
      <c r="C1605" s="19">
        <v>26</v>
      </c>
      <c r="D1605" s="18" t="s">
        <v>249</v>
      </c>
      <c r="E1605" s="13">
        <v>4</v>
      </c>
      <c r="F1605" s="25" t="s">
        <v>248</v>
      </c>
      <c r="G1605" s="25"/>
      <c r="H1605" s="11">
        <v>13.348799999999999</v>
      </c>
      <c r="I1605" s="11">
        <f t="shared" si="195"/>
        <v>53.395199999999996</v>
      </c>
      <c r="J1605" s="11">
        <f t="shared" si="197"/>
        <v>13.348799999999999</v>
      </c>
      <c r="K1605" s="11">
        <f t="shared" si="196"/>
        <v>53.395199999999996</v>
      </c>
      <c r="L1605" s="10">
        <v>0</v>
      </c>
      <c r="N1605" s="118">
        <f t="shared" si="198"/>
        <v>0</v>
      </c>
      <c r="O1605" s="118">
        <f t="shared" si="199"/>
        <v>13.348799999999999</v>
      </c>
    </row>
    <row r="1606" spans="1:15" x14ac:dyDescent="0.25">
      <c r="A1606" s="32" t="s">
        <v>247</v>
      </c>
      <c r="C1606" s="19">
        <v>27</v>
      </c>
      <c r="D1606" s="18" t="s">
        <v>246</v>
      </c>
      <c r="E1606" s="13">
        <v>4</v>
      </c>
      <c r="F1606" s="25" t="s">
        <v>245</v>
      </c>
      <c r="G1606" s="25"/>
      <c r="H1606" s="11">
        <v>21.745360000000002</v>
      </c>
      <c r="I1606" s="11">
        <f t="shared" si="195"/>
        <v>86.981440000000006</v>
      </c>
      <c r="J1606" s="11">
        <f t="shared" si="197"/>
        <v>21.745360000000002</v>
      </c>
      <c r="K1606" s="11">
        <f t="shared" si="196"/>
        <v>86.981440000000006</v>
      </c>
      <c r="L1606" s="10">
        <v>0</v>
      </c>
      <c r="N1606" s="118">
        <f t="shared" si="198"/>
        <v>0</v>
      </c>
      <c r="O1606" s="118">
        <f t="shared" si="199"/>
        <v>21.745360000000002</v>
      </c>
    </row>
    <row r="1607" spans="1:15" x14ac:dyDescent="0.25">
      <c r="A1607" s="32" t="s">
        <v>244</v>
      </c>
      <c r="C1607" s="19">
        <v>28</v>
      </c>
      <c r="D1607" s="18" t="s">
        <v>243</v>
      </c>
      <c r="E1607" s="13">
        <v>2</v>
      </c>
      <c r="F1607" s="25" t="s">
        <v>242</v>
      </c>
      <c r="G1607" s="25"/>
      <c r="H1607" s="11">
        <v>14.832000000000001</v>
      </c>
      <c r="I1607" s="11">
        <f t="shared" si="195"/>
        <v>29.664000000000001</v>
      </c>
      <c r="J1607" s="11">
        <f t="shared" si="197"/>
        <v>14.832000000000001</v>
      </c>
      <c r="K1607" s="11">
        <f t="shared" si="196"/>
        <v>29.664000000000001</v>
      </c>
      <c r="L1607" s="10">
        <v>0</v>
      </c>
      <c r="N1607" s="118">
        <f t="shared" si="198"/>
        <v>0</v>
      </c>
      <c r="O1607" s="118">
        <f t="shared" si="199"/>
        <v>14.832000000000001</v>
      </c>
    </row>
    <row r="1608" spans="1:15" x14ac:dyDescent="0.25">
      <c r="A1608" s="32" t="s">
        <v>241</v>
      </c>
      <c r="C1608" s="19">
        <v>29</v>
      </c>
      <c r="D1608" s="18" t="s">
        <v>240</v>
      </c>
      <c r="E1608" s="13">
        <v>2</v>
      </c>
      <c r="F1608" s="25" t="s">
        <v>239</v>
      </c>
      <c r="G1608" s="25"/>
      <c r="H1608" s="11">
        <v>24.711759999999998</v>
      </c>
      <c r="I1608" s="11">
        <f t="shared" si="195"/>
        <v>49.423519999999996</v>
      </c>
      <c r="J1608" s="11">
        <f t="shared" si="197"/>
        <v>24.711759999999998</v>
      </c>
      <c r="K1608" s="11">
        <f t="shared" si="196"/>
        <v>49.423519999999996</v>
      </c>
      <c r="L1608" s="10">
        <v>0</v>
      </c>
      <c r="N1608" s="118">
        <f t="shared" si="198"/>
        <v>0</v>
      </c>
      <c r="O1608" s="118">
        <f t="shared" si="199"/>
        <v>24.711759999999998</v>
      </c>
    </row>
    <row r="1609" spans="1:15" x14ac:dyDescent="0.25">
      <c r="A1609" s="32" t="s">
        <v>238</v>
      </c>
      <c r="C1609" s="19">
        <v>30</v>
      </c>
      <c r="D1609" s="18" t="s">
        <v>237</v>
      </c>
      <c r="E1609" s="13">
        <v>2</v>
      </c>
      <c r="F1609" s="25" t="s">
        <v>236</v>
      </c>
      <c r="G1609" s="25"/>
      <c r="H1609" s="11">
        <v>24.711759999999998</v>
      </c>
      <c r="I1609" s="11">
        <f t="shared" si="195"/>
        <v>49.423519999999996</v>
      </c>
      <c r="J1609" s="11">
        <f t="shared" si="197"/>
        <v>24.711759999999998</v>
      </c>
      <c r="K1609" s="11">
        <f t="shared" si="196"/>
        <v>49.423519999999996</v>
      </c>
      <c r="L1609" s="10">
        <v>0</v>
      </c>
      <c r="N1609" s="118">
        <f t="shared" si="198"/>
        <v>0</v>
      </c>
      <c r="O1609" s="118">
        <f t="shared" si="199"/>
        <v>24.711759999999998</v>
      </c>
    </row>
    <row r="1610" spans="1:15" x14ac:dyDescent="0.25">
      <c r="A1610" s="32" t="s">
        <v>235</v>
      </c>
      <c r="C1610" s="19">
        <v>31</v>
      </c>
      <c r="D1610" s="18" t="s">
        <v>234</v>
      </c>
      <c r="E1610" s="13">
        <v>6</v>
      </c>
      <c r="F1610" s="25" t="s">
        <v>233</v>
      </c>
      <c r="G1610" s="25"/>
      <c r="H1610" s="11">
        <v>6.4354399999999989</v>
      </c>
      <c r="I1610" s="11">
        <f t="shared" si="195"/>
        <v>38.612639999999992</v>
      </c>
      <c r="J1610" s="11">
        <f t="shared" si="197"/>
        <v>6.4354399999999989</v>
      </c>
      <c r="K1610" s="11">
        <f t="shared" si="196"/>
        <v>38.612639999999992</v>
      </c>
      <c r="L1610" s="10">
        <v>0</v>
      </c>
      <c r="N1610" s="118">
        <f t="shared" si="198"/>
        <v>0</v>
      </c>
      <c r="O1610" s="118">
        <f t="shared" si="199"/>
        <v>6.4354399999999989</v>
      </c>
    </row>
    <row r="1611" spans="1:15" x14ac:dyDescent="0.25">
      <c r="A1611" s="32" t="s">
        <v>232</v>
      </c>
      <c r="C1611" s="19">
        <v>32</v>
      </c>
      <c r="D1611" s="18" t="s">
        <v>231</v>
      </c>
      <c r="E1611" s="13">
        <v>4</v>
      </c>
      <c r="F1611" s="25" t="s">
        <v>230</v>
      </c>
      <c r="G1611" s="25"/>
      <c r="H1611" s="11">
        <v>6.9133600000000008</v>
      </c>
      <c r="I1611" s="11">
        <f t="shared" si="195"/>
        <v>27.653440000000003</v>
      </c>
      <c r="J1611" s="11">
        <f t="shared" si="197"/>
        <v>6.9133600000000008</v>
      </c>
      <c r="K1611" s="11">
        <f t="shared" si="196"/>
        <v>27.653440000000003</v>
      </c>
      <c r="L1611" s="10">
        <v>0</v>
      </c>
      <c r="N1611" s="118">
        <f t="shared" si="198"/>
        <v>0</v>
      </c>
      <c r="O1611" s="118">
        <f t="shared" si="199"/>
        <v>6.9133600000000008</v>
      </c>
    </row>
    <row r="1612" spans="1:15" x14ac:dyDescent="0.25">
      <c r="A1612" s="32" t="s">
        <v>229</v>
      </c>
      <c r="C1612" s="19">
        <v>33</v>
      </c>
      <c r="D1612" s="18" t="s">
        <v>228</v>
      </c>
      <c r="E1612" s="13">
        <v>1</v>
      </c>
      <c r="F1612" s="25" t="s">
        <v>227</v>
      </c>
      <c r="G1612" s="25"/>
      <c r="H1612" s="11">
        <v>4.4496000000000002</v>
      </c>
      <c r="I1612" s="11">
        <f t="shared" ref="I1612:I1643" si="200">H1612*E1612</f>
        <v>4.4496000000000002</v>
      </c>
      <c r="J1612" s="11">
        <f t="shared" si="197"/>
        <v>4.4496000000000002</v>
      </c>
      <c r="K1612" s="11">
        <f t="shared" ref="K1612:K1643" si="201">J1612*E1612</f>
        <v>4.4496000000000002</v>
      </c>
      <c r="L1612" s="10">
        <v>0</v>
      </c>
      <c r="N1612" s="118">
        <f t="shared" si="198"/>
        <v>0</v>
      </c>
      <c r="O1612" s="118">
        <f t="shared" si="199"/>
        <v>4.4496000000000002</v>
      </c>
    </row>
    <row r="1613" spans="1:15" x14ac:dyDescent="0.25">
      <c r="A1613" s="32" t="s">
        <v>226</v>
      </c>
      <c r="C1613" s="19">
        <v>34</v>
      </c>
      <c r="D1613" s="18" t="s">
        <v>153</v>
      </c>
      <c r="E1613" s="13">
        <v>1</v>
      </c>
      <c r="F1613" s="25" t="s">
        <v>152</v>
      </c>
      <c r="G1613" s="25"/>
      <c r="H1613" s="11">
        <v>6.9133600000000008</v>
      </c>
      <c r="I1613" s="11">
        <f t="shared" si="200"/>
        <v>6.9133600000000008</v>
      </c>
      <c r="J1613" s="11">
        <f t="shared" si="197"/>
        <v>6.9133600000000008</v>
      </c>
      <c r="K1613" s="11">
        <f t="shared" si="201"/>
        <v>6.9133600000000008</v>
      </c>
      <c r="L1613" s="10">
        <v>0</v>
      </c>
      <c r="N1613" s="118">
        <f t="shared" si="198"/>
        <v>0</v>
      </c>
      <c r="O1613" s="118">
        <f t="shared" si="199"/>
        <v>6.9133600000000008</v>
      </c>
    </row>
    <row r="1614" spans="1:15" x14ac:dyDescent="0.25">
      <c r="A1614" s="32" t="s">
        <v>225</v>
      </c>
      <c r="C1614" s="19">
        <v>35</v>
      </c>
      <c r="D1614" s="18" t="s">
        <v>224</v>
      </c>
      <c r="E1614" s="13">
        <v>2</v>
      </c>
      <c r="F1614" s="25" t="s">
        <v>223</v>
      </c>
      <c r="G1614" s="25"/>
      <c r="H1614" s="11">
        <v>11.865599999999999</v>
      </c>
      <c r="I1614" s="11">
        <f t="shared" si="200"/>
        <v>23.731199999999998</v>
      </c>
      <c r="J1614" s="11">
        <f t="shared" si="197"/>
        <v>11.865599999999999</v>
      </c>
      <c r="K1614" s="11">
        <f t="shared" si="201"/>
        <v>23.731199999999998</v>
      </c>
      <c r="L1614" s="10">
        <v>0</v>
      </c>
      <c r="N1614" s="118">
        <f t="shared" si="198"/>
        <v>0</v>
      </c>
      <c r="O1614" s="118">
        <f t="shared" si="199"/>
        <v>11.865599999999999</v>
      </c>
    </row>
    <row r="1615" spans="1:15" x14ac:dyDescent="0.25">
      <c r="A1615" s="32" t="s">
        <v>154</v>
      </c>
      <c r="C1615" s="19">
        <v>36</v>
      </c>
      <c r="D1615" s="18" t="s">
        <v>150</v>
      </c>
      <c r="E1615" s="13">
        <v>1</v>
      </c>
      <c r="F1615" s="25" t="s">
        <v>149</v>
      </c>
      <c r="G1615" s="25"/>
      <c r="H1615" s="11">
        <v>6.4354399999999989</v>
      </c>
      <c r="I1615" s="11">
        <f t="shared" si="200"/>
        <v>6.4354399999999989</v>
      </c>
      <c r="J1615" s="11">
        <f t="shared" si="197"/>
        <v>6.4354399999999989</v>
      </c>
      <c r="K1615" s="11">
        <f t="shared" si="201"/>
        <v>6.4354399999999989</v>
      </c>
      <c r="L1615" s="10">
        <v>0</v>
      </c>
      <c r="N1615" s="118">
        <f t="shared" si="198"/>
        <v>0</v>
      </c>
      <c r="O1615" s="118">
        <f t="shared" si="199"/>
        <v>6.4354399999999989</v>
      </c>
    </row>
    <row r="1616" spans="1:15" x14ac:dyDescent="0.25">
      <c r="A1616" s="32" t="s">
        <v>151</v>
      </c>
      <c r="C1616" s="19">
        <v>37</v>
      </c>
      <c r="D1616" s="18" t="s">
        <v>147</v>
      </c>
      <c r="E1616" s="13">
        <v>1</v>
      </c>
      <c r="F1616" s="25" t="s">
        <v>146</v>
      </c>
      <c r="G1616" s="25"/>
      <c r="H1616" s="11">
        <v>7.4160000000000004</v>
      </c>
      <c r="I1616" s="11">
        <f t="shared" si="200"/>
        <v>7.4160000000000004</v>
      </c>
      <c r="J1616" s="11">
        <f t="shared" si="197"/>
        <v>7.4160000000000004</v>
      </c>
      <c r="K1616" s="11">
        <f t="shared" si="201"/>
        <v>7.4160000000000004</v>
      </c>
      <c r="L1616" s="10">
        <v>0</v>
      </c>
      <c r="N1616" s="118">
        <f t="shared" si="198"/>
        <v>0</v>
      </c>
      <c r="O1616" s="118">
        <f t="shared" si="199"/>
        <v>7.4160000000000004</v>
      </c>
    </row>
    <row r="1617" spans="1:15" x14ac:dyDescent="0.25">
      <c r="A1617" s="32" t="s">
        <v>222</v>
      </c>
      <c r="C1617" s="19">
        <v>38</v>
      </c>
      <c r="D1617" s="18" t="s">
        <v>221</v>
      </c>
      <c r="E1617" s="13">
        <v>1</v>
      </c>
      <c r="F1617" s="25" t="s">
        <v>220</v>
      </c>
      <c r="G1617" s="25"/>
      <c r="H1617" s="11">
        <v>12.368239999999998</v>
      </c>
      <c r="I1617" s="11">
        <f t="shared" si="200"/>
        <v>12.368239999999998</v>
      </c>
      <c r="J1617" s="11">
        <f t="shared" si="197"/>
        <v>12.368239999999998</v>
      </c>
      <c r="K1617" s="11">
        <f t="shared" si="201"/>
        <v>12.368239999999998</v>
      </c>
      <c r="L1617" s="10">
        <v>0</v>
      </c>
      <c r="N1617" s="118">
        <f t="shared" si="198"/>
        <v>0</v>
      </c>
      <c r="O1617" s="118">
        <f t="shared" si="199"/>
        <v>12.368239999999998</v>
      </c>
    </row>
    <row r="1618" spans="1:15" x14ac:dyDescent="0.25">
      <c r="A1618" s="32" t="s">
        <v>219</v>
      </c>
      <c r="C1618" s="19">
        <v>39</v>
      </c>
      <c r="D1618" s="18" t="s">
        <v>218</v>
      </c>
      <c r="E1618" s="13">
        <v>1</v>
      </c>
      <c r="F1618" s="25" t="s">
        <v>217</v>
      </c>
      <c r="G1618" s="25"/>
      <c r="H1618" s="11">
        <v>44.496000000000002</v>
      </c>
      <c r="I1618" s="11">
        <f t="shared" si="200"/>
        <v>44.496000000000002</v>
      </c>
      <c r="J1618" s="11">
        <f t="shared" si="197"/>
        <v>44.496000000000002</v>
      </c>
      <c r="K1618" s="11">
        <f t="shared" si="201"/>
        <v>44.496000000000002</v>
      </c>
      <c r="L1618" s="10">
        <v>0</v>
      </c>
      <c r="N1618" s="118">
        <f t="shared" si="198"/>
        <v>0</v>
      </c>
      <c r="O1618" s="118">
        <f t="shared" si="199"/>
        <v>44.496000000000002</v>
      </c>
    </row>
    <row r="1619" spans="1:15" x14ac:dyDescent="0.25">
      <c r="A1619" s="32" t="s">
        <v>216</v>
      </c>
      <c r="C1619" s="19">
        <v>40</v>
      </c>
      <c r="D1619" s="18" t="s">
        <v>215</v>
      </c>
      <c r="E1619" s="13">
        <v>2</v>
      </c>
      <c r="F1619" s="25" t="s">
        <v>214</v>
      </c>
      <c r="G1619" s="25"/>
      <c r="H1619" s="11">
        <v>38.060559999999995</v>
      </c>
      <c r="I1619" s="11">
        <f t="shared" si="200"/>
        <v>76.121119999999991</v>
      </c>
      <c r="J1619" s="11">
        <f t="shared" si="197"/>
        <v>38.060559999999995</v>
      </c>
      <c r="K1619" s="11">
        <f t="shared" si="201"/>
        <v>76.121119999999991</v>
      </c>
      <c r="L1619" s="10">
        <v>0</v>
      </c>
      <c r="N1619" s="118">
        <f t="shared" si="198"/>
        <v>0</v>
      </c>
      <c r="O1619" s="118">
        <f t="shared" si="199"/>
        <v>38.060559999999995</v>
      </c>
    </row>
    <row r="1620" spans="1:15" x14ac:dyDescent="0.25">
      <c r="A1620" s="32" t="s">
        <v>213</v>
      </c>
      <c r="C1620" s="19">
        <v>41</v>
      </c>
      <c r="D1620" s="18" t="s">
        <v>212</v>
      </c>
      <c r="E1620" s="13">
        <v>1</v>
      </c>
      <c r="F1620" s="25" t="s">
        <v>211</v>
      </c>
      <c r="G1620" s="25"/>
      <c r="H1620" s="11">
        <v>81.576000000000008</v>
      </c>
      <c r="I1620" s="11">
        <f t="shared" si="200"/>
        <v>81.576000000000008</v>
      </c>
      <c r="J1620" s="11">
        <f t="shared" si="197"/>
        <v>81.576000000000008</v>
      </c>
      <c r="K1620" s="11">
        <f t="shared" si="201"/>
        <v>81.576000000000008</v>
      </c>
      <c r="L1620" s="10">
        <v>0</v>
      </c>
      <c r="N1620" s="118">
        <f t="shared" si="198"/>
        <v>0</v>
      </c>
      <c r="O1620" s="118">
        <f t="shared" si="199"/>
        <v>81.576000000000008</v>
      </c>
    </row>
    <row r="1621" spans="1:15" x14ac:dyDescent="0.25">
      <c r="A1621" s="32" t="s">
        <v>210</v>
      </c>
      <c r="C1621" s="19">
        <v>42</v>
      </c>
      <c r="D1621" s="18" t="s">
        <v>209</v>
      </c>
      <c r="E1621" s="13">
        <v>1</v>
      </c>
      <c r="F1621" s="25" t="s">
        <v>208</v>
      </c>
      <c r="G1621" s="25"/>
      <c r="H1621" s="11">
        <v>13.348799999999999</v>
      </c>
      <c r="I1621" s="11">
        <f t="shared" si="200"/>
        <v>13.348799999999999</v>
      </c>
      <c r="J1621" s="11">
        <f t="shared" si="197"/>
        <v>13.348799999999999</v>
      </c>
      <c r="K1621" s="11">
        <f t="shared" si="201"/>
        <v>13.348799999999999</v>
      </c>
      <c r="L1621" s="10">
        <v>0</v>
      </c>
      <c r="N1621" s="118">
        <f t="shared" si="198"/>
        <v>0</v>
      </c>
      <c r="O1621" s="118">
        <f t="shared" si="199"/>
        <v>13.348799999999999</v>
      </c>
    </row>
    <row r="1622" spans="1:15" x14ac:dyDescent="0.25">
      <c r="A1622" s="32" t="s">
        <v>207</v>
      </c>
      <c r="C1622" s="19">
        <v>43</v>
      </c>
      <c r="D1622" s="18" t="s">
        <v>108</v>
      </c>
      <c r="E1622" s="13">
        <v>1</v>
      </c>
      <c r="F1622" s="25" t="s">
        <v>107</v>
      </c>
      <c r="G1622" s="25"/>
      <c r="H1622" s="11">
        <v>17.295759999999998</v>
      </c>
      <c r="I1622" s="11">
        <f t="shared" si="200"/>
        <v>17.295759999999998</v>
      </c>
      <c r="J1622" s="11">
        <f t="shared" si="197"/>
        <v>17.295759999999998</v>
      </c>
      <c r="K1622" s="11">
        <f t="shared" si="201"/>
        <v>17.295759999999998</v>
      </c>
      <c r="L1622" s="10">
        <v>0</v>
      </c>
      <c r="N1622" s="118">
        <f t="shared" si="198"/>
        <v>0</v>
      </c>
      <c r="O1622" s="118">
        <f t="shared" si="199"/>
        <v>17.295759999999998</v>
      </c>
    </row>
    <row r="1623" spans="1:15" x14ac:dyDescent="0.25">
      <c r="A1623" s="32" t="s">
        <v>206</v>
      </c>
      <c r="C1623" s="19">
        <v>44</v>
      </c>
      <c r="D1623" s="18" t="s">
        <v>205</v>
      </c>
      <c r="E1623" s="13">
        <v>1</v>
      </c>
      <c r="F1623" s="25" t="s">
        <v>204</v>
      </c>
      <c r="G1623" s="25"/>
      <c r="H1623" s="11">
        <v>3.2300800000000001</v>
      </c>
      <c r="I1623" s="11">
        <f t="shared" si="200"/>
        <v>3.2300800000000001</v>
      </c>
      <c r="J1623" s="11">
        <f t="shared" si="197"/>
        <v>3.2300800000000001</v>
      </c>
      <c r="K1623" s="11">
        <f t="shared" si="201"/>
        <v>3.2300800000000001</v>
      </c>
      <c r="L1623" s="10">
        <v>0</v>
      </c>
      <c r="N1623" s="118">
        <f t="shared" si="198"/>
        <v>0</v>
      </c>
      <c r="O1623" s="118">
        <f t="shared" si="199"/>
        <v>3.2300800000000001</v>
      </c>
    </row>
    <row r="1624" spans="1:15" x14ac:dyDescent="0.25">
      <c r="A1624" s="32" t="s">
        <v>203</v>
      </c>
      <c r="C1624" s="19">
        <v>45</v>
      </c>
      <c r="D1624" s="18" t="s">
        <v>202</v>
      </c>
      <c r="E1624" s="13">
        <v>1</v>
      </c>
      <c r="F1624" s="25" t="s">
        <v>201</v>
      </c>
      <c r="G1624" s="25"/>
      <c r="H1624" s="11">
        <v>21.028480000000002</v>
      </c>
      <c r="I1624" s="11">
        <f t="shared" si="200"/>
        <v>21.028480000000002</v>
      </c>
      <c r="J1624" s="11">
        <f t="shared" si="197"/>
        <v>21.028480000000002</v>
      </c>
      <c r="K1624" s="11">
        <f t="shared" si="201"/>
        <v>21.028480000000002</v>
      </c>
      <c r="L1624" s="10">
        <v>0</v>
      </c>
      <c r="N1624" s="118">
        <f t="shared" si="198"/>
        <v>0</v>
      </c>
      <c r="O1624" s="118">
        <f t="shared" si="199"/>
        <v>21.028480000000002</v>
      </c>
    </row>
    <row r="1625" spans="1:15" x14ac:dyDescent="0.25">
      <c r="A1625" s="32" t="s">
        <v>200</v>
      </c>
      <c r="C1625" s="19">
        <v>46</v>
      </c>
      <c r="D1625" s="18" t="s">
        <v>199</v>
      </c>
      <c r="E1625" s="13">
        <v>1</v>
      </c>
      <c r="F1625" s="25" t="s">
        <v>198</v>
      </c>
      <c r="G1625" s="25"/>
      <c r="H1625" s="11">
        <v>21.621759999999998</v>
      </c>
      <c r="I1625" s="11">
        <f t="shared" si="200"/>
        <v>21.621759999999998</v>
      </c>
      <c r="J1625" s="11">
        <f t="shared" si="197"/>
        <v>21.621759999999998</v>
      </c>
      <c r="K1625" s="11">
        <f t="shared" si="201"/>
        <v>21.621759999999998</v>
      </c>
      <c r="L1625" s="10">
        <v>0</v>
      </c>
      <c r="N1625" s="118">
        <f t="shared" si="198"/>
        <v>0</v>
      </c>
      <c r="O1625" s="118">
        <f t="shared" si="199"/>
        <v>21.621759999999998</v>
      </c>
    </row>
    <row r="1626" spans="1:15" x14ac:dyDescent="0.25">
      <c r="A1626" s="32" t="s">
        <v>197</v>
      </c>
      <c r="C1626" s="19">
        <v>47</v>
      </c>
      <c r="D1626" s="18" t="s">
        <v>196</v>
      </c>
      <c r="E1626" s="13">
        <v>1</v>
      </c>
      <c r="F1626" s="25" t="s">
        <v>195</v>
      </c>
      <c r="G1626" s="25"/>
      <c r="H1626" s="11">
        <v>39.543760000000006</v>
      </c>
      <c r="I1626" s="11">
        <f t="shared" si="200"/>
        <v>39.543760000000006</v>
      </c>
      <c r="J1626" s="11">
        <f t="shared" si="197"/>
        <v>39.543760000000006</v>
      </c>
      <c r="K1626" s="11">
        <f t="shared" si="201"/>
        <v>39.543760000000006</v>
      </c>
      <c r="L1626" s="10">
        <v>0</v>
      </c>
      <c r="N1626" s="118">
        <f t="shared" si="198"/>
        <v>0</v>
      </c>
      <c r="O1626" s="118">
        <f t="shared" si="199"/>
        <v>39.543760000000006</v>
      </c>
    </row>
    <row r="1627" spans="1:15" x14ac:dyDescent="0.25">
      <c r="A1627" s="32" t="s">
        <v>194</v>
      </c>
      <c r="C1627" s="19">
        <v>48</v>
      </c>
      <c r="D1627" s="18" t="s">
        <v>193</v>
      </c>
      <c r="E1627" s="13">
        <v>1</v>
      </c>
      <c r="F1627" s="25" t="s">
        <v>192</v>
      </c>
      <c r="G1627" s="25"/>
      <c r="H1627" s="11">
        <v>19.166240000000002</v>
      </c>
      <c r="I1627" s="11">
        <f t="shared" si="200"/>
        <v>19.166240000000002</v>
      </c>
      <c r="J1627" s="11">
        <f t="shared" si="197"/>
        <v>19.166240000000002</v>
      </c>
      <c r="K1627" s="11">
        <f t="shared" si="201"/>
        <v>19.166240000000002</v>
      </c>
      <c r="L1627" s="10">
        <v>0</v>
      </c>
      <c r="N1627" s="118">
        <f t="shared" si="198"/>
        <v>0</v>
      </c>
      <c r="O1627" s="118">
        <f t="shared" si="199"/>
        <v>19.166240000000002</v>
      </c>
    </row>
    <row r="1628" spans="1:15" x14ac:dyDescent="0.25">
      <c r="A1628" s="32" t="s">
        <v>191</v>
      </c>
      <c r="C1628" s="19">
        <v>49</v>
      </c>
      <c r="D1628" s="18" t="s">
        <v>190</v>
      </c>
      <c r="E1628" s="13">
        <v>1</v>
      </c>
      <c r="F1628" s="25" t="s">
        <v>189</v>
      </c>
      <c r="G1628" s="25"/>
      <c r="H1628" s="11">
        <v>16.669520000000002</v>
      </c>
      <c r="I1628" s="11">
        <f t="shared" si="200"/>
        <v>16.669520000000002</v>
      </c>
      <c r="J1628" s="11">
        <f t="shared" si="197"/>
        <v>16.669520000000002</v>
      </c>
      <c r="K1628" s="11">
        <f t="shared" si="201"/>
        <v>16.669520000000002</v>
      </c>
      <c r="L1628" s="10">
        <v>0</v>
      </c>
      <c r="N1628" s="118">
        <f t="shared" si="198"/>
        <v>0</v>
      </c>
      <c r="O1628" s="118">
        <f t="shared" si="199"/>
        <v>16.669520000000002</v>
      </c>
    </row>
    <row r="1629" spans="1:15" x14ac:dyDescent="0.25">
      <c r="A1629" s="32" t="s">
        <v>188</v>
      </c>
      <c r="C1629" s="19">
        <v>50</v>
      </c>
      <c r="D1629" s="18" t="s">
        <v>187</v>
      </c>
      <c r="E1629" s="13">
        <v>1</v>
      </c>
      <c r="F1629" s="25" t="s">
        <v>186</v>
      </c>
      <c r="G1629" s="25"/>
      <c r="H1629" s="11">
        <v>17.295759999999998</v>
      </c>
      <c r="I1629" s="11">
        <f t="shared" si="200"/>
        <v>17.295759999999998</v>
      </c>
      <c r="J1629" s="11">
        <f t="shared" si="197"/>
        <v>17.295759999999998</v>
      </c>
      <c r="K1629" s="11">
        <f t="shared" si="201"/>
        <v>17.295759999999998</v>
      </c>
      <c r="L1629" s="10">
        <v>0</v>
      </c>
      <c r="N1629" s="118">
        <f t="shared" si="198"/>
        <v>0</v>
      </c>
      <c r="O1629" s="118">
        <f t="shared" si="199"/>
        <v>17.295759999999998</v>
      </c>
    </row>
    <row r="1630" spans="1:15" x14ac:dyDescent="0.25">
      <c r="A1630" s="32" t="s">
        <v>185</v>
      </c>
      <c r="C1630" s="19">
        <v>51</v>
      </c>
      <c r="D1630" s="18" t="s">
        <v>184</v>
      </c>
      <c r="E1630" s="13">
        <v>1</v>
      </c>
      <c r="F1630" s="25" t="s">
        <v>183</v>
      </c>
      <c r="G1630" s="25"/>
      <c r="H1630" s="11">
        <v>14.205759999999998</v>
      </c>
      <c r="I1630" s="11">
        <f t="shared" si="200"/>
        <v>14.205759999999998</v>
      </c>
      <c r="J1630" s="11">
        <f t="shared" si="197"/>
        <v>14.205759999999998</v>
      </c>
      <c r="K1630" s="11">
        <f t="shared" si="201"/>
        <v>14.205759999999998</v>
      </c>
      <c r="L1630" s="10">
        <v>0</v>
      </c>
      <c r="N1630" s="118">
        <f t="shared" si="198"/>
        <v>0</v>
      </c>
      <c r="O1630" s="118">
        <f t="shared" si="199"/>
        <v>14.205759999999998</v>
      </c>
    </row>
    <row r="1631" spans="1:15" x14ac:dyDescent="0.25">
      <c r="A1631" s="32" t="s">
        <v>182</v>
      </c>
      <c r="C1631" s="19">
        <v>52</v>
      </c>
      <c r="D1631" s="18" t="s">
        <v>181</v>
      </c>
      <c r="E1631" s="13">
        <v>1</v>
      </c>
      <c r="F1631" s="25" t="s">
        <v>180</v>
      </c>
      <c r="G1631" s="25"/>
      <c r="H1631" s="11">
        <v>16.669520000000002</v>
      </c>
      <c r="I1631" s="11">
        <f t="shared" si="200"/>
        <v>16.669520000000002</v>
      </c>
      <c r="J1631" s="11">
        <f t="shared" si="197"/>
        <v>16.669520000000002</v>
      </c>
      <c r="K1631" s="11">
        <f t="shared" si="201"/>
        <v>16.669520000000002</v>
      </c>
      <c r="L1631" s="10">
        <v>0</v>
      </c>
      <c r="N1631" s="118">
        <f t="shared" si="198"/>
        <v>0</v>
      </c>
      <c r="O1631" s="118">
        <f t="shared" si="199"/>
        <v>16.669520000000002</v>
      </c>
    </row>
    <row r="1632" spans="1:15" x14ac:dyDescent="0.25">
      <c r="A1632" s="32" t="s">
        <v>179</v>
      </c>
      <c r="C1632" s="19">
        <v>53</v>
      </c>
      <c r="D1632" s="18" t="s">
        <v>178</v>
      </c>
      <c r="E1632" s="13">
        <v>1</v>
      </c>
      <c r="F1632" s="25" t="s">
        <v>177</v>
      </c>
      <c r="G1632" s="25"/>
      <c r="H1632" s="11">
        <v>29.664000000000001</v>
      </c>
      <c r="I1632" s="11">
        <f t="shared" si="200"/>
        <v>29.664000000000001</v>
      </c>
      <c r="J1632" s="11">
        <f t="shared" si="197"/>
        <v>29.664000000000001</v>
      </c>
      <c r="K1632" s="11">
        <f t="shared" si="201"/>
        <v>29.664000000000001</v>
      </c>
      <c r="L1632" s="10">
        <v>0</v>
      </c>
      <c r="N1632" s="118">
        <f t="shared" si="198"/>
        <v>0</v>
      </c>
      <c r="O1632" s="118">
        <f t="shared" si="199"/>
        <v>29.664000000000001</v>
      </c>
    </row>
    <row r="1633" spans="1:15" x14ac:dyDescent="0.25">
      <c r="A1633" s="32" t="s">
        <v>176</v>
      </c>
      <c r="C1633" s="19">
        <v>54</v>
      </c>
      <c r="D1633" s="18" t="s">
        <v>175</v>
      </c>
      <c r="E1633" s="13">
        <v>1</v>
      </c>
      <c r="F1633" s="25" t="s">
        <v>174</v>
      </c>
      <c r="G1633" s="25"/>
      <c r="H1633" s="11">
        <v>29.664000000000001</v>
      </c>
      <c r="I1633" s="11">
        <f t="shared" si="200"/>
        <v>29.664000000000001</v>
      </c>
      <c r="J1633" s="11">
        <f t="shared" si="197"/>
        <v>29.664000000000001</v>
      </c>
      <c r="K1633" s="11">
        <f t="shared" si="201"/>
        <v>29.664000000000001</v>
      </c>
      <c r="L1633" s="10">
        <v>0</v>
      </c>
      <c r="N1633" s="118">
        <f t="shared" si="198"/>
        <v>0</v>
      </c>
      <c r="O1633" s="118">
        <f t="shared" si="199"/>
        <v>29.664000000000001</v>
      </c>
    </row>
    <row r="1634" spans="1:15" x14ac:dyDescent="0.25">
      <c r="A1634" s="32" t="s">
        <v>91</v>
      </c>
      <c r="C1634" s="19">
        <v>55</v>
      </c>
      <c r="D1634" s="18" t="s">
        <v>45</v>
      </c>
      <c r="E1634" s="13">
        <v>2</v>
      </c>
      <c r="F1634" s="25" t="s">
        <v>44</v>
      </c>
      <c r="G1634" s="25"/>
      <c r="H1634" s="11">
        <v>282.22000000000003</v>
      </c>
      <c r="I1634" s="11">
        <f t="shared" si="200"/>
        <v>564.44000000000005</v>
      </c>
      <c r="J1634" s="11">
        <f t="shared" si="197"/>
        <v>282.22000000000003</v>
      </c>
      <c r="K1634" s="11">
        <f t="shared" si="201"/>
        <v>564.44000000000005</v>
      </c>
      <c r="L1634" s="10">
        <v>0</v>
      </c>
      <c r="N1634" s="118">
        <f t="shared" si="198"/>
        <v>0</v>
      </c>
      <c r="O1634" s="118">
        <f t="shared" si="199"/>
        <v>282.22000000000003</v>
      </c>
    </row>
    <row r="1635" spans="1:15" x14ac:dyDescent="0.25">
      <c r="A1635" s="32" t="s">
        <v>88</v>
      </c>
      <c r="C1635" s="19">
        <v>56</v>
      </c>
      <c r="D1635" s="18" t="s">
        <v>87</v>
      </c>
      <c r="E1635" s="13">
        <v>2</v>
      </c>
      <c r="F1635" s="25" t="s">
        <v>86</v>
      </c>
      <c r="G1635" s="25"/>
      <c r="H1635" s="11">
        <v>399.55759999999998</v>
      </c>
      <c r="I1635" s="11">
        <f t="shared" si="200"/>
        <v>799.11519999999996</v>
      </c>
      <c r="J1635" s="11">
        <f t="shared" si="197"/>
        <v>399.55759999999998</v>
      </c>
      <c r="K1635" s="11">
        <f t="shared" si="201"/>
        <v>799.11519999999996</v>
      </c>
      <c r="L1635" s="10">
        <v>0</v>
      </c>
      <c r="N1635" s="118">
        <f t="shared" si="198"/>
        <v>0</v>
      </c>
      <c r="O1635" s="118">
        <f t="shared" si="199"/>
        <v>399.55759999999998</v>
      </c>
    </row>
    <row r="1636" spans="1:15" x14ac:dyDescent="0.25">
      <c r="C1636" s="19">
        <v>57</v>
      </c>
      <c r="D1636" s="18" t="s">
        <v>85</v>
      </c>
      <c r="E1636" s="33">
        <v>2</v>
      </c>
      <c r="F1636" s="25" t="s">
        <v>84</v>
      </c>
      <c r="G1636" s="25"/>
      <c r="H1636" s="11">
        <v>433.83600000000001</v>
      </c>
      <c r="I1636" s="11">
        <f t="shared" si="200"/>
        <v>867.67200000000003</v>
      </c>
      <c r="J1636" s="11">
        <f t="shared" si="197"/>
        <v>433.83600000000001</v>
      </c>
      <c r="K1636" s="11">
        <f t="shared" si="201"/>
        <v>867.67200000000003</v>
      </c>
      <c r="L1636" s="10">
        <v>0</v>
      </c>
      <c r="N1636" s="118">
        <f t="shared" si="198"/>
        <v>0</v>
      </c>
      <c r="O1636" s="118">
        <f t="shared" si="199"/>
        <v>433.83600000000001</v>
      </c>
    </row>
    <row r="1637" spans="1:15" x14ac:dyDescent="0.25">
      <c r="C1637" s="19">
        <v>58</v>
      </c>
      <c r="D1637" s="18" t="s">
        <v>83</v>
      </c>
      <c r="E1637" s="33">
        <v>4</v>
      </c>
      <c r="F1637" s="25" t="s">
        <v>82</v>
      </c>
      <c r="G1637" s="25"/>
      <c r="H1637" s="11">
        <v>7.0039999999999996</v>
      </c>
      <c r="I1637" s="11">
        <f t="shared" si="200"/>
        <v>28.015999999999998</v>
      </c>
      <c r="J1637" s="11">
        <f t="shared" si="197"/>
        <v>7.0039999999999996</v>
      </c>
      <c r="K1637" s="11">
        <f t="shared" si="201"/>
        <v>28.015999999999998</v>
      </c>
      <c r="L1637" s="10">
        <v>0</v>
      </c>
      <c r="N1637" s="118">
        <f t="shared" si="198"/>
        <v>0</v>
      </c>
      <c r="O1637" s="118">
        <f t="shared" si="199"/>
        <v>7.0039999999999996</v>
      </c>
    </row>
    <row r="1638" spans="1:15" x14ac:dyDescent="0.25">
      <c r="C1638" s="9"/>
      <c r="D1638" s="8" t="s">
        <v>1</v>
      </c>
      <c r="E1638" s="8">
        <f>SUM(E1580:E1637)</f>
        <v>134</v>
      </c>
      <c r="F1638" s="8"/>
      <c r="G1638" s="8"/>
      <c r="H1638" s="7"/>
      <c r="I1638" s="7">
        <f>SUM(I1580:I1637)</f>
        <v>4427.3107999999993</v>
      </c>
      <c r="J1638" s="8"/>
      <c r="K1638" s="7">
        <f>SUM(K1580:K1637)</f>
        <v>4427.3107999999993</v>
      </c>
      <c r="L1638" s="6"/>
      <c r="N1638" s="118">
        <f t="shared" si="198"/>
        <v>0</v>
      </c>
      <c r="O1638" s="118">
        <f t="shared" si="199"/>
        <v>0</v>
      </c>
    </row>
    <row r="1639" spans="1:15" x14ac:dyDescent="0.25">
      <c r="D1639" t="s">
        <v>0</v>
      </c>
      <c r="N1639" s="118">
        <f t="shared" si="198"/>
        <v>0</v>
      </c>
      <c r="O1639" s="118">
        <f t="shared" si="199"/>
        <v>0</v>
      </c>
    </row>
    <row r="1640" spans="1:15" x14ac:dyDescent="0.25">
      <c r="D1640" s="24" t="s">
        <v>173</v>
      </c>
      <c r="N1640" s="118">
        <f t="shared" si="198"/>
        <v>0</v>
      </c>
      <c r="O1640" s="118">
        <f t="shared" si="199"/>
        <v>0</v>
      </c>
    </row>
    <row r="1641" spans="1:15" ht="30" x14ac:dyDescent="0.25">
      <c r="C1641" s="24" t="s">
        <v>28</v>
      </c>
      <c r="D1641" s="24" t="s">
        <v>27</v>
      </c>
      <c r="E1641" s="24" t="s">
        <v>26</v>
      </c>
      <c r="F1641" s="24" t="s">
        <v>25</v>
      </c>
      <c r="G1641" s="24" t="s">
        <v>24</v>
      </c>
      <c r="H1641" s="116" t="s">
        <v>21</v>
      </c>
      <c r="I1641" s="24" t="s">
        <v>23</v>
      </c>
      <c r="J1641" s="24" t="s">
        <v>2928</v>
      </c>
      <c r="K1641" s="24" t="s">
        <v>2927</v>
      </c>
      <c r="L1641" s="23" t="s">
        <v>22</v>
      </c>
      <c r="N1641" s="118" t="e">
        <f t="shared" si="198"/>
        <v>#VALUE!</v>
      </c>
      <c r="O1641" s="118" t="e">
        <f t="shared" si="199"/>
        <v>#VALUE!</v>
      </c>
    </row>
    <row r="1642" spans="1:15" x14ac:dyDescent="0.25">
      <c r="A1642" s="32" t="s">
        <v>172</v>
      </c>
      <c r="C1642" s="19">
        <v>1</v>
      </c>
      <c r="D1642" s="18" t="s">
        <v>171</v>
      </c>
      <c r="E1642" s="13">
        <v>2</v>
      </c>
      <c r="F1642" s="25" t="s">
        <v>170</v>
      </c>
      <c r="G1642" s="25"/>
      <c r="H1642" s="11">
        <v>35.596800000000002</v>
      </c>
      <c r="I1642" s="11">
        <f t="shared" ref="I1642:I1673" si="202">H1642*E1642</f>
        <v>71.193600000000004</v>
      </c>
      <c r="J1642" s="11">
        <f>O1642</f>
        <v>35.596800000000002</v>
      </c>
      <c r="K1642" s="11">
        <f t="shared" ref="K1642:K1673" si="203">J1642*E1642</f>
        <v>71.193600000000004</v>
      </c>
      <c r="L1642" s="10">
        <v>0</v>
      </c>
      <c r="N1642" s="118">
        <f t="shared" si="198"/>
        <v>0</v>
      </c>
      <c r="O1642" s="118">
        <f t="shared" si="199"/>
        <v>35.596800000000002</v>
      </c>
    </row>
    <row r="1643" spans="1:15" x14ac:dyDescent="0.25">
      <c r="A1643" s="32" t="s">
        <v>169</v>
      </c>
      <c r="C1643" s="19">
        <v>2</v>
      </c>
      <c r="D1643" s="18" t="s">
        <v>168</v>
      </c>
      <c r="E1643" s="13">
        <v>2</v>
      </c>
      <c r="F1643" s="25" t="s">
        <v>167</v>
      </c>
      <c r="G1643" s="25"/>
      <c r="H1643" s="11">
        <v>35.596800000000002</v>
      </c>
      <c r="I1643" s="11">
        <f t="shared" si="202"/>
        <v>71.193600000000004</v>
      </c>
      <c r="J1643" s="11">
        <f t="shared" ref="J1643:J1673" si="204">O1643</f>
        <v>35.596800000000002</v>
      </c>
      <c r="K1643" s="11">
        <f t="shared" si="203"/>
        <v>71.193600000000004</v>
      </c>
      <c r="L1643" s="10">
        <v>0</v>
      </c>
      <c r="N1643" s="118">
        <f t="shared" si="198"/>
        <v>0</v>
      </c>
      <c r="O1643" s="118">
        <f t="shared" si="199"/>
        <v>35.596800000000002</v>
      </c>
    </row>
    <row r="1644" spans="1:15" x14ac:dyDescent="0.25">
      <c r="A1644" s="32" t="s">
        <v>166</v>
      </c>
      <c r="C1644" s="19">
        <v>3</v>
      </c>
      <c r="D1644" s="18" t="s">
        <v>165</v>
      </c>
      <c r="E1644" s="13">
        <v>3</v>
      </c>
      <c r="F1644" s="25" t="s">
        <v>164</v>
      </c>
      <c r="G1644" s="25"/>
      <c r="H1644" s="11">
        <v>5.2241600000000004</v>
      </c>
      <c r="I1644" s="11">
        <f t="shared" si="202"/>
        <v>15.67248</v>
      </c>
      <c r="J1644" s="11">
        <f t="shared" si="204"/>
        <v>5.2241600000000004</v>
      </c>
      <c r="K1644" s="11">
        <f t="shared" si="203"/>
        <v>15.67248</v>
      </c>
      <c r="L1644" s="10">
        <v>0</v>
      </c>
      <c r="N1644" s="118">
        <f t="shared" si="198"/>
        <v>0</v>
      </c>
      <c r="O1644" s="118">
        <f t="shared" si="199"/>
        <v>5.2241600000000004</v>
      </c>
    </row>
    <row r="1645" spans="1:15" x14ac:dyDescent="0.25">
      <c r="A1645" s="32" t="s">
        <v>163</v>
      </c>
      <c r="C1645" s="19">
        <v>4</v>
      </c>
      <c r="D1645" s="18" t="s">
        <v>162</v>
      </c>
      <c r="E1645" s="13">
        <v>2</v>
      </c>
      <c r="F1645" s="25" t="s">
        <v>161</v>
      </c>
      <c r="G1645" s="25"/>
      <c r="H1645" s="11">
        <v>39.543760000000006</v>
      </c>
      <c r="I1645" s="11">
        <f t="shared" si="202"/>
        <v>79.087520000000012</v>
      </c>
      <c r="J1645" s="11">
        <f t="shared" si="204"/>
        <v>39.543760000000006</v>
      </c>
      <c r="K1645" s="11">
        <f t="shared" si="203"/>
        <v>79.087520000000012</v>
      </c>
      <c r="L1645" s="10">
        <v>0</v>
      </c>
      <c r="N1645" s="118">
        <f t="shared" si="198"/>
        <v>0</v>
      </c>
      <c r="O1645" s="118">
        <f t="shared" si="199"/>
        <v>39.543760000000006</v>
      </c>
    </row>
    <row r="1646" spans="1:15" x14ac:dyDescent="0.25">
      <c r="A1646" s="32" t="s">
        <v>160</v>
      </c>
      <c r="C1646" s="19">
        <v>5</v>
      </c>
      <c r="D1646" s="18" t="s">
        <v>159</v>
      </c>
      <c r="E1646" s="13">
        <v>1</v>
      </c>
      <c r="F1646" s="25" t="s">
        <v>158</v>
      </c>
      <c r="G1646" s="25"/>
      <c r="H1646" s="11">
        <v>3.7903999999999995</v>
      </c>
      <c r="I1646" s="11">
        <f t="shared" si="202"/>
        <v>3.7903999999999995</v>
      </c>
      <c r="J1646" s="11">
        <f t="shared" si="204"/>
        <v>3.7903999999999995</v>
      </c>
      <c r="K1646" s="11">
        <f t="shared" si="203"/>
        <v>3.7903999999999995</v>
      </c>
      <c r="L1646" s="10">
        <v>0</v>
      </c>
      <c r="N1646" s="118">
        <f t="shared" si="198"/>
        <v>0</v>
      </c>
      <c r="O1646" s="118">
        <f t="shared" si="199"/>
        <v>3.7903999999999995</v>
      </c>
    </row>
    <row r="1647" spans="1:15" x14ac:dyDescent="0.25">
      <c r="A1647" s="32" t="s">
        <v>157</v>
      </c>
      <c r="B1647" s="5"/>
      <c r="C1647" s="19">
        <v>6</v>
      </c>
      <c r="D1647" s="18" t="s">
        <v>156</v>
      </c>
      <c r="E1647" s="13">
        <v>1</v>
      </c>
      <c r="F1647" s="25" t="s">
        <v>155</v>
      </c>
      <c r="G1647" s="25"/>
      <c r="H1647" s="11">
        <v>5.9327999999999994</v>
      </c>
      <c r="I1647" s="11">
        <f t="shared" si="202"/>
        <v>5.9327999999999994</v>
      </c>
      <c r="J1647" s="11">
        <f t="shared" si="204"/>
        <v>5.9327999999999994</v>
      </c>
      <c r="K1647" s="11">
        <f t="shared" si="203"/>
        <v>5.9327999999999994</v>
      </c>
      <c r="L1647" s="10">
        <v>0</v>
      </c>
      <c r="N1647" s="118">
        <f t="shared" si="198"/>
        <v>0</v>
      </c>
      <c r="O1647" s="118">
        <f t="shared" si="199"/>
        <v>5.9327999999999994</v>
      </c>
    </row>
    <row r="1648" spans="1:15" x14ac:dyDescent="0.25">
      <c r="A1648" s="32" t="s">
        <v>154</v>
      </c>
      <c r="C1648" s="19">
        <v>7</v>
      </c>
      <c r="D1648" s="18" t="s">
        <v>153</v>
      </c>
      <c r="E1648" s="13">
        <v>1</v>
      </c>
      <c r="F1648" s="25" t="s">
        <v>152</v>
      </c>
      <c r="G1648" s="25"/>
      <c r="H1648" s="11">
        <v>6.9133600000000008</v>
      </c>
      <c r="I1648" s="11">
        <f t="shared" si="202"/>
        <v>6.9133600000000008</v>
      </c>
      <c r="J1648" s="11">
        <f t="shared" si="204"/>
        <v>6.9133600000000008</v>
      </c>
      <c r="K1648" s="11">
        <f t="shared" si="203"/>
        <v>6.9133600000000008</v>
      </c>
      <c r="L1648" s="10">
        <v>0</v>
      </c>
      <c r="N1648" s="118">
        <f t="shared" si="198"/>
        <v>0</v>
      </c>
      <c r="O1648" s="118">
        <f t="shared" si="199"/>
        <v>6.9133600000000008</v>
      </c>
    </row>
    <row r="1649" spans="1:15" x14ac:dyDescent="0.25">
      <c r="A1649" s="32" t="s">
        <v>151</v>
      </c>
      <c r="C1649" s="19">
        <v>8</v>
      </c>
      <c r="D1649" s="18" t="s">
        <v>150</v>
      </c>
      <c r="E1649" s="13">
        <v>1</v>
      </c>
      <c r="F1649" s="25" t="s">
        <v>149</v>
      </c>
      <c r="G1649" s="25"/>
      <c r="H1649" s="11">
        <v>6.4354399999999989</v>
      </c>
      <c r="I1649" s="11">
        <f t="shared" si="202"/>
        <v>6.4354399999999989</v>
      </c>
      <c r="J1649" s="11">
        <f t="shared" si="204"/>
        <v>6.4354399999999989</v>
      </c>
      <c r="K1649" s="11">
        <f t="shared" si="203"/>
        <v>6.4354399999999989</v>
      </c>
      <c r="L1649" s="10">
        <v>0</v>
      </c>
      <c r="N1649" s="118">
        <f t="shared" si="198"/>
        <v>0</v>
      </c>
      <c r="O1649" s="118">
        <f t="shared" si="199"/>
        <v>6.4354399999999989</v>
      </c>
    </row>
    <row r="1650" spans="1:15" x14ac:dyDescent="0.25">
      <c r="A1650" s="32" t="s">
        <v>148</v>
      </c>
      <c r="C1650" s="19">
        <v>9</v>
      </c>
      <c r="D1650" s="18" t="s">
        <v>147</v>
      </c>
      <c r="E1650" s="13">
        <v>1</v>
      </c>
      <c r="F1650" s="25" t="s">
        <v>146</v>
      </c>
      <c r="G1650" s="25"/>
      <c r="H1650" s="11">
        <v>7.4160000000000004</v>
      </c>
      <c r="I1650" s="11">
        <f t="shared" si="202"/>
        <v>7.4160000000000004</v>
      </c>
      <c r="J1650" s="11">
        <f t="shared" si="204"/>
        <v>7.4160000000000004</v>
      </c>
      <c r="K1650" s="11">
        <f t="shared" si="203"/>
        <v>7.4160000000000004</v>
      </c>
      <c r="L1650" s="10">
        <v>0</v>
      </c>
      <c r="N1650" s="118">
        <f t="shared" si="198"/>
        <v>0</v>
      </c>
      <c r="O1650" s="118">
        <f t="shared" si="199"/>
        <v>7.4160000000000004</v>
      </c>
    </row>
    <row r="1651" spans="1:15" s="5" customFormat="1" x14ac:dyDescent="0.25">
      <c r="A1651" s="32" t="s">
        <v>145</v>
      </c>
      <c r="B1651"/>
      <c r="C1651" s="19">
        <v>10</v>
      </c>
      <c r="D1651" s="18" t="s">
        <v>144</v>
      </c>
      <c r="E1651" s="13">
        <v>1</v>
      </c>
      <c r="F1651" s="25" t="s">
        <v>143</v>
      </c>
      <c r="G1651" s="25"/>
      <c r="H1651" s="11">
        <v>17.295759999999998</v>
      </c>
      <c r="I1651" s="11">
        <f t="shared" si="202"/>
        <v>17.295759999999998</v>
      </c>
      <c r="J1651" s="11">
        <f t="shared" si="204"/>
        <v>17.295759999999998</v>
      </c>
      <c r="K1651" s="11">
        <f t="shared" si="203"/>
        <v>17.295759999999998</v>
      </c>
      <c r="L1651" s="10">
        <v>0</v>
      </c>
      <c r="N1651" s="118">
        <f t="shared" si="198"/>
        <v>0</v>
      </c>
      <c r="O1651" s="118">
        <f t="shared" si="199"/>
        <v>17.295759999999998</v>
      </c>
    </row>
    <row r="1652" spans="1:15" x14ac:dyDescent="0.25">
      <c r="A1652" s="32" t="s">
        <v>142</v>
      </c>
      <c r="C1652" s="19">
        <v>11</v>
      </c>
      <c r="D1652" s="18" t="s">
        <v>141</v>
      </c>
      <c r="E1652" s="13">
        <v>1</v>
      </c>
      <c r="F1652" s="25" t="s">
        <v>140</v>
      </c>
      <c r="G1652" s="25"/>
      <c r="H1652" s="11">
        <v>21.745360000000002</v>
      </c>
      <c r="I1652" s="11">
        <f t="shared" si="202"/>
        <v>21.745360000000002</v>
      </c>
      <c r="J1652" s="11">
        <f t="shared" si="204"/>
        <v>21.745360000000002</v>
      </c>
      <c r="K1652" s="11">
        <f t="shared" si="203"/>
        <v>21.745360000000002</v>
      </c>
      <c r="L1652" s="10">
        <v>0</v>
      </c>
      <c r="N1652" s="118">
        <f t="shared" si="198"/>
        <v>0</v>
      </c>
      <c r="O1652" s="118">
        <f t="shared" si="199"/>
        <v>21.745360000000002</v>
      </c>
    </row>
    <row r="1653" spans="1:15" x14ac:dyDescent="0.25">
      <c r="A1653" s="32" t="s">
        <v>139</v>
      </c>
      <c r="C1653" s="19">
        <v>12</v>
      </c>
      <c r="D1653" s="18" t="s">
        <v>138</v>
      </c>
      <c r="E1653" s="13">
        <v>1</v>
      </c>
      <c r="F1653" s="25" t="s">
        <v>137</v>
      </c>
      <c r="G1653" s="25"/>
      <c r="H1653" s="11">
        <v>21.745360000000002</v>
      </c>
      <c r="I1653" s="11">
        <f t="shared" si="202"/>
        <v>21.745360000000002</v>
      </c>
      <c r="J1653" s="11">
        <f t="shared" si="204"/>
        <v>21.745360000000002</v>
      </c>
      <c r="K1653" s="11">
        <f t="shared" si="203"/>
        <v>21.745360000000002</v>
      </c>
      <c r="L1653" s="10">
        <v>0</v>
      </c>
      <c r="N1653" s="118">
        <f t="shared" si="198"/>
        <v>0</v>
      </c>
      <c r="O1653" s="118">
        <f t="shared" si="199"/>
        <v>21.745360000000002</v>
      </c>
    </row>
    <row r="1654" spans="1:15" x14ac:dyDescent="0.25">
      <c r="A1654" s="32" t="s">
        <v>136</v>
      </c>
      <c r="C1654" s="19">
        <v>13</v>
      </c>
      <c r="D1654" s="18" t="s">
        <v>135</v>
      </c>
      <c r="E1654" s="13">
        <v>1</v>
      </c>
      <c r="F1654" s="25" t="s">
        <v>134</v>
      </c>
      <c r="G1654" s="25"/>
      <c r="H1654" s="11">
        <v>29.664000000000001</v>
      </c>
      <c r="I1654" s="11">
        <f t="shared" si="202"/>
        <v>29.664000000000001</v>
      </c>
      <c r="J1654" s="11">
        <f t="shared" si="204"/>
        <v>29.664000000000001</v>
      </c>
      <c r="K1654" s="11">
        <f t="shared" si="203"/>
        <v>29.664000000000001</v>
      </c>
      <c r="L1654" s="10">
        <v>0</v>
      </c>
      <c r="N1654" s="118">
        <f t="shared" si="198"/>
        <v>0</v>
      </c>
      <c r="O1654" s="118">
        <f t="shared" si="199"/>
        <v>29.664000000000001</v>
      </c>
    </row>
    <row r="1655" spans="1:15" x14ac:dyDescent="0.25">
      <c r="A1655" s="32" t="s">
        <v>133</v>
      </c>
      <c r="C1655" s="19">
        <v>14</v>
      </c>
      <c r="D1655" s="18" t="s">
        <v>132</v>
      </c>
      <c r="E1655" s="13">
        <v>5</v>
      </c>
      <c r="F1655" s="25" t="s">
        <v>131</v>
      </c>
      <c r="G1655" s="25"/>
      <c r="H1655" s="11">
        <v>11.865599999999999</v>
      </c>
      <c r="I1655" s="11">
        <f t="shared" si="202"/>
        <v>59.327999999999996</v>
      </c>
      <c r="J1655" s="11">
        <f t="shared" si="204"/>
        <v>11.865599999999999</v>
      </c>
      <c r="K1655" s="11">
        <f t="shared" si="203"/>
        <v>59.327999999999996</v>
      </c>
      <c r="L1655" s="10">
        <v>0</v>
      </c>
      <c r="N1655" s="118">
        <f t="shared" si="198"/>
        <v>0</v>
      </c>
      <c r="O1655" s="118">
        <f t="shared" si="199"/>
        <v>11.865599999999999</v>
      </c>
    </row>
    <row r="1656" spans="1:15" x14ac:dyDescent="0.25">
      <c r="A1656" s="32" t="s">
        <v>130</v>
      </c>
      <c r="C1656" s="19">
        <v>15</v>
      </c>
      <c r="D1656" s="18" t="s">
        <v>129</v>
      </c>
      <c r="E1656" s="13">
        <v>4</v>
      </c>
      <c r="F1656" s="25" t="s">
        <v>128</v>
      </c>
      <c r="G1656" s="25"/>
      <c r="H1656" s="11">
        <v>15.33464</v>
      </c>
      <c r="I1656" s="11">
        <f t="shared" si="202"/>
        <v>61.338560000000001</v>
      </c>
      <c r="J1656" s="11">
        <f t="shared" si="204"/>
        <v>15.33464</v>
      </c>
      <c r="K1656" s="11">
        <f t="shared" si="203"/>
        <v>61.338560000000001</v>
      </c>
      <c r="L1656" s="10">
        <v>0</v>
      </c>
      <c r="N1656" s="118">
        <f t="shared" si="198"/>
        <v>0</v>
      </c>
      <c r="O1656" s="118">
        <f t="shared" si="199"/>
        <v>15.33464</v>
      </c>
    </row>
    <row r="1657" spans="1:15" ht="15.75" customHeight="1" x14ac:dyDescent="0.25">
      <c r="A1657" s="32" t="s">
        <v>127</v>
      </c>
      <c r="C1657" s="19">
        <v>16</v>
      </c>
      <c r="D1657" s="18" t="s">
        <v>126</v>
      </c>
      <c r="E1657" s="13">
        <v>4</v>
      </c>
      <c r="F1657" s="25" t="s">
        <v>125</v>
      </c>
      <c r="G1657" s="25"/>
      <c r="H1657" s="11">
        <v>14.832000000000001</v>
      </c>
      <c r="I1657" s="11">
        <f t="shared" si="202"/>
        <v>59.328000000000003</v>
      </c>
      <c r="J1657" s="11">
        <f t="shared" si="204"/>
        <v>14.832000000000001</v>
      </c>
      <c r="K1657" s="11">
        <f t="shared" si="203"/>
        <v>59.328000000000003</v>
      </c>
      <c r="L1657" s="10">
        <v>0</v>
      </c>
      <c r="N1657" s="118">
        <f t="shared" si="198"/>
        <v>0</v>
      </c>
      <c r="O1657" s="118">
        <f t="shared" si="199"/>
        <v>14.832000000000001</v>
      </c>
    </row>
    <row r="1658" spans="1:15" x14ac:dyDescent="0.25">
      <c r="A1658" s="32" t="s">
        <v>124</v>
      </c>
      <c r="C1658" s="19">
        <v>17</v>
      </c>
      <c r="D1658" s="18" t="s">
        <v>123</v>
      </c>
      <c r="E1658" s="13">
        <v>4</v>
      </c>
      <c r="F1658" s="25" t="s">
        <v>122</v>
      </c>
      <c r="G1658" s="25"/>
      <c r="H1658" s="11">
        <v>11.865599999999999</v>
      </c>
      <c r="I1658" s="11">
        <f t="shared" si="202"/>
        <v>47.462399999999995</v>
      </c>
      <c r="J1658" s="11">
        <f t="shared" si="204"/>
        <v>11.865599999999999</v>
      </c>
      <c r="K1658" s="11">
        <f t="shared" si="203"/>
        <v>47.462399999999995</v>
      </c>
      <c r="L1658" s="10">
        <v>0</v>
      </c>
      <c r="N1658" s="118">
        <f t="shared" si="198"/>
        <v>0</v>
      </c>
      <c r="O1658" s="118">
        <f t="shared" si="199"/>
        <v>11.865599999999999</v>
      </c>
    </row>
    <row r="1659" spans="1:15" x14ac:dyDescent="0.25">
      <c r="A1659" s="32" t="s">
        <v>121</v>
      </c>
      <c r="C1659" s="19">
        <v>18</v>
      </c>
      <c r="D1659" s="18" t="s">
        <v>120</v>
      </c>
      <c r="E1659" s="13">
        <v>4</v>
      </c>
      <c r="F1659" s="25" t="s">
        <v>119</v>
      </c>
      <c r="G1659" s="25"/>
      <c r="H1659" s="11">
        <v>12.368239999999998</v>
      </c>
      <c r="I1659" s="11">
        <f t="shared" si="202"/>
        <v>49.472959999999993</v>
      </c>
      <c r="J1659" s="11">
        <f t="shared" si="204"/>
        <v>12.368239999999998</v>
      </c>
      <c r="K1659" s="11">
        <f t="shared" si="203"/>
        <v>49.472959999999993</v>
      </c>
      <c r="L1659" s="10">
        <v>0</v>
      </c>
      <c r="N1659" s="118">
        <f t="shared" si="198"/>
        <v>0</v>
      </c>
      <c r="O1659" s="118">
        <f t="shared" si="199"/>
        <v>12.368239999999998</v>
      </c>
    </row>
    <row r="1660" spans="1:15" x14ac:dyDescent="0.25">
      <c r="A1660" s="32" t="s">
        <v>118</v>
      </c>
      <c r="C1660" s="19">
        <v>19</v>
      </c>
      <c r="D1660" s="18" t="s">
        <v>117</v>
      </c>
      <c r="E1660" s="13">
        <v>4</v>
      </c>
      <c r="F1660" s="25" t="s">
        <v>116</v>
      </c>
      <c r="G1660" s="25"/>
      <c r="H1660" s="11">
        <v>14.329360000000001</v>
      </c>
      <c r="I1660" s="11">
        <f t="shared" si="202"/>
        <v>57.317440000000005</v>
      </c>
      <c r="J1660" s="11">
        <f t="shared" si="204"/>
        <v>14.329360000000001</v>
      </c>
      <c r="K1660" s="11">
        <f t="shared" si="203"/>
        <v>57.317440000000005</v>
      </c>
      <c r="L1660" s="10">
        <v>0</v>
      </c>
      <c r="N1660" s="118">
        <f t="shared" si="198"/>
        <v>0</v>
      </c>
      <c r="O1660" s="118">
        <f t="shared" si="199"/>
        <v>14.329360000000001</v>
      </c>
    </row>
    <row r="1661" spans="1:15" x14ac:dyDescent="0.25">
      <c r="A1661" s="32" t="s">
        <v>115</v>
      </c>
      <c r="C1661" s="19">
        <v>20</v>
      </c>
      <c r="D1661" s="18" t="s">
        <v>114</v>
      </c>
      <c r="E1661" s="13">
        <v>6</v>
      </c>
      <c r="F1661" s="25" t="s">
        <v>113</v>
      </c>
      <c r="G1661" s="25"/>
      <c r="H1661" s="11">
        <v>14.832000000000001</v>
      </c>
      <c r="I1661" s="11">
        <f t="shared" si="202"/>
        <v>88.992000000000004</v>
      </c>
      <c r="J1661" s="11">
        <f t="shared" si="204"/>
        <v>14.832000000000001</v>
      </c>
      <c r="K1661" s="11">
        <f t="shared" si="203"/>
        <v>88.992000000000004</v>
      </c>
      <c r="L1661" s="10">
        <v>0</v>
      </c>
      <c r="N1661" s="118">
        <f t="shared" si="198"/>
        <v>0</v>
      </c>
      <c r="O1661" s="118">
        <f t="shared" si="199"/>
        <v>14.832000000000001</v>
      </c>
    </row>
    <row r="1662" spans="1:15" x14ac:dyDescent="0.25">
      <c r="A1662" s="32" t="s">
        <v>112</v>
      </c>
      <c r="C1662" s="19">
        <v>21</v>
      </c>
      <c r="D1662" s="18" t="s">
        <v>111</v>
      </c>
      <c r="E1662" s="13">
        <v>1</v>
      </c>
      <c r="F1662" s="25" t="s">
        <v>110</v>
      </c>
      <c r="G1662" s="25"/>
      <c r="H1662" s="11">
        <v>27.678160000000002</v>
      </c>
      <c r="I1662" s="11">
        <f t="shared" si="202"/>
        <v>27.678160000000002</v>
      </c>
      <c r="J1662" s="11">
        <f t="shared" si="204"/>
        <v>27.678160000000002</v>
      </c>
      <c r="K1662" s="11">
        <f t="shared" si="203"/>
        <v>27.678160000000002</v>
      </c>
      <c r="L1662" s="10">
        <v>0</v>
      </c>
      <c r="N1662" s="118">
        <f t="shared" si="198"/>
        <v>0</v>
      </c>
      <c r="O1662" s="118">
        <f t="shared" si="199"/>
        <v>27.678160000000002</v>
      </c>
    </row>
    <row r="1663" spans="1:15" x14ac:dyDescent="0.25">
      <c r="A1663" s="32" t="s">
        <v>109</v>
      </c>
      <c r="C1663" s="19">
        <v>22</v>
      </c>
      <c r="D1663" s="18" t="s">
        <v>108</v>
      </c>
      <c r="E1663" s="13">
        <v>2</v>
      </c>
      <c r="F1663" s="25" t="s">
        <v>107</v>
      </c>
      <c r="G1663" s="25"/>
      <c r="H1663" s="11">
        <v>17.295759999999998</v>
      </c>
      <c r="I1663" s="11">
        <f t="shared" si="202"/>
        <v>34.591519999999996</v>
      </c>
      <c r="J1663" s="11">
        <f t="shared" si="204"/>
        <v>17.295759999999998</v>
      </c>
      <c r="K1663" s="11">
        <f t="shared" si="203"/>
        <v>34.591519999999996</v>
      </c>
      <c r="L1663" s="10">
        <v>0</v>
      </c>
      <c r="N1663" s="118">
        <f t="shared" si="198"/>
        <v>0</v>
      </c>
      <c r="O1663" s="118">
        <f t="shared" si="199"/>
        <v>17.295759999999998</v>
      </c>
    </row>
    <row r="1664" spans="1:15" x14ac:dyDescent="0.25">
      <c r="A1664" s="32" t="s">
        <v>106</v>
      </c>
      <c r="C1664" s="19">
        <v>23</v>
      </c>
      <c r="D1664" s="18" t="s">
        <v>105</v>
      </c>
      <c r="E1664" s="13">
        <v>1</v>
      </c>
      <c r="F1664" s="25" t="s">
        <v>104</v>
      </c>
      <c r="G1664" s="25"/>
      <c r="H1664" s="11">
        <v>29.664000000000001</v>
      </c>
      <c r="I1664" s="11">
        <f t="shared" si="202"/>
        <v>29.664000000000001</v>
      </c>
      <c r="J1664" s="11">
        <f t="shared" si="204"/>
        <v>29.664000000000001</v>
      </c>
      <c r="K1664" s="11">
        <f t="shared" si="203"/>
        <v>29.664000000000001</v>
      </c>
      <c r="L1664" s="10">
        <v>0</v>
      </c>
      <c r="N1664" s="118">
        <f t="shared" si="198"/>
        <v>0</v>
      </c>
      <c r="O1664" s="118">
        <f t="shared" si="199"/>
        <v>29.664000000000001</v>
      </c>
    </row>
    <row r="1665" spans="1:15" x14ac:dyDescent="0.25">
      <c r="A1665" s="32" t="s">
        <v>103</v>
      </c>
      <c r="C1665" s="19">
        <v>24</v>
      </c>
      <c r="D1665" s="18" t="s">
        <v>102</v>
      </c>
      <c r="E1665" s="13">
        <v>1</v>
      </c>
      <c r="F1665" s="25" t="s">
        <v>101</v>
      </c>
      <c r="G1665" s="25"/>
      <c r="H1665" s="11">
        <v>2.7274400000000001</v>
      </c>
      <c r="I1665" s="11">
        <f t="shared" si="202"/>
        <v>2.7274400000000001</v>
      </c>
      <c r="J1665" s="11">
        <f t="shared" si="204"/>
        <v>2.7274400000000001</v>
      </c>
      <c r="K1665" s="11">
        <f t="shared" si="203"/>
        <v>2.7274400000000001</v>
      </c>
      <c r="L1665" s="10">
        <v>0</v>
      </c>
      <c r="N1665" s="118">
        <f t="shared" si="198"/>
        <v>0</v>
      </c>
      <c r="O1665" s="118">
        <f t="shared" si="199"/>
        <v>2.7274400000000001</v>
      </c>
    </row>
    <row r="1666" spans="1:15" x14ac:dyDescent="0.25">
      <c r="A1666" s="32" t="s">
        <v>100</v>
      </c>
      <c r="C1666" s="19">
        <v>25</v>
      </c>
      <c r="D1666" s="18" t="s">
        <v>99</v>
      </c>
      <c r="E1666" s="13">
        <v>1</v>
      </c>
      <c r="F1666" s="25" t="s">
        <v>98</v>
      </c>
      <c r="G1666" s="25"/>
      <c r="H1666" s="11">
        <v>12.697839999999999</v>
      </c>
      <c r="I1666" s="11">
        <f t="shared" si="202"/>
        <v>12.697839999999999</v>
      </c>
      <c r="J1666" s="11">
        <f t="shared" si="204"/>
        <v>12.697839999999999</v>
      </c>
      <c r="K1666" s="11">
        <f t="shared" si="203"/>
        <v>12.697839999999999</v>
      </c>
      <c r="L1666" s="10">
        <v>0</v>
      </c>
      <c r="N1666" s="118">
        <f t="shared" si="198"/>
        <v>0</v>
      </c>
      <c r="O1666" s="118">
        <f t="shared" si="199"/>
        <v>12.697839999999999</v>
      </c>
    </row>
    <row r="1667" spans="1:15" x14ac:dyDescent="0.25">
      <c r="A1667" s="32" t="s">
        <v>97</v>
      </c>
      <c r="C1667" s="19">
        <v>26</v>
      </c>
      <c r="D1667" s="18" t="s">
        <v>96</v>
      </c>
      <c r="E1667" s="13">
        <v>1</v>
      </c>
      <c r="F1667" s="25" t="s">
        <v>95</v>
      </c>
      <c r="G1667" s="25"/>
      <c r="H1667" s="11">
        <v>13.315840000000001</v>
      </c>
      <c r="I1667" s="11">
        <f t="shared" si="202"/>
        <v>13.315840000000001</v>
      </c>
      <c r="J1667" s="11">
        <f t="shared" si="204"/>
        <v>13.315840000000001</v>
      </c>
      <c r="K1667" s="11">
        <f t="shared" si="203"/>
        <v>13.315840000000001</v>
      </c>
      <c r="L1667" s="10">
        <v>0</v>
      </c>
      <c r="N1667" s="118">
        <f t="shared" si="198"/>
        <v>0</v>
      </c>
      <c r="O1667" s="118">
        <f t="shared" si="199"/>
        <v>13.315840000000001</v>
      </c>
    </row>
    <row r="1668" spans="1:15" x14ac:dyDescent="0.25">
      <c r="A1668" s="32" t="s">
        <v>94</v>
      </c>
      <c r="C1668" s="19">
        <v>27</v>
      </c>
      <c r="D1668" s="18" t="s">
        <v>93</v>
      </c>
      <c r="E1668" s="13">
        <v>1</v>
      </c>
      <c r="F1668" s="25" t="s">
        <v>92</v>
      </c>
      <c r="G1668" s="25"/>
      <c r="H1668" s="11">
        <v>16.669520000000002</v>
      </c>
      <c r="I1668" s="11">
        <f t="shared" si="202"/>
        <v>16.669520000000002</v>
      </c>
      <c r="J1668" s="11">
        <f t="shared" si="204"/>
        <v>16.669520000000002</v>
      </c>
      <c r="K1668" s="11">
        <f t="shared" si="203"/>
        <v>16.669520000000002</v>
      </c>
      <c r="L1668" s="10">
        <v>0</v>
      </c>
      <c r="N1668" s="118">
        <f t="shared" ref="N1668:N1716" si="205">H1668*L1668</f>
        <v>0</v>
      </c>
      <c r="O1668" s="118">
        <f t="shared" ref="O1668:O1731" si="206">H1668-N1668</f>
        <v>16.669520000000002</v>
      </c>
    </row>
    <row r="1669" spans="1:15" x14ac:dyDescent="0.25">
      <c r="A1669" s="32" t="s">
        <v>91</v>
      </c>
      <c r="C1669" s="19">
        <v>28</v>
      </c>
      <c r="D1669" s="18" t="s">
        <v>90</v>
      </c>
      <c r="E1669" s="13">
        <v>1</v>
      </c>
      <c r="F1669" s="25" t="s">
        <v>89</v>
      </c>
      <c r="G1669" s="25"/>
      <c r="H1669" s="11">
        <v>14.205759999999998</v>
      </c>
      <c r="I1669" s="11">
        <f t="shared" si="202"/>
        <v>14.205759999999998</v>
      </c>
      <c r="J1669" s="11">
        <f t="shared" si="204"/>
        <v>14.205759999999998</v>
      </c>
      <c r="K1669" s="11">
        <f t="shared" si="203"/>
        <v>14.205759999999998</v>
      </c>
      <c r="L1669" s="10">
        <v>0</v>
      </c>
      <c r="N1669" s="118">
        <f t="shared" si="205"/>
        <v>0</v>
      </c>
      <c r="O1669" s="118">
        <f t="shared" si="206"/>
        <v>14.205759999999998</v>
      </c>
    </row>
    <row r="1670" spans="1:15" x14ac:dyDescent="0.25">
      <c r="A1670" s="32" t="s">
        <v>88</v>
      </c>
      <c r="C1670" s="19">
        <v>29</v>
      </c>
      <c r="D1670" s="18" t="s">
        <v>45</v>
      </c>
      <c r="E1670" s="13">
        <v>1</v>
      </c>
      <c r="F1670" s="25" t="s">
        <v>44</v>
      </c>
      <c r="G1670" s="25"/>
      <c r="H1670" s="11">
        <v>282.22000000000003</v>
      </c>
      <c r="I1670" s="11">
        <f t="shared" si="202"/>
        <v>282.22000000000003</v>
      </c>
      <c r="J1670" s="11">
        <f t="shared" si="204"/>
        <v>282.22000000000003</v>
      </c>
      <c r="K1670" s="11">
        <f t="shared" si="203"/>
        <v>282.22000000000003</v>
      </c>
      <c r="L1670" s="10">
        <v>0</v>
      </c>
      <c r="N1670" s="118">
        <f t="shared" si="205"/>
        <v>0</v>
      </c>
      <c r="O1670" s="118">
        <f t="shared" si="206"/>
        <v>282.22000000000003</v>
      </c>
    </row>
    <row r="1671" spans="1:15" x14ac:dyDescent="0.25">
      <c r="C1671" s="19">
        <v>30</v>
      </c>
      <c r="D1671" s="18" t="s">
        <v>87</v>
      </c>
      <c r="E1671" s="13">
        <v>1</v>
      </c>
      <c r="F1671" s="25" t="s">
        <v>86</v>
      </c>
      <c r="G1671" s="25"/>
      <c r="H1671" s="11">
        <v>399.55759999999998</v>
      </c>
      <c r="I1671" s="11">
        <f t="shared" si="202"/>
        <v>399.55759999999998</v>
      </c>
      <c r="J1671" s="11">
        <f t="shared" si="204"/>
        <v>399.55759999999998</v>
      </c>
      <c r="K1671" s="11">
        <f t="shared" si="203"/>
        <v>399.55759999999998</v>
      </c>
      <c r="L1671" s="10">
        <v>0</v>
      </c>
      <c r="N1671" s="118">
        <f t="shared" si="205"/>
        <v>0</v>
      </c>
      <c r="O1671" s="118">
        <f t="shared" si="206"/>
        <v>399.55759999999998</v>
      </c>
    </row>
    <row r="1672" spans="1:15" x14ac:dyDescent="0.25">
      <c r="C1672" s="19">
        <v>31</v>
      </c>
      <c r="D1672" s="18" t="s">
        <v>85</v>
      </c>
      <c r="E1672" s="13">
        <v>1</v>
      </c>
      <c r="F1672" s="25" t="s">
        <v>84</v>
      </c>
      <c r="G1672" s="25"/>
      <c r="H1672" s="11">
        <v>433.83600000000001</v>
      </c>
      <c r="I1672" s="11">
        <f t="shared" si="202"/>
        <v>433.83600000000001</v>
      </c>
      <c r="J1672" s="11">
        <f t="shared" si="204"/>
        <v>433.83600000000001</v>
      </c>
      <c r="K1672" s="11">
        <f t="shared" si="203"/>
        <v>433.83600000000001</v>
      </c>
      <c r="L1672" s="10">
        <v>0</v>
      </c>
      <c r="N1672" s="118">
        <f t="shared" si="205"/>
        <v>0</v>
      </c>
      <c r="O1672" s="118">
        <f t="shared" si="206"/>
        <v>433.83600000000001</v>
      </c>
    </row>
    <row r="1673" spans="1:15" x14ac:dyDescent="0.25">
      <c r="C1673" s="19">
        <v>32</v>
      </c>
      <c r="D1673" s="18" t="s">
        <v>83</v>
      </c>
      <c r="E1673" s="13">
        <v>2</v>
      </c>
      <c r="F1673" s="25" t="s">
        <v>82</v>
      </c>
      <c r="G1673" s="25"/>
      <c r="H1673" s="11">
        <v>7.0039999999999996</v>
      </c>
      <c r="I1673" s="11">
        <f t="shared" si="202"/>
        <v>14.007999999999999</v>
      </c>
      <c r="J1673" s="11">
        <f t="shared" si="204"/>
        <v>7.0039999999999996</v>
      </c>
      <c r="K1673" s="11">
        <f t="shared" si="203"/>
        <v>14.007999999999999</v>
      </c>
      <c r="L1673" s="10">
        <v>0</v>
      </c>
      <c r="N1673" s="118">
        <f t="shared" si="205"/>
        <v>0</v>
      </c>
      <c r="O1673" s="118">
        <f t="shared" si="206"/>
        <v>7.0039999999999996</v>
      </c>
    </row>
    <row r="1674" spans="1:15" x14ac:dyDescent="0.25">
      <c r="C1674" s="9"/>
      <c r="D1674" s="8" t="s">
        <v>1</v>
      </c>
      <c r="E1674" s="8">
        <f>SUM(E1642:E1673)</f>
        <v>63</v>
      </c>
      <c r="F1674" s="8"/>
      <c r="G1674" s="8"/>
      <c r="H1674" s="7"/>
      <c r="I1674" s="7">
        <f>SUM(I1642:I1673)</f>
        <v>2062.4967200000001</v>
      </c>
      <c r="J1674" s="8"/>
      <c r="K1674" s="7">
        <f>SUM(K1642:K1673)</f>
        <v>2062.4967200000001</v>
      </c>
      <c r="L1674" s="6"/>
      <c r="N1674" s="118">
        <f t="shared" si="205"/>
        <v>0</v>
      </c>
      <c r="O1674" s="118">
        <f t="shared" si="206"/>
        <v>0</v>
      </c>
    </row>
    <row r="1675" spans="1:15" x14ac:dyDescent="0.25">
      <c r="D1675" t="s">
        <v>0</v>
      </c>
      <c r="N1675" s="118">
        <f t="shared" si="205"/>
        <v>0</v>
      </c>
      <c r="O1675" s="118">
        <f t="shared" si="206"/>
        <v>0</v>
      </c>
    </row>
    <row r="1676" spans="1:15" x14ac:dyDescent="0.25">
      <c r="D1676" s="24" t="s">
        <v>81</v>
      </c>
      <c r="N1676" s="118">
        <f t="shared" si="205"/>
        <v>0</v>
      </c>
      <c r="O1676" s="118">
        <f t="shared" si="206"/>
        <v>0</v>
      </c>
    </row>
    <row r="1677" spans="1:15" ht="30" x14ac:dyDescent="0.25">
      <c r="C1677" s="24" t="s">
        <v>28</v>
      </c>
      <c r="D1677" s="24" t="s">
        <v>27</v>
      </c>
      <c r="E1677" s="24" t="s">
        <v>26</v>
      </c>
      <c r="F1677" s="24" t="s">
        <v>25</v>
      </c>
      <c r="G1677" s="24" t="s">
        <v>24</v>
      </c>
      <c r="H1677" s="116" t="s">
        <v>21</v>
      </c>
      <c r="I1677" s="24" t="s">
        <v>23</v>
      </c>
      <c r="J1677" s="24" t="s">
        <v>2928</v>
      </c>
      <c r="K1677" s="24" t="s">
        <v>2927</v>
      </c>
      <c r="L1677" s="23" t="s">
        <v>22</v>
      </c>
      <c r="N1677" s="118" t="e">
        <f t="shared" si="205"/>
        <v>#VALUE!</v>
      </c>
      <c r="O1677" s="118" t="e">
        <f t="shared" si="206"/>
        <v>#VALUE!</v>
      </c>
    </row>
    <row r="1678" spans="1:15" x14ac:dyDescent="0.25">
      <c r="A1678" t="s">
        <v>80</v>
      </c>
      <c r="B1678" t="s">
        <v>78</v>
      </c>
      <c r="C1678" s="30">
        <v>1</v>
      </c>
      <c r="D1678" s="31" t="s">
        <v>79</v>
      </c>
      <c r="E1678" s="30">
        <v>1</v>
      </c>
      <c r="F1678" s="29" t="s">
        <v>78</v>
      </c>
      <c r="G1678" s="28">
        <v>81897719002</v>
      </c>
      <c r="H1678" s="11">
        <v>256.15688</v>
      </c>
      <c r="I1678" s="11">
        <f t="shared" ref="I1678:I1691" si="207">H1678*E1678</f>
        <v>256.15688</v>
      </c>
      <c r="J1678" s="11">
        <f>O1678</f>
        <v>256.15688</v>
      </c>
      <c r="K1678" s="11">
        <f t="shared" ref="K1678:K1691" si="208">J1678*E1678</f>
        <v>256.15688</v>
      </c>
      <c r="L1678" s="10">
        <v>0</v>
      </c>
      <c r="N1678" s="118">
        <f t="shared" si="205"/>
        <v>0</v>
      </c>
      <c r="O1678" s="118">
        <f t="shared" si="206"/>
        <v>256.15688</v>
      </c>
    </row>
    <row r="1679" spans="1:15" x14ac:dyDescent="0.25">
      <c r="A1679" t="s">
        <v>77</v>
      </c>
      <c r="B1679" t="s">
        <v>75</v>
      </c>
      <c r="C1679" s="13">
        <v>1</v>
      </c>
      <c r="D1679" s="18" t="s">
        <v>76</v>
      </c>
      <c r="E1679" s="13">
        <v>1</v>
      </c>
      <c r="F1679" s="20" t="s">
        <v>75</v>
      </c>
      <c r="G1679" s="20">
        <v>81897719002</v>
      </c>
      <c r="H1679" s="11">
        <v>190.69832</v>
      </c>
      <c r="I1679" s="11">
        <f t="shared" si="207"/>
        <v>190.69832</v>
      </c>
      <c r="J1679" s="11">
        <f t="shared" ref="J1679:J1691" si="209">O1679</f>
        <v>190.69832</v>
      </c>
      <c r="K1679" s="11">
        <f t="shared" si="208"/>
        <v>190.69832</v>
      </c>
      <c r="L1679" s="10">
        <v>0</v>
      </c>
      <c r="N1679" s="118">
        <f t="shared" si="205"/>
        <v>0</v>
      </c>
      <c r="O1679" s="118">
        <f t="shared" si="206"/>
        <v>190.69832</v>
      </c>
    </row>
    <row r="1680" spans="1:15" x14ac:dyDescent="0.25">
      <c r="A1680" t="s">
        <v>74</v>
      </c>
      <c r="B1680" t="s">
        <v>72</v>
      </c>
      <c r="C1680" s="13">
        <v>2</v>
      </c>
      <c r="D1680" s="18" t="s">
        <v>73</v>
      </c>
      <c r="E1680" s="13">
        <v>1</v>
      </c>
      <c r="F1680" s="20" t="s">
        <v>72</v>
      </c>
      <c r="G1680" s="20">
        <v>81897719002</v>
      </c>
      <c r="H1680" s="11">
        <v>190.69832</v>
      </c>
      <c r="I1680" s="11">
        <f t="shared" si="207"/>
        <v>190.69832</v>
      </c>
      <c r="J1680" s="11">
        <f t="shared" si="209"/>
        <v>190.69832</v>
      </c>
      <c r="K1680" s="11">
        <f t="shared" si="208"/>
        <v>190.69832</v>
      </c>
      <c r="L1680" s="10">
        <v>0</v>
      </c>
      <c r="N1680" s="118">
        <f t="shared" si="205"/>
        <v>0</v>
      </c>
      <c r="O1680" s="118">
        <f t="shared" si="206"/>
        <v>190.69832</v>
      </c>
    </row>
    <row r="1681" spans="1:15" x14ac:dyDescent="0.25">
      <c r="A1681" t="s">
        <v>71</v>
      </c>
      <c r="B1681" t="s">
        <v>69</v>
      </c>
      <c r="C1681" s="13">
        <v>3</v>
      </c>
      <c r="D1681" s="18" t="s">
        <v>70</v>
      </c>
      <c r="E1681" s="13">
        <v>1</v>
      </c>
      <c r="F1681" s="20" t="s">
        <v>69</v>
      </c>
      <c r="G1681" s="20">
        <v>81897719002</v>
      </c>
      <c r="H1681" s="11">
        <v>190.69832</v>
      </c>
      <c r="I1681" s="11">
        <f t="shared" si="207"/>
        <v>190.69832</v>
      </c>
      <c r="J1681" s="11">
        <f t="shared" si="209"/>
        <v>190.69832</v>
      </c>
      <c r="K1681" s="11">
        <f t="shared" si="208"/>
        <v>190.69832</v>
      </c>
      <c r="L1681" s="10">
        <v>0</v>
      </c>
      <c r="N1681" s="118">
        <f t="shared" si="205"/>
        <v>0</v>
      </c>
      <c r="O1681" s="118">
        <f t="shared" si="206"/>
        <v>190.69832</v>
      </c>
    </row>
    <row r="1682" spans="1:15" x14ac:dyDescent="0.25">
      <c r="A1682" t="s">
        <v>68</v>
      </c>
      <c r="B1682" t="s">
        <v>66</v>
      </c>
      <c r="C1682" s="13">
        <v>4</v>
      </c>
      <c r="D1682" s="18" t="s">
        <v>67</v>
      </c>
      <c r="E1682" s="13">
        <v>1</v>
      </c>
      <c r="F1682" s="20" t="s">
        <v>66</v>
      </c>
      <c r="G1682" s="20">
        <v>81897719002</v>
      </c>
      <c r="H1682" s="11">
        <v>26.47512</v>
      </c>
      <c r="I1682" s="11">
        <f t="shared" si="207"/>
        <v>26.47512</v>
      </c>
      <c r="J1682" s="11">
        <f t="shared" si="209"/>
        <v>26.47512</v>
      </c>
      <c r="K1682" s="11">
        <f t="shared" si="208"/>
        <v>26.47512</v>
      </c>
      <c r="L1682" s="10">
        <v>0</v>
      </c>
      <c r="N1682" s="118">
        <f t="shared" si="205"/>
        <v>0</v>
      </c>
      <c r="O1682" s="118">
        <f t="shared" si="206"/>
        <v>26.47512</v>
      </c>
    </row>
    <row r="1683" spans="1:15" x14ac:dyDescent="0.25">
      <c r="A1683" t="s">
        <v>65</v>
      </c>
      <c r="B1683" s="5" t="s">
        <v>63</v>
      </c>
      <c r="C1683" s="13">
        <v>5</v>
      </c>
      <c r="D1683" s="18" t="s">
        <v>64</v>
      </c>
      <c r="E1683" s="13">
        <v>2</v>
      </c>
      <c r="F1683" s="20" t="s">
        <v>63</v>
      </c>
      <c r="G1683" s="20">
        <v>81897719002</v>
      </c>
      <c r="H1683" s="11">
        <v>38.96696</v>
      </c>
      <c r="I1683" s="11">
        <f t="shared" si="207"/>
        <v>77.933920000000001</v>
      </c>
      <c r="J1683" s="11">
        <f t="shared" si="209"/>
        <v>38.96696</v>
      </c>
      <c r="K1683" s="11">
        <f t="shared" si="208"/>
        <v>77.933920000000001</v>
      </c>
      <c r="L1683" s="10">
        <v>0</v>
      </c>
      <c r="N1683" s="118">
        <f t="shared" si="205"/>
        <v>0</v>
      </c>
      <c r="O1683" s="118">
        <f t="shared" si="206"/>
        <v>38.96696</v>
      </c>
    </row>
    <row r="1684" spans="1:15" x14ac:dyDescent="0.25">
      <c r="A1684" t="s">
        <v>62</v>
      </c>
      <c r="B1684" t="s">
        <v>60</v>
      </c>
      <c r="C1684" s="13">
        <v>6</v>
      </c>
      <c r="D1684" s="18" t="s">
        <v>61</v>
      </c>
      <c r="E1684" s="13">
        <v>2</v>
      </c>
      <c r="F1684" s="20" t="s">
        <v>60</v>
      </c>
      <c r="G1684" s="20">
        <v>81897719002</v>
      </c>
      <c r="H1684" s="11">
        <v>38.96696</v>
      </c>
      <c r="I1684" s="11">
        <f t="shared" si="207"/>
        <v>77.933920000000001</v>
      </c>
      <c r="J1684" s="11">
        <f t="shared" si="209"/>
        <v>38.96696</v>
      </c>
      <c r="K1684" s="11">
        <f t="shared" si="208"/>
        <v>77.933920000000001</v>
      </c>
      <c r="L1684" s="10">
        <v>0</v>
      </c>
      <c r="N1684" s="118">
        <f t="shared" si="205"/>
        <v>0</v>
      </c>
      <c r="O1684" s="118">
        <f t="shared" si="206"/>
        <v>38.96696</v>
      </c>
    </row>
    <row r="1685" spans="1:15" x14ac:dyDescent="0.25">
      <c r="A1685" t="s">
        <v>59</v>
      </c>
      <c r="B1685" t="s">
        <v>57</v>
      </c>
      <c r="C1685" s="13">
        <v>7</v>
      </c>
      <c r="D1685" s="18" t="s">
        <v>58</v>
      </c>
      <c r="E1685" s="13">
        <v>2</v>
      </c>
      <c r="F1685" s="20" t="s">
        <v>57</v>
      </c>
      <c r="G1685" s="20">
        <v>81897719002</v>
      </c>
      <c r="H1685" s="11">
        <v>38.96696</v>
      </c>
      <c r="I1685" s="11">
        <f t="shared" si="207"/>
        <v>77.933920000000001</v>
      </c>
      <c r="J1685" s="11">
        <f t="shared" si="209"/>
        <v>38.96696</v>
      </c>
      <c r="K1685" s="11">
        <f t="shared" si="208"/>
        <v>77.933920000000001</v>
      </c>
      <c r="L1685" s="10">
        <v>0</v>
      </c>
      <c r="N1685" s="118">
        <f t="shared" si="205"/>
        <v>0</v>
      </c>
      <c r="O1685" s="118">
        <f t="shared" si="206"/>
        <v>38.96696</v>
      </c>
    </row>
    <row r="1686" spans="1:15" x14ac:dyDescent="0.25">
      <c r="A1686" t="s">
        <v>56</v>
      </c>
      <c r="B1686" t="s">
        <v>54</v>
      </c>
      <c r="C1686" s="13">
        <v>8</v>
      </c>
      <c r="D1686" s="18" t="s">
        <v>55</v>
      </c>
      <c r="E1686" s="13">
        <v>2</v>
      </c>
      <c r="F1686" s="20" t="s">
        <v>54</v>
      </c>
      <c r="G1686" s="20">
        <v>81897719002</v>
      </c>
      <c r="H1686" s="11">
        <v>38.96696</v>
      </c>
      <c r="I1686" s="11">
        <f t="shared" si="207"/>
        <v>77.933920000000001</v>
      </c>
      <c r="J1686" s="11">
        <f t="shared" si="209"/>
        <v>38.96696</v>
      </c>
      <c r="K1686" s="11">
        <f t="shared" si="208"/>
        <v>77.933920000000001</v>
      </c>
      <c r="L1686" s="10">
        <v>0</v>
      </c>
      <c r="N1686" s="118">
        <f t="shared" si="205"/>
        <v>0</v>
      </c>
      <c r="O1686" s="118">
        <f t="shared" si="206"/>
        <v>38.96696</v>
      </c>
    </row>
    <row r="1687" spans="1:15" s="5" customFormat="1" x14ac:dyDescent="0.25">
      <c r="A1687" s="5" t="s">
        <v>53</v>
      </c>
      <c r="B1687" t="s">
        <v>51</v>
      </c>
      <c r="C1687" s="13">
        <v>9</v>
      </c>
      <c r="D1687" s="18" t="s">
        <v>52</v>
      </c>
      <c r="E1687" s="13">
        <v>2</v>
      </c>
      <c r="F1687" s="20" t="s">
        <v>51</v>
      </c>
      <c r="G1687" s="20">
        <v>81897719002</v>
      </c>
      <c r="H1687" s="11">
        <v>38.96696</v>
      </c>
      <c r="I1687" s="11">
        <f t="shared" si="207"/>
        <v>77.933920000000001</v>
      </c>
      <c r="J1687" s="11">
        <f t="shared" si="209"/>
        <v>38.96696</v>
      </c>
      <c r="K1687" s="11">
        <f t="shared" si="208"/>
        <v>77.933920000000001</v>
      </c>
      <c r="L1687" s="10">
        <v>0</v>
      </c>
      <c r="N1687" s="118">
        <f t="shared" si="205"/>
        <v>0</v>
      </c>
      <c r="O1687" s="118">
        <f t="shared" si="206"/>
        <v>38.96696</v>
      </c>
    </row>
    <row r="1688" spans="1:15" x14ac:dyDescent="0.25">
      <c r="A1688" t="s">
        <v>50</v>
      </c>
      <c r="B1688" t="s">
        <v>48</v>
      </c>
      <c r="C1688" s="13">
        <v>10</v>
      </c>
      <c r="D1688" s="18" t="s">
        <v>49</v>
      </c>
      <c r="E1688" s="13">
        <v>1</v>
      </c>
      <c r="F1688" s="25" t="s">
        <v>48</v>
      </c>
      <c r="G1688" s="20" t="s">
        <v>427</v>
      </c>
      <c r="H1688" s="11">
        <v>401.90600000000001</v>
      </c>
      <c r="I1688" s="11">
        <f t="shared" si="207"/>
        <v>401.90600000000001</v>
      </c>
      <c r="J1688" s="11">
        <f t="shared" si="209"/>
        <v>401.90600000000001</v>
      </c>
      <c r="K1688" s="11">
        <f t="shared" si="208"/>
        <v>401.90600000000001</v>
      </c>
      <c r="L1688" s="10">
        <v>0</v>
      </c>
      <c r="N1688" s="118">
        <f t="shared" si="205"/>
        <v>0</v>
      </c>
      <c r="O1688" s="118">
        <f t="shared" si="206"/>
        <v>401.90600000000001</v>
      </c>
    </row>
    <row r="1689" spans="1:15" x14ac:dyDescent="0.25">
      <c r="B1689" t="s">
        <v>46</v>
      </c>
      <c r="C1689" s="13">
        <v>11</v>
      </c>
      <c r="D1689" s="18" t="s">
        <v>47</v>
      </c>
      <c r="E1689" s="13">
        <v>1</v>
      </c>
      <c r="F1689" s="25" t="s">
        <v>46</v>
      </c>
      <c r="G1689" s="20" t="s">
        <v>427</v>
      </c>
      <c r="H1689" s="11">
        <v>433.83600000000001</v>
      </c>
      <c r="I1689" s="11">
        <f t="shared" si="207"/>
        <v>433.83600000000001</v>
      </c>
      <c r="J1689" s="11">
        <f t="shared" si="209"/>
        <v>433.83600000000001</v>
      </c>
      <c r="K1689" s="11">
        <f t="shared" si="208"/>
        <v>433.83600000000001</v>
      </c>
      <c r="L1689" s="10">
        <v>0</v>
      </c>
      <c r="N1689" s="118">
        <f t="shared" si="205"/>
        <v>0</v>
      </c>
      <c r="O1689" s="118">
        <f t="shared" si="206"/>
        <v>433.83600000000001</v>
      </c>
    </row>
    <row r="1690" spans="1:15" x14ac:dyDescent="0.25">
      <c r="B1690" t="s">
        <v>44</v>
      </c>
      <c r="C1690" s="13">
        <v>12</v>
      </c>
      <c r="D1690" s="18" t="s">
        <v>45</v>
      </c>
      <c r="E1690" s="13">
        <v>1</v>
      </c>
      <c r="F1690" s="25" t="s">
        <v>44</v>
      </c>
      <c r="G1690" s="20" t="s">
        <v>427</v>
      </c>
      <c r="H1690" s="11">
        <v>282.22000000000003</v>
      </c>
      <c r="I1690" s="11">
        <f t="shared" si="207"/>
        <v>282.22000000000003</v>
      </c>
      <c r="J1690" s="11">
        <f t="shared" si="209"/>
        <v>282.22000000000003</v>
      </c>
      <c r="K1690" s="11">
        <f t="shared" si="208"/>
        <v>282.22000000000003</v>
      </c>
      <c r="L1690" s="10">
        <v>0</v>
      </c>
      <c r="N1690" s="118">
        <f t="shared" si="205"/>
        <v>0</v>
      </c>
      <c r="O1690" s="118">
        <f t="shared" si="206"/>
        <v>282.22000000000003</v>
      </c>
    </row>
    <row r="1691" spans="1:15" x14ac:dyDescent="0.25">
      <c r="B1691" t="s">
        <v>42</v>
      </c>
      <c r="C1691" s="13">
        <v>13</v>
      </c>
      <c r="D1691" s="18" t="s">
        <v>43</v>
      </c>
      <c r="E1691" s="13">
        <v>2</v>
      </c>
      <c r="F1691" s="25" t="s">
        <v>42</v>
      </c>
      <c r="G1691" s="20" t="s">
        <v>427</v>
      </c>
      <c r="H1691" s="11">
        <v>7.0039999999999996</v>
      </c>
      <c r="I1691" s="11">
        <f t="shared" si="207"/>
        <v>14.007999999999999</v>
      </c>
      <c r="J1691" s="11">
        <f t="shared" si="209"/>
        <v>7.0039999999999996</v>
      </c>
      <c r="K1691" s="11">
        <f t="shared" si="208"/>
        <v>14.007999999999999</v>
      </c>
      <c r="L1691" s="10">
        <v>0</v>
      </c>
      <c r="N1691" s="118">
        <f t="shared" si="205"/>
        <v>0</v>
      </c>
      <c r="O1691" s="118">
        <f t="shared" si="206"/>
        <v>7.0039999999999996</v>
      </c>
    </row>
    <row r="1692" spans="1:15" x14ac:dyDescent="0.25">
      <c r="C1692" s="9"/>
      <c r="D1692" s="8" t="s">
        <v>1</v>
      </c>
      <c r="E1692" s="8">
        <f>SUM(E1679:E1691)</f>
        <v>19</v>
      </c>
      <c r="F1692" s="8"/>
      <c r="G1692" s="8"/>
      <c r="H1692" s="7"/>
      <c r="I1692" s="7">
        <f>SUM(I1678:I1691)</f>
        <v>2376.3665599999995</v>
      </c>
      <c r="J1692" s="8"/>
      <c r="K1692" s="7">
        <f>SUM(K1678:K1691)</f>
        <v>2376.3665599999995</v>
      </c>
      <c r="L1692" s="6"/>
      <c r="N1692" s="118">
        <f t="shared" si="205"/>
        <v>0</v>
      </c>
      <c r="O1692" s="118">
        <f t="shared" si="206"/>
        <v>0</v>
      </c>
    </row>
    <row r="1693" spans="1:15" x14ac:dyDescent="0.25">
      <c r="C1693" s="3"/>
      <c r="D1693" t="s">
        <v>0</v>
      </c>
      <c r="F1693" s="27"/>
      <c r="G1693" s="27"/>
      <c r="N1693" s="118">
        <f t="shared" si="205"/>
        <v>0</v>
      </c>
      <c r="O1693" s="118">
        <f t="shared" si="206"/>
        <v>0</v>
      </c>
    </row>
    <row r="1694" spans="1:15" x14ac:dyDescent="0.25">
      <c r="C1694" s="3"/>
      <c r="D1694" s="24" t="s">
        <v>41</v>
      </c>
      <c r="F1694" s="27"/>
      <c r="G1694" s="27"/>
      <c r="N1694" s="118">
        <f t="shared" si="205"/>
        <v>0</v>
      </c>
      <c r="O1694" s="118">
        <f t="shared" si="206"/>
        <v>0</v>
      </c>
    </row>
    <row r="1695" spans="1:15" ht="30" x14ac:dyDescent="0.25">
      <c r="C1695" s="24" t="s">
        <v>28</v>
      </c>
      <c r="D1695" s="24" t="s">
        <v>27</v>
      </c>
      <c r="E1695" s="24" t="s">
        <v>26</v>
      </c>
      <c r="F1695" s="24" t="s">
        <v>25</v>
      </c>
      <c r="G1695" s="24" t="s">
        <v>24</v>
      </c>
      <c r="H1695" s="116" t="s">
        <v>21</v>
      </c>
      <c r="I1695" s="24" t="s">
        <v>23</v>
      </c>
      <c r="J1695" s="24" t="s">
        <v>2928</v>
      </c>
      <c r="K1695" s="24" t="s">
        <v>2927</v>
      </c>
      <c r="L1695" s="23" t="s">
        <v>22</v>
      </c>
      <c r="N1695" s="118" t="e">
        <f t="shared" si="205"/>
        <v>#VALUE!</v>
      </c>
      <c r="O1695" s="118" t="e">
        <f t="shared" si="206"/>
        <v>#VALUE!</v>
      </c>
    </row>
    <row r="1696" spans="1:15" x14ac:dyDescent="0.25">
      <c r="A1696" t="s">
        <v>40</v>
      </c>
      <c r="C1696" s="19">
        <v>1</v>
      </c>
      <c r="D1696" s="134" t="s">
        <v>40</v>
      </c>
      <c r="E1696" s="13">
        <v>5</v>
      </c>
      <c r="F1696" s="25">
        <v>11227</v>
      </c>
      <c r="G1696" s="25">
        <v>81087610012</v>
      </c>
      <c r="H1696" s="11">
        <v>675.82007999999996</v>
      </c>
      <c r="I1696" s="11">
        <f>H1696*E1696</f>
        <v>3379.1003999999998</v>
      </c>
      <c r="J1696" s="11">
        <f>O1696</f>
        <v>675.82007999999996</v>
      </c>
      <c r="K1696" s="11">
        <f>J1696*E1696</f>
        <v>3379.1003999999998</v>
      </c>
      <c r="L1696" s="10">
        <v>0</v>
      </c>
      <c r="N1696" s="118">
        <f t="shared" si="205"/>
        <v>0</v>
      </c>
      <c r="O1696" s="118">
        <f t="shared" si="206"/>
        <v>675.82007999999996</v>
      </c>
    </row>
    <row r="1697" spans="1:15" x14ac:dyDescent="0.25">
      <c r="A1697" t="s">
        <v>39</v>
      </c>
      <c r="C1697" s="19">
        <v>2</v>
      </c>
      <c r="D1697" s="134" t="s">
        <v>39</v>
      </c>
      <c r="E1697" s="13">
        <v>5</v>
      </c>
      <c r="F1697" s="25">
        <v>13039</v>
      </c>
      <c r="G1697" s="25">
        <v>81087610012</v>
      </c>
      <c r="H1697" s="11">
        <v>918.01015999999993</v>
      </c>
      <c r="I1697" s="11">
        <f>H1697*E1697</f>
        <v>4590.0508</v>
      </c>
      <c r="J1697" s="11">
        <f>O1697</f>
        <v>918.01015999999993</v>
      </c>
      <c r="K1697" s="11">
        <f>J1697*E1697</f>
        <v>4590.0508</v>
      </c>
      <c r="L1697" s="10">
        <v>0</v>
      </c>
      <c r="N1697" s="118">
        <f t="shared" si="205"/>
        <v>0</v>
      </c>
      <c r="O1697" s="118">
        <f t="shared" si="206"/>
        <v>918.01015999999993</v>
      </c>
    </row>
    <row r="1698" spans="1:15" x14ac:dyDescent="0.25">
      <c r="C1698" s="9"/>
      <c r="D1698" s="8" t="s">
        <v>1</v>
      </c>
      <c r="E1698" s="8">
        <f>SUM(E1696:E1697)</f>
        <v>10</v>
      </c>
      <c r="F1698" s="8"/>
      <c r="G1698" s="8"/>
      <c r="H1698" s="7"/>
      <c r="I1698" s="7">
        <f>SUM(I1696:I1697)</f>
        <v>7969.1512000000002</v>
      </c>
      <c r="J1698" s="8"/>
      <c r="K1698" s="7">
        <f>SUM(K1696:K1697)</f>
        <v>7969.1512000000002</v>
      </c>
      <c r="L1698" s="6"/>
      <c r="N1698" s="118">
        <f t="shared" si="205"/>
        <v>0</v>
      </c>
      <c r="O1698" s="118">
        <f t="shared" si="206"/>
        <v>0</v>
      </c>
    </row>
    <row r="1699" spans="1:15" x14ac:dyDescent="0.25">
      <c r="D1699" t="s">
        <v>0</v>
      </c>
      <c r="N1699" s="118">
        <f t="shared" si="205"/>
        <v>0</v>
      </c>
      <c r="O1699" s="118">
        <f t="shared" si="206"/>
        <v>0</v>
      </c>
    </row>
    <row r="1700" spans="1:15" x14ac:dyDescent="0.25">
      <c r="B1700" s="5"/>
      <c r="D1700" s="24" t="s">
        <v>38</v>
      </c>
      <c r="N1700" s="118">
        <f t="shared" si="205"/>
        <v>0</v>
      </c>
      <c r="O1700" s="118">
        <f t="shared" si="206"/>
        <v>0</v>
      </c>
    </row>
    <row r="1701" spans="1:15" ht="30" x14ac:dyDescent="0.25">
      <c r="C1701" s="24" t="s">
        <v>28</v>
      </c>
      <c r="D1701" s="24" t="s">
        <v>27</v>
      </c>
      <c r="E1701" s="24" t="s">
        <v>26</v>
      </c>
      <c r="F1701" s="24" t="s">
        <v>25</v>
      </c>
      <c r="G1701" s="24" t="s">
        <v>24</v>
      </c>
      <c r="H1701" s="116" t="s">
        <v>21</v>
      </c>
      <c r="I1701" s="24" t="s">
        <v>23</v>
      </c>
      <c r="J1701" s="24" t="s">
        <v>2928</v>
      </c>
      <c r="K1701" s="24" t="s">
        <v>2927</v>
      </c>
      <c r="L1701" s="23" t="s">
        <v>22</v>
      </c>
      <c r="N1701" s="118" t="e">
        <f t="shared" si="205"/>
        <v>#VALUE!</v>
      </c>
      <c r="O1701" s="118" t="e">
        <f t="shared" si="206"/>
        <v>#VALUE!</v>
      </c>
    </row>
    <row r="1702" spans="1:15" x14ac:dyDescent="0.25">
      <c r="A1702" s="26" t="s">
        <v>36</v>
      </c>
      <c r="B1702" s="16" t="s">
        <v>37</v>
      </c>
      <c r="C1702" s="19">
        <v>1</v>
      </c>
      <c r="D1702" s="18" t="s">
        <v>36</v>
      </c>
      <c r="E1702" s="13">
        <v>1</v>
      </c>
      <c r="F1702" s="25" t="s">
        <v>34</v>
      </c>
      <c r="G1702" s="25">
        <v>81897719002</v>
      </c>
      <c r="H1702" s="11">
        <v>177.98400000000001</v>
      </c>
      <c r="I1702" s="11">
        <f>H1702*E1702</f>
        <v>177.98400000000001</v>
      </c>
      <c r="J1702" s="11">
        <f>O1702</f>
        <v>177.98400000000001</v>
      </c>
      <c r="K1702" s="11">
        <f>J1702*E1702</f>
        <v>177.98400000000001</v>
      </c>
      <c r="L1702" s="10">
        <v>0</v>
      </c>
      <c r="N1702" s="118">
        <f t="shared" si="205"/>
        <v>0</v>
      </c>
      <c r="O1702" s="118">
        <f t="shared" si="206"/>
        <v>177.98400000000001</v>
      </c>
    </row>
    <row r="1703" spans="1:15" x14ac:dyDescent="0.25">
      <c r="A1703" s="26" t="s">
        <v>35</v>
      </c>
      <c r="B1703" s="16" t="s">
        <v>34</v>
      </c>
      <c r="C1703" s="19">
        <v>2</v>
      </c>
      <c r="D1703" s="18" t="s">
        <v>33</v>
      </c>
      <c r="E1703" s="13">
        <v>1</v>
      </c>
      <c r="F1703" s="25" t="s">
        <v>32</v>
      </c>
      <c r="G1703" s="25">
        <v>81897719002</v>
      </c>
      <c r="H1703" s="11">
        <v>187.86375999999998</v>
      </c>
      <c r="I1703" s="11">
        <f>H1703*E1703</f>
        <v>187.86375999999998</v>
      </c>
      <c r="J1703" s="11">
        <f t="shared" ref="J1703:J1704" si="210">O1703</f>
        <v>187.86375999999998</v>
      </c>
      <c r="K1703" s="11">
        <f>J1703*E1703</f>
        <v>187.86375999999998</v>
      </c>
      <c r="L1703" s="10">
        <v>0</v>
      </c>
      <c r="N1703" s="118">
        <f t="shared" si="205"/>
        <v>0</v>
      </c>
      <c r="O1703" s="118">
        <f t="shared" si="206"/>
        <v>187.86375999999998</v>
      </c>
    </row>
    <row r="1704" spans="1:15" s="5" customFormat="1" x14ac:dyDescent="0.25">
      <c r="A1704" s="26" t="s">
        <v>31</v>
      </c>
      <c r="B1704" s="16" t="s">
        <v>32</v>
      </c>
      <c r="C1704" s="19">
        <v>3</v>
      </c>
      <c r="D1704" s="18" t="s">
        <v>31</v>
      </c>
      <c r="E1704" s="13">
        <v>1</v>
      </c>
      <c r="F1704" s="25" t="s">
        <v>30</v>
      </c>
      <c r="G1704" s="25">
        <v>81897719002</v>
      </c>
      <c r="H1704" s="11">
        <v>205.09360000000001</v>
      </c>
      <c r="I1704" s="11">
        <f>H1704*E1704</f>
        <v>205.09360000000001</v>
      </c>
      <c r="J1704" s="11">
        <f t="shared" si="210"/>
        <v>205.09360000000001</v>
      </c>
      <c r="K1704" s="11">
        <f>J1704*E1704</f>
        <v>205.09360000000001</v>
      </c>
      <c r="L1704" s="10">
        <v>0</v>
      </c>
      <c r="N1704" s="118">
        <f t="shared" si="205"/>
        <v>0</v>
      </c>
      <c r="O1704" s="118">
        <f t="shared" si="206"/>
        <v>205.09360000000001</v>
      </c>
    </row>
    <row r="1705" spans="1:15" x14ac:dyDescent="0.25">
      <c r="C1705" s="9"/>
      <c r="D1705" s="8" t="s">
        <v>1</v>
      </c>
      <c r="E1705" s="8">
        <f>SUM(E1702:E1704)</f>
        <v>3</v>
      </c>
      <c r="F1705" s="8"/>
      <c r="G1705" s="8"/>
      <c r="H1705" s="7"/>
      <c r="I1705" s="7">
        <f>SUM(I1702:I1704)</f>
        <v>570.94136000000003</v>
      </c>
      <c r="J1705" s="8"/>
      <c r="K1705" s="7">
        <f>SUM(K1702:K1704)</f>
        <v>570.94136000000003</v>
      </c>
      <c r="L1705" s="6"/>
      <c r="N1705" s="118">
        <f t="shared" si="205"/>
        <v>0</v>
      </c>
      <c r="O1705" s="118">
        <f t="shared" si="206"/>
        <v>0</v>
      </c>
    </row>
    <row r="1706" spans="1:15" x14ac:dyDescent="0.25">
      <c r="B1706" s="5"/>
      <c r="N1706" s="118">
        <f t="shared" si="205"/>
        <v>0</v>
      </c>
      <c r="O1706" s="118">
        <f t="shared" si="206"/>
        <v>0</v>
      </c>
    </row>
    <row r="1707" spans="1:15" x14ac:dyDescent="0.25">
      <c r="D1707" s="24" t="s">
        <v>29</v>
      </c>
      <c r="N1707" s="118">
        <f t="shared" si="205"/>
        <v>0</v>
      </c>
      <c r="O1707" s="118">
        <f t="shared" si="206"/>
        <v>0</v>
      </c>
    </row>
    <row r="1708" spans="1:15" ht="30" x14ac:dyDescent="0.25">
      <c r="C1708" s="24" t="s">
        <v>28</v>
      </c>
      <c r="D1708" s="24" t="s">
        <v>27</v>
      </c>
      <c r="E1708" s="24" t="s">
        <v>26</v>
      </c>
      <c r="F1708" s="24" t="s">
        <v>25</v>
      </c>
      <c r="G1708" s="24" t="s">
        <v>24</v>
      </c>
      <c r="H1708" s="116" t="s">
        <v>21</v>
      </c>
      <c r="I1708" s="24" t="s">
        <v>23</v>
      </c>
      <c r="J1708" s="24" t="s">
        <v>2928</v>
      </c>
      <c r="K1708" s="24" t="s">
        <v>2927</v>
      </c>
      <c r="L1708" s="23" t="s">
        <v>22</v>
      </c>
      <c r="N1708" s="118" t="e">
        <f t="shared" si="205"/>
        <v>#VALUE!</v>
      </c>
      <c r="O1708" s="118" t="e">
        <f t="shared" si="206"/>
        <v>#VALUE!</v>
      </c>
    </row>
    <row r="1709" spans="1:15" x14ac:dyDescent="0.25">
      <c r="A1709" s="22" t="s">
        <v>20</v>
      </c>
      <c r="B1709" s="16" t="s">
        <v>18</v>
      </c>
      <c r="C1709" s="19">
        <v>1</v>
      </c>
      <c r="D1709" s="18" t="s">
        <v>19</v>
      </c>
      <c r="E1709" s="13">
        <v>4</v>
      </c>
      <c r="F1709" s="12" t="s">
        <v>18</v>
      </c>
      <c r="G1709" s="12">
        <v>81897719002</v>
      </c>
      <c r="H1709" s="11">
        <v>25.428639999999998</v>
      </c>
      <c r="I1709" s="11">
        <f t="shared" ref="I1709:I1715" si="211">H1709*E1709</f>
        <v>101.71455999999999</v>
      </c>
      <c r="J1709" s="11">
        <f>O1709</f>
        <v>25.428639999999998</v>
      </c>
      <c r="K1709" s="11">
        <f t="shared" ref="K1709:K1715" si="212">J1709*E1709</f>
        <v>101.71455999999999</v>
      </c>
      <c r="L1709" s="10">
        <v>0</v>
      </c>
      <c r="N1709" s="118">
        <f t="shared" si="205"/>
        <v>0</v>
      </c>
      <c r="O1709" s="118">
        <f t="shared" si="206"/>
        <v>25.428639999999998</v>
      </c>
    </row>
    <row r="1710" spans="1:15" s="5" customFormat="1" x14ac:dyDescent="0.25">
      <c r="A1710" s="22" t="s">
        <v>17</v>
      </c>
      <c r="B1710" s="16" t="s">
        <v>15</v>
      </c>
      <c r="C1710" s="19">
        <v>2</v>
      </c>
      <c r="D1710" s="18" t="s">
        <v>16</v>
      </c>
      <c r="E1710" s="13">
        <v>1</v>
      </c>
      <c r="F1710" s="12" t="s">
        <v>15</v>
      </c>
      <c r="G1710" s="12">
        <v>81897719002</v>
      </c>
      <c r="H1710" s="11">
        <v>463.49176</v>
      </c>
      <c r="I1710" s="11">
        <f t="shared" si="211"/>
        <v>463.49176</v>
      </c>
      <c r="J1710" s="11">
        <f t="shared" ref="J1710:J1715" si="213">O1710</f>
        <v>463.49176</v>
      </c>
      <c r="K1710" s="11">
        <f t="shared" si="212"/>
        <v>463.49176</v>
      </c>
      <c r="L1710" s="10">
        <v>0</v>
      </c>
      <c r="N1710" s="118">
        <f t="shared" si="205"/>
        <v>0</v>
      </c>
      <c r="O1710" s="118">
        <f t="shared" si="206"/>
        <v>463.49176</v>
      </c>
    </row>
    <row r="1711" spans="1:15" x14ac:dyDescent="0.25">
      <c r="A1711" s="22" t="s">
        <v>14</v>
      </c>
      <c r="B1711" s="16" t="s">
        <v>12</v>
      </c>
      <c r="C1711" s="19">
        <v>3</v>
      </c>
      <c r="D1711" s="18" t="s">
        <v>13</v>
      </c>
      <c r="E1711" s="13">
        <v>4</v>
      </c>
      <c r="F1711" s="12" t="s">
        <v>12</v>
      </c>
      <c r="G1711" s="12">
        <v>81897719002</v>
      </c>
      <c r="H1711" s="11">
        <v>28.683440000000001</v>
      </c>
      <c r="I1711" s="11">
        <f t="shared" si="211"/>
        <v>114.73376</v>
      </c>
      <c r="J1711" s="11">
        <f t="shared" si="213"/>
        <v>28.683440000000001</v>
      </c>
      <c r="K1711" s="11">
        <f t="shared" si="212"/>
        <v>114.73376</v>
      </c>
      <c r="L1711" s="10">
        <v>0</v>
      </c>
      <c r="N1711" s="118">
        <f t="shared" si="205"/>
        <v>0</v>
      </c>
      <c r="O1711" s="118">
        <f t="shared" si="206"/>
        <v>28.683440000000001</v>
      </c>
    </row>
    <row r="1712" spans="1:15" x14ac:dyDescent="0.25">
      <c r="A1712" s="22" t="s">
        <v>11</v>
      </c>
      <c r="B1712" s="16" t="s">
        <v>9</v>
      </c>
      <c r="C1712" s="19">
        <v>4</v>
      </c>
      <c r="D1712" s="18" t="s">
        <v>10</v>
      </c>
      <c r="E1712" s="13">
        <v>3</v>
      </c>
      <c r="F1712" s="21" t="s">
        <v>9</v>
      </c>
      <c r="G1712" s="20">
        <v>81897719002</v>
      </c>
      <c r="H1712" s="11">
        <v>36.008800000000001</v>
      </c>
      <c r="I1712" s="11">
        <f t="shared" si="211"/>
        <v>108.0264</v>
      </c>
      <c r="J1712" s="11">
        <f t="shared" si="213"/>
        <v>36.008800000000001</v>
      </c>
      <c r="K1712" s="11">
        <f t="shared" si="212"/>
        <v>108.0264</v>
      </c>
      <c r="L1712" s="10">
        <v>0</v>
      </c>
      <c r="N1712" s="118">
        <f t="shared" si="205"/>
        <v>0</v>
      </c>
      <c r="O1712" s="118">
        <f t="shared" si="206"/>
        <v>36.008800000000001</v>
      </c>
    </row>
    <row r="1713" spans="1:15" x14ac:dyDescent="0.25">
      <c r="A1713" s="135" t="s">
        <v>8</v>
      </c>
      <c r="B1713" s="16"/>
      <c r="C1713" s="19">
        <v>5</v>
      </c>
      <c r="D1713" s="18" t="s">
        <v>7</v>
      </c>
      <c r="E1713" s="13">
        <v>3</v>
      </c>
      <c r="F1713" s="12" t="s">
        <v>3070</v>
      </c>
      <c r="G1713" s="12">
        <v>81897719006</v>
      </c>
      <c r="H1713" s="11">
        <v>302.13607999999999</v>
      </c>
      <c r="I1713" s="11">
        <f t="shared" si="211"/>
        <v>906.40823999999998</v>
      </c>
      <c r="J1713" s="11">
        <f t="shared" si="213"/>
        <v>302.13607999999999</v>
      </c>
      <c r="K1713" s="11">
        <f t="shared" si="212"/>
        <v>906.40823999999998</v>
      </c>
      <c r="L1713" s="10">
        <v>0</v>
      </c>
      <c r="N1713" s="118">
        <f t="shared" si="205"/>
        <v>0</v>
      </c>
      <c r="O1713" s="118">
        <f t="shared" si="206"/>
        <v>302.13607999999999</v>
      </c>
    </row>
    <row r="1714" spans="1:15" x14ac:dyDescent="0.25">
      <c r="A1714" s="135" t="s">
        <v>6</v>
      </c>
      <c r="B1714" s="16"/>
      <c r="C1714" s="19">
        <v>6</v>
      </c>
      <c r="D1714" s="18" t="s">
        <v>5</v>
      </c>
      <c r="E1714" s="13">
        <v>3</v>
      </c>
      <c r="F1714" s="12" t="s">
        <v>3071</v>
      </c>
      <c r="G1714" s="12">
        <v>81897719006</v>
      </c>
      <c r="H1714" s="11">
        <v>302.13607999999999</v>
      </c>
      <c r="I1714" s="11">
        <f t="shared" si="211"/>
        <v>906.40823999999998</v>
      </c>
      <c r="J1714" s="11">
        <f t="shared" si="213"/>
        <v>302.13607999999999</v>
      </c>
      <c r="K1714" s="11">
        <f t="shared" si="212"/>
        <v>906.40823999999998</v>
      </c>
      <c r="L1714" s="10">
        <v>0</v>
      </c>
      <c r="N1714" s="118">
        <f t="shared" si="205"/>
        <v>0</v>
      </c>
      <c r="O1714" s="118">
        <f t="shared" si="206"/>
        <v>302.13607999999999</v>
      </c>
    </row>
    <row r="1715" spans="1:15" x14ac:dyDescent="0.25">
      <c r="A1715" s="17" t="s">
        <v>4</v>
      </c>
      <c r="B1715" s="16" t="s">
        <v>3</v>
      </c>
      <c r="C1715" s="15">
        <v>7</v>
      </c>
      <c r="D1715" s="14" t="s">
        <v>2</v>
      </c>
      <c r="E1715" s="13">
        <v>3</v>
      </c>
      <c r="F1715" s="12" t="s">
        <v>3072</v>
      </c>
      <c r="G1715" s="12">
        <v>81897710042</v>
      </c>
      <c r="H1715" s="11">
        <v>302.13607999999999</v>
      </c>
      <c r="I1715" s="11">
        <f t="shared" si="211"/>
        <v>906.40823999999998</v>
      </c>
      <c r="J1715" s="11">
        <f t="shared" si="213"/>
        <v>302.13607999999999</v>
      </c>
      <c r="K1715" s="11">
        <f t="shared" si="212"/>
        <v>906.40823999999998</v>
      </c>
      <c r="L1715" s="10">
        <v>0</v>
      </c>
      <c r="N1715" s="118">
        <f t="shared" si="205"/>
        <v>0</v>
      </c>
      <c r="O1715" s="118">
        <f t="shared" si="206"/>
        <v>302.13607999999999</v>
      </c>
    </row>
    <row r="1716" spans="1:15" x14ac:dyDescent="0.25">
      <c r="C1716" s="9"/>
      <c r="D1716" s="8" t="s">
        <v>1</v>
      </c>
      <c r="E1716" s="8">
        <f>SUM(E1709:E1715)</f>
        <v>21</v>
      </c>
      <c r="F1716" s="8"/>
      <c r="G1716" s="8"/>
      <c r="H1716" s="7"/>
      <c r="I1716" s="7">
        <f>SUM(I1709:I1715)</f>
        <v>3507.1911999999993</v>
      </c>
      <c r="J1716" s="8"/>
      <c r="K1716" s="7">
        <f>SUM(K1709:K1715)</f>
        <v>3507.1911999999993</v>
      </c>
      <c r="L1716" s="6"/>
      <c r="N1716" s="118">
        <f t="shared" si="205"/>
        <v>0</v>
      </c>
      <c r="O1716" s="118">
        <f t="shared" si="206"/>
        <v>0</v>
      </c>
    </row>
    <row r="1717" spans="1:15" s="5" customFormat="1" x14ac:dyDescent="0.25">
      <c r="B1717"/>
      <c r="C1717" s="4"/>
      <c r="D1717" t="s">
        <v>0</v>
      </c>
      <c r="E1717" s="3"/>
      <c r="F1717"/>
      <c r="G1717"/>
      <c r="H1717" s="2"/>
      <c r="I1717" s="2"/>
      <c r="J1717" s="2"/>
      <c r="K1717" s="2"/>
      <c r="L1717" s="1"/>
      <c r="N1717" s="119"/>
      <c r="O1717" s="119"/>
    </row>
    <row r="1718" spans="1:15" x14ac:dyDescent="0.25">
      <c r="D1718" t="s">
        <v>0</v>
      </c>
    </row>
    <row r="1719" spans="1:15" x14ac:dyDescent="0.25">
      <c r="D1719" t="s">
        <v>0</v>
      </c>
    </row>
    <row r="1720" spans="1:15" x14ac:dyDescent="0.25">
      <c r="D1720" t="s">
        <v>0</v>
      </c>
    </row>
    <row r="1721" spans="1:15" x14ac:dyDescent="0.25">
      <c r="D1721" t="s">
        <v>0</v>
      </c>
    </row>
    <row r="1722" spans="1:15" x14ac:dyDescent="0.25">
      <c r="D1722" t="s">
        <v>0</v>
      </c>
    </row>
  </sheetData>
  <mergeCells count="1">
    <mergeCell ref="N3:O3"/>
  </mergeCells>
  <phoneticPr fontId="22" type="noConversion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PROPOSTAS RESUMO</vt:lpstr>
      <vt:lpstr>PROPOSTAS LISTA </vt:lpstr>
      <vt:lpstr>'PROPOSTAS RESUMO'!Area_de_impressao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R Mergulhao</dc:creator>
  <cp:lastModifiedBy>Danielle  Portella</cp:lastModifiedBy>
  <dcterms:created xsi:type="dcterms:W3CDTF">2026-02-24T18:18:45Z</dcterms:created>
  <dcterms:modified xsi:type="dcterms:W3CDTF">2026-02-25T15:28:35Z</dcterms:modified>
</cp:coreProperties>
</file>