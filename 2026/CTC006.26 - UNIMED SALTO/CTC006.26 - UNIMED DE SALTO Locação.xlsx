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06.26 - UNIMED SALTO\"/>
    </mc:Choice>
  </mc:AlternateContent>
  <xr:revisionPtr revIDLastSave="0" documentId="13_ncr:1_{F1997644-074E-42A4-8794-3003405FEB29}" xr6:coauthVersionLast="47" xr6:coauthVersionMax="47" xr10:uidLastSave="{00000000-0000-0000-0000-000000000000}"/>
  <bookViews>
    <workbookView xWindow="-120" yWindow="-120" windowWidth="20730" windowHeight="11040" tabRatio="868" xr2:uid="{00000000-000D-0000-FFFF-FFFF00000000}"/>
  </bookViews>
  <sheets>
    <sheet name="Resumo locação" sheetId="102" r:id="rId1"/>
  </sheets>
  <definedNames>
    <definedName name="_xlnm.Print_Area" localSheetId="0">'Resumo locação'!$A$1:$H$36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2" l="1"/>
  <c r="F16" i="102"/>
  <c r="F18" i="102" l="1"/>
</calcChain>
</file>

<file path=xl/sharedStrings.xml><?xml version="1.0" encoding="utf-8"?>
<sst xmlns="http://schemas.openxmlformats.org/spreadsheetml/2006/main" count="39" uniqueCount="37">
  <si>
    <t>Data:</t>
  </si>
  <si>
    <t>Mark UP
Target</t>
  </si>
  <si>
    <t>Cont</t>
  </si>
  <si>
    <t xml:space="preserve">Caixa de Instrumental </t>
  </si>
  <si>
    <t>Valor por Caixa</t>
  </si>
  <si>
    <t>Valor Total</t>
  </si>
  <si>
    <t>TOTAL</t>
  </si>
  <si>
    <t>Procedencia</t>
  </si>
  <si>
    <t>Marca</t>
  </si>
  <si>
    <t>Prazo de Entrega</t>
  </si>
  <si>
    <t>Prazo de Pagamento</t>
  </si>
  <si>
    <t>Cliente</t>
  </si>
  <si>
    <t>QTD</t>
  </si>
  <si>
    <t>A/C</t>
  </si>
  <si>
    <t xml:space="preserve">Numero </t>
  </si>
  <si>
    <r>
      <t xml:space="preserve">Cotação </t>
    </r>
    <r>
      <rPr>
        <b/>
        <sz val="11"/>
        <color theme="1"/>
        <rFont val="Calibri"/>
        <family val="2"/>
      </rPr>
      <t>Dollar</t>
    </r>
    <r>
      <rPr>
        <sz val="11"/>
        <color theme="1"/>
        <rFont val="Calibri"/>
        <family val="2"/>
      </rPr>
      <t xml:space="preserve">
na data da cotação</t>
    </r>
  </si>
  <si>
    <r>
      <t xml:space="preserve">Cotação </t>
    </r>
    <r>
      <rPr>
        <b/>
        <sz val="11"/>
        <color theme="1"/>
        <rFont val="Calibri"/>
        <family val="2"/>
      </rPr>
      <t>EURO</t>
    </r>
    <r>
      <rPr>
        <sz val="11"/>
        <color theme="1"/>
        <rFont val="Calibri"/>
        <family val="2"/>
      </rPr>
      <t xml:space="preserve">
na data da cotação</t>
    </r>
  </si>
  <si>
    <t>120 dias</t>
  </si>
  <si>
    <t xml:space="preserve">Fentex </t>
  </si>
  <si>
    <t>CONDIÇÕES COMERCIAIS:</t>
  </si>
  <si>
    <t>Estados Unidos (Frete e IPI inclusos)</t>
  </si>
  <si>
    <t>OBSERVAÇÕES:</t>
  </si>
  <si>
    <t>Validade da Proposta</t>
  </si>
  <si>
    <t>60 dias</t>
  </si>
  <si>
    <t>28 dias</t>
  </si>
  <si>
    <t xml:space="preserve">ANX1.POP11 </t>
  </si>
  <si>
    <t>REVISÃO 03</t>
  </si>
  <si>
    <t>UNIMED DE SALTO</t>
  </si>
  <si>
    <t>SRA. KELLY CRISTINA O. HONÓRIO</t>
  </si>
  <si>
    <t>HISTERECTOMIA VAGINAL</t>
  </si>
  <si>
    <t>HISTERECTOMIA ABDOMINAL</t>
  </si>
  <si>
    <t xml:space="preserve">CTL006.25 </t>
  </si>
  <si>
    <t>PROPOSTA COMERCIAL LOCAÇÃO</t>
  </si>
  <si>
    <t xml:space="preserve">Prazo contrato </t>
  </si>
  <si>
    <t>36 meses</t>
  </si>
  <si>
    <t xml:space="preserve">No contrato de loação está incluso manutenção preventiva. As manutenções corretivas e substituições </t>
  </si>
  <si>
    <t>por perdas/mau uso poderão ser cobradas.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</si>
</sst>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0"/>
      <color theme="4" tint="-0.499984740745262"/>
      <name val="Calibri"/>
      <family val="2"/>
    </font>
    <font>
      <b/>
      <sz val="14"/>
      <color theme="4" tint="-0.499984740745262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43" fontId="4" fillId="0" borderId="0" xfId="1" applyFont="1"/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4" fontId="8" fillId="3" borderId="3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43" fontId="9" fillId="0" borderId="0" xfId="1" applyFont="1" applyBorder="1" applyAlignment="1" applyProtection="1">
      <alignment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2" fontId="10" fillId="4" borderId="2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43" fontId="4" fillId="3" borderId="0" xfId="1" applyFont="1" applyFill="1" applyBorder="1" applyAlignment="1" applyProtection="1">
      <protection locked="0"/>
    </xf>
    <xf numFmtId="0" fontId="4" fillId="2" borderId="1" xfId="0" applyFont="1" applyFill="1" applyBorder="1" applyAlignment="1">
      <alignment wrapText="1"/>
    </xf>
    <xf numFmtId="0" fontId="11" fillId="6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/>
    </xf>
    <xf numFmtId="49" fontId="8" fillId="3" borderId="3" xfId="0" applyNumberFormat="1" applyFont="1" applyFill="1" applyBorder="1" applyAlignment="1">
      <alignment horizontal="left" vertical="center"/>
    </xf>
    <xf numFmtId="165" fontId="8" fillId="3" borderId="3" xfId="4" applyNumberFormat="1" applyFont="1" applyFill="1" applyBorder="1" applyAlignment="1">
      <alignment horizontal="center" vertical="center"/>
    </xf>
    <xf numFmtId="44" fontId="8" fillId="3" borderId="3" xfId="2" applyFont="1" applyFill="1" applyBorder="1" applyAlignment="1">
      <alignment vertical="center"/>
    </xf>
    <xf numFmtId="44" fontId="12" fillId="6" borderId="3" xfId="2" applyFont="1" applyFill="1" applyBorder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4" fillId="2" borderId="0" xfId="0" applyFont="1" applyFill="1" applyAlignment="1">
      <alignment horizontal="right"/>
    </xf>
    <xf numFmtId="17" fontId="4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16" fillId="3" borderId="0" xfId="0" applyFont="1" applyFill="1" applyAlignment="1">
      <alignment horizontal="right"/>
    </xf>
    <xf numFmtId="0" fontId="15" fillId="3" borderId="0" xfId="0" applyFont="1" applyFill="1"/>
    <xf numFmtId="17" fontId="16" fillId="3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right"/>
    </xf>
    <xf numFmtId="17" fontId="16" fillId="2" borderId="0" xfId="0" applyNumberFormat="1" applyFont="1" applyFill="1" applyAlignment="1">
      <alignment horizontal="right"/>
    </xf>
    <xf numFmtId="0" fontId="17" fillId="0" borderId="0" xfId="0" applyFont="1"/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9" fontId="8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</cellXfs>
  <cellStyles count="14">
    <cellStyle name="Moeda" xfId="2" builtinId="4"/>
    <cellStyle name="Moeda 2" xfId="10" xr:uid="{00000000-0005-0000-0000-000001000000}"/>
    <cellStyle name="Normal" xfId="0" builtinId="0"/>
    <cellStyle name="Porcentagem" xfId="4" builtinId="5"/>
    <cellStyle name="Standard 6" xfId="3" xr:uid="{00000000-0005-0000-0000-000006000000}"/>
    <cellStyle name="Vírgula" xfId="1" builtinId="3"/>
    <cellStyle name="Vírgula 2" xfId="5" xr:uid="{00000000-0005-0000-0000-000008000000}"/>
    <cellStyle name="Vírgula 2 2" xfId="8" xr:uid="{00000000-0005-0000-0000-000009000000}"/>
    <cellStyle name="Vírgula 2 3" xfId="11" xr:uid="{00000000-0005-0000-0000-00000A000000}"/>
    <cellStyle name="Vírgula 3" xfId="6" xr:uid="{00000000-0005-0000-0000-00000B000000}"/>
    <cellStyle name="Vírgula 3 2" xfId="12" xr:uid="{00000000-0005-0000-0000-00000C000000}"/>
    <cellStyle name="Vírgula 4" xfId="7" xr:uid="{00000000-0005-0000-0000-00000D000000}"/>
    <cellStyle name="Vírgula 4 2" xfId="13" xr:uid="{00000000-0005-0000-0000-00000E000000}"/>
    <cellStyle name="Vírgula 5" xfId="9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2406650</xdr:colOff>
      <xdr:row>0</xdr:row>
      <xdr:rowOff>158751</xdr:rowOff>
    </xdr:from>
    <xdr:to>
      <xdr:col>7</xdr:col>
      <xdr:colOff>19050</xdr:colOff>
      <xdr:row>7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8569FDE-57AA-4355-82CE-AE4A1BE62308}"/>
            </a:ext>
          </a:extLst>
        </xdr:cNvPr>
        <xdr:cNvSpPr txBox="1"/>
      </xdr:nvSpPr>
      <xdr:spPr>
        <a:xfrm>
          <a:off x="3997325" y="158751"/>
          <a:ext cx="2270125" cy="11747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CMEtK Soluções Hospitalares Ltda</a:t>
          </a:r>
        </a:p>
        <a:p>
          <a:r>
            <a:rPr lang="pt-BR" sz="1100"/>
            <a:t>CNPJ 19.330.683/0001-73</a:t>
          </a:r>
        </a:p>
        <a:p>
          <a:endParaRPr lang="pt-BR" sz="1100"/>
        </a:p>
        <a:p>
          <a:r>
            <a:rPr lang="pt-BR" sz="1100"/>
            <a:t>Rua Marina Ciufuli Zanfelice, nº 329, Prédio 3 – salas 13/17– Lapa de Baixo - São Paulo - SP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28574</xdr:rowOff>
    </xdr:from>
    <xdr:to>
      <xdr:col>3</xdr:col>
      <xdr:colOff>551451</xdr:colOff>
      <xdr:row>5</xdr:row>
      <xdr:rowOff>175259</xdr:rowOff>
    </xdr:to>
    <xdr:pic>
      <xdr:nvPicPr>
        <xdr:cNvPr id="3" name="Imagem 2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F46A0CF0-CBDC-4B05-BD7F-56E9EDB5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74"/>
          <a:ext cx="1923051" cy="1099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4966-E54D-415F-9363-E5AC53DE94AF}">
  <dimension ref="B1:P81"/>
  <sheetViews>
    <sheetView showGridLines="0" tabSelected="1" zoomScaleNormal="100" zoomScalePageLayoutView="80" workbookViewId="0">
      <selection activeCell="I1" sqref="I1:L1048576"/>
    </sheetView>
  </sheetViews>
  <sheetFormatPr defaultColWidth="9.140625" defaultRowHeight="15" x14ac:dyDescent="0.25"/>
  <cols>
    <col min="1" max="1" width="5.85546875" style="1" customWidth="1"/>
    <col min="2" max="2" width="7.85546875" style="1" customWidth="1"/>
    <col min="3" max="3" width="10.140625" style="1" customWidth="1"/>
    <col min="4" max="4" width="36.140625" style="1" customWidth="1"/>
    <col min="5" max="5" width="14.7109375" style="1" customWidth="1"/>
    <col min="6" max="6" width="16.5703125" style="1" bestFit="1" customWidth="1"/>
    <col min="7" max="7" width="2.42578125" style="1" customWidth="1"/>
    <col min="8" max="8" width="3" style="2" customWidth="1"/>
    <col min="9" max="9" width="7.7109375" style="1" hidden="1" customWidth="1"/>
    <col min="10" max="10" width="16.28515625" style="1" hidden="1" customWidth="1"/>
    <col min="11" max="11" width="4.28515625" style="1" hidden="1" customWidth="1"/>
    <col min="12" max="12" width="15.140625" style="1" hidden="1" customWidth="1"/>
    <col min="13" max="13" width="11.85546875" style="1" customWidth="1"/>
    <col min="14" max="16384" width="9.140625" style="1"/>
  </cols>
  <sheetData>
    <row r="1" spans="2:16" x14ac:dyDescent="0.25">
      <c r="E1" s="37"/>
      <c r="F1" s="37"/>
      <c r="G1" s="37"/>
      <c r="I1" s="3"/>
      <c r="J1" s="27" t="s">
        <v>25</v>
      </c>
      <c r="K1" s="3"/>
      <c r="L1" s="3"/>
      <c r="M1" s="3"/>
      <c r="N1" s="3"/>
      <c r="O1" s="3"/>
      <c r="P1" s="3"/>
    </row>
    <row r="2" spans="2:16" x14ac:dyDescent="0.25">
      <c r="I2" s="3"/>
      <c r="J2" s="27" t="s">
        <v>26</v>
      </c>
      <c r="K2" s="3"/>
      <c r="L2" s="3"/>
      <c r="M2" s="3"/>
      <c r="N2" s="3"/>
      <c r="O2" s="3"/>
      <c r="P2" s="3"/>
    </row>
    <row r="3" spans="2:16" x14ac:dyDescent="0.25">
      <c r="I3" s="3"/>
      <c r="J3" s="28">
        <v>45992</v>
      </c>
      <c r="K3" s="3"/>
      <c r="L3" s="3"/>
      <c r="M3" s="3"/>
      <c r="N3" s="3"/>
      <c r="O3" s="3"/>
      <c r="P3" s="3"/>
    </row>
    <row r="4" spans="2:16" x14ac:dyDescent="0.25">
      <c r="I4" s="3"/>
      <c r="J4" s="3"/>
      <c r="K4" s="3"/>
      <c r="L4" s="3"/>
      <c r="M4" s="3"/>
      <c r="N4" s="3"/>
      <c r="O4" s="3"/>
      <c r="P4" s="3"/>
    </row>
    <row r="5" spans="2:16" x14ac:dyDescent="0.25">
      <c r="I5" s="3"/>
      <c r="J5" s="3"/>
      <c r="K5" s="3"/>
      <c r="L5" s="3"/>
      <c r="M5" s="3"/>
      <c r="N5" s="3"/>
      <c r="O5" s="3"/>
      <c r="P5" s="3"/>
    </row>
    <row r="6" spans="2:16" x14ac:dyDescent="0.25">
      <c r="I6" s="3"/>
      <c r="J6" s="3"/>
      <c r="K6" s="3"/>
      <c r="L6" s="3"/>
      <c r="M6" s="3"/>
      <c r="N6" s="3"/>
      <c r="O6" s="3"/>
      <c r="P6" s="3"/>
    </row>
    <row r="7" spans="2:16" x14ac:dyDescent="0.25">
      <c r="I7" s="3"/>
      <c r="J7" s="3"/>
      <c r="K7" s="3"/>
      <c r="L7" s="3"/>
      <c r="M7" s="3"/>
      <c r="N7" s="3"/>
      <c r="O7" s="3"/>
      <c r="P7" s="3"/>
    </row>
    <row r="8" spans="2:16" ht="15.75" customHeight="1" x14ac:dyDescent="0.25">
      <c r="D8" s="38" t="s">
        <v>32</v>
      </c>
      <c r="E8" s="38"/>
      <c r="I8" s="3"/>
      <c r="J8" s="3"/>
      <c r="K8" s="3"/>
      <c r="L8" s="3"/>
      <c r="M8" s="3"/>
      <c r="N8" s="3"/>
      <c r="O8" s="3"/>
      <c r="P8" s="3"/>
    </row>
    <row r="9" spans="2:16" ht="15" customHeight="1" x14ac:dyDescent="0.25">
      <c r="D9" s="38"/>
      <c r="E9" s="38"/>
      <c r="I9" s="3"/>
      <c r="J9" s="3"/>
      <c r="K9" s="3"/>
      <c r="L9" s="3"/>
      <c r="M9" s="3"/>
      <c r="N9" s="3"/>
      <c r="O9" s="3"/>
      <c r="P9" s="3"/>
    </row>
    <row r="10" spans="2:16" x14ac:dyDescent="0.25">
      <c r="D10" s="38"/>
      <c r="E10" s="38"/>
      <c r="I10" s="3"/>
      <c r="J10" s="3"/>
      <c r="K10" s="3"/>
      <c r="L10" s="3"/>
      <c r="M10" s="3"/>
      <c r="N10" s="3"/>
      <c r="O10" s="3"/>
      <c r="P10" s="3"/>
    </row>
    <row r="11" spans="2:16" ht="19.5" thickBot="1" x14ac:dyDescent="0.3">
      <c r="C11" s="4"/>
      <c r="D11" s="5"/>
      <c r="E11" s="5"/>
      <c r="F11" s="39"/>
      <c r="G11" s="39"/>
      <c r="H11" s="39"/>
      <c r="I11" s="6"/>
      <c r="J11" s="6"/>
      <c r="K11" s="3"/>
      <c r="L11" s="3"/>
      <c r="M11" s="3"/>
      <c r="N11" s="3"/>
      <c r="O11" s="3"/>
      <c r="P11" s="3"/>
    </row>
    <row r="12" spans="2:16" ht="22.15" customHeight="1" thickBot="1" x14ac:dyDescent="0.3">
      <c r="B12" s="24" t="s">
        <v>11</v>
      </c>
      <c r="C12" s="40" t="s">
        <v>27</v>
      </c>
      <c r="D12" s="41"/>
      <c r="E12" s="7" t="s">
        <v>0</v>
      </c>
      <c r="F12" s="9">
        <v>46043</v>
      </c>
      <c r="G12" s="10"/>
      <c r="H12" s="11"/>
      <c r="I12" s="6"/>
      <c r="J12" s="12" t="s">
        <v>1</v>
      </c>
      <c r="K12" s="13">
        <v>3</v>
      </c>
      <c r="L12" s="3"/>
      <c r="M12" s="3"/>
      <c r="N12" s="3"/>
      <c r="O12" s="3"/>
      <c r="P12" s="3"/>
    </row>
    <row r="13" spans="2:16" ht="21.75" customHeight="1" thickBot="1" x14ac:dyDescent="0.3">
      <c r="B13" s="14" t="s">
        <v>13</v>
      </c>
      <c r="C13" s="41" t="s">
        <v>28</v>
      </c>
      <c r="D13" s="41"/>
      <c r="E13" s="14" t="s">
        <v>14</v>
      </c>
      <c r="F13" s="8" t="s">
        <v>31</v>
      </c>
      <c r="G13" s="10"/>
      <c r="H13" s="15"/>
      <c r="I13" s="6"/>
      <c r="J13" s="6"/>
      <c r="K13" s="3"/>
      <c r="L13" s="3"/>
      <c r="M13" s="3"/>
      <c r="N13" s="3"/>
      <c r="O13" s="3"/>
      <c r="P13" s="3"/>
    </row>
    <row r="14" spans="2:16" ht="27.75" customHeight="1" thickBot="1" x14ac:dyDescent="0.3">
      <c r="H14" s="11"/>
      <c r="I14" s="6"/>
      <c r="J14" s="16" t="s">
        <v>15</v>
      </c>
      <c r="K14" s="13">
        <v>6.3</v>
      </c>
      <c r="L14" s="3"/>
      <c r="M14" s="3"/>
      <c r="N14" s="3"/>
      <c r="O14" s="3"/>
      <c r="P14" s="3"/>
    </row>
    <row r="15" spans="2:16" ht="45.75" thickBot="1" x14ac:dyDescent="0.3">
      <c r="B15" s="17" t="s">
        <v>2</v>
      </c>
      <c r="C15" s="17" t="s">
        <v>12</v>
      </c>
      <c r="D15" s="17" t="s">
        <v>3</v>
      </c>
      <c r="E15" s="17" t="s">
        <v>4</v>
      </c>
      <c r="F15" s="17" t="s">
        <v>5</v>
      </c>
      <c r="I15" s="6"/>
      <c r="J15" s="16" t="s">
        <v>16</v>
      </c>
      <c r="K15" s="13">
        <v>5.9</v>
      </c>
      <c r="L15" s="3"/>
      <c r="M15" s="3"/>
      <c r="N15" s="3"/>
      <c r="O15" s="3"/>
      <c r="P15" s="3"/>
    </row>
    <row r="16" spans="2:16" x14ac:dyDescent="0.25">
      <c r="B16" s="18">
        <v>1</v>
      </c>
      <c r="C16" s="18">
        <v>2</v>
      </c>
      <c r="D16" s="23" t="s">
        <v>29</v>
      </c>
      <c r="E16" s="20">
        <v>1601.7</v>
      </c>
      <c r="F16" s="21">
        <f t="shared" ref="F16:F17" si="0">C16*E16</f>
        <v>3203.4</v>
      </c>
      <c r="I16" s="6"/>
      <c r="J16" s="3"/>
      <c r="K16" s="3"/>
      <c r="L16" s="3"/>
      <c r="M16" s="3"/>
      <c r="N16" s="3"/>
      <c r="O16" s="3"/>
      <c r="P16" s="3"/>
    </row>
    <row r="17" spans="2:16" x14ac:dyDescent="0.25">
      <c r="B17" s="18">
        <v>2</v>
      </c>
      <c r="C17" s="18">
        <v>2</v>
      </c>
      <c r="D17" s="19" t="s">
        <v>30</v>
      </c>
      <c r="E17" s="20">
        <v>1736.15</v>
      </c>
      <c r="F17" s="21">
        <f t="shared" si="0"/>
        <v>3472.3</v>
      </c>
      <c r="I17" s="6"/>
      <c r="J17" s="3"/>
      <c r="K17" s="3"/>
      <c r="L17" s="3"/>
      <c r="M17" s="3"/>
      <c r="N17" s="3"/>
      <c r="O17" s="3"/>
      <c r="P17" s="3"/>
    </row>
    <row r="18" spans="2:16" ht="16.899999999999999" customHeight="1" x14ac:dyDescent="0.25">
      <c r="D18" s="42" t="s">
        <v>6</v>
      </c>
      <c r="E18" s="43"/>
      <c r="F18" s="22">
        <f>SUM(F16:F17)</f>
        <v>6675.7000000000007</v>
      </c>
      <c r="I18" s="3"/>
      <c r="J18" s="3"/>
      <c r="K18" s="3"/>
      <c r="L18" s="3"/>
      <c r="M18" s="3"/>
      <c r="N18" s="3"/>
      <c r="O18" s="3"/>
      <c r="P18" s="3"/>
    </row>
    <row r="19" spans="2:16" x14ac:dyDescent="0.25">
      <c r="I19" s="3"/>
      <c r="J19" s="3"/>
      <c r="K19" s="3"/>
      <c r="L19" s="3"/>
      <c r="M19" s="3"/>
      <c r="N19" s="3"/>
      <c r="O19" s="3"/>
      <c r="P19" s="3"/>
    </row>
    <row r="20" spans="2:16" x14ac:dyDescent="0.25">
      <c r="I20" s="3"/>
      <c r="J20" s="3"/>
      <c r="K20" s="3"/>
      <c r="L20" s="3"/>
      <c r="M20" s="3"/>
      <c r="N20" s="3"/>
      <c r="O20" s="3"/>
      <c r="P20" s="3"/>
    </row>
    <row r="21" spans="2:16" ht="15.75" x14ac:dyDescent="0.25">
      <c r="B21" s="26" t="s">
        <v>19</v>
      </c>
      <c r="I21" s="3"/>
      <c r="J21" s="3"/>
      <c r="K21" s="3"/>
      <c r="L21" s="3"/>
      <c r="M21" s="3"/>
      <c r="N21" s="3"/>
      <c r="O21" s="3"/>
      <c r="P21" s="3"/>
    </row>
    <row r="22" spans="2:16" x14ac:dyDescent="0.25">
      <c r="B22" s="25"/>
      <c r="I22" s="3"/>
      <c r="J22" s="3"/>
      <c r="K22" s="3"/>
      <c r="L22" s="3"/>
      <c r="M22" s="3"/>
      <c r="N22" s="3"/>
      <c r="O22" s="3"/>
      <c r="P22" s="3"/>
    </row>
    <row r="23" spans="2:16" x14ac:dyDescent="0.25">
      <c r="B23" s="4" t="s">
        <v>8</v>
      </c>
      <c r="D23" s="1" t="s">
        <v>18</v>
      </c>
      <c r="I23" s="3"/>
      <c r="J23" s="3"/>
      <c r="K23" s="3"/>
      <c r="L23" s="3"/>
      <c r="M23" s="3"/>
      <c r="N23" s="3"/>
      <c r="O23" s="3"/>
      <c r="P23" s="3"/>
    </row>
    <row r="24" spans="2:16" x14ac:dyDescent="0.25">
      <c r="B24" s="29" t="s">
        <v>7</v>
      </c>
      <c r="C24" s="30"/>
      <c r="D24" s="30" t="s">
        <v>20</v>
      </c>
      <c r="E24" s="30"/>
      <c r="F24" s="34" t="s">
        <v>25</v>
      </c>
      <c r="I24" s="3"/>
      <c r="J24" s="3"/>
      <c r="K24" s="3"/>
      <c r="L24" s="3"/>
      <c r="M24" s="3"/>
      <c r="N24" s="3"/>
      <c r="O24" s="3"/>
      <c r="P24" s="3"/>
    </row>
    <row r="25" spans="2:16" x14ac:dyDescent="0.25">
      <c r="B25" s="29" t="s">
        <v>9</v>
      </c>
      <c r="C25" s="30"/>
      <c r="D25" s="30" t="s">
        <v>17</v>
      </c>
      <c r="E25" s="30"/>
      <c r="F25" s="34" t="s">
        <v>26</v>
      </c>
      <c r="I25" s="3"/>
      <c r="J25" s="3"/>
      <c r="K25" s="3"/>
      <c r="L25" s="3"/>
      <c r="M25" s="3"/>
      <c r="N25" s="3"/>
      <c r="O25" s="3"/>
      <c r="P25" s="3"/>
    </row>
    <row r="26" spans="2:16" x14ac:dyDescent="0.25">
      <c r="B26" s="29" t="s">
        <v>10</v>
      </c>
      <c r="C26" s="30"/>
      <c r="D26" s="30" t="s">
        <v>24</v>
      </c>
      <c r="E26" s="30"/>
      <c r="F26" s="35">
        <v>45992</v>
      </c>
      <c r="I26" s="3"/>
      <c r="J26" s="3"/>
      <c r="K26" s="3"/>
      <c r="L26" s="3"/>
      <c r="M26" s="3"/>
      <c r="N26" s="3"/>
      <c r="O26" s="3"/>
      <c r="P26" s="3"/>
    </row>
    <row r="27" spans="2:16" x14ac:dyDescent="0.25">
      <c r="B27" s="29" t="s">
        <v>22</v>
      </c>
      <c r="C27" s="30"/>
      <c r="D27" s="30" t="s">
        <v>23</v>
      </c>
      <c r="E27" s="30"/>
      <c r="F27" s="30"/>
      <c r="I27" s="3"/>
      <c r="J27" s="3"/>
      <c r="K27" s="3"/>
      <c r="L27" s="3"/>
      <c r="M27" s="3"/>
      <c r="N27" s="3"/>
      <c r="O27" s="3"/>
      <c r="P27" s="3"/>
    </row>
    <row r="28" spans="2:16" x14ac:dyDescent="0.25">
      <c r="B28" s="29" t="s">
        <v>33</v>
      </c>
      <c r="C28" s="30"/>
      <c r="D28" s="30" t="s">
        <v>34</v>
      </c>
      <c r="E28" s="30"/>
      <c r="F28" s="30"/>
      <c r="I28" s="3"/>
      <c r="J28" s="3"/>
      <c r="K28" s="3"/>
      <c r="L28" s="3"/>
      <c r="M28" s="3"/>
      <c r="N28" s="3"/>
      <c r="O28" s="3"/>
      <c r="P28" s="3"/>
    </row>
    <row r="29" spans="2:16" x14ac:dyDescent="0.25">
      <c r="B29" s="30"/>
      <c r="C29" s="30"/>
      <c r="D29" s="30"/>
      <c r="E29" s="30"/>
      <c r="F29" s="31"/>
      <c r="I29" s="3"/>
      <c r="J29" s="3"/>
      <c r="K29" s="3"/>
      <c r="L29" s="3"/>
      <c r="M29" s="3"/>
      <c r="N29" s="3"/>
      <c r="O29" s="3"/>
      <c r="P29" s="3"/>
    </row>
    <row r="30" spans="2:16" ht="15.75" x14ac:dyDescent="0.25">
      <c r="B30" s="32" t="s">
        <v>21</v>
      </c>
      <c r="C30" s="30"/>
      <c r="D30" s="30"/>
      <c r="E30" s="30"/>
      <c r="F30" s="31"/>
      <c r="I30" s="3"/>
      <c r="J30" s="3"/>
      <c r="K30" s="3"/>
      <c r="L30" s="3"/>
      <c r="M30" s="3"/>
      <c r="N30" s="3"/>
      <c r="O30" s="3"/>
      <c r="P30" s="3"/>
    </row>
    <row r="31" spans="2:16" x14ac:dyDescent="0.25">
      <c r="B31" s="30"/>
      <c r="C31" s="30"/>
      <c r="D31" s="30"/>
      <c r="E31" s="30"/>
      <c r="F31" s="33"/>
      <c r="I31" s="3"/>
      <c r="J31" s="3"/>
      <c r="K31" s="3"/>
      <c r="L31" s="3"/>
      <c r="M31" s="3"/>
      <c r="N31" s="3"/>
      <c r="O31" s="3"/>
      <c r="P31" s="3"/>
    </row>
    <row r="32" spans="2:16" x14ac:dyDescent="0.25">
      <c r="B32" s="1" t="s">
        <v>35</v>
      </c>
      <c r="I32" s="3"/>
      <c r="J32" s="3"/>
      <c r="K32" s="3"/>
      <c r="L32" s="3"/>
      <c r="M32" s="3"/>
      <c r="N32" s="3"/>
      <c r="O32" s="3"/>
      <c r="P32" s="3"/>
    </row>
    <row r="33" spans="2:16" ht="15.75" x14ac:dyDescent="0.25">
      <c r="B33" s="36" t="s">
        <v>36</v>
      </c>
      <c r="I33" s="3"/>
      <c r="J33" s="3"/>
      <c r="K33" s="3"/>
      <c r="L33" s="3"/>
      <c r="M33" s="3"/>
      <c r="N33" s="3"/>
      <c r="O33" s="3"/>
      <c r="P33" s="3"/>
    </row>
    <row r="34" spans="2:16" x14ac:dyDescent="0.25">
      <c r="I34" s="3"/>
      <c r="J34" s="3"/>
      <c r="K34" s="3"/>
      <c r="L34" s="3"/>
      <c r="M34" s="3"/>
      <c r="N34" s="3"/>
      <c r="O34" s="3"/>
      <c r="P34" s="3"/>
    </row>
    <row r="35" spans="2:16" x14ac:dyDescent="0.25">
      <c r="I35" s="3"/>
      <c r="J35" s="3"/>
      <c r="K35" s="3"/>
      <c r="L35" s="3"/>
      <c r="M35" s="3"/>
      <c r="N35" s="3"/>
      <c r="O35" s="3"/>
      <c r="P35" s="3"/>
    </row>
    <row r="36" spans="2:16" x14ac:dyDescent="0.25">
      <c r="I36" s="3"/>
      <c r="J36" s="3"/>
      <c r="K36" s="3"/>
      <c r="L36" s="3"/>
      <c r="M36" s="3"/>
      <c r="N36" s="3"/>
      <c r="O36" s="3"/>
      <c r="P36" s="3"/>
    </row>
    <row r="37" spans="2:16" x14ac:dyDescent="0.25">
      <c r="I37" s="3"/>
      <c r="J37" s="3"/>
      <c r="K37" s="3"/>
      <c r="L37" s="3"/>
      <c r="M37" s="3"/>
      <c r="N37" s="3"/>
      <c r="O37" s="3"/>
      <c r="P37" s="3"/>
    </row>
    <row r="38" spans="2:16" x14ac:dyDescent="0.25">
      <c r="I38" s="3"/>
      <c r="J38" s="3"/>
      <c r="K38" s="3"/>
      <c r="L38" s="3"/>
      <c r="M38" s="3"/>
      <c r="N38" s="3"/>
      <c r="O38" s="3"/>
      <c r="P38" s="3"/>
    </row>
    <row r="39" spans="2:16" x14ac:dyDescent="0.25">
      <c r="I39" s="3"/>
      <c r="J39" s="3"/>
      <c r="K39" s="3"/>
      <c r="L39" s="3"/>
      <c r="M39" s="3"/>
      <c r="N39" s="3"/>
      <c r="O39" s="3"/>
      <c r="P39" s="3"/>
    </row>
    <row r="40" spans="2:16" x14ac:dyDescent="0.25">
      <c r="I40" s="3"/>
      <c r="J40" s="3"/>
      <c r="K40" s="3"/>
      <c r="L40" s="3"/>
      <c r="M40" s="3"/>
      <c r="N40" s="3"/>
      <c r="O40" s="3"/>
      <c r="P40" s="3"/>
    </row>
    <row r="41" spans="2:16" x14ac:dyDescent="0.25">
      <c r="I41" s="3"/>
      <c r="J41" s="3"/>
      <c r="K41" s="3"/>
      <c r="L41" s="3"/>
      <c r="M41" s="3"/>
      <c r="N41" s="3"/>
      <c r="O41" s="3"/>
      <c r="P41" s="3"/>
    </row>
    <row r="42" spans="2:16" x14ac:dyDescent="0.25">
      <c r="I42" s="3"/>
      <c r="J42" s="3"/>
      <c r="K42" s="3"/>
      <c r="L42" s="3"/>
      <c r="M42" s="3"/>
      <c r="N42" s="3"/>
      <c r="O42" s="3"/>
      <c r="P42" s="3"/>
    </row>
    <row r="43" spans="2:16" x14ac:dyDescent="0.25">
      <c r="I43" s="3"/>
      <c r="J43" s="3"/>
      <c r="K43" s="3"/>
      <c r="L43" s="3"/>
      <c r="M43" s="3"/>
      <c r="N43" s="3"/>
      <c r="O43" s="3"/>
      <c r="P43" s="3"/>
    </row>
    <row r="44" spans="2:16" x14ac:dyDescent="0.25">
      <c r="I44" s="3"/>
      <c r="J44" s="3"/>
      <c r="K44" s="3"/>
      <c r="L44" s="3"/>
      <c r="M44" s="3"/>
      <c r="N44" s="3"/>
      <c r="O44" s="3"/>
      <c r="P44" s="3"/>
    </row>
    <row r="45" spans="2:16" x14ac:dyDescent="0.25">
      <c r="I45" s="3"/>
      <c r="J45" s="3"/>
      <c r="K45" s="3"/>
      <c r="L45" s="3"/>
      <c r="M45" s="3"/>
      <c r="N45" s="3"/>
      <c r="O45" s="3"/>
      <c r="P45" s="3"/>
    </row>
    <row r="46" spans="2:16" x14ac:dyDescent="0.25">
      <c r="I46" s="3"/>
      <c r="J46" s="3"/>
      <c r="K46" s="3"/>
      <c r="L46" s="3"/>
      <c r="M46" s="3"/>
      <c r="N46" s="3"/>
      <c r="O46" s="3"/>
      <c r="P46" s="3"/>
    </row>
    <row r="47" spans="2:16" x14ac:dyDescent="0.25">
      <c r="I47" s="3"/>
      <c r="J47" s="3"/>
      <c r="K47" s="3"/>
      <c r="L47" s="3"/>
      <c r="M47" s="3"/>
      <c r="N47" s="3"/>
      <c r="O47" s="3"/>
      <c r="P47" s="3"/>
    </row>
    <row r="48" spans="2:16" x14ac:dyDescent="0.25">
      <c r="I48" s="3"/>
      <c r="J48" s="3"/>
      <c r="K48" s="3"/>
      <c r="L48" s="3"/>
      <c r="M48" s="3"/>
      <c r="N48" s="3"/>
      <c r="O48" s="3"/>
      <c r="P48" s="3"/>
    </row>
    <row r="49" spans="9:16" x14ac:dyDescent="0.25">
      <c r="I49" s="3"/>
      <c r="J49" s="3"/>
      <c r="K49" s="3"/>
      <c r="L49" s="3"/>
      <c r="M49" s="3"/>
      <c r="N49" s="3"/>
      <c r="O49" s="3"/>
      <c r="P49" s="3"/>
    </row>
    <row r="50" spans="9:16" x14ac:dyDescent="0.25">
      <c r="I50" s="3"/>
      <c r="J50" s="3"/>
      <c r="K50" s="3"/>
      <c r="L50" s="3"/>
      <c r="M50" s="3"/>
      <c r="N50" s="3"/>
      <c r="O50" s="3"/>
      <c r="P50" s="3"/>
    </row>
    <row r="51" spans="9:16" x14ac:dyDescent="0.25">
      <c r="I51" s="3"/>
      <c r="J51" s="3"/>
      <c r="K51" s="3"/>
      <c r="L51" s="3"/>
      <c r="M51" s="3"/>
      <c r="N51" s="3"/>
      <c r="O51" s="3"/>
      <c r="P51" s="3"/>
    </row>
    <row r="52" spans="9:16" x14ac:dyDescent="0.25">
      <c r="I52" s="3"/>
      <c r="J52" s="3"/>
      <c r="K52" s="3"/>
      <c r="L52" s="3"/>
      <c r="M52" s="3"/>
      <c r="N52" s="3"/>
      <c r="O52" s="3"/>
      <c r="P52" s="3"/>
    </row>
    <row r="53" spans="9:16" x14ac:dyDescent="0.25">
      <c r="I53" s="3"/>
      <c r="J53" s="3"/>
      <c r="K53" s="3"/>
      <c r="L53" s="3"/>
      <c r="M53" s="3"/>
      <c r="N53" s="3"/>
      <c r="O53" s="3"/>
      <c r="P53" s="3"/>
    </row>
    <row r="54" spans="9:16" x14ac:dyDescent="0.25">
      <c r="I54" s="3"/>
      <c r="J54" s="3"/>
      <c r="K54" s="3"/>
      <c r="L54" s="3"/>
      <c r="M54" s="3"/>
      <c r="N54" s="3"/>
      <c r="O54" s="3"/>
      <c r="P54" s="3"/>
    </row>
    <row r="55" spans="9:16" x14ac:dyDescent="0.25">
      <c r="I55" s="3"/>
      <c r="J55" s="3"/>
      <c r="K55" s="3"/>
      <c r="L55" s="3"/>
      <c r="M55" s="3"/>
      <c r="N55" s="3"/>
      <c r="O55" s="3"/>
      <c r="P55" s="3"/>
    </row>
    <row r="56" spans="9:16" x14ac:dyDescent="0.25">
      <c r="I56" s="3"/>
      <c r="J56" s="3"/>
      <c r="K56" s="3"/>
      <c r="L56" s="3"/>
      <c r="M56" s="3"/>
      <c r="N56" s="3"/>
      <c r="O56" s="3"/>
      <c r="P56" s="3"/>
    </row>
    <row r="57" spans="9:16" x14ac:dyDescent="0.25">
      <c r="I57" s="3"/>
      <c r="J57" s="3"/>
      <c r="K57" s="3"/>
      <c r="L57" s="3"/>
      <c r="M57" s="3"/>
      <c r="N57" s="3"/>
      <c r="O57" s="3"/>
      <c r="P57" s="3"/>
    </row>
    <row r="58" spans="9:16" x14ac:dyDescent="0.25">
      <c r="I58" s="3"/>
      <c r="J58" s="3"/>
      <c r="K58" s="3"/>
      <c r="L58" s="3"/>
      <c r="M58" s="3"/>
      <c r="N58" s="3"/>
      <c r="O58" s="3"/>
      <c r="P58" s="3"/>
    </row>
    <row r="59" spans="9:16" x14ac:dyDescent="0.25">
      <c r="I59" s="3"/>
      <c r="J59" s="3"/>
      <c r="K59" s="3"/>
      <c r="L59" s="3"/>
      <c r="M59" s="3"/>
      <c r="N59" s="3"/>
      <c r="O59" s="3"/>
      <c r="P59" s="3"/>
    </row>
    <row r="60" spans="9:16" x14ac:dyDescent="0.25">
      <c r="I60" s="3"/>
      <c r="J60" s="3"/>
      <c r="K60" s="3"/>
      <c r="L60" s="3"/>
      <c r="M60" s="3"/>
      <c r="N60" s="3"/>
      <c r="O60" s="3"/>
      <c r="P60" s="3"/>
    </row>
    <row r="61" spans="9:16" x14ac:dyDescent="0.25">
      <c r="I61" s="3"/>
      <c r="J61" s="3"/>
      <c r="K61" s="3"/>
      <c r="L61" s="3"/>
      <c r="M61" s="3"/>
      <c r="N61" s="3"/>
      <c r="O61" s="3"/>
      <c r="P61" s="3"/>
    </row>
    <row r="62" spans="9:16" x14ac:dyDescent="0.25">
      <c r="I62" s="3"/>
      <c r="J62" s="3"/>
      <c r="K62" s="3"/>
      <c r="L62" s="3"/>
      <c r="M62" s="3"/>
      <c r="N62" s="3"/>
      <c r="O62" s="3"/>
      <c r="P62" s="3"/>
    </row>
    <row r="63" spans="9:16" x14ac:dyDescent="0.25">
      <c r="I63" s="3"/>
      <c r="J63" s="3"/>
      <c r="K63" s="3"/>
      <c r="L63" s="3"/>
      <c r="M63" s="3"/>
      <c r="N63" s="3"/>
      <c r="O63" s="3"/>
      <c r="P63" s="3"/>
    </row>
    <row r="64" spans="9:16" x14ac:dyDescent="0.25">
      <c r="I64" s="3"/>
      <c r="J64" s="3"/>
      <c r="K64" s="3"/>
      <c r="L64" s="3"/>
      <c r="M64" s="3"/>
      <c r="N64" s="3"/>
      <c r="O64" s="3"/>
      <c r="P64" s="3"/>
    </row>
    <row r="65" spans="9:16" x14ac:dyDescent="0.25">
      <c r="I65" s="3"/>
      <c r="J65" s="3"/>
      <c r="K65" s="3"/>
      <c r="L65" s="3"/>
      <c r="M65" s="3"/>
      <c r="N65" s="3"/>
      <c r="O65" s="3"/>
      <c r="P65" s="3"/>
    </row>
    <row r="66" spans="9:16" x14ac:dyDescent="0.25">
      <c r="I66" s="3"/>
      <c r="J66" s="3"/>
      <c r="K66" s="3"/>
      <c r="L66" s="3"/>
      <c r="M66" s="3"/>
      <c r="N66" s="3"/>
      <c r="O66" s="3"/>
      <c r="P66" s="3"/>
    </row>
    <row r="67" spans="9:16" x14ac:dyDescent="0.25">
      <c r="I67" s="3"/>
      <c r="J67" s="3"/>
      <c r="K67" s="3"/>
      <c r="L67" s="3"/>
      <c r="M67" s="3"/>
      <c r="N67" s="3"/>
      <c r="O67" s="3"/>
      <c r="P67" s="3"/>
    </row>
    <row r="68" spans="9:16" x14ac:dyDescent="0.25">
      <c r="I68" s="3"/>
      <c r="J68" s="3"/>
      <c r="K68" s="3"/>
      <c r="L68" s="3"/>
      <c r="M68" s="3"/>
      <c r="N68" s="3"/>
      <c r="O68" s="3"/>
      <c r="P68" s="3"/>
    </row>
    <row r="69" spans="9:16" x14ac:dyDescent="0.25">
      <c r="I69" s="3"/>
      <c r="J69" s="3"/>
      <c r="K69" s="3"/>
      <c r="L69" s="3"/>
      <c r="M69" s="3"/>
      <c r="N69" s="3"/>
      <c r="O69" s="3"/>
      <c r="P69" s="3"/>
    </row>
    <row r="70" spans="9:16" x14ac:dyDescent="0.25">
      <c r="I70" s="3"/>
      <c r="J70" s="3"/>
      <c r="K70" s="3"/>
      <c r="L70" s="3"/>
      <c r="M70" s="3"/>
      <c r="N70" s="3"/>
      <c r="O70" s="3"/>
      <c r="P70" s="3"/>
    </row>
    <row r="71" spans="9:16" x14ac:dyDescent="0.25">
      <c r="I71" s="3"/>
      <c r="J71" s="3"/>
      <c r="K71" s="3"/>
      <c r="L71" s="3"/>
      <c r="M71" s="3"/>
      <c r="N71" s="3"/>
      <c r="O71" s="3"/>
      <c r="P71" s="3"/>
    </row>
    <row r="72" spans="9:16" x14ac:dyDescent="0.25">
      <c r="I72" s="3"/>
      <c r="J72" s="3"/>
      <c r="K72" s="3"/>
      <c r="L72" s="3"/>
      <c r="M72" s="3"/>
      <c r="N72" s="3"/>
      <c r="O72" s="3"/>
      <c r="P72" s="3"/>
    </row>
    <row r="73" spans="9:16" x14ac:dyDescent="0.25">
      <c r="I73" s="3"/>
      <c r="J73" s="3"/>
      <c r="K73" s="3"/>
      <c r="L73" s="3"/>
      <c r="M73" s="3"/>
      <c r="N73" s="3"/>
      <c r="O73" s="3"/>
      <c r="P73" s="3"/>
    </row>
    <row r="74" spans="9:16" x14ac:dyDescent="0.25">
      <c r="I74" s="3"/>
      <c r="J74" s="3"/>
      <c r="K74" s="3"/>
      <c r="L74" s="3"/>
      <c r="M74" s="3"/>
      <c r="N74" s="3"/>
      <c r="O74" s="3"/>
      <c r="P74" s="3"/>
    </row>
    <row r="75" spans="9:16" x14ac:dyDescent="0.25">
      <c r="I75" s="3"/>
      <c r="J75" s="3"/>
      <c r="K75" s="3"/>
      <c r="L75" s="3"/>
      <c r="M75" s="3"/>
      <c r="N75" s="3"/>
      <c r="O75" s="3"/>
      <c r="P75" s="3"/>
    </row>
    <row r="76" spans="9:16" x14ac:dyDescent="0.25">
      <c r="I76" s="3"/>
      <c r="J76" s="3"/>
      <c r="K76" s="3"/>
      <c r="L76" s="3"/>
      <c r="M76" s="3"/>
      <c r="N76" s="3"/>
      <c r="O76" s="3"/>
      <c r="P76" s="3"/>
    </row>
    <row r="77" spans="9:16" x14ac:dyDescent="0.25">
      <c r="I77" s="3"/>
      <c r="J77" s="3"/>
      <c r="K77" s="3"/>
      <c r="L77" s="3"/>
      <c r="M77" s="3"/>
      <c r="N77" s="3"/>
      <c r="O77" s="3"/>
      <c r="P77" s="3"/>
    </row>
    <row r="78" spans="9:16" x14ac:dyDescent="0.25">
      <c r="I78" s="3"/>
      <c r="J78" s="3"/>
      <c r="K78" s="3"/>
      <c r="L78" s="3"/>
      <c r="M78" s="3"/>
      <c r="N78" s="3"/>
      <c r="O78" s="3"/>
      <c r="P78" s="3"/>
    </row>
    <row r="79" spans="9:16" x14ac:dyDescent="0.25">
      <c r="I79" s="3"/>
      <c r="J79" s="3"/>
      <c r="K79" s="3"/>
      <c r="L79" s="3"/>
      <c r="M79" s="3"/>
      <c r="N79" s="3"/>
      <c r="O79" s="3"/>
      <c r="P79" s="3"/>
    </row>
    <row r="80" spans="9:16" x14ac:dyDescent="0.25">
      <c r="I80" s="3"/>
      <c r="J80" s="3"/>
      <c r="K80" s="3"/>
      <c r="L80" s="3"/>
      <c r="M80" s="3"/>
      <c r="N80" s="3"/>
      <c r="O80" s="3"/>
      <c r="P80" s="3"/>
    </row>
    <row r="81" spans="9:16" x14ac:dyDescent="0.25">
      <c r="I81" s="3"/>
      <c r="J81" s="3"/>
      <c r="K81" s="3"/>
      <c r="L81" s="3"/>
      <c r="M81" s="3"/>
      <c r="N81" s="3"/>
      <c r="O81" s="3"/>
      <c r="P81" s="3"/>
    </row>
  </sheetData>
  <mergeCells count="6">
    <mergeCell ref="D18:E18"/>
    <mergeCell ref="E1:G1"/>
    <mergeCell ref="D8:E10"/>
    <mergeCell ref="F11:H11"/>
    <mergeCell ref="C12:D12"/>
    <mergeCell ref="C13:D13"/>
  </mergeCells>
  <pageMargins left="0.511811024" right="0.511811024" top="1.3474015750000001" bottom="0.78740157499999996" header="0.31496062000000002" footer="0.31496062000000002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Resumo locação</vt:lpstr>
      <vt:lpstr>'Resumo locação'!Area_de_impressao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marcelohbilacchi@gmail.com</dc:creator>
  <cp:lastModifiedBy>Camila Cadamuro</cp:lastModifiedBy>
  <cp:lastPrinted>2026-01-22T14:11:55Z</cp:lastPrinted>
  <dcterms:created xsi:type="dcterms:W3CDTF">2022-07-19T15:35:50Z</dcterms:created>
  <dcterms:modified xsi:type="dcterms:W3CDTF">2026-01-22T14:12:25Z</dcterms:modified>
</cp:coreProperties>
</file>