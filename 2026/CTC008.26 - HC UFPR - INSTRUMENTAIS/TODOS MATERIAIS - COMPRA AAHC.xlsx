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I:\Meu Drive\COTAÇÕES\COTAÇÕES - VENDAS\2026\CTC008.26 - AAHC\"/>
    </mc:Choice>
  </mc:AlternateContent>
  <xr:revisionPtr revIDLastSave="0" documentId="13_ncr:1_{E0B7A560-0BF6-4E47-9571-1C96DEC34E5B}" xr6:coauthVersionLast="47" xr6:coauthVersionMax="47" xr10:uidLastSave="{00000000-0000-0000-0000-000000000000}"/>
  <bookViews>
    <workbookView xWindow="-120" yWindow="-120" windowWidth="20730" windowHeight="11040" tabRatio="758" activeTab="1" xr2:uid="{D03A6E5D-29F4-4B29-8822-76C8F23AC05A}"/>
  </bookViews>
  <sheets>
    <sheet name="CARDÍACA" sheetId="1" r:id="rId1"/>
    <sheet name="NEUROCIRURGIA" sheetId="2" r:id="rId2"/>
    <sheet name="ORL" sheetId="3" r:id="rId3"/>
    <sheet name="VIDEO-OBESIDADE" sheetId="4" r:id="rId4"/>
    <sheet name="MATERIAIS BÁSICOS" sheetId="5" r:id="rId5"/>
    <sheet name="ITENS HARTE" sheetId="6" r:id="rId6"/>
  </sheets>
  <definedNames>
    <definedName name="_xlnm._FilterDatabase" localSheetId="0" hidden="1">CARDÍACA!$A$1:$J$94</definedName>
    <definedName name="_xlnm._FilterDatabase" localSheetId="1" hidden="1">NEUROCIRURGIA!$A$1:$H$65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 i="2" l="1"/>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3" i="2"/>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17" i="1"/>
  <c r="J16" i="1"/>
  <c r="J4" i="1"/>
  <c r="J5" i="1"/>
  <c r="J6" i="1"/>
  <c r="J7" i="1"/>
  <c r="J8" i="1"/>
  <c r="J9" i="1"/>
  <c r="J10" i="1"/>
  <c r="J11" i="1"/>
  <c r="J12" i="1"/>
  <c r="J13" i="1"/>
  <c r="J14" i="1"/>
  <c r="J15" i="1"/>
  <c r="G4" i="4"/>
  <c r="G5" i="4"/>
  <c r="G6" i="4"/>
  <c r="G7" i="4"/>
  <c r="G8" i="4"/>
  <c r="G9" i="4"/>
  <c r="G10" i="4"/>
  <c r="G11" i="4"/>
  <c r="G12" i="4"/>
  <c r="G13" i="4"/>
  <c r="G14" i="4"/>
  <c r="G15" i="4"/>
  <c r="G16" i="4"/>
  <c r="G3" i="4"/>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3" i="3"/>
  <c r="J3" i="1"/>
</calcChain>
</file>

<file path=xl/sharedStrings.xml><?xml version="1.0" encoding="utf-8"?>
<sst xmlns="http://schemas.openxmlformats.org/spreadsheetml/2006/main" count="1010" uniqueCount="771">
  <si>
    <t>Código SIH</t>
  </si>
  <si>
    <t>Nome</t>
  </si>
  <si>
    <t>Código EBSERH</t>
  </si>
  <si>
    <t>CATMAT</t>
  </si>
  <si>
    <t>DESCRITIVO</t>
  </si>
  <si>
    <t>AFASTADOR CIRURGICO P/EPICARDIO</t>
  </si>
  <si>
    <t>EBS04656</t>
  </si>
  <si>
    <t>AFASTADOR CIRURGICO PARA EPICARDIO, EM  ACO  INOXIDAVEL, UTILIZADO  EM CIRURGIAS CARDIACAS. NAO ESTERIL, AUTOCLAVAVEL, EM EMBALAGEM COM DADOS DE ROTULAGEM EXIGIDOS PARA PRODUTOS PARA SAUDE, QUE PERMITAM RASTREABILIDADE.</t>
  </si>
  <si>
    <t>VÁLVULA</t>
  </si>
  <si>
    <t>AFASTADOR CIR.DINKHUYSEN AORTA</t>
  </si>
  <si>
    <t>DELICADA</t>
  </si>
  <si>
    <t>Pedir descritivo para Aesculap</t>
  </si>
  <si>
    <t>CLAMP BULLDOG ANGULADO 55º 5CM/14MM</t>
  </si>
  <si>
    <t>-</t>
  </si>
  <si>
    <t>CLAMP BULLDOG ANGULADO 55º 5CM/10MM</t>
  </si>
  <si>
    <t>DILATADOR CORONÁRIA 1,0MM</t>
  </si>
  <si>
    <t>EBS10401</t>
  </si>
  <si>
    <t>DILATADOR VASCULAR, modelo DEBAKEY. DIÂMETRO cerca de 1,0 mm. Material AÇO INOXIDÁVEL, autoclavável até 135 °C. Com compatibilidade para sistema de rastreabilidade. Lote, logomarca do fabricante e as iniciais do hospital, utilizando método a laser.</t>
  </si>
  <si>
    <t>DILATADOR CORONÁRIA 1,25MM</t>
  </si>
  <si>
    <t>EBS12141</t>
  </si>
  <si>
    <t xml:space="preserve">	DILATADOR VASCULAR, modelo DEBAKEY. DIÂMETRO cerca de 1,25 mm. Material AÇO INOXIDÁVEL, autoclavável até 135 °C. Com compatibilidade para sistema de rastreabilidade. Lote, logomarca do fabricante e as iniciais do hospital, utilizando método a laser.</t>
  </si>
  <si>
    <t>DILATADOR CORONÁRIA 1,5MM</t>
  </si>
  <si>
    <t>EBS08375</t>
  </si>
  <si>
    <t>DILATADOR VASCULAR, modelo DEBAKEY. DIÂMETRO cerca de 1,5 mm. Material AÇO INOXIDÁVEL, autoclavável até 135 °C. Com compatibilidade para sistema de rastreabilidade. Lote, logomarca do fabricante e as iniciais do hospital, utilizando método a laser.</t>
  </si>
  <si>
    <t>DILATADOR CORONÁRIA 1,75MM</t>
  </si>
  <si>
    <t>EBS08376</t>
  </si>
  <si>
    <t>DILATADOR VASCULAR, modelo DEBAKEY. DIÂMETRO cerca de 1,75 mm. Material AÇO INOXIDÁVEL, autoclavável até 135 °C. Com compatibilidade para sistema de rastreabilidade. Lote, logomarca do fabricante e as iniciais do hospital, utilizando método a laser.</t>
  </si>
  <si>
    <t>DILATADOR CORONÁRIA 2,0MM</t>
  </si>
  <si>
    <t>EBS08379</t>
  </si>
  <si>
    <t>DILATADOR VASCULAR, modelo DEBAKEY. DIÂMETRO cerca de 2,0 mm. Material AÇO INOXIDÁVEL, autoclavável até 135 °C. Com compatibilidade para sistema de rastreabilidade. Lote, logomarca do fabricante e as iniciais do hospital, utilizando método a laser.</t>
  </si>
  <si>
    <t>PINÇA ANATONICA DEBAKEY 20CMX1,0MM</t>
  </si>
  <si>
    <t>EBS14223</t>
  </si>
  <si>
    <t>PINÇA cirúrgica, tipo DEBAKEY, modelo ANATÔMICA, ponta RETA com 1,0 mm, SERRILHADA, sem cremalheira, COMPRIMENTO cerca de 20 cm. Material AÇO INOXIDÁVEL, autoclavável até 135 °C. Com compatibilidade para sistema de rastreabilidade. Lote, logomarca do fabricante e as iniciais do hospital, utilizando método a laser.</t>
  </si>
  <si>
    <t>PINÇA CLAMP DEBAKEY DERRA 20MM/17CM</t>
  </si>
  <si>
    <t>EBS12860</t>
  </si>
  <si>
    <t>PINÇA cirúrgica, tipo DERRA, ponta CURVA, COMPRIMENTO cerca de 17 cm e ponta com 20mm, COM CREMALHEIRA. Material AÇO INOXIDÁVEL, autoclavável até 135°C. Com compatibilidade para sistema de rastreabilidade. Lote, logomarca do fabricante e as iniciais do hospital, utilizando método a laser.</t>
  </si>
  <si>
    <t>PINÇA CLAMP LAMBERT KAY 22 CM/45mm</t>
  </si>
  <si>
    <t>EBS10416</t>
  </si>
  <si>
    <t>Pinça LAMBERT-KAY, haste CURVA, com cremalheira COMPRIMENTO cerca de 22 cm. Material AÇO INOXIDÁVEL, autoclavável até 135°c. Com compatibilidade para sistema de rastreabilidade. Lote, logomarca do fabricante e as iniciais do hospital, utilizando método a laser.</t>
  </si>
  <si>
    <t>ASPIRADOR FRAZIER 20CM/2,5MM</t>
  </si>
  <si>
    <t>EBS08029</t>
  </si>
  <si>
    <t>Cânula, tipo FRAZIER, ANGULADO 45 GRAUS aplicação aspiração cirúrgica, DIÂMETRO: 2,5 mm, COMPRIMENTO cerca de 20 cm, ponta romba, material AÇO INOXIDÁVEL, autoclavável até 135°C. Com compatibilidade para sistema de rastreabilidade. Garantia de 10 anos. Lote, logomarca do fabricante e as iniciais do hospital, utilizando método a laser.</t>
  </si>
  <si>
    <t>PORTA AGULHA CASTROVIEJO PARA CIRURGIA VASCULA  RETO COM VÍDEA 18CM</t>
  </si>
  <si>
    <t>EBS10256</t>
  </si>
  <si>
    <t>PORTA-AGULHA, tipo CASTROVIEJO, ponta RETA, delicada, com VÍDEA com cerca de 1,5mm, COM trava, COMPRIMENTO cerca de 18 cm, cabo redondo, material AÇO INOXIDÁVEL, autoclavável até 135°C. Com compatibilidade para sistema de rastreabilidade. Lote, logomarca do fabricante e as iniciais do hospital, utilizando método a laser.</t>
  </si>
  <si>
    <t>PORTA-AGULHA MICROVASCULAR DELICADO 21CM</t>
  </si>
  <si>
    <t>EBS08485</t>
  </si>
  <si>
    <t xml:space="preserve">	PORTA-AGULHA, tipo MICROVASCULAR, ponta RETA, com VÍDEA com cerca de 1,5mm, com trava, COMPRIMENTO cerca de 22 cm. Material AÇO INOXIDÁVEL, autoclavável até 135°C. Com compatibilidade para sistema de rastreabilidade. Lote, logomarca do fabricante e as iniciais do hospital, utilizando método a laser.</t>
  </si>
  <si>
    <t>TESOURA BOYD CURVA PONTA DELICADA 18 CM</t>
  </si>
  <si>
    <t>EBS05243</t>
  </si>
  <si>
    <t>TESOURA cirúrgica, tipo BOYD, PONTA DELICADA COMPRIMENTO CERCA DE 20 cm. Material AÇO INOXIDÁVEL AISI 420, autoclavável até 135 °C. Com compatibilidade para sistema de rastreabilidade. Garantia de 10 anos. Lote, logomarca do fabricante e as iniciais do hospital, utilizando método a laser.</t>
  </si>
  <si>
    <t>TESOURA DIETRICH C/ANGULO 125/130G DELICADA 18CM</t>
  </si>
  <si>
    <t>EBS05239</t>
  </si>
  <si>
    <t>TESOURA cirúrgica, tipo DIETRICH, PONTA ANGULADA E DELICADA CERCA DE 125° A 130°, COMPRIMENTO CERCA DE 18 cm. Material AÇO INOXIDÁVEL AISI 420, autoclavável até 135 °C. Com compatibilidade para sistema de rastreabilidade. Garantia de 10 anos. Lote, logomarca do fabricante e as iniciais do hospital, utilizando método a laser.</t>
  </si>
  <si>
    <t>TESOURA POTTS-SMITH PARA VASCULAR 45 GRAUS 18 CM</t>
  </si>
  <si>
    <t>EBS05230</t>
  </si>
  <si>
    <t>TESOURA cirúrgica, tipo POTTS SMITH, PONTA ANGULADA A 45°, COMPRIMENTO cerca de 18 cm. Material AÇO INOXIDÁVEL, autoclavável até 135 °C. Com compatibilidade para sistema de rastreabilidade. Lote, logomarca do fabricante e as iniciais do hospital, utilizando método a laser.</t>
  </si>
  <si>
    <t>TESOURA POTTS-SMITH PARA VASCULAR 60 GRAUS 18 CM</t>
  </si>
  <si>
    <t>EBS05231</t>
  </si>
  <si>
    <t>TESOURA cirúrgica, tipo POTTS-SMITH, PONTA ANGULADA CERCA DE 60°, COMPRIMENTO CERCA DE 18 cm. Material AÇO INOXIDÁVEL AISI 420, autoclavável até 135 °C. Com compatibilidade para sistema de rastreabilidade. Garantia de 10 anos. Lote, logomarca do fabricante e as iniciais do hospital, utilizando método a laser.</t>
  </si>
  <si>
    <t>TESOURA POTTS-SMITH PARA VASCULAR 90 GRAUS 18 CM</t>
  </si>
  <si>
    <t>EBS15353</t>
  </si>
  <si>
    <t xml:space="preserve">TESOURA cirúrgica, tipo POTTS SMITH, PONTA ANGULADA A 90°, COMPRIMENTO cerca de 18 cm. Material AÇO INOXIDÁVEL, autoclavável até 135 °C. Com compatibilidade para sistema de rastreabilidade. Lote, logomarca do fabricante e as iniciais do hospital, utilizando método a laser. </t>
  </si>
  <si>
    <t>BY PASS</t>
  </si>
  <si>
    <t>CORONÁRIA</t>
  </si>
  <si>
    <t>AFASTADOR ADSON BECKMAN ROMBO 30CM</t>
  </si>
  <si>
    <t>EBS04636</t>
  </si>
  <si>
    <t>AFASTADOR cirúrgico autoestático, tipo ADSON BECKMANN, 4 x 4 DENTES ROMBOS, COMPRIMENTO cerca de 30 cm, articulado. Material AÇO INOXIDÁVEL, autoclavável até 135 °C. Com compatibilidade para sistema de rastreabilidade. Lote, logomarca do fabricante e as iniciais do hospital, utilizando método a laser.</t>
  </si>
  <si>
    <t>AFASTADOR LOVE DESMARRES 4MM/20CM</t>
  </si>
  <si>
    <t>EBS14537</t>
  </si>
  <si>
    <t>AFASTADOR cirúrgico, tipo LOVE DESMARRES, LÂMINA cerca de 4 mm. Material AÇO INOXIDÁVEL, autoclavável até 135 °C. Com compatibilidade para sistema de rastreabilidade. Lote, logomarca do fabricante e as iniciais do hospital, utilizando método a laser.</t>
  </si>
  <si>
    <t>AFASTADOR SENN MUELLER AGUDO 16CM</t>
  </si>
  <si>
    <t>EBS04528</t>
  </si>
  <si>
    <t>AFASTADOR cirúrgico, tipo SENN MULLER, AGUDO, COMPRIMENTO cerca de 16 cm. Material AÇO INOXIDÁVEL, autoclavável até 135 °C. Com compatibilidade para sistema de rastreabilidade. Lote, logomarca do fabricante e as iniciais do hospital, utilizando método a laser.</t>
  </si>
  <si>
    <t>CABO DE BISTURI N 3</t>
  </si>
  <si>
    <t>EBS04664</t>
  </si>
  <si>
    <t>Cabo DE BISTURI CIRÚRGICO, TAMANHO nº 3, COMPRIMENTO cerca de 12 cm, CABO REDONDO, PARA LÂMINA nº 10 a 17, material AÇO INOX, autoclavável até 135 °C. Com compatibilidade para sistema de rastreabilidade. Lote, logomarca do fabricante e as iniciais do hospital, utilizando método a laser.</t>
  </si>
  <si>
    <t>CLAMP ARTERIAL CURVO 18 CM</t>
  </si>
  <si>
    <t>CLAMP arterial curvo com cerca de 18 cm para utilização em aneurisma abdominal.</t>
  </si>
  <si>
    <t>CLAMP SATINSKY VASCULAR 16CM</t>
  </si>
  <si>
    <t>PINÇA cirúrgica, tipo SATINSKY BABY, haste CURVA, lâmina SERRILHA CRUZADA, COMPRIMENTO cerca de 15 cm, COM CREMALHEIRA, para cardiovascular. Material AÇO INOXIDÁVEL, autoclavável até 135 °C. Com compatibilidade para sistema de rastreabilidade. Lote, logomarca do fabricante e as iniciais do hospital, utilizando método a laser.</t>
  </si>
  <si>
    <t>DESCOLADOR FREER DUPLO</t>
  </si>
  <si>
    <t>EBS12648</t>
  </si>
  <si>
    <t>DESCOLADOR cirúrgico, tipo FREER DUPLO, COMPRIMENTO cerca de 20 cm, aplicação septo nasal. Material AÇO INOXIDÁVEL, autoclavável até 135°C. Com compatibilidade para sistema de rastreabilidade. Lote, logomarca do fabricante e as iniciais do hospital, utilizando método a laser</t>
  </si>
  <si>
    <t>Quantidade de Caixas</t>
  </si>
  <si>
    <t>PINÇA DISSECÇÃO ANATOMICA DENTE DE RATO 20CM</t>
  </si>
  <si>
    <t>DESCOLADOR MICRO ROTTON</t>
  </si>
  <si>
    <t>EBS14951</t>
  </si>
  <si>
    <t>DISSECTOR cirúrgico, tipo RHOTON, ponta de espátula semi aguda, COMPRIMENTO cerca de 20 cm. Material AÇO INOXIDÁVEL, autoclavável até 135°C. Com compatibilidade para sistema de rastreabilidade. Lote, logomarca do fabricante e as iniciais do hospital, utilizando método a laser.</t>
  </si>
  <si>
    <t>GANCHO DE GILLIES DELICADO SIMPLES  18cm</t>
  </si>
  <si>
    <t>EBS08249</t>
  </si>
  <si>
    <t>Gancho cirúrgico, tipo GILLES, COMPRIMENTO 18 cm, SIMPLES, ponta aguda. Material AÇO INOXIDÁVEL, autoclavável até 135°C. Com compatibilidade para sistema de rastreabilidade. Lote, logomarca do fabricante e as iniciais do hospital, utilizando método a laser.</t>
  </si>
  <si>
    <t>PINÇA CLAMP 90º 10CM</t>
  </si>
  <si>
    <t>EBS08059</t>
  </si>
  <si>
    <t>PINÇA cirúrgica, tipo DEBAKEY, com ANGULAÇÃO de 90°, modelo CLAMP VASCULAR, COMPRIMENTO cerca de 10 cm. Material AÇO INOXIDÁVEL, autoclavável até 135 °C. Com compatibilidade para sistema de rastreabilidade. Lote, logomarca do fabricante e as iniciais do hospital, utilizando método a laser.</t>
  </si>
  <si>
    <t>PINÇA cirúrgica, tipo DEBAKEY, com ANGULAÇÃO de 90°, modelo CLAMP VASCULAR, COMPRIMENTO cerca de 20 cm. Material AÇO INOXIDÁVEL, autoclavável até 135 °C. Com compatibilidade para sistema de rastreabilidade. Lote, logomarca do fabricante e as iniciais do hospital, utilizando método a laser.</t>
  </si>
  <si>
    <t>PINÇA CLAMP ARTERIAL RETO 13CM</t>
  </si>
  <si>
    <t>CLAMP arterial reto com cerca de 13 cm para utilização em aneurisma abdominal.</t>
  </si>
  <si>
    <t>PINÇA CLAMP DEBAKEY CURVA 30CM</t>
  </si>
  <si>
    <t>EBS12705</t>
  </si>
  <si>
    <t>PINÇA cirúrgica, tipo DEBAKEY, ponta CURVA, aplicação CLAMP DE AORTA, COMPRIMENTO cerca de 32 cm, COM cremalheira. Material AÇO INOXIDÁVEL, autoclavável até 135°C. Com compatibilidade para sistema de rastreabilidade. Lote, logomarca do fabricante e as iniciais do hospital, utilizando método a laser.</t>
  </si>
  <si>
    <t>PINÇA DISSECÇÃO ANATOMICA 14 CM</t>
  </si>
  <si>
    <t>EBS04835</t>
  </si>
  <si>
    <t>PINÇA cirúrgica, tipo DISSECÇÃO (anatômica), SERRILHADA, COMPRIMENTO CERCA DE 14 cm. Material AÇO INOXIDÁVEL, autoclavável até 135 °C. Com compatibilidade para sistema de rastreabilidade. Lote, logomarca do fabricante e as iniciais do hospital, utilizando método a laser.</t>
  </si>
  <si>
    <t>PINÇA DISSECÇÃO ANATOMICA 16CM</t>
  </si>
  <si>
    <t>EBS04836</t>
  </si>
  <si>
    <t>PINÇA cirúrgica, tipo DISSECÇÃO (anatômica), SERRILHADA, COMPRIMENTO CERCA DE 16 cm. Material AÇO INOXIDÁVEL, autoclavável até 135 °C. Com compatibilidade para sistema de rastreabilidade. Lote, logomarca do fabricante e as iniciais do hospital, utilizando método a laser.</t>
  </si>
  <si>
    <t>PINÇA KELLY RETA 16CM</t>
  </si>
  <si>
    <t>EBS04802</t>
  </si>
  <si>
    <t>PINÇA cirúrgica, tipo KELLY, ponta RETA, SERRILHADA, COMPRIMENTO cerca de 16 cm, COM CREMALHEIRA. Material AÇO INOXIDÁVEL, autoclavável até 135°C. Com compatibilidade para sistema de rastreabilidade. Lote, logomarca do fabricante e as iniciais do hospital, utilizando método a laser.</t>
  </si>
  <si>
    <t>PINÇA cirúrgica, tipo KOCHER, ponta RETA, 1 x 2 DENTE, COMPRIMENTO cerca de 16 cm, COM CREMALHEIRA. Material AÇO INOXIDÁVEL, autoclavável até 135 °C. Com compatibilidade para sistema de rastreabilidade. Lote, logomarca do fabricante e as iniciais do hospital, utilizando método a laser.</t>
  </si>
  <si>
    <t>EBS04752</t>
  </si>
  <si>
    <t>PINÇA KOCHER RETA 16CM</t>
  </si>
  <si>
    <t>PINÇA cirúrgica, tipo KOCHER, ponta CURVA, 1 x 2 DENTE, COMPRIMENTO cerca de 16 cm, COM CREMALHEIRA. Material AÇO INOXIDÁVEL, autoclavável até 135 °C. Com compatibilidade para sistema de rastreabilidade. Lote, logomarca do fabricante e as iniciais do hospital, utilizando método a laser.</t>
  </si>
  <si>
    <t>EBS04758</t>
  </si>
  <si>
    <t>PINÇA KOCHER CURVA 16CM</t>
  </si>
  <si>
    <t>PINÇA POTTS-SMITH 18 CM</t>
  </si>
  <si>
    <t>EBS08403</t>
  </si>
  <si>
    <t>PINÇA cirúrgica (anatômica), tipo POTTS SMITH, ponta RETA, COMPRIMENTO cerca de 18 cm. Material AÇO INOXIDÁVEL, sem cremalheira, com VÍDEA, autoclavável até 135°C. Com compatibilidade para sistema de rastreabilidade. Lote, logomarca do fabricante e as iniciais do hospital, utilizando método a laser.</t>
  </si>
  <si>
    <t>TESOURA IRIS CURVA 12CM</t>
  </si>
  <si>
    <t>EBS05218</t>
  </si>
  <si>
    <t>TESOURA cirúrgica, tipo IRIS, PONTA CURVA, COMPRIMENTO CERCA DE 12 cm. Material AÇO INOXIDÁVEL, autoclavável até 135 °C. Com compatibilidade para sistema de rastreabilidade. Lote, logomarca do fabricante e as iniciais do hospital, utilizando método a laser.</t>
  </si>
  <si>
    <t>TESOURA METZENBAUM CURVA 16cm</t>
  </si>
  <si>
    <t>EBS05150</t>
  </si>
  <si>
    <t>TESOURA cirúrgica, tipo METZENBAUM, PONTA CURVA, COMPRIMENTO CERCA DE 16 cm. Material AÇO INOXIDÁVEL, autoclavável até 135 °C. Com compatibilidade para sistema de rastreabilidade. Lote, logomarca do fabricante e as iniciais do hospital, utilizando método a laser.</t>
  </si>
  <si>
    <t>VALVULÓTOMO DE MILLS</t>
  </si>
  <si>
    <t>INSTRUMENTAL CIRÚRGICO, TIPO VALVULÓTOMO DE MILLS, DIÂMETRO 2MM, APLICAÇÃO EM CIRURGIAS VASCULARES (FAIXA DE 2MM), PARA BY PASS, Instrumental não articulado, composto por haste flexível ou semirrígida e ponta de trabalho com lâmina interna para corte das válvulas. Material AÇO INOXIDÁVEL, autoclavável até 135 °C. Com compatibilidade para sistema de rastreabilidade. Lote, logomarca do fabricante e as iniciais do hospital, utilizando método a laser.</t>
  </si>
  <si>
    <t>TOTAL POR PEÇA</t>
  </si>
  <si>
    <r>
      <rPr>
        <sz val="11"/>
        <rFont val="Calibri"/>
        <family val="1"/>
      </rPr>
      <t>-</t>
    </r>
  </si>
  <si>
    <r>
      <rPr>
        <sz val="11"/>
        <rFont val="Calibri"/>
        <family val="1"/>
      </rPr>
      <t>EBS06632</t>
    </r>
  </si>
  <si>
    <r>
      <rPr>
        <sz val="11"/>
        <rFont val="Calibri"/>
        <family val="1"/>
      </rPr>
      <t>AFASTADOR ATRIAL DIREITO, tipo COOLEY, COMPRIMENTO cerca de 28 cm e ponta de 25x46mm. Material AÇO INOXIDÁVEL, autoclavável até 135 °C. Com compatibilidade para sistema de rastreabilidade. Lote, logomarca do fabricante e as iniciais do hospital, utilizando método a laser.</t>
    </r>
  </si>
  <si>
    <r>
      <rPr>
        <sz val="11"/>
        <rFont val="Calibri"/>
        <family val="1"/>
      </rPr>
      <t>AFASTADOR ATRIAL ESQUERDO, tipo COOLEY, COMPRIMENTO cerca de 28 cm e ponta de 45x30mm. Material AÇO INOXIDÁVEL, autoclavável até 135 °C. Com compatibilidade para sistema de rastreabilidade. Lote, logomarca do fabricante e as iniciais do hospital, utilizando método a laser.</t>
    </r>
  </si>
  <si>
    <r>
      <rPr>
        <sz val="11"/>
        <rFont val="Calibri"/>
        <family val="1"/>
      </rPr>
      <t>EBS06633</t>
    </r>
  </si>
  <si>
    <r>
      <rPr>
        <sz val="11"/>
        <rFont val="Calibri"/>
        <family val="1"/>
      </rPr>
      <t>AFASTADOR ATRIAL ESQUERDO, tipo COOLEY, COMPRIMENTO cerca de 28 cm e ponta de 45x48mm. Material AÇO INOXIDÁVEL, autoclavável até 135 °C. Com compatibilidade para sistema de rastreabilidade. Lote, logomarca do fabricante e as iniciais do hospital, utilizando método a laser.</t>
    </r>
  </si>
  <si>
    <r>
      <rPr>
        <sz val="11"/>
        <rFont val="Calibri"/>
        <family val="1"/>
      </rPr>
      <t>EBS08365</t>
    </r>
  </si>
  <si>
    <r>
      <rPr>
        <sz val="11"/>
        <rFont val="Calibri"/>
        <family val="1"/>
      </rPr>
      <t>AFASTADOR cirúrgico, tipo DINKHUYSEN, AORTA, COMPRIMENTO cerca de 27 cm, LÂMINA com diâmetro cerca de 20 mm x 25 mm. Material AÇO INOXIDÁVEL, autoclavável até 135°C. Com compatibilidade para sistema de rastreabilidade. Lote, logomarca do fabricante e as iniciais do hospital, utilizando método a laser.</t>
    </r>
  </si>
  <si>
    <r>
      <rPr>
        <sz val="11"/>
        <rFont val="Calibri"/>
        <family val="1"/>
      </rPr>
      <t>AFASTADOR CUSHING 24CM 15x22mm</t>
    </r>
  </si>
  <si>
    <r>
      <rPr>
        <sz val="11"/>
        <rFont val="Calibri"/>
        <family val="1"/>
      </rPr>
      <t>AFASTADOR CUSHING  24CM EM AÇO INOX  NÃO ESTÉRIL, COM PONTA DE 15X22MM AUTOCLAVAVEL E O COM CÓDIGO DATAMATRIX NO INSTRUMENTAL QUE PERMITAM RASTREABILIDADE  E EMBALAGEM COM DADOS DE ROTULAGEM EXIGIDOS PARA PRODUTOS PARA SAÚDE</t>
    </r>
  </si>
  <si>
    <r>
      <rPr>
        <sz val="11"/>
        <rFont val="Calibri"/>
        <family val="1"/>
      </rPr>
      <t>AFASTADOR FARABEUF, 15mmX150mm</t>
    </r>
  </si>
  <si>
    <r>
      <rPr>
        <sz val="11"/>
        <rFont val="Calibri"/>
        <family val="1"/>
      </rPr>
      <t>EBS04525</t>
    </r>
  </si>
  <si>
    <r>
      <rPr>
        <sz val="11"/>
        <rFont val="Calibri"/>
        <family val="1"/>
      </rPr>
      <t>AFASTADOR cirúrgico, tipo FARABEUF, LÂMINA cerca de 15 mm, COMPRIMENTO cerca de 150 mm. Material AÇO INOXIDÁVEL, autoclavável até 135 °C. Com compatibilidade para sistema de rastreabilidade. Lote, logomarca do fabricante e as iniciais do hospital, utilizando método a laser.</t>
    </r>
  </si>
  <si>
    <r>
      <rPr>
        <sz val="11"/>
        <rFont val="Calibri"/>
        <family val="1"/>
      </rPr>
      <t>AFASTADOR WEITLANER 18CM C/ 3X4 ROMBO</t>
    </r>
  </si>
  <si>
    <r>
      <rPr>
        <sz val="11"/>
        <rFont val="Calibri"/>
        <family val="1"/>
      </rPr>
      <t>EBS08367</t>
    </r>
  </si>
  <si>
    <r>
      <rPr>
        <sz val="11"/>
        <rFont val="Calibri"/>
        <family val="1"/>
      </rPr>
      <t>AFASTADOR cirúrgico autoestático, tipo WEITLANER, 3 x 4 dentes ROMBO, COMPRIMENTO cerca de 18
cm, material AÇO INOXIDÁVEL, travamento com cremalheira, autoclavável até 135°C. Com compatibilidade para sistema de rastreabilidade. Lote, logomarca do fabricante e as iniciais do hospital, utilizando método a laser.</t>
    </r>
  </si>
  <si>
    <r>
      <rPr>
        <sz val="11"/>
        <rFont val="Calibri"/>
        <family val="1"/>
      </rPr>
      <t>ALICATE PARA FIO ACO 20cm</t>
    </r>
  </si>
  <si>
    <r>
      <rPr>
        <sz val="11"/>
        <rFont val="Calibri"/>
        <family val="1"/>
      </rPr>
      <t>EBS08368</t>
    </r>
  </si>
  <si>
    <r>
      <rPr>
        <sz val="11"/>
        <rFont val="Calibri"/>
        <family val="1"/>
      </rPr>
      <t>ALICATE DE CORTE, tipo cirúrgico, COMPRIMENTO cerca de 20 cm, para corte de fios de aço, dupla
articulação. Material AÇO INOXIDÁVEL. Embalagem contendo identificação do produto, lote, data de fabricação, validade e registro na Anvisa.</t>
    </r>
  </si>
  <si>
    <r>
      <rPr>
        <sz val="11"/>
        <rFont val="Calibri"/>
        <family val="1"/>
      </rPr>
      <t>CABO DE BISTURI LONGO N. 3 CABO REDONDO</t>
    </r>
  </si>
  <si>
    <r>
      <rPr>
        <sz val="11"/>
        <rFont val="Calibri"/>
        <family val="1"/>
      </rPr>
      <t>EBS04667</t>
    </r>
  </si>
  <si>
    <r>
      <rPr>
        <sz val="11"/>
        <rFont val="Calibri"/>
        <family val="1"/>
      </rPr>
      <t>Cabo DE BISTURI CIRÚRGICO, TAMANHO nº 3, COMPRIMENTO cerca de 20 cm, CABO CHATO, PARA
LÂMINA nº 10 a 17, material AÇO INOX, autoclavável até 135 °C. Com compatibilidade para sistema de rastreabilidade. Lote, logomarca do fabricante e as iniciais do hospital, utilizando método a laser.</t>
    </r>
  </si>
  <si>
    <r>
      <rPr>
        <sz val="11"/>
        <rFont val="Calibri"/>
        <family val="1"/>
      </rPr>
      <t>CABO DE BISTURI N.7</t>
    </r>
  </si>
  <si>
    <r>
      <rPr>
        <sz val="11"/>
        <rFont val="Calibri"/>
        <family val="1"/>
      </rPr>
      <t>EBS04668</t>
    </r>
  </si>
  <si>
    <r>
      <rPr>
        <sz val="11"/>
        <rFont val="Calibri"/>
        <family val="1"/>
      </rPr>
      <t>Cabo DE BISTURI CIRÚRGICO, TAMANHO nº 7, COMPRIMENTO cerca de 16 cm, CABO CHATO, LÂMINA
nº 10 a 17, material AÇO INOX, autoclavável até 135°c. Com compatibilidade para sistema de rastreabilidade. Lote, logomarca do fabricante e as iniciais do hospital, utilizando método a laser.</t>
    </r>
  </si>
  <si>
    <r>
      <rPr>
        <sz val="11"/>
        <rFont val="Calibri"/>
        <family val="1"/>
      </rPr>
      <t>CANULA CARDIOPLEGIA DINKHUYSEN / ANG.30°</t>
    </r>
  </si>
  <si>
    <r>
      <rPr>
        <sz val="11"/>
        <rFont val="Calibri"/>
        <family val="1"/>
      </rPr>
      <t>CANULA TIPO CARDIOPLEGIA, EM ACO INOXIDAVEL, FORMATO ANGULADA 30º,   NAO ESTERIL,
AUTOCLAVAVEL, EM EMBALAGEM COM DADOS DE ROTULAGEM EXI   GIDOS PARA PRODUTOS PARA SAUDE, QUE PERMITAM RASTREABILIDADE.</t>
    </r>
  </si>
  <si>
    <r>
      <rPr>
        <sz val="11"/>
        <rFont val="Calibri"/>
        <family val="1"/>
      </rPr>
      <t>CANULA CARDIOPLEGIA DINKHUYSEN / ANG.90°</t>
    </r>
  </si>
  <si>
    <r>
      <rPr>
        <sz val="11"/>
        <rFont val="Calibri"/>
        <family val="1"/>
      </rPr>
      <t>CANULA TIPO CARDIOPLEGIA, EM ACO INOXIDAVEL,FORMATO ANGULADA 90º,      NAO ESTERIL,
AUTOCLAVAVEL, EM EMBALAGEM COM DADOS DE ROTULAGEM      EXIGIDOS PARA PRODUTOS PARA SAUDE, QUE PERMITAM RASTREABILIDADE.</t>
    </r>
  </si>
  <si>
    <r>
      <rPr>
        <sz val="11"/>
        <rFont val="Calibri"/>
        <family val="1"/>
      </rPr>
      <t>CANULA CIRURG.POOLE,ACO,20 A 30CM</t>
    </r>
  </si>
  <si>
    <r>
      <rPr>
        <sz val="11"/>
        <rFont val="Calibri"/>
        <family val="1"/>
      </rPr>
      <t>EBS11902</t>
    </r>
  </si>
  <si>
    <r>
      <rPr>
        <sz val="11"/>
        <rFont val="Calibri"/>
        <family val="1"/>
      </rPr>
      <t>CANULA EM ACO INOXIDAVEL,TIPO POOLE,COMPRIMENTO 20 A 30CM, PONTA ANGULADA , M
DIAMETRO INTERNO DE 1/4, PONTA COM MULTI ORIFICIOS COM DIAMETRO DE 10 A 15MM. NAO ESTERIL, AUTOCLAVAVEL, EM EMBALAGEM COM DADOS DE ROTULAGEM EXIGIDOS PARA PRODUTOS PARA SAUDE,QUE PERMITAM RASTREABILIDADE. USO ASPIRACAO CIRURGICA.</t>
    </r>
  </si>
  <si>
    <r>
      <rPr>
        <sz val="11"/>
        <rFont val="Calibri"/>
        <family val="1"/>
      </rPr>
      <t>ESTILETE RUMMEL PASSA FIO (PASSADOR GANCHINHO)</t>
    </r>
  </si>
  <si>
    <r>
      <rPr>
        <sz val="11"/>
        <rFont val="Calibri"/>
        <family val="1"/>
      </rPr>
      <t>Não tem</t>
    </r>
  </si>
  <si>
    <r>
      <rPr>
        <sz val="11"/>
        <rFont val="Calibri"/>
        <family val="1"/>
      </rPr>
      <t>ESTILETE RUMMEL - EM ACO INOS AISI 400, PARA TORACOTOMIA, 26 CM</t>
    </r>
  </si>
  <si>
    <r>
      <rPr>
        <sz val="11"/>
        <rFont val="Calibri"/>
        <family val="1"/>
      </rPr>
      <t>EBS15266</t>
    </r>
  </si>
  <si>
    <r>
      <rPr>
        <sz val="11"/>
        <rFont val="Calibri"/>
        <family val="1"/>
      </rPr>
      <t>Gancho cirúrgico, modelo para VÁLVULA MITRAL, COMPRIMENTO cerca de 32 cm, ponta ativa nas DUAS extremidades, uso em cirurgia cardíaca com circulação extracorpórea (CEC). Material AÇO INOXIDÁVEL, autoclavável até 135°c. Com compatibilidade para sistema de rastreabilidade. Lote, logomarca do fabricante e as iniciais do hospital, utilizando método a laser.</t>
    </r>
  </si>
  <si>
    <t>GRAMPO PARA CONTENÇÃO DE PINÇAS (CLIP DE MAYO)</t>
  </si>
  <si>
    <t>Grampo em inox para contenção de pinças para caixas cirúrgicas.</t>
  </si>
  <si>
    <t>PINÇA ALLIS 25CM</t>
  </si>
  <si>
    <t>EBS04717</t>
  </si>
  <si>
    <t>PINÇA cirúrgica, tipo ALLIS, ponta RETA, COM 5 X 6 DENTES, COMPRIMENTO cerca de 24 cm, COM CREMALHEIRA. Material AÇO INOXIDÁVEL, autoclavável até 135 °C. Com compatibilidade para sistema de rastreabilidade. Lote, logomarca do fabricante e as iniciais do hospital, utilizando método a laser.</t>
  </si>
  <si>
    <t>PINÇA BABY MIXTER</t>
  </si>
  <si>
    <t>EBS04747</t>
  </si>
  <si>
    <r>
      <rPr>
        <sz val="11"/>
        <rFont val="Tahoma"/>
        <family val="2"/>
      </rPr>
      <t>PINÇA cirúrgica, tipo BABY MIXTER, COMPRIMENTO cerca de 16 cm, COM CREMALHEIRA. Material AÇO
INOXIDÁVEL, autoclavável até 135 °C. Com compatibilidade para sistema de rastreabilidade. Lote, logomarca do fabricante e as iniciais do hospital, utilizando método a laser.</t>
    </r>
  </si>
  <si>
    <t>PINÇA CHERON</t>
  </si>
  <si>
    <t>EBS04682</t>
  </si>
  <si>
    <r>
      <rPr>
        <sz val="11"/>
        <rFont val="Tahoma"/>
        <family val="2"/>
      </rPr>
      <t>PINÇA CIRÚRGICA, TIPO CHERON, COMPRIMENTO CERCA DE 24 CM, COM CREMALHEIRA. MATERIAL
AÇO INOXIDÁVEL AISI 420, AUTOCLAVÁVEL ATÉ 135 °C. COM COMPATIBILIDADE PARA SISTEMA DE RASTREABILIDADE. GARANTIA DE 10 ANOS. LOTE, LOGOMARCA DO FABRICANTE E AS INICIAIS DO HOSPITAL, UTILIZANDO MÉTODO A LASER. UNIDADE EBS04682</t>
    </r>
  </si>
  <si>
    <t>PINÇA CLAMP DEBAKEY ANGULADA 13CM</t>
  </si>
  <si>
    <t>PINÇA cirúrgica, tipo DEBAKEY, com ponta ANGULADA, modelo CLAMP VASCULAR, COMPRIMENTO cerca de 12 cm. Material AÇO INOXIDÁVEL, autoclavável até 135 °C. Com compatibilidade para sistema de rastreabilidade. Lote, logomarca do fabricante e as iniciais do hospital, utilizando método a laser</t>
  </si>
  <si>
    <t>PINÇA CLAMP DEBAKEY ANGULADA 18CM</t>
  </si>
  <si>
    <t>PINÇA cirúrgica, tipo DEBAKEY, com ponta ANGULADA, modelo CLAMP VASCULAR, COMPRIMENTO cerca de 18 cm. Material AÇO INOXIDÁVEL, autoclavável até 135 °C. Com compatibilidade para sistema de rastreabilidade. Lote, logomarca do fabricante e as iniciais do hospital, utilizando método a laser</t>
  </si>
  <si>
    <t>PINÇA CLAMP DEBAKEY ANGULADA 26CM</t>
  </si>
  <si>
    <t>PINÇA cirúrgica, tipo DEBAKEY, com ANGULAÇÃO 45°, modelo CLAMP VASCULAR, COMPRIMENTO cerca de 18 cm. Material AÇO INOXIDÁVEL, autoclavável até 135 °C. Com compatibilidade para sistema de rastreabilidade. Lote, logomarca do fabricante e as iniciais do hospital, utilizando método a laser</t>
  </si>
  <si>
    <t>PINÇA CLAMP DEBAKEY CURVA 18CM</t>
  </si>
  <si>
    <t>EBS12011</t>
  </si>
  <si>
    <r>
      <rPr>
        <sz val="11"/>
        <rFont val="Tahoma"/>
        <family val="2"/>
      </rPr>
      <t>PINÇA cirúrgica, tipo DEBAKEY, ponta CURVA, aplicação CLAMP DE AORTA, COMPRIMENTO cerca de 18
cm, COM cremalheira. Material AÇO INOXIDÁVEL, autoclavável até 135°C. Com compatibilidade para sistema de rastreabilidade. Lote, logomarca do fabricante e as iniciais do hospital, utilizando método a laser.</t>
    </r>
  </si>
  <si>
    <t>PINÇA CLAMP DEBAKEY CURVA 26CM</t>
  </si>
  <si>
    <t>EBS08387</t>
  </si>
  <si>
    <r>
      <rPr>
        <sz val="11"/>
        <rFont val="Tahoma"/>
        <family val="2"/>
      </rPr>
      <t>PINÇA cirúrgica, tipo DEBAKEY, ponta CURVA, aplicação CLAMP DE AORTA, COMPRIMENTO cerca de 23 a
26 cm, COM cremalheira. Material AÇO INOXIDÁVEL, autoclavável até 135°C. Com compatibilidade para sistema de rastreabilidade. Lote, logomarca do fabricante e as iniciais do hospital, utilizando método a laser.</t>
    </r>
  </si>
  <si>
    <r>
      <rPr>
        <sz val="11"/>
        <rFont val="Calibri"/>
        <family val="1"/>
      </rPr>
      <t>PINÇA CLAMP SATINSKY 3,5X26CM</t>
    </r>
  </si>
  <si>
    <r>
      <rPr>
        <sz val="11"/>
        <rFont val="Calibri"/>
        <family val="1"/>
      </rPr>
      <t>EBS10409</t>
    </r>
  </si>
  <si>
    <r>
      <rPr>
        <sz val="11"/>
        <rFont val="Calibri"/>
        <family val="1"/>
      </rPr>
      <t>CLAMP cirúrgico, tipo SATINSKY, ponta CURVA, biangulada, SERRILHADA, ponta cerca de 3,5 cm,
COMPRIMENTO TOTAL CERCA DE 26 cm, COM CREMALHEIRA. Material AÇO INOXIDÁVEL, autoclavável
até 135 °C. Com compatibilidade para sistema de rastreabilidade. Garantia de 10 anos. Lote, logomarca do fabricante e as iniciais do hospital, utilizando método a laser.</t>
    </r>
  </si>
  <si>
    <t>EBS08381</t>
  </si>
  <si>
    <t>PINÇA cirúrgica, tipo dissecção (anatômica), DENTE DE RATO, COMPRIMENTO cerca de 20 cm, PONTA 1 x 2 dentes. Material AÇO INOXIDÁVEL, autoclavável até 135°C. Com compatibilidade para sistema de rastreabilidade. Lote, logomarca do fabricante e as iniciais do hospital, utilizando método a laser.</t>
  </si>
  <si>
    <t>PINÇA DISSECÇÃO DEBAKEY 20CM/2,5mm</t>
  </si>
  <si>
    <t>EBS15352</t>
  </si>
  <si>
    <r>
      <rPr>
        <sz val="11"/>
        <rFont val="Tahoma"/>
        <family val="2"/>
      </rPr>
      <t>PINÇA cirúrgica, tipo DISSECÇÃO (anatômica), DEBAKEY, RETA, SERRILHADA, COMPRIMENTO CERCA DE
20 cm, PONTA DE 2,5 MM (+/- 1 MM). Material AÇO INOXIDÁVEL, autoclavável até 135 °C. Com compatibilidade para sistema de rastreabilidade. Lote, logomarca do fabricante e as iniciais do hospital, utilizando método a laser.</t>
    </r>
  </si>
  <si>
    <t>PINÇA DISSECÇÃO DEBAKEY 24CM/2,5mm</t>
  </si>
  <si>
    <t>EBS14224</t>
  </si>
  <si>
    <r>
      <rPr>
        <sz val="11"/>
        <rFont val="Tahoma"/>
        <family val="2"/>
      </rPr>
      <t>PINÇA cirúrgica, tipo DISSECÇÃO (anatômica), DEBAKEY, SERRILHADA, COMPRIMENTO CERCA DE 24
cm, PONTA DE 2,8 MM (+/- 1 MM). Material AÇO INOXIDÁVEL, autoclavável até 135 °C. Com compatibilidade para sistema de rastreabilidade. Lote, logomarca do fabricante e as iniciais do hospital, utilizando método a laser.</t>
    </r>
  </si>
  <si>
    <t>PINÇA DUVAL COLLIN</t>
  </si>
  <si>
    <t>EBS04700</t>
  </si>
  <si>
    <t>PINÇA cirúrgica, tipo DUVAL, ponta RETA, SERRILHADA, COMPRIMENTO cerca de 20 cm, COM CREMALHEIRA. Material AÇO INOXIDÁVEL, autoclavável até 135 °C. Com compatibilidade para sistema de rastreabilidade. Lote, logomarca do fabricante e as iniciais do hospital, utilizando método a laser.</t>
  </si>
  <si>
    <t>PINÇA KELLY CURVA 16CM</t>
  </si>
  <si>
    <t>EBS04807</t>
  </si>
  <si>
    <t>PINÇA cirúrgica, tipo KELLY, ponta CURVA, SERRILHADA, COMPRIMENTO cerca de 16 cm, COM CREMALHEIRA. Material AÇO INOXIDÁVEL, autoclavável até 135 °C. Com compatibilidade para sistema de rastreabilidade. Lote, logomarca do fabricante e as iniciais do hospital, utilizando método a laser.</t>
  </si>
  <si>
    <t>PINÇA MIXTER 18CM</t>
  </si>
  <si>
    <t>EBS04741</t>
  </si>
  <si>
    <r>
      <rPr>
        <sz val="11"/>
        <rFont val="Tahoma"/>
        <family val="2"/>
      </rPr>
      <t>PINÇA cirúrgica, tipo MIXTER, ponta DELICADA, com CURVATURA MÍNIMA DE 75°, COMPRIMENTO cerca
de 18 cm, COM CREMALHEIRA. Material AÇO INOXIDÁVEL, autoclavável até 135 °C. Com compatibilidade para sistema de rastreabilidade. Lote, logomarca do fabricante e as iniciais do hospital, utilizando método a laser.</t>
    </r>
  </si>
  <si>
    <t>PINÇA MIXTER 24CM</t>
  </si>
  <si>
    <t>EBS04737</t>
  </si>
  <si>
    <t>PINÇA cirúrgica, tipo MIXTER, com CURVATURA MÍNIMA DE 75°, COMPRIMENTO cerca de 24 cm, COM CREMALHEIRA. Material AÇO INOXIDÁVEL, autoclavável até 135 °C. Com compatibilidade para sistema de rastreabilidade. Lote, logomarca do fabricante e as iniciais do hospital, utilizando método a laser.</t>
  </si>
  <si>
    <t>PINÇA MOSǪUITO CURVA 12cm</t>
  </si>
  <si>
    <t>EBS04824</t>
  </si>
  <si>
    <r>
      <rPr>
        <sz val="11"/>
        <rFont val="Tahoma"/>
        <family val="2"/>
      </rPr>
      <t>PINÇA cirúrgica, tipo HALSTEAD MOSǪUITO, ponta CURVA, SERRILHADA, COMPRIMENTO cerca de 12
cm, COM CREMALHEIRA. Material AÇO INOXIDÁVEL, autoclavável até 135 °C. Com compatibilidade para sistema de rastreabilidade. Lote, logomarca do fabricante e as iniciais do hospital, utilizando método a laser.</t>
    </r>
  </si>
  <si>
    <t>PINÇA MOYNIHAN PONTA DELICADA (TIPO KELLY) 20CM</t>
  </si>
  <si>
    <t>EBS04809</t>
  </si>
  <si>
    <t>PINÇA cirúrgica, tipo KELLY, ponta CURVA, SERRILHADA, COMPRIMENTO cerca de 20 cm, COM CREMALHEIRA. Material AÇO INOXIDÁVEL, autoclavável até 135 °C. Com compatibilidade para sistema de rastreabilidade. Lote, logomarca do fabricante e as iniciais do hospital, utilizando método a laser.</t>
  </si>
  <si>
    <t>PINÇA REYNALD PARA TUBO</t>
  </si>
  <si>
    <t>EBS04727</t>
  </si>
  <si>
    <r>
      <rPr>
        <sz val="11"/>
        <rFont val="Tahoma"/>
        <family val="2"/>
      </rPr>
      <t>PINÇA cirúrgica, tipo REYNALD, atraumática, para tubo, SEM SERRILHA, COMPRIMENTO cerca de 20 cm,
COM CREMALHEIRA. Material AÇO INOXIDÁVEL, autoclavável até 135 °C. Com compatibilidade para sistema de rastreabilidade. Lote, logomarca do fabricante e as iniciais do hospital, utilizando método a laser.</t>
    </r>
  </si>
  <si>
    <t>PINÇA ROCHESTER PEAN CURVA 24CM</t>
  </si>
  <si>
    <t>EBS04779</t>
  </si>
  <si>
    <r>
      <rPr>
        <sz val="11"/>
        <rFont val="Tahoma"/>
        <family val="2"/>
      </rPr>
      <t>PINÇA cirúrgica, tipo ROCHESTER PEAN, ponta CURVA, SERRILHADA, COMPRIMENTO cerca de 24 cm,
COM CREMALHEIRA. Material AÇO INOXIDÁVEL, autoclavável até 135 °C. Com compatibilidade para sistema de rastreabilidade. Lote, logomarca do fabricante e as iniciais do hospital, utilizando método a laser.</t>
    </r>
  </si>
  <si>
    <t>PINÇA RUSSA 20CM</t>
  </si>
  <si>
    <t>EBS04830</t>
  </si>
  <si>
    <r>
      <rPr>
        <sz val="11"/>
        <rFont val="Tahoma"/>
        <family val="2"/>
      </rPr>
      <t>PINÇA cirúrgica, tipo PATA DE GATO (pata russa), COMPRIMENTO cerca de 20 cm. Material AÇO
INOXIDÁVEL, autoclavável até 135 °C. Com compatibilidade para sistema de rastreabilidade. Lote, logomarca do fabricante e as iniciais do hospital, utilizando método a laser.</t>
    </r>
  </si>
  <si>
    <t>PINÇA SACA CALCIO PARA CIMA</t>
  </si>
  <si>
    <t>EBS08404</t>
  </si>
  <si>
    <t>PINÇA cirúrgica articulada cortante, tipo SACA CÁLCIO, ponta BOCA PARA CIMA, COMPRIMENTO CERCA DE 20 cm. Material AÇO INOXIDÁVEL, autoclavável até 135°C. Com compatibilidade para sistema de rastreabilidade. Lote, logomarca do fabricante e as iniciais do hospital, utilizando método a laser.</t>
  </si>
  <si>
    <t>PINÇA SEMB 24CM</t>
  </si>
  <si>
    <t>EBS08478</t>
  </si>
  <si>
    <t>PINÇA cirúrgica, tipo SEMB, ponta CURVA, LISA, COMPRIMENTO cerca de 24 cm, COM CREMALHEIRA. Material AÇO INOXIDÁVEL, autoclavável até 135°C. Com compatibilidade para sistema de rastreabilidade. Lote, logomarca do fabricante e as iniciais do hospital, utilizando método a laser.</t>
  </si>
  <si>
    <t>PINÇA VALVULA MITRAL 35CM</t>
  </si>
  <si>
    <t>EBS08402</t>
  </si>
  <si>
    <t>PINÇA cirúrgica, aplicação VÁLVULA MITRAL, ponta CURVA, COMPRIMENTO cerca de 34 cm, material AÇO INOXIDÁVEL, SEM CREMALHEIRA, autoclavável até 135°C. Com compatibilidade para sistema de rastreabilidade. Lote, logomarca do fabricante e as iniciais do hospital, utilizando método a laser.</t>
  </si>
  <si>
    <t>PINÇA WINTER CURVA 28CM</t>
  </si>
  <si>
    <t>EBS09388</t>
  </si>
  <si>
    <r>
      <rPr>
        <sz val="11"/>
        <rFont val="Tahoma"/>
        <family val="2"/>
      </rPr>
      <t>PINÇA cirúrgica, tipo WINTER, ponta CURVA, COMPRIMENTO cerca de 28 cm. Material AÇO INOXIDÁVEL,
autoclavável até 135°C. Com compatibilidade para sistema de rastreabilidade. Lote, logomarca do fabricante e as iniciais do hospital, utilizando método a laser.</t>
    </r>
  </si>
  <si>
    <t>PORTA AGULHA FIO DE AÇO 20CM</t>
  </si>
  <si>
    <t>EBS08489</t>
  </si>
  <si>
    <r>
      <rPr>
        <sz val="11"/>
        <rFont val="Tahoma"/>
        <family val="2"/>
      </rPr>
      <t>PORTA-AGULHA para FIO DE AÇO, ponta RETA, com trava, COMPRIMENTO cerca de 20 cm, material AÇO
INOXIDÁVEL, autoclavável até 135°C. Com compatibilidade para sistema de rastreabilidade. Lote, logomarca do fabricante e as iniciais do hospital, utilizando método a laser.</t>
    </r>
  </si>
  <si>
    <t>PORTA AGULHA HEGAR VIDEA 16CM</t>
  </si>
  <si>
    <t>EBS08277</t>
  </si>
  <si>
    <r>
      <rPr>
        <sz val="11"/>
        <rFont val="Tahoma"/>
        <family val="2"/>
      </rPr>
      <t>PORTA-AGULHA, tipo MAYO HEGAR, ponta RETA, com VÍDEA, COMPRIMENTO cerca de 16 cm. Material
AÇO INOXIDÁVEL, autoclavável até 135 °C. Com compatibilidade para sistema de rastreabilidade. Lote, logomarca do fabricante e as iniciais do hospital, utilizando método a laser.</t>
    </r>
  </si>
  <si>
    <t>PORTA AGULHA HEGAR VIDEA 20CM</t>
  </si>
  <si>
    <t>EBS06681</t>
  </si>
  <si>
    <r>
      <rPr>
        <sz val="11"/>
        <rFont val="Tahoma"/>
        <family val="2"/>
      </rPr>
      <t>PORTA-AGULHA, tipo MAYO HEGAR, ponta RETA, com VÍDEA, COMPRIMENTO cerca de 20 cm. Material
AÇO INOXIDÁVEL, autoclavável até 135 °C. Com compatibilidade para sistema de rastreabilidade. Lote, logomarca do fabricante e as iniciais do hospital, utilizando método a laser.</t>
    </r>
  </si>
  <si>
    <t>PORTA AGULHA MAYO HEGAR VIDEA 26CM</t>
  </si>
  <si>
    <t>EBS08484</t>
  </si>
  <si>
    <r>
      <rPr>
        <sz val="11"/>
        <rFont val="Tahoma"/>
        <family val="2"/>
      </rPr>
      <t>PORTA-AGULHA, tipo MAYO HEGAR, ponta RETA, com VÍDEA, COMPRIMENTO cerca de 26 cm. Material
AÇO INOXIDÁVEL, autoclavável até 135°C. Com compatibilidade para sistema de rastreabilidade. Lote, logomarca do fabricante e as iniciais do hospital, utilizando método a laser.</t>
    </r>
  </si>
  <si>
    <t>TESOURA DE MAYO RETA 18 CM</t>
  </si>
  <si>
    <t>EBS15606</t>
  </si>
  <si>
    <r>
      <rPr>
        <sz val="11"/>
        <rFont val="Tahoma"/>
        <family val="2"/>
      </rPr>
      <t>TESOURA cirúrgica, tipo MAYO, PONTA RETA, COMPRIMENTO cerca de 18 cm. Material AÇO INOXIDÁVEL,
autoclavável até 135°C. Com compatibilidade para sistema de rastreabilidade. Lote, logomarca do fabricante e as iniciais do hospital, utilizando método a laser.</t>
    </r>
  </si>
  <si>
    <t>TESOURA LISTER</t>
  </si>
  <si>
    <t>EBS05201</t>
  </si>
  <si>
    <r>
      <rPr>
        <sz val="11"/>
        <rFont val="Tahoma"/>
        <family val="2"/>
      </rPr>
      <t>TESOURA cirúrgica, tipo LISTER, COMPRIMENTO cerca de 20 cm. Material AÇO INOXIDÁVEL, autoclavável
até 135 °C. Com compatibilidade para sistema de rastreabilidade. Lote, logomarca do fabricante e as iniciais do hospital, utilizando método a laser.</t>
    </r>
  </si>
  <si>
    <t>TESOURA MAYO STILLE CURVA 23CM</t>
  </si>
  <si>
    <t>EBS12905</t>
  </si>
  <si>
    <r>
      <rPr>
        <sz val="11"/>
        <rFont val="Tahoma"/>
        <family val="2"/>
      </rPr>
      <t>ESOURA cirúrgica, tipo MAYO, PONTA CURVA, COMPRIMENTO cerca de 23 cm. Material AÇO
INOXIDÁVEL, autoclavável até 135°C. Com compatibilidade para sistema de rastreabilidade. Lote, logomarca do fabricante e as iniciais do hospital, utilizando método a laser.</t>
    </r>
  </si>
  <si>
    <t>TESOURA METZEMBAUM CURVA 24CM</t>
  </si>
  <si>
    <t>EBS05154</t>
  </si>
  <si>
    <r>
      <rPr>
        <sz val="11"/>
        <rFont val="Tahoma"/>
        <family val="2"/>
      </rPr>
      <t>TESOURA cirúrgica, tipo METZENBAUM, PONTA CURVA, COMPRIMENTO CERCA DE 24 cm. Material AÇO
INOXIDÁVEL, autoclavável até 135 °C. Com compatibilidade para sistema de rastreabilidade. Lote, logomarca do fabricante e as iniciais do hospital, utilizando método a laser.</t>
    </r>
  </si>
  <si>
    <t>TESOURA METZEMBAUM RETA 20CM</t>
  </si>
  <si>
    <t>EBS05177</t>
  </si>
  <si>
    <r>
      <rPr>
        <sz val="11"/>
        <rFont val="Tahoma"/>
        <family val="2"/>
      </rPr>
      <t>TESOURA cirúrgica, tipo METZENBAUM, PONTA RETA, COMPRIMENTO CERCA DE 20 cm. Material AÇO
INOXIDÁVEL, autoclavável até 135 °C. Com compatibilidade para sistema de rastreabilidade. Lote, logomarca do fabricante e as iniciais do hospital, utilizando método a laser.</t>
    </r>
  </si>
  <si>
    <t>TESOURA METZENBAUM CURVA 20CM</t>
  </si>
  <si>
    <t>EBS05152</t>
  </si>
  <si>
    <r>
      <rPr>
        <sz val="11"/>
        <rFont val="Tahoma"/>
        <family val="2"/>
      </rPr>
      <t>TESOURA cirúrgica, tipo METZENBAUM, PONTA CURVA, COMPRIMENTO CERCA DE 20 cm. Material AÇO
INOXIDÁVEL, autoclavável até 135 °C. Com compatibilidade para sistema de rastreabilidade. Lote, logomarca do fabricante e as iniciais do hospital, utilizando método a laser.</t>
    </r>
  </si>
  <si>
    <t>MICRO NEURO</t>
  </si>
  <si>
    <t>CRÂNIO</t>
  </si>
  <si>
    <t>ASPIRADOR FRAZIER DELICADO 16CM DE COMPRIMENTO TOTAL (DA PONTA QUE SE CONECTA AO ASPIRADOR ATÉ O FIM DO ANEL DE PROTEÇÃO) E 1,5MM DE DIAMETRO, COM ANEL DE PROTECAO,EM ACO INOXIDAVEL, NAO ESTERIL, AUTOCLAVAVEL, COM CODIGO DATAMATRIX NO INSTRUMENTAL QUE PERMITA A RASTREABILIDADE, EMBALAGEM COM DADOS DE ROTULAGEM EXIGIDOS PARA PRODUTOS PARA SAUDE. COM REGISTRO NA ANVISA. USO EXCLUSIVO DA NEUROCIRURGIA.</t>
  </si>
  <si>
    <t>ASPIRADOR FRAZIER DELICADO 16CM DE COMPRIMENTO TOTAL (DA PONTA QUE SE CONECTA AO ASPIRADOR ATÉ O FIM DO ANEL DE PROTEÇÃO) E 2,0MM DE DIAMETRO, COM ANEL DE PROTECAO,EM ACO INOXIDAVEL, NAO ESTERIL, AUTOCLAVAVEL, COM CODIGO DATAMATRIX NO INSTRUMENTAL QUE PERMITA A RASTREABILIDADE, EMBALAGEM COM DADOS DE ROTULAGEM EXIGIDOS PARA PRODUTOS PARA SAUDE. COM REGISTRO NA ANVISA. USO EXCLUSIVO DA NEUROCIRURGIA.</t>
  </si>
  <si>
    <t>ASPIRADOR FRAZIER DELICADO 16CM DE COMPRIMENTO TOTAL (DA PONTA QUE SE CONECTA AO ASPIRADOR ATÉ O FIM DO ANEL DE PROTEÇÃO) E 2,5MM DE DIAMETRO, COM ANEL DE PROTECAO,EM ACO INOXIDAVEL, NAO ESTERIL, AUTOCLAVAVEL, COM CODIGO DATAMATRIX NO INSTRUMENTAL QUE PERMITA A RASTREABILIDADE, EMBALAGEM COM DADOS DE ROTULAGEM EXIGIDOS PARA PRODUTOS PARA SAUDE. COM REGISTRO NA ANVISA. USO EXCLUSIVO DA NEUROCIRURGIA.</t>
  </si>
  <si>
    <t>ASPIRADOR FRAZIER DELICADO 16CM DE COMPRIMENTO TOTAL (DA PONTA QUE SE CONECTA AO ASPIRADOR ATÉ O FIM DO ANEL DE PROTEÇÃO) E 3,0MM DE DIAMETRO, COM ANEL DE PROTECAO,EM ACO INOXIDAVEL, NAO ESTERIL, AUTOCLAVAVEL, COM CODIGO DATAMATRIX NO INSTRUMENTAL QUE PERMITA A RASTREABILIDADE, EMBALAGEM COM DADOS DE ROTULAGEM EXIGIDOS PARA PRODUTOS PARA SAUDE. COM REGISTRO NA ANVISA. USO EXCLUSIVO DA NEUROCIRURGIA.</t>
  </si>
  <si>
    <t xml:space="preserve"> MICROTESOURA BAIONETA TIPO YASARGIL COM 16CM DE COMPRIMENTO PONTA RETA EM AÇO INOX, NAO ESTERIL, AUTOCLAVAVEL E O COM CODIGO DATAMATRIX NO INSTRUMENTAL QUE PERMITAM RASTREABILIDADE  E EMBALAGEM COM DADOS DE ROTULAGEM EXIGIDOS PARA PRODUTOS PARA SAUDE</t>
  </si>
  <si>
    <t>MICROTESOURA BAIONETA TIPO YASARGIL COM 18CM DE COMPRIMENTO PONTA RETA EM AÇO INOX, NAO ESTERIL, AUTOCLAVAVEL E O COM CODIGO DATAMATRIX NO INSTRUMENTAL QUE PERMITAM RASTREABILIDADE  E EMBALAGEM COM DADOS DE ROTULAGEM EXIGIDOS PARA PRODUTOS PARA SAUDE</t>
  </si>
  <si>
    <t>PINÇA CIRÚRGICA, TIPO NICOLA, PARA BIÓPSIA, COMPRIMENTO CERCA DE 18,5 CM, DIÂMETRO 2 MM. MATERIAL AÇO INOXIDÁVEL, AUTOCLAVÁVEL ATÉ 135 °C. COM COMPATIBILIDADE PARA SISTEMA DE RASTREABILIDADE. LOTE, LOGOMARCA DO FABRICANTE E AS INICIAIS DO HOSPITAL, UTILIZANDO MÉTODO A LASER.</t>
  </si>
  <si>
    <t xml:space="preserve"> PINÇA CIRÚRGICA, TIPO NICOLA, PARA BIÓPSIA, COMPRIMENTO CERCA DE 18,5 CM, DIÂMETRO 4 MM. MATERIAL AÇO INOXIDÁVEL, AUTOCLAVÁVEL ATÉ 135 °C. COM COMPATIBILIDADE PARA SISTEMA DE RASTREABILIDADE. LOTE, LOGOMARCA DO FABRICANTE E AS INICIAIS DO HOSPITAL, UTILIZANDO MÉTODO A LASER</t>
  </si>
  <si>
    <t>PINÇA CIRÚRGICA (ANATÔMICA), TIPO CUSHING, PONTA RETA, 1 X 2 DENTES,      COMPRIMENTO CERCA DE 18 CM, MATERIAL AÇO INOXIDÁVEL, AUTOCLAVÁVEL      ATÉ 135°C. COM COMPATIBILIDADE PARA SISTEMA DE RASTREABILIDADE.  LOTE, LOGOMARCA DO FABRICANTE E AS INICIAIS DO HOSPITAL, UTILIZANDO MÉTODO A LASER.</t>
  </si>
  <si>
    <t>PINÇA LOVE GRUENWALD RETA 10MMX3MM/18CM EM AÇO INOX, NAO ESTERIL, AUTO    CLAVAVEL E O COM CODIGO DATAMATRIX NO INSTRUMENTAL QUE PERMITAM RASTRE ABILIDADE E EMBALAGEM COM DADOS DE ROTULAGEM EXIGIDOS PARA PRODUTOS PARA SAUDE</t>
  </si>
  <si>
    <t>PINÇA LOVE GRUENWALD RETA 10MMX4MM/18CM EM AÇO INOX, NAO ESTERIL, AUTOCLAVAVEL E O COM CODIGO DATAMATRIX NO INSTRUMENTAL QUE PERMITAM RASTREABILIDADE E EMBALAGEM COM DADOS DE ROTULAGEM EXIGIDOS PARA PRODUTOS PARA SAUDE</t>
  </si>
  <si>
    <t>PINÇA RELOJOEIRO RETA COM CERCA DE 12,5CM EM AÇO INOX, NAO ESTERIL, AUTOCLAVAVEL E O COM CODIGO DATAMATRIX NO INSTRUMENTAL QUE PERMITAM RASTREABILIDADE E EMBALAGEM COM DADOS DE ROTULAGEM EXIGIDOS PARA PRODUTOS PARA SAUDE.</t>
  </si>
  <si>
    <t xml:space="preserve"> MICRO PORTA AGULHA BAIONETA TIPO YASARGIL COM 18CM DE COMPRIMENTO E COM PONTA RETA EM AÇO INOX, NAO ESTERIL, AUTOCLAVAVEL E O COM CODIGO DATAMATRIX NO INSTRUMENTAL QUE PERMITAM RASTREABILIDADE  E EMBALAGEM COM DADOS DE ROTULAGEM EXIGIDOS PARA PRODUTOS PARA SAUDE</t>
  </si>
  <si>
    <t xml:space="preserve">ASPIRADOR FRAZIER FENDA NEURO 1,5 MM </t>
  </si>
  <si>
    <t xml:space="preserve">ASPIRADOR FRAZIER FENDA NEURO 2,0 MM </t>
  </si>
  <si>
    <t xml:space="preserve">ASPIRADOR FRAZIER FENDA NEURO 2,5 MM </t>
  </si>
  <si>
    <t xml:space="preserve">ASPIRADOR FRAZIER FENDA NEURO 3,0 MM </t>
  </si>
  <si>
    <t>MICROTESOURA BAIONETA YASARGIL 16CM RETA</t>
  </si>
  <si>
    <t>MICROTESOURA BAIONETA YASARGIL 18CM RETA</t>
  </si>
  <si>
    <t>PINÇA BIOPSIA NICOLA  2MM DE DIAMETRO</t>
  </si>
  <si>
    <t>PINCA NICOLA P/BIOPSIA 4MM DE DIAMETRO</t>
  </si>
  <si>
    <t>PINÇA CUSHING 18CM</t>
  </si>
  <si>
    <t>PINÇA LOVE GRUENWALD RETA 10MMX3MM/18CM</t>
  </si>
  <si>
    <t>PINÇA LOVE GRUENWALD RETA 10MMX4MM/18CM</t>
  </si>
  <si>
    <t>PINÇA RELOJOEIRO RETA 12,5CM</t>
  </si>
  <si>
    <t>MICROPORTA AGULHA B.YASARGIL 18CM RETA</t>
  </si>
  <si>
    <t xml:space="preserve">ASPIRADOR FRAZIER FENDA NEURO 4,0 MM </t>
  </si>
  <si>
    <t>ASPIRADOR FRAZIER DELICADO 16CM DE COMPRIMENTO TOTAL (DA PONTA QUE SE CONECTA AO ASPIRADOR ATÉ O FIM DO ANEL DE PROTEÇÃO) E 4,0MM DE DIAMETRO, COM ANEL DE PROTECAO,EM ACO INOXIDAVEL, NAO ESTERIL, AUTOCLAVAVEL, COM CODIGO DATAMATRIX NO INSTRUMENTAL QUE PERMITA A RASTREABILIDADE, EMBALAGEM COM DADOS DE ROTULAGEM EXIGIDOS PARA PRODUTOS PARA SAUDE. COM REGISTRO NA ANVISA. USO EXCLUSIVO DA NEUROCIRURGIA.</t>
  </si>
  <si>
    <t xml:space="preserve">ASPIRADOR FRAZIER FENDA NEURO 5,0 MM </t>
  </si>
  <si>
    <t>ASPIRADOR FRAZIER DELICADO 16CM DE COMPRIMENTO TOTAL (DA PONTA QUE SE CONECTA AO ASPIRADOR ATÉ O FIM DO ANEL DE PROTEÇÃO) E 5,0MM DE DIAMETRO, COM ANEL DE PROTECAO,EM ACO INOXIDAVEL, NAO ESTERIL, AUTOCLAVAVEL, COM CODIGO DATAMATRIX NO INSTRUMENTAL QUE PERMITA A RASTREABILIDADE, EMBALAGEM COM DADOS DE ROTULAGEM EXIGIDOS PARA PRODUTOS PARA SAUDE. COM REGISTRO NA ANVISA. USO EXCLUSIVO DA NEUROCIRURGIA.</t>
  </si>
  <si>
    <t>CABO DE BISTURI N. 3</t>
  </si>
  <si>
    <t>CABO DE BISTURI CIRÚRGICO, TAMANHO Nº 3, COMPRIMENTO CERCA DE 12 CM, CABO CHATO, PARA LÂMINA Nº 10 A 17, MATERIAL AÇO INOX AISI 420, AUTOCLAVÁVEL ATÉ 135 °C. COM COMPATIBILIDADE PARA SISTEMA DE RASTREABILIDADE. GARANTIA DE 10 ANOS. LOTE, LOGOMARCA DO FABRICANTE E AS INICIAIS DO HOSPITAL, UTILIZANDO MÉTODO A LASER.</t>
  </si>
  <si>
    <t>CABO DE BISTURI N.7</t>
  </si>
  <si>
    <t xml:space="preserve"> CABO DE BISTURI CIRÚRGICO, TAMANHO Nº 7, COMPRIMENTO CERCA DE 16 CM, CABO CHATO, LÂMINA Nº 10 A 17, MATERIAL AÇO INOX AISI 420, AUTOCLAVÁVEL ATÉ 135°C. COM COMPATIBILIDADE PARA SISTEMA DE RASTREABILIDADE. GARANTIA DE 10 ANOS. LOTE, LOGOMARCA DO FABRICANTE E AS INICIAIS DO HOSPITAL, UTILIZANDO MÉTODO A LASER.</t>
  </si>
  <si>
    <t>CABO DE SERRA DE GIGLI</t>
  </si>
  <si>
    <t xml:space="preserve"> CABO PARA SERRA CIRÚRGICA TIPO GIGLI, MODELO FORMATO DE GANCHO, MATERIAL AÇO INOXIDÁVEL, AUTOCLAVÁVEL ATÉ 134 °C. COM COMPATIBILIDADE PARA SISTEMA DE RASTREABILIDADE. LOTE, LOGOMARCA DO FABRICANTE E AS INICIAIS DO HOSPITAL, UTILIZANDO MÉTODO A LASER. </t>
  </si>
  <si>
    <t>CINZEL LIDO 2OCM/5MM</t>
  </si>
  <si>
    <t>CINZEL LIDO COM  20 CM DE COMPRIMENTO E  5MM DE LARGURA DE LÂMINA, EM AÇO INOX, NAO ESTERIL, AUTOCLAVAVEL E O COM CODIGO DATAMATRIX NO INSTRUMENTAL QUE PERMITAM RASTREABILIDADE  E EMBALAGEM COM DADOS DE ROTULAGEM EXIGIDOS PARA PRODUTOS PARA SAUDE</t>
  </si>
  <si>
    <t>CINZEL LIDO 20CM/8MM</t>
  </si>
  <si>
    <t>CINZEL LIDO COM  20 CM DE COMPRIMENTO E  8MM DE LARGURA DE LÂMINA, EM AÇO INOX, NAO ESTERIL, AUTOCLAVAVEL E O COM CODIGO DATAMATRIX NO INSTRUMENTAL QUE PERMITAM RASTREABILIDADE  E EMBALAGEM COM DADOS DE ROTULAGEM EXIGIDOS PARA PRODUTOS PARA SAUDE</t>
  </si>
  <si>
    <t>CURETA OSSEA DE BRUNS N*0 23CM</t>
  </si>
  <si>
    <t>CURETA OSSEA DE BRUNS N*0  23CM AÇO INOX, NAO ESTERIL, AUTOCLAVAVEL E COM CODIGO DATAMATRIX NO INSTRUMENTAL QUE PERMITAM RASTREABILIDADE  E  EMBALAGEM COM DADOS DE ROTULAGEM EXIGIDOS PARA PRODUTOS PARA SAUDE</t>
  </si>
  <si>
    <t>DESCOLADOR DE FREER DUPLO CURVO</t>
  </si>
  <si>
    <t>DESCOLADOR CIRÚRGICO, TIPO FREER, COMPRIMENTO CERCA DE 18 CM, DUPLO, APLICAÇÃO SEPTO NASAL. MATERIAL AÇO INOXIDÁVEL, AUTOCLAVÁVEL ATÉ 135°C. COM COMPATIBILIDADE PARA SISTEMA DE RASTREABILIDADE.</t>
  </si>
  <si>
    <t>DESCOLADOR PENFIELD N. 1</t>
  </si>
  <si>
    <t>DESCOLADOR DE PENFIELD N 1 EM AÇO INOX, NAO ESTERIL, AUTOCLAVAVEL QUE PERMITAM RASTREABILIDADE  E EMBALAGEM COM DADOS DE ROTULAGEM EXIGIDOS PARA PRODUTOS PARA SAUDE</t>
  </si>
  <si>
    <t>DESCOLADOR PENFIELD N.2</t>
  </si>
  <si>
    <t>DESCOLADOR DE PENFIELD N 2 EM AÇO INOX, NAO ESTERIL, AUTOCLAVAVEL QUE PERMITAM RASTREABILIDADE  E EMBALAGEM COM DADOS DE ROTULAGEM EXIGIDOS PARA PRODUTOS PARA SAUDE</t>
  </si>
  <si>
    <t>DESCOLADOR PENFIELD N.3</t>
  </si>
  <si>
    <t>DESCOLADOR DE PENFIELD N 3 EM AÇO INOX, NAO ESTERIL, AUTOCLAVAVEL QUE PERMITAM RASTREABILIDADE  E EMBALAGEM COM DADOS DE ROTULAGEM EXIGIDOS PARA PRODUTOS PARA SAUDE</t>
  </si>
  <si>
    <t>DESCOLADOR PENFIELD N.4</t>
  </si>
  <si>
    <t>DESCOLADOR DE PENFIELD N 4 EM AÇO INOX, NAO ESTERIL, AUTOCLAVAVEL QUE PERMITAM RASTREABILIDADE  E EMBALAGEM COM DADOS DE ROTULAGEM EXIGIDOS PARA PRODUTOS PARA SAUDE</t>
  </si>
  <si>
    <t>DESCOLADOR PENFIELD N.5</t>
  </si>
  <si>
    <t>DESCOLADOR DE PENFIELD N 5 EM AÇO INOX, NAO ESTERIL, AUTOCLAVAVEL QUE PERMITAM RASTREABILIDADE  E EMBALAGEM COM DADOS DE ROTULAGEM EXIGIDOS PARA PRODUTOS PARA SAUDE</t>
  </si>
  <si>
    <t>ESPÁTULA MALEÁVEL 18X12MM</t>
  </si>
  <si>
    <t>EBS12271</t>
  </si>
  <si>
    <t>ESPÁTULA cirúrgica neurocirurgia (CEREBRAL), tipo MALEÁVEL, COMPRIMENTO cerca de 18 cm x cerca de 12 mm DE LARGURA. Material AÇO INOXIDÁVEL, autoclavável. Com compatibilidade para sistema de rastreabilidade. Lote, logomarca do fabricante e as iniciais do hospital, utilizando método a laser.</t>
  </si>
  <si>
    <t>ESPÁTULA MALEÁVEL 20X18MM</t>
  </si>
  <si>
    <t>EBS12277</t>
  </si>
  <si>
    <t>ESPÁTULA cirúrgica, tipo MALEÁVEL, COMPRIMENTO cerca de 20 cm x cerca de 18 mm DE LARGURA. Material AÇO INOXIDÁVEL, autoclavável. Com compatibilidade para sistema de rastreabilidade. Lote, logomarca do fabricante e as iniciais do hospital, utilizando método a laser.</t>
  </si>
  <si>
    <t>ESPÁTULA MALEÁVEL 18X09MM</t>
  </si>
  <si>
    <t>EBS12274</t>
  </si>
  <si>
    <t>ESPÁTULA cirúrgica neurocirurgia (CEREBRAL), tipo MALEÁVEL, COMPRIMENTO cerca de 18 cm x 7 e 9 mm DE LARGURA (pontas). Material AÇO INOXIDÁVEL, autoclavável. Com compatibilidade para sistema de rastreabilidade. Lote, logomarca do fabricante e as iniciais do hospital, utilizando método a laser.</t>
  </si>
  <si>
    <t>PASSADOR PARA SERRA GIGLI</t>
  </si>
  <si>
    <t>PASSADOR DE SERRA, MODELO SIMPLES, PARA SERRA DE GIGLI, COM APROXIMADAMENTE 30CM DE COMPRIMENTO E CERCA DE 5MM DE LARGURA, EM AÇO INOX, NÃO ESTÉRIL, AUTOCLAVÁVEL ATÉ 135°C COM COMPATIBILIDADE PARA SISTEMA DE RASTREABILIDADE</t>
  </si>
  <si>
    <t>PINÇA ADSON 12CM C/ DENTE</t>
  </si>
  <si>
    <t>PINÇA CIRÚRGICA, TIPO ADSON, PONTA RETA, 1 X 2 DENTE, COMPRIMENTO CERCA DE 12 CM, SEM CREMALHEIRA. MATERIAL AÇO INOXIDÁVEL AISI 420, AUTOCLAVÁVEL ATÉ 135 °C. COM COMPATIBILIDADE PARA SISTEMA DE RASTREABILIDADE. LOTE, LOGOMARCA DO FABRICANTE E AS INICIAIS DO HOSPITAL, UTILIZANDO MÉTODO A LASER</t>
  </si>
  <si>
    <t xml:space="preserve">PINCA CHERON </t>
  </si>
  <si>
    <t>PINÇA cirúrgica, tipo CHERON, COMPRIMENTO CERCA DE 24 cm, COM CREMALHEIRA. Material AÇO INOXIDÁVEL, autoclavável até 135 °C. Com compatibilidade para sistema de rastreabilidade. Lote, logomarca do fabricante e as iniciais do hospital, utilizando método a laser.</t>
  </si>
  <si>
    <t>PINÇA ANATÔMICA DISSECÇÃO ANATÔMICA 14CM</t>
  </si>
  <si>
    <t xml:space="preserve">PINÇA CIRÚRGICA, TIPO DISSECÇÃO (ANATÔMICA), SERRILHADA, COMPRIMENTO CERCA DE 14 CM. MATERIAL AÇO INOXIDÁVEL, AUTOCLAVÁVEL ATÉ 135 °C. COM COMPATIBILIDADE PARA SISTEMA DE RASTREABILIDADE. LOTE, LOGOMARCA DO FABRICANTE E AS INICIAIS DO HOSPITAL, UTILIZANDO MÉTODO A LASER. </t>
  </si>
  <si>
    <t>PINCA ANATOMICA DISSECÇAO ANATÔMICA 16CM</t>
  </si>
  <si>
    <t xml:space="preserve"> PINÇA CIRÚRGICA, TIPO DISSECÇÃO (ANATÔMICA), SERRILHADA, COMPRIMENTO CERCA DE 16 CM. MATERIAL AÇO INOXIDÁVEL AISI 420, AUTOCLAVÁVEL ATÉ 135°C. COM COMPATIBILIDADE PARA SISTEMA DE RASTREABILIDADE.</t>
  </si>
  <si>
    <t>PINCA ANAT, DISSECÇAO DENTE DE RATO 14CM</t>
  </si>
  <si>
    <t>PINÇA ANATOMICA DISSECÇÃO DENTE DE RATO 14CM EM AÇO INOX, NAO ESTERIL, AUTOCLAVAVEL E O COM CODIGO DATAMATRIX NO INSTRUMENTAL QUE PERMITAM RASTREABILIDADE  E EMBALAGEM COM DADOS DE ROTULAGEM EXIGIDOS PARA PRODUTOS PARA SAUDE</t>
  </si>
  <si>
    <t>PINCA ANAT.DISSECÇAO DENTE DE RATO 16CM</t>
  </si>
  <si>
    <t>PINÇA ANATOMICA DISSECÇÃO DENTE DE RATO 16CM EM AÇO INOX, NAO ESTERIL, AUTOCLAVAVEL E O COM CODIGO DATAMATRIX NO INSTRUMENTAL QUE PERMITAM RASTREABILIDADE  E EMBALAGEM COM DADOS DE ROTULAGEM EXIGIDOS PARA PRODUTOS PARA SAUDE</t>
  </si>
  <si>
    <t>PINCA LUCAE BAIONETA 18cm</t>
  </si>
  <si>
    <t>PINÇA cirúrgica, tipo LUCAE BAIONETA, ponta RETA, COMPRIMENTO cerca de 18 cm, SEM CREMALHEIRA. Material AÇO INOXIDÁVEL, autoclavável até 135 °C. Com compatibilidade para sistema de rastreabilidade. Lote, logomarca do fabricante e as iniciais do hospital, utilizando método a laser.</t>
  </si>
  <si>
    <t xml:space="preserve">PINÇA CIRÚRGICA (ANATÔMICA), TIPO CUSHING, PONTA RETA, 1 X 2 DENTES, DELICADO, COMPRIMENTO CERCA DE 18 CM, MATERIAL AÇO INOXIDÁVEL, AUTOCLAVÁVEL  ATÉ 135°C. COM COMPATIBILIDADE PARA SISTEMA DE RASTREABILIDADE. </t>
  </si>
  <si>
    <t>PINÇA GOIVA ECHLIN DUCK BILL RONGEUR CURVA</t>
  </si>
  <si>
    <t xml:space="preserve">PINÇA GOIVA ECHLIN DUCK BILL RONGEUR CURVO 3X12MM/18CMCM EM AÇO INOX, NAO ESTERIL, AUTOCLAVAVEL E O COM COMPATIBILIDADE PARA SISTEMA DE RASTREABILIDADE. </t>
  </si>
  <si>
    <t xml:space="preserve">PINÇA CIRÚRGICA, TIPO GOIVA JANSEN MIDDLETON, PONTA ANGULADA, COMPRIMENTO CERCA DE 16 CM. MATERIAL AÇO INOXIDÁVEL AISI 420, AUTOCLAVÁVEL ATÉ 135 °C. COM COMPATIBILIDADE PARA SISTEMA DE RASTREABILIDADE. </t>
  </si>
  <si>
    <t>PINCA GOIVA JANSEN 18CM/3MM</t>
  </si>
  <si>
    <t xml:space="preserve"> PINÇA GOIVA PARA OSSOS TIPO JANSEN COM 18CM DE COMPRIMENTO COM 3MM DE LARGURA DE CORTE EM AÇO INOX, NAO ESTERIL, AUTOCLAVAVEL E O COM CODIGO DATAMATRIX NO INSTRUMENTAL QUE PERMITAM RASTREABILIDADE  E EMBALAGEM COM DADOS DE ROTULAGEM EXIGIDOS PARA PRODUTOS PARA SAUDE</t>
  </si>
  <si>
    <t>GOIVA JANSEN CORTE 5MM</t>
  </si>
  <si>
    <t xml:space="preserve"> PINÇA GOIVA PARA OSSOS TIPO JANSEN COM 18CM DE COMPRIMENTO COM 5MM DE LARGURA DE CORTE EM AÇO INOX, NAO ESTERIL, AUTOCLAVAVEL E O COM CODIGO DATAMATRIX NO INSTRUMENTAL QUE PERMITAM RASTREABILIDADE  E EMBALAGEM COM DADOS DE ROTULAGEM EXIGIDOS PARA PRODUTOS PARA SAUDE</t>
  </si>
  <si>
    <t>PINCA HALSTED CURVA 12CM (MOSQUITO)</t>
  </si>
  <si>
    <t>PINCA-HALSTEAD CURVA 12CM (MOSQUITO) EM ACO INOX NAO ESTERIL, AUTOCLAVAVEL E O COM CODIGO DATAMATRIX NO INSTRUMENTAL QUE PERMITAM RASTREABILIDADE  E EMBALAGEM COM DADOS DE ROTULAGEM EXIGIDOS PARA PRODUTOS PARA SAUDE</t>
  </si>
  <si>
    <t>PINCA HALSTED RETA 12CM(MOSQUITO)</t>
  </si>
  <si>
    <t>PINCA-HALSTEAD RETA 12CM (MOSQUITO) EM ACO INOX NAO ESTERIL, AUTOCLAVAVEL E O COM CODIGO DATAMATRIX NO INSTRUMENTAL QUE PERMITAM RASTREABILIDADE  E EMBALAGEM COM DADOS DE ROTULAGEM EXIGIDOS PARA PRODUTOS PARA SAUDE</t>
  </si>
  <si>
    <t>PINCA KELLY CURVA 14 CM</t>
  </si>
  <si>
    <t xml:space="preserve">PINÇA CIRÚRGICA, TIPO KELLY, PONTA CURVA, SERRILHADA, COMPRIMENTO CERCA DE 14 CM, COM CREMALHEIRA. MATERIAL AÇO INOXIDÁVEL AISI 420, AUTOCLAVÁVEL ATÉ 135 °C. COM COMPATIBILIDADE PARA SISTEMA DE RASTREABILIDADE. LOTE, LOGOMARCA DO FABRICANTE E AS INICIAIS DO HOSPITAL, UTILIZANDO MÉTODO A LASER. </t>
  </si>
  <si>
    <t>PINCA KELLY RETA 14CM</t>
  </si>
  <si>
    <t xml:space="preserve">PINÇA CIRÚRGICA, TIPO KELLY, PONTA RETA, SERRILHADA, COMPRIMENTO CERCA DE 14 CM, COM CREMALHEIRA. MATERIAL AÇO INOXIDÁVEL AISI 420, AUTOCLAVÁVEL ATÉ 135 °C. COM COMPATIBILIDADE PARA SISTEMA DE RASTREABILIDADE. LOTE, LOGOMARCA DO FABRICANTE E AS INICIAIS DO HOSPITAL, UTILIZANDO MÉTODO A LASER. </t>
  </si>
  <si>
    <t>PINÇA KERRISON 40 GRAUS 18CM 1 MM PARA CIMA</t>
  </si>
  <si>
    <t>PINÇA PARA LAMINECTOMIA TIPO KERRISON DE 18CM DE COMPRIMENTO COM UM ÂNGULO 40 GRAUS SUPERIOR COM 1MM DE LARGURA DA PONTA EM AÇO INOX, PARA CMA, NAO ESTERIL, AUTOCLAVAVEL E O COM CODIGO DATAMATRIX NO INSTRUMENTAL QUE PERMITAM RASTREABILIDADE  E EMBALAGEM COM DADOS DE ROTULAGEM EXIGIDOS PARA   PRODUTOS PARA SAUDE</t>
  </si>
  <si>
    <t>KERRISON 40 GRAUS 18CM 3 MM PARA CIMA</t>
  </si>
  <si>
    <t>PINÇA PARA LAMINECTOMIA TIPO KERRISON DE 18CM DE COMPRIMENTO COM UM ÂNGULO 40 GRAUS SUPERIOR COM 3MM DE LARGURA DA PONTA EM AÇO INOX, PARA CMA, NAO ESTERIL, AUTOCLAVAVEL E O COM CODIGO DATAMATRIX NO INSTRUMENTAL QUE PERMITAM RASTREABILIDADE  E EMBALAGEM COM DADOS DE ROTULAGEM EXIGIDOS PARA   PRODUTOS PARA SAUDE</t>
  </si>
  <si>
    <t>KERRISON 40 GRAUS 18CM 5 MM PARA CIMA</t>
  </si>
  <si>
    <t>PINÇA PARA LAMINECTOMIA TIPO KERRISON DE 18CM DE COMPRIMENTO COM UM ÂNGULO 40 GRAUS SUPERIOR COM 5MM DE LARGURA DA PONTA EM AÇO INOX, PARA CMA, NAO ESTERIL, AUTOCLAVAVEL E O COM CODIGO DATAMATRIX NO INSTRUMENTAL QUE PERMITAM RASTREABILIDADE  E EMBALAGEM COM DADOS DE ROTULAGEM EXIGIDOS PARA   PRODUTOS PARA SAUDE</t>
  </si>
  <si>
    <t>PINÇA LOVE GRUENWALD RETA 10MMX3MM/18CM EM AÇO INOX, NAO ESTERIL, AUTOCLAVAVEL E O COM CODIGO DATAMATRIX NO INSTRUMENTAL QUE PERMITAM RASTREABILIDADE E EMBALAGEM COM DADOS DE ROTULAGEM EXIGIDOS PARA PRODUTOS PARA SAUDE</t>
  </si>
  <si>
    <t>PINÇA LOVE GRUENWALD RETA 7MMX5MM/18CM</t>
  </si>
  <si>
    <t>PINÇA LOVE GRUENWALD RETA 7MMX5MM/18CM EM AÇO INOX, NAO ESTERIL, AUTOCLAVAVEL E O COM CODIGO DATAMATRIX NO INSTRUMENTAL QUE PERMITAM RASTREABILIDADE E EMBALAGEM COM DADOS DE ROTULAGEM EXIGIDOS PARA PRODUTOS PARA SAUDE</t>
  </si>
  <si>
    <t>PINCA LOVE GRUENWALD RETA 2X10MM/18CM</t>
  </si>
  <si>
    <t>PINÇA CIRÚRGICA, TIPO LOVE GRUENWALD, PONTA BOCA RETA, HASTE ANGULADA, PONTA CERCA DE 2 X 10 MM, COMPRIMENTO CERCA DE 18 CM, MATERIAL AÇO INOXIDÁVEL, AUTOCLAVÁVEL ATÉ 135°C. COM COMPATIBILIDADE PARA SISTEMA DE RASTREABILIDADE. LOTE, LOGOMARCA DO FABRICANTE E AS INICIAIS DO HOSPITAL, UTILIZANDO MÉTODO A LASER.</t>
  </si>
  <si>
    <t>PINÇA PARA TUMOR YAZARGIL SAMII 24CM 3MM</t>
  </si>
  <si>
    <t>PINÇA PARA TUMOR YAZARGIL (BAIONETA) SAMII COM COMPRIMENTO COM CERCA DE 24CM E PONTA COM CERCA DE 3MM PARA USO EM NEUROCIRURGIA.</t>
  </si>
  <si>
    <t>PORTA AGULHA MAYO HEGAR VÍDEA 14 CM</t>
  </si>
  <si>
    <t>PORTA AGULHA MAYO HEGAR COM VIDEA  14CM  EM ACO INOX NAO ESTERIL, AUTOCLAVAVEL E O COM CODIGO DATAMATRIX NO INSTRUMENTAL QUE PERMITAM RASTREABILIDADE  E EMBALAGEM COM DADOS DE ROTULAGEM EXIGIDOS PARA PRODUTOS PARA SAUDE</t>
  </si>
  <si>
    <t>PORTA AGULHA MAYO HEGAR VÍDEA MICROVASCULAR DELICADO 20 CM</t>
  </si>
  <si>
    <t>PORTA AGULHA MAYO HEGAR COM VIDEA COM CECA DE 20CM  E PONTA DELICADA, PARA USO EM NEUROCIRURGIA EM ACO INOX NAO ESTERIL, AUTOCLAVAVEL E O COM CODIGO DATAMATRIX NO INSTRUMENTAL QUE PERMITAM RASTREABILIDADE  E EMBALAGEM COM DADOS DE ROTULAGEM EXIGIDOS PARA PRODUTOS PARA SAUDE</t>
  </si>
  <si>
    <t>RUGINA DE CUSHING COM 20CM/15MM</t>
  </si>
  <si>
    <t>RUGINA CUSHING COM  20 CM DE COMPRIMENTO E 15 MM DE LARGURA DE LÂMINA, EM AÇO INOX, NAO ESTERIL, AUTOCLAVAVEL E O COM CODIGO DATAMATRIX NO INSTRUMENTAL QUE PERMITAM RASTREABILIDADE  E EMBALAGEM COM DADOS DE ROTULAGEM EXIGIDOS PARA PRODUTOS PARA SAUDE</t>
  </si>
  <si>
    <t>TESOURA MAYO STILLE RETA 17 CM</t>
  </si>
  <si>
    <t xml:space="preserve"> TESOURA DE MAYO RETA COM CERCA DE 17CM EM ACO INOX NAO ESTERIL, AUTOCLAVAVEL E COM CODIGO DATAMATRIX NO INSTRUMENTAL QUE PERMITAM RASTREABILIDADE E EMBALAGEM COM DADOS DE ROTULAGEM EXIGIDOS PARA PRODUTOS PARA SAUDE</t>
  </si>
  <si>
    <t>TESOURA METZEMBAUM NELSON CURVA 18 CM</t>
  </si>
  <si>
    <t>TESOURA cirúrgica, tipo METZENBAUM, PONTA CURVA, COMPRIMENTO CERCA DE 18 cm. Material AÇO INOXIDÁVEL AISI 420, autoclavável até 135 °C. Com compatibilidade para sistema de rastreabilidade. Garantia de 10 anos. Lote, logomarca do fabricante e as iniciais do hospital, utilizando método a laser.</t>
  </si>
  <si>
    <t>TESOURA METZENBAUM DELICADA RETA 14CM</t>
  </si>
  <si>
    <t>TESOURA METZEMBAUM NELSON RETA 14 CM DELICADA EM ACO INOX NAO ESTERIL, AUTOCLAVAVEL E O COM CODIGO DATAMATRIX NO INSTRUMENTAL QUE PERMITAM RASTREABILIDADE  E EMBALAGEM COM DADOS DE ROTULAGEM EXIGIDOS PARA PRODUTOS PARA SAUDE</t>
  </si>
  <si>
    <t>TESOURA METZENBAUM RETA 16 CM</t>
  </si>
  <si>
    <t>TESOURA CIRÚRGICA, TIPO METZENBAUM, PONTA RETA, COMPRIMENTO CERCA DE 16 CM. MATERIAL AÇO INOXIDÁVEL AISI 420, AUTOCLAVÁVEL ATÉ 135 °C. COM COMPATIBILIDADE PARA SISTEMA DE RASTREABILIDADE. GARANTIA DE 10 ANOS. LOTE, LOGOMARCA DO FABRICANTE E AS INICIAIS DO HOSPITAL, UTILIZANDO MÉTODO A LASER.</t>
  </si>
  <si>
    <t>TESOURA POTTS SMITH 60º 18CM</t>
  </si>
  <si>
    <t>TESOURA CIRÚRGICA, TIPO POTTS SMITH, PONTA ANGULADA A 60°, COMPRIMENTO CERCA DE 18 CM. MATERIAL AÇO INOXIDÁVEL AISI 420, AUTOCLAVÁVEL ATÉ 135 °C. COM COMPATIBILIDADE PARA SISTEMA DE RASTREABILIDADE.</t>
  </si>
  <si>
    <t>PINCA GOIVA MIDLETON JANSEN,NEUROCIRURG.</t>
  </si>
  <si>
    <t>R$ Unit.</t>
  </si>
  <si>
    <t>R$ Total</t>
  </si>
  <si>
    <t>ORÇAMENTO 1</t>
  </si>
  <si>
    <t>AFASTADOR DE ABA NASAL 18CM</t>
  </si>
  <si>
    <t>AFASTADOR DE ABA NASAL 18CM EM AÇO INOX, NAO ESTERIL, AUTOCLAVAVEL E COM CODIGO DATAMATRIX NO INSTRUMENTAL QUE PERMITAM RASTREABILIDADE  E EMBALAGEM COM DADOS DE ROTULAGEM EXIGIDOS PARA PRODUTOS PARA SAUDE</t>
  </si>
  <si>
    <t>MARTELO NEUFIELD 200G</t>
  </si>
  <si>
    <t>MARTELO NEUFELD 200G EM AÇO INOX, NAO ESTERIL, AUTOCLAVAVEL E O COM CODIGO DATAMATRIX NO INSTRUMENTAL QUE PERMITAM RASTREABILIDADE E EMBALAGEM COM DADOS DE ROTULAGEM EXIGIDOS PARA PRODUTOS PARA SAUDE</t>
  </si>
  <si>
    <t>AFASTADOR AUFRICHT 16CM</t>
  </si>
  <si>
    <t>AFASTADOR CIRÚRGICO, MODELO AUFRICHT, COMPRIMENTO CERCA DE 16 CM, MATERIAL AÇO INOXIDÁVEL, AUTOCLAVÁVEL ATÉ 135 °C. COM COMPATIBILIDADE PARA SISTEMA DE RASTREABILIDADE. GARANTIA DE 10 ANOS. LOTE, LOGOMARCA DO FABRICANTE E AS INICIAIS DO HOSPITAL, UTILIZANDO MÉTODO A LASER.</t>
  </si>
  <si>
    <t>GANCHO DE GILLIES DELICADO SIMPLES 15CM</t>
  </si>
  <si>
    <t>GANCHO CIRÚRGICO, TIPO GILLES, COMPRIMENTO CERCA DE 15 CM, DELICADO, SIMPLES, PONTA AGUDA. MATERIAL AÇO INOXIDÁVEL AISI 420, AUTOCLAVÁVEL ATÉ 135°C. COM COMPATIBILIDADE PARA SISTEMA DE RASTREABILIDADE. GARANTIA DE 10 ANOS. LOTE, LOGOMARCA DO FABRICANTE E AS INICIAIS DO HOSPITAL, UTILIZANDO MÉTODO A LASER.</t>
  </si>
  <si>
    <t>ASPIRADOR CAUTERIO 3,5MM</t>
  </si>
  <si>
    <t>ASPIRADOR CAUTERIO 3,5MM, REVESTIDO,  PARA CIRURGIA DE RINOSSEPTOPLASTIA. AUTOCLAVAVEL E QUE PERMITAM RASTREABILIDADE  E EMBALAGEM COM DADOS DE ROTULAGEM EXIGIDOS PARA PRODUTOS PARA SAUDE</t>
  </si>
  <si>
    <t>ASPIRADOR CAUTERIO 3,0MM</t>
  </si>
  <si>
    <t>ASPIRADOR CAUTERIO 3,0MM, REVESTIDO,  PARA CIRURGIA DE RINOSSEPTOPLASTIA. AUTOCLAVAVEL E QUE PERMITAM RASTREABILIDADE  E EMBALAGEM COM DADOS DE ROTULAGEM EXIGIDOS PARA PRODUTOS PARA SAUDE</t>
  </si>
  <si>
    <t>ASPIRADOR FRAZIER 20 CM ANGULADO</t>
  </si>
  <si>
    <t>Cânula, tipo FRAZIER, aplicação aspiração cirúrgica, DIÂMETRO: 2 mm, COMPRIMENTO cerca de 20 cm, mandril e haste ANGULADA, material AÇO INOXIDÁVEL, autoclavável até 135°C. Com compatibilidade para sistema de rastreabilidade. Lote, logomarca do fabricante e as iniciais do hospital, utilizando método a laser.</t>
  </si>
  <si>
    <t>CINZEL CURVO C/ GUIA 6MM P/ DIREITA</t>
  </si>
  <si>
    <t>CINZEL CIRÚRGICO, CURVO, PONTA PARA DIREITA, LARGURA 6 MM, COMPRIMENTO CERCA DE 18 CM, COM GUIA (COM 1 DENTE), EM AÇO INOXIDÁVEL, AUTOCLAVÁVEL ATÉ 135°C. COMPATIBILIDADE PARA SISTEMA DE RASTREABILIDADE. GARANTIA DE 10 ANOS, LOTE, LOGOMARCA DO FABRICANTE E AS INICIAIS DO HOSPITAL, UTILIZANDO MÉTODO A LASER.</t>
  </si>
  <si>
    <t>CINZEL CURVO C/ GUIA 6MM P/ ESQUERDA</t>
  </si>
  <si>
    <t>CINZEL CIRÚRGICO, CURVO, PONTA PARA ESQUERDA, LARGURA 6 MM, COMPRIMENTO CERCA DE 18 CM, COM GUIA (COM 1 DENTE), EM AÇO INOXIDÁVEL, AUTOCLAVÁVEL ATÉ 135°C. COMPATIBILIDADE PARA SISTEMA DE RASTREABILIDADE. GARANTIA DE 10 ANOS, LOTE, LOGOMARCA DO FABRICANTE E AS INICIAIS DO HOSPITAL, UTILIZANDO MÉTODO A LASER.</t>
  </si>
  <si>
    <t>ASPIRADOR DESCOLADOR DE SEPTO 3,5MM</t>
  </si>
  <si>
    <t>DESCOLADOR CIRÚRGICO, TIPO ASPIRADOR, APLICAÇÃO SEPTO NASAL, COMPRIMENTO CERCA DE 12 CM. MATERIAL AÇO INOXIDÁVEL AISI 420, AUTOCLAVÁVEL ATÉ 135°C. COM COMPATIBILIDADE PARA SISTEMA DE RASTREABILIDADE. GARANTIA DE 10 ANOS. LOTE, LOGOMARCA DO FABRICANTE E AS INICIAIS DO HOSPITAL, UTILIZANDO MÉTODO A LASER.</t>
  </si>
  <si>
    <t>DESCOLADOR COTTLE 20CM CABEÇA COBRA</t>
  </si>
  <si>
    <t>DESCOLADOR CIRÚRGICO, TIPO COTTLE, DUPLO DELICADO, COMPRIMENTO CERCA DE 20 CM COM PONTA CABEÇA DE COBRA. MATERIAL AÇO INOXIDÁVEL AISI 420, AUTOCLAVÁVEL ATÉ 135°C. COM COMPATIBILIDADE PARA SISTEMA DE RASTREABILIDADE. GARANTIA DE 10 ANOS. LOTE, LOGOMARCA DO FABRICANTE E AS INICIAIS DO HOSPITAL, UTILIZANDO MÉTODO A LASER</t>
  </si>
  <si>
    <t xml:space="preserve">DESCOLADOR CIRÚRGICO, TIPO FREER, COMPRIMENTO CERCA DE 18 CM, DUPLO, APLICAÇÃO SEPTO NASAL. MATERIAL AÇO INOXIDÁVEL, AUTOCLAVÁVEL ATÉ 135°C. </t>
  </si>
  <si>
    <t>DESCOLADOR FREER TRIANGULAR</t>
  </si>
  <si>
    <t>DESCOLADOR FREER TRIANGULAR EM AÇO INOXIDAVEL, NAO ESTERIL, AUTOCLAVAVEL E O COM CODIGO DATAMATRIX NO INSTRUMENTAL QUE PERMITAM RASTREABILIDADE  E EMBALAGEM COM DADOS DE ROTULAGEM EXIGIDOS PARA PRODUTOS PARA SAUDE</t>
  </si>
  <si>
    <t>ESPECULO NASAL KILLIAN 35MM</t>
  </si>
  <si>
    <t>ESPÉCULO NASAL, TIPO KILLIAN, AUTOSTÁTICO/TRAVA REGULÁVEL, PONTA CERCA DE 35 MM. MATERIAL AÇO INOXIDÁVEL, AUTOCLAVÁVEL ATÉ 135 °C. COM COMPATIBILIDADE PARA SISTEMA DE RASTREABILIDADE.</t>
  </si>
  <si>
    <t>ESPECULO NASAL KILLIAN 50MM</t>
  </si>
  <si>
    <t>ESPÉCULO NASAL, TIPO KILLIAN, AUTOSTÁTICO/TRAVA REGULÁVEL, PONTA CERCA DE 50 MM. MATERIAL AÇO INOXIDÁVEL, AUTOCLAVÁVEL ATÉ 135 °C. COM COMPATIBILIDADE PARA SISTEMA DE RASTREABILIDADE.</t>
  </si>
  <si>
    <t>ESPECULO NASAL KILLIAN 75MM</t>
  </si>
  <si>
    <t>ESPÉCULO NASAL, TIPO KILLIAN, AUTOSTÁTICO/TRAVA REGULÁVEL, PONTA CERCA DE 75 MM. MATERIAL AÇO INOXIDÁVEL, AUTOCLAVÁVEL ATÉ 135 °C. COM COMPATIBILIDADE PARA SISTEMA DE RASTREABILIDADE.</t>
  </si>
  <si>
    <t>CONJUNTO DE ESPECULO AURICULAR HARTMANN (3 PEÇAS)</t>
  </si>
  <si>
    <t>CONJUNTO DE ESPECULO AURICULAR HARTMANN COM TRES PEÇAS DOS SEGUINTES TAMANHOS 2,5MM/4MM/5MM EM ACO INOX NAO ESTERIL, AUTOCLAVAVEL E O COM CODIGO DATAMATRIX NO INSTRUMENTAL QUE PERMITAM RASTREABILIDADE  E EMBALAGEM COM DADOS DE ROTULAGEM EXIGIDOS PARA PRODUTOS PARA SAUDE</t>
  </si>
  <si>
    <t>FACA LATERAL FREER 16CM</t>
  </si>
  <si>
    <t>FACA LATERAL FREER 16CM EM AÇO INOXIDAVEL, NAO ESTERIL, AUTOCLAVAVEL E  COM CODIGO DATAMATRIX NO INSTRUMENTAL QUE PERMITAM RASTREABILIDADE E EMBALAGEM COM DADOS DE ROTULAGEM EXIGIDOS PARA PRODUTOS PARA SAUDE</t>
  </si>
  <si>
    <t>OSTEOTOMO CINELLI VIA DUPLA 18 CM</t>
  </si>
  <si>
    <t>OSTEOTOMO CINELLI VIA DUPLA PARA RINOSSEPTOPLASTIA</t>
  </si>
  <si>
    <t>OSTEOTOMO RETO 20CMX4MM</t>
  </si>
  <si>
    <t>OSTEOTOMO LAMBOTTE RETO COM CERCA DE 4MM/20CM EM AÇO INOX, NAO ESTERIL, AUTOCLAVAVE E O COM CODIGO DATAMATRIX NO INSTRUMENTAL QUE PERMITAM RASTREABILIDADE E EMBALAGEM COM DADOS DE ROTULAGEM EXIGIDOS PARA PRODUTOS PARA SAUDE</t>
  </si>
  <si>
    <t>OSTEOTOMO RETO 20CMX5MM</t>
  </si>
  <si>
    <t>PINÇA CIRÚRGICA, TIPO CHERON, COMPRIMENTO CERCA DE 24 CM, COM CREMALHEIRA. MATERIAL AÇO INOXIDÁVEL AISI 420, AUTOCLAVÁVEL ATÉ 135 °C. COM COMPATIBILIDADE PARA SISTEMA DE RASTREABILIDADE. GARANTIA DE 10 ANOS. LOTE, LOGOMARCA DO FABRICANTE E AS INICIAIS DO HOSPITAL, UTILIZANDO MÉTODO A LASER. UNIDADE EBS04682</t>
  </si>
  <si>
    <t>PINÇA NASAL TAKAHASHI RETA 18CM</t>
  </si>
  <si>
    <t xml:space="preserve"> PINÇA CIRÚRGICA ARTICULADA CORTANTE, TIPO TAKAHASHI, PONTA RETA, COMPRIMENTO CERCA DE 18 CM. MATERIAL AÇO INOXIDÁVEL AISI 420, AUTOCLAVÁVEL ATÉ 135°C. COM COMPATIBILIDADE PARA SISTEMA DE RASTREABILIDADE. </t>
  </si>
  <si>
    <t>PINÇA NASAL TAKAHASHI RETA 15CM</t>
  </si>
  <si>
    <t>PINÇA NASAL TAKAHASHI RETA 15CM ADULTO, EM ACO INOX,NAO ESTERIL, AUTOCLAVAVEL, COM CODIGO DATAMATRIX NO INSTRUMENTAL QUE PERMITAM RASTREABILIDADE  EM EMBALAGEM COM DADOS DE ROTULAGEM EXIGIDOS PARA PRODUTOS PARA       SAUDE QUE PERMITAM RASTREABILIDADE.</t>
  </si>
  <si>
    <t>PINÇA NASAL TAKAHASHI ANGULADA 15CM</t>
  </si>
  <si>
    <t>PINÇA NASAL TAKAHASHI ANGULADA 15CM ADULTO, EM ACO INOX,NAO ESTERIL, AUTOCLAVAVEL, COM CODIGO DATAMATRIX NO INSTRUMENTAL QUE PERMITAM RASTREABILIDADE  EM EMBALAGEM COM DADOS DE ROTULAGEM EXIGIDOS PARA PRODUTOS PARA SAUDE QUE PERMITAM RASTREABILIDADE.</t>
  </si>
  <si>
    <t>PINÇA DE PÓLIPO NASAL WESTMACOTT</t>
  </si>
  <si>
    <t xml:space="preserve">PINÇA NASAL WESTMACOTT COM CERCA DE 20 CM PARA USO EM RINOSSEPTOPLASTIA. </t>
  </si>
  <si>
    <t>PORTA AGULHA MAYO HEGAR COM WIDEA 12CM</t>
  </si>
  <si>
    <t>PORTA AGULHA MAYO HEGAR COM WIDEA 12CM DELICADO EM ACO INOX NAO ESTERIL, AUTOCLAVAVEL E O COM CODIGO DATAMATRIX NO INSTRUMENTAL QUE PERMITAM RASTREABILIDADE  E EMBALAGEM COM DADOS DE ROTULAGEM EXIGIDOS PARA PRODUTOS PARA SAUDE</t>
  </si>
  <si>
    <t>PORTA AGULHA MAYO HEGAR C/VIDIA 14CM</t>
  </si>
  <si>
    <t xml:space="preserve"> PORTA AGULHA MAYO HEGAR COM WIDEA  14CM  EM ACO INOX NAO ESTERIL, AUTOCLAVAVEL E O COM CODIGO DATAMATRIX NO INSTRUMENTAL QUE PERMITAM RASTREABILIDADE  E EMBALAGEM COM DADOS DE ROTULAGEM EXIGIDOS PARA PRODUTOS PARA SAUDE</t>
  </si>
  <si>
    <t>PORTA AGULHA MAYO HEGAR C/VIDIA 18CM</t>
  </si>
  <si>
    <t xml:space="preserve"> PORTA AGULHA MAYO HEGAR COM WIDEA  18CM  EM ACO INOX NAO ESTERIL, AUTOCLAVAVEL E O COM CODIGO DATAMATRIX NO INSTRUMENTAL QUE PERMITAM RASTREABILIDADE  E EMBALAGEM COM DADOS DE ROTULAGEM EXIGIDOS PARA PRODUTOS PARA SAUDE</t>
  </si>
  <si>
    <t>RASPA GLABELA SPERLI N*2</t>
  </si>
  <si>
    <t>RASPA GLABELA SPERLI N*2  EM ACO INOX NAO ESTERIL, AUTOCLAVAVEL E O CO
     M CODIGO DATAMATRIX NO INSTRUMENTAL QUE PERMITAM RASTREABILIDADE  E EMBALAGEM COM DADOS DE ROTULAGEM EXIGIDOS PARA PRODUTOS PARA SAUDE</t>
  </si>
  <si>
    <t>RASPA SPERLI RETA N*2</t>
  </si>
  <si>
    <t xml:space="preserve"> RASPA, TIPO DORSO SPERLI, MODELO: Nº 2, MATERIAL AÇO INOXIDÁVEL. UTILIZADO PARA RASPAGENS EM DIVERSOS PROCEDIMENTOS CIRÚRGICOS. AUTOCLAVÁVEL. COM COMPATIBILIDADE PARA SISTEMA DE RASTREABILIDADE. </t>
  </si>
  <si>
    <t>TESOURA CONVERSE 12 RINOSEPTO</t>
  </si>
  <si>
    <t>TESOURA CIRURGICA, TIPO CONVERSE, COMPRIMENTO CERCA DE 12 CM. MATERIAL AÇO INOXIDAVEL AISI 420, AUTOCLAVAVEL ATE 135 °C. COM COMPATIBILIDADE PARA SISTEMA DE RASTREABILIDADE. GARANTIA DE 10 ANOS.OBS.: ANGULADA, PONTA FINA, PARA RINOSEPTOPLASTIA.</t>
  </si>
  <si>
    <t>TESOURA COTTLE ANGULADA 16CM</t>
  </si>
  <si>
    <t xml:space="preserve"> TESOURA CIRÚRGICA, TIPO COTLE, PONTA ROMBA/ ROMBA, SERRILHADA COMPRIMENTO CERCA DE 16 CM. MATERIAL AÇO INOXIDÁVEL AISI 420, AUTOCLAVÁVEL ATÉ 135 °C. COM COMPATIBILIDADE PARA SISTEMA DE RASTREABILIDADE. </t>
  </si>
  <si>
    <t>TESOURA HEYMAN 18CM</t>
  </si>
  <si>
    <t>TESOURA CIRÚRGICA, TIPO HEYMAN, COMPRIMENTO CERCA DE 18 CM. MATERIAL AÇO INOXIDÁVEL AISI 420, AUTOCLAVÁVEL ATÉ 135 °C. COM COMPATIBILIDADE PARA SISTEMA DE RASTREABILIDADE.</t>
  </si>
  <si>
    <t>TESOURA DE IRIS CURVA  10.5CM</t>
  </si>
  <si>
    <t>TESOURA DE IRIS CURVA  10.5CM  EM ACO INOX NAO ESTERIL, AUTOCLAVAVEL E COM CODIGO DATAMATRIX NO INSTRUMENTAL QUE PERMITAM RASTREABILIDADE E EMBALAGEM COM DADOS DE ROTULAGEM EXIGIDOS PARA PRODUTOS PARA SAUDE</t>
  </si>
  <si>
    <t>TESOURA DE IRIS RETA 10,5 CM</t>
  </si>
  <si>
    <t>TESOURA DE IRIS RETA  10.5CM  EM ACO INOX NAO ESTERIL, AUTOCLAVAVEL E COM CODIGO DATAMATRIX NO INSTRUMENTAL QUE PERMITAM RASTREABILIDADE E EMBALAGEM COM DADOS DE ROTULAGEM EXIGIDOS PARA PRODUTOS PARA SAUDE</t>
  </si>
  <si>
    <t>TESOURA JOSEPH CURVA 14CM</t>
  </si>
  <si>
    <t>TESOURA cirúrgica, tipo JOSEPH, PONTA CURVA FINA/ FINA, COMPRIMENTO cerca de 14 cm. Material AÇO INOXIDÁVEL, autoclavável até 135 °C. Com compatibilidade para sistema de rastreabilidade. Lote, logomarca do fabricante e as iniciais do hospital, utilizando método a laser.</t>
  </si>
  <si>
    <t>EBS05151</t>
  </si>
  <si>
    <t>TESOURA cirúrgica, tipo METZENBAUM, PONTA CURVA, COMPRIMENTO CERCA DE 18 cm. Material AÇO INOXIDÁVEL, autoclavável até 135 °C. Com compatibilidade para sistema de rastreabilidade. Lote, logomarca do fabricante e as iniciais do hospital, utilizando método a laser.</t>
  </si>
  <si>
    <t xml:space="preserve">PINCA JANSEN MIDLETON   </t>
  </si>
  <si>
    <t>PINÇA CIRÚRGICA, TIPO GOIVA JANSEN MIDDLETON, PONTA ANGULADA, COMPRIMENTO CERCA DE 16 CM. MATERIAL AÇO INOXIDÁVEL AISI 420, AUTOCLAVÁVEL ATÉ  135 °C. COMPATIBILIDADE PARA SISTEMA DE RASTREABILIDADE. GARANTIA DE 10 ANOS, LOTE, LOGOMARCA DO FABRICANTE E AS INICIAIS DO HOSPITAL,   UTILIZANDO MÉTODO A LASER.</t>
  </si>
  <si>
    <t>RINOSSEPTO</t>
  </si>
  <si>
    <t>AMIGDALA</t>
  </si>
  <si>
    <t>ABRE BOCA  MC .IVOR /LAMINAS COMUM</t>
  </si>
  <si>
    <t>EBS11850</t>
  </si>
  <si>
    <t>Abridor de boca, tipo MC IVOR, sem sucção, com 4 LÂMINAS e 3 ARCOS (7 peças). Material AÇO INOXIDÁVEL, autoclavável. Com compatibilidade para sistema de rastreabilidade. Lote, logomarca do fabricante e as iniciais do hospital, utilizando método a laser.</t>
  </si>
  <si>
    <t>PONTA ASPIRADOR YANKAUER CURVO 28CM</t>
  </si>
  <si>
    <t>EBS09252</t>
  </si>
  <si>
    <t>ASPIRADOR cirúrgico, tipo YANKAUER, haste ANGULADA 30°, COMPRIMENTO cerca de 28 cm. Material AÇO INOXIDÁVEL, autoclavável até 135 °C. Com compatibilidade para sistema de rastreabilidade. Lote, logomarca do fabricante e as iniciais do hospital, utilizando método a laser.</t>
  </si>
  <si>
    <t>EBS04668</t>
  </si>
  <si>
    <t>Cabo DE BISTURI CIRÚRGICO, TAMANHO nº 7, COMPRIMENTO cerca de 16 cm, CABO CHATO, LÂMINA nº 10 a 17, material AÇO INOX, autoclavável até 135°c. Com compatibilidade para sistema de rastreabilidade. Lote, logomarca do fabricante e as iniciais do hospital, utilizando método a laser.</t>
  </si>
  <si>
    <t>CURETA DE BECKMANN N*1</t>
  </si>
  <si>
    <t>EBS08291</t>
  </si>
  <si>
    <t>Cureta, modelo BECKMANN, tipo faca, ponta fenestrada e ANGULADA Nº 1, COMPRIMENTO cerca de 20 cm. Material AÇO INOXIDÁVEL, autoclavável até 135°c. Com compatibilidade para sistema de rastreabilidade. Lote, logomarca do fabricante e as iniciais do hospital, utilizando método a laser.</t>
  </si>
  <si>
    <t>CURETA DE BECKMANN N*3</t>
  </si>
  <si>
    <t>EBS09284</t>
  </si>
  <si>
    <t>Cureta, modelo BECKMANN, tipo faca, ponta fenestrada e ANGULADA Nº 3, COMPRIMENTO cerca de 20 cm. Material AÇO INOXIDÁVEL, autoclavável até 135°c. Com compatibilidade para sistema de rastreabilidade. Lote, logomarca do fabricante e as iniciais do hospital, utilizando método a laser.</t>
  </si>
  <si>
    <t>CURETA DE BECKMANN N*5</t>
  </si>
  <si>
    <t>EBS09285</t>
  </si>
  <si>
    <t>Cureta, modelo BECKMANN, tipo faca, ponta fenestrada e ANGULADA Nº 5, COMPRIMENTO cerca de 20 cm. Material AÇO INOXIDÁVEL, autoclavável até 135°c. Com compatibilidade para sistema de rastreabilidade. Lote, logomarca do fabricante e as iniciais do hospital, utilizando método a laser.</t>
  </si>
  <si>
    <t>ASPIRADOR DESCOLADOR DE AMIGDALA 4MM</t>
  </si>
  <si>
    <t>EBS11704</t>
  </si>
  <si>
    <t>DESCOLADOR ASPIRADOR de amigdala, COMPRIMENTO cerca de 20 cm, diâmetro cerca de 3 a 5 mm, haste reta. Material AÇO INOXIDÁVEL, autoclavável até 135°C. Com compatibilidade para sistema de rastreabilidade. Lote, logomarca do fabricante e as iniciais do hospital, utilizando método a laser.</t>
  </si>
  <si>
    <t>DESCOLADOR HURD 23CM</t>
  </si>
  <si>
    <t>EBS10219</t>
  </si>
  <si>
    <t>DESCOLADOR cirúrgico, tipo HURD, COMPRIMENTO cerca de 22 cm. Material AÇO INOXIDÁVEL, autoclavável até 135°C. Com compatibilidade para sistema de rastreabilidade. Lote, logomarca do fabricante e as iniciais do hospital, utilizando método a laser.</t>
  </si>
  <si>
    <t>PINCA ALLIS 20CM</t>
  </si>
  <si>
    <t>EBS04715</t>
  </si>
  <si>
    <t>PINÇA cirúrgica, tipo ALLIS, ponta RETA, COM 5 X 6 DENTES, COMPRIMENTO cerca de 20 cm, COM CREMALHEIRA. Material AÇO INOXIDÁVEL, autoclavável até 135 °C. Com compatibilidade para sistema de rastreabilidade. Lote, logomarca do fabricante e as iniciais do hospital, utilizando método a laser.</t>
  </si>
  <si>
    <t>PINÇA ALLIS SCOBEE ANGULADA 20CM</t>
  </si>
  <si>
    <t>EBS04723</t>
  </si>
  <si>
    <t>PINÇA cirúrgica, tipo ALLIS SCOOBE, ponta RETA, HASTE ANGULADA, COM 4 X 5 DENTES, COMPRIMENTO cerca de 20 cm, COM CREMALHEIRA. Material AÇO INOXIDÁVEL, autoclavável até 135 °C. Com compatibilidade para sistema de rastreabilidade. Lote, logomarca do fabricante e as iniciais do hospital, utilizando método a laser.</t>
  </si>
  <si>
    <t>PORTA-AGULHA, tipo MAYO HEGAR, ponta RETA, com VÍDEA, COMPRIMENTO cerca de 20 cm. Material AÇO INOXIDÁVEL, autoclavável até 135 °C. Com compatibilidade para sistema de rastreabilidade. Lote, logomarca do fabricante e as iniciais do hospital, utilizando método a laser.</t>
  </si>
  <si>
    <t>Não tem</t>
  </si>
  <si>
    <t>DISSECTOR DE AMIGDALA HENKE</t>
  </si>
  <si>
    <t>DISSECTOR cirúrgico de amigdalas, tipo HENKE, COMPRIMENTO cerca de 22 cm, com ponta dupla com cerca de 12mm em uma ponta e 5mm na outra. Material AÇO INOXIDÁVEL, autoclavável até 135°C. Com compatibilidade para sistema de rastreabilidade. Lote, logomarca do fabricante e as iniciais do hospital, utilizando método a laser.</t>
  </si>
  <si>
    <t>DESCRITIVO DE CAIXAS DE VIDEO CIRURGIA OBESIDADE</t>
  </si>
  <si>
    <t>SIH</t>
  </si>
  <si>
    <t>EBSERH</t>
  </si>
  <si>
    <t>NOME</t>
  </si>
  <si>
    <t>CAIXAS</t>
  </si>
  <si>
    <t>EBS14961</t>
  </si>
  <si>
    <t>AGULHA DE VERES</t>
  </si>
  <si>
    <t>Agulha PARA PUNÇÃO TIPO VERESS, COMPRIMENTO 150 mm, esterilidade ESTÉRIL, tipo uso ESTERILIZÁVEL, material AÇO INOXIDÁVEL, para pneumoperitônio, COM MOLA. Embalagem individual resistente com abertura em pétala asséptica, contendo a identificação do produto, lote e validade de fácil visualização.</t>
  </si>
  <si>
    <t>TUBO IRRIGACÃO E ASPIRAÇÃO 42CM (ASPIRADOR VIDEOC</t>
  </si>
  <si>
    <t>TUBO IRRIGACÃO E ASPIRAÇÃO COM ORIFICIOS LATERAIS, SUPERFICIE FOSCA, COM TORNEIRA DE DUAS VIAS TAMANHO 5MM/42CM EM ACO, NÃO ESTERIL AUTOCLAVAVEL, COM CODIGO DATAMATRIX NO INSTRUMENTAL QUE PERMITAM RASTREABILIDADE EM EMBALAGEM COM DADOS DE ROTULAGEM EXIGIDOS PARA PRODUTOS PARA SAUDE QUE PERMITAM A RASTREABILIDADE</t>
  </si>
  <si>
    <t>PINÇA DEBAKEY VIDEOCIRURGIA 5MM/42CM</t>
  </si>
  <si>
    <t>PINÇA para videocirurgia, tipo APREENSÃO ATRAUMÁTICA, modelo DEBAKEY, haste isolada cerca de 5 mm x 42 cm, simples ação mandibular, desmontável, rotatória, boca serrilhada. Material AÇO INOXIDÁVEL, autoclavável. Embalagem individual contendo dados de identificação, procedência, número de lote, data de fabricação, validade do produto e registro na ANVISA/MS.</t>
  </si>
  <si>
    <t>PINÇA MARYLAND VIDEOCIRURGIA 5MM/42CM</t>
  </si>
  <si>
    <t>PINÇA para videocirurgia, tipo BIPOLAR DE DISSECÇÃO, modelo MARYLAND, haste isolada 5 mm x 42 cm, manopla sem cremalheira. Material aço inoxidável, autoclavável. Embalagem individual contendo dados de identificação, procedência, número de lote, data de fabricação, validade do produto e registro na ANVISA/MS.</t>
  </si>
  <si>
    <t>PINÇA VÍDEO APREENSÃO RETA JACAREZINHO 5MM/42CM</t>
  </si>
  <si>
    <t>PINCA APREENSÃO RETA 2X4 DENTES 5MM/42CM COM MANOPLA COM CREMALHEIRA/JACAREZINHO NÃO ESTERIL, AUTOCLAVAVEL PERMITAM RASTREABILIDADE  EM EMBALAGEM COM DADOS DE ROTULAGEM EXIGIDOS PARA PRODUTOS PARA SAUDE QUE PERMITAM A RASTREABILIDADE.</t>
  </si>
  <si>
    <t>PINÇA FENESTRADA CROCE CURVA 5MMX42CM 33310 CC</t>
  </si>
  <si>
    <t>PINCA APREENSAO FENESTRAD CROCE CURVO,5MM/42CM,COM MANOPLA,SEM CREMALHEIRA, NÃO ESTERIL, AUTOCLAVAVEL, EM EMBALAGEM COM DADOS DE ROTULAGEM EXIGIDOS PARA PRODUTOS PARA SAUDE QUE PERMITAM A RASTREABILIDADE. SEM CODIGO EBSERH.</t>
  </si>
  <si>
    <t>TESOURA PARA VIDEOCIRURGIA, PONTA CURVA 5mmx42cm</t>
  </si>
  <si>
    <t>TESOURA PARA VIDEOCIRURGIA, TIPO METZENBAUM, PONTA CURVA, COMPRIMENTO CERCA DE 5 MM X 42 CM, TIPO MONOPOLAR, GIRATÓRIA. MATERIAL AÇO INOXIDÁVEL, AUTOCLAVÁVEL. EMBALAGEM INDIVIDUAL CONTENDO DADOS DE IDENTIFICAÇÃO, PROCEDÊNCIA, NÚMERO DE LOTE, DATA DE FABRICAÇÃO, VALIDADE DO PRODUTO E REGISTRO NA ANVISA/MS.</t>
  </si>
  <si>
    <t>PORTA AGULHA VIDEOCIRURGIA PONTA CURVA ESQUERDA 5mmx42mm MANOPLA CURVA</t>
  </si>
  <si>
    <t>PORTA-AGULHA para videocirurgia, ponta CURVA PARA ESQUERDA, TAMANHO cerca de 5 mm x 42 cm, com VÍDEA, manopla CURVA com cremalheira ou trava. Material AÇO INOXIDÁVEL, autoclavável. Embalagem individual contendo dados de identificação, procedência, número de lote, data de fabricação, validade do produto e registro na ANVISA/MS.Aprs: unidade</t>
  </si>
  <si>
    <t>EBS13999</t>
  </si>
  <si>
    <t>CONECTOR DO INSUFLADOR</t>
  </si>
  <si>
    <r>
      <rPr>
        <sz val="10"/>
        <rFont val="Calibri"/>
        <family val="2"/>
      </rPr>
      <t>Conector em AÇO INOXIDÁVEL, com mangueira para insuflação de CO2 em pneumoperitônio, confeccionada em SILICONE, COMPRIMENTO no mínimo de 2,5
m. Para videocirurgia, esterilizável. Embalagem contendo dados de identificação, procedência, número de lote, data de fabricação, validade do produto. Possuir registro
Anvisa.</t>
    </r>
  </si>
  <si>
    <t>CABO MONOPOLAR VIDEOCIRURGIA</t>
  </si>
  <si>
    <t>CABO MONOPOLAR, COMPRIMENTO 3 M, PLUG DE 4MM, PINO DE 4MM, PARA USO EM VIDEOCIRURGIA, COMPATÍVEL COM PINÇAS KARL STORZ.</t>
  </si>
  <si>
    <t>TUBO 5MMX42CM</t>
  </si>
  <si>
    <t>MANOPLA COM CREMALHEIRA</t>
  </si>
  <si>
    <t>MANOPLA SEM CREMALHEIRA</t>
  </si>
  <si>
    <t>ENDOSCÓPIO RÍGIDO 30°/10MM/42CM</t>
  </si>
  <si>
    <t>ENDOSCÓPIO RÍGIDO (ÓPTICA), COM FIBRA ÓPTICA, AUTOCLAVÁVEL, GRADUADO. TRANSMISSÃO OCULAR FIXA OBLÍQUA, ÂNGULO DE VISÃO (AV): 30° (TRINTA GRAUS); DIMENSÕES: 10MM (DIÂMETRO) X 42 CM (COMPRIMENTO). COMPATÍVEL COM EQUIPAMENTO ESPECIFICADO EM EDITAL.</t>
  </si>
  <si>
    <t>QNT/CAIXA</t>
  </si>
  <si>
    <t>QNT. TOTAL</t>
  </si>
  <si>
    <t>Descritivo</t>
  </si>
  <si>
    <t>Quantidade</t>
  </si>
  <si>
    <t>PINÇA FOERSTER CURVA 24CM</t>
  </si>
  <si>
    <t>PINÇA FOERSTER CURVA 24CM EM ACO INOX NAO ESTERIL, AUTOCLAVAVEL E O COM CODIGO DATAMATRIX NO INSTRUMENTAL QUE PERMITAM RASTREABILIDADE  E EMBALAGEM COM DADOS DE ROTULAGEM EXIGIDOS PARA PRODUTOS PARA SAUDE</t>
  </si>
  <si>
    <t>PINÇA FOERSTER RETA 24CM</t>
  </si>
  <si>
    <t>PINÇA FOERSTER RETA 24CM EM ACO INOX NAO ESTERIL, AUTOCLAVAVEL E O COM CODIGO DATAMATRIX NO INSTRUMENTAL QUE PERMITAM RASTREABILIDADE  E EMBALAGEM COM DADOS DE ROTULAGEM EXIGIDOS PARA PRODUTOS PARA SAUDE</t>
  </si>
  <si>
    <t>TESOURA METZEMBAUM NELSON RETA 14 CM DELICADA EM ACO INOX NAO ESTERIL, AUTOCLAVAVEL E O COM CODIGO DATAMATRIX NO INSTRUMENTAL QUE PERMITAM RASTREABILIDADE  E EMBALAGEM COM DADOS DE ROTULAGEM EXIGIDOS PARA PROD UTOS PARA SAUDE</t>
  </si>
  <si>
    <t>TESOURA METZEMBAUM NELSON CURVA 14 CM</t>
  </si>
  <si>
    <t>TESOURA METZEMBAUM NELSON CURVA 14 CM DELICADA EM ACO INOX NAO ESTERIL, AUTOCLAVAVEL E O COM CODIGO DATAMATRIX NO INSTRUMENTAL QUE PERMITAM RASTREABILIDADE  E EMBALAGEM COM DADOS DE ROTULAGEM EXIGIDOS PARA PROD UTOS PARA SAUDE</t>
  </si>
  <si>
    <t>AFASTADOR SENN MUELLER CORTANTE 15CM</t>
  </si>
  <si>
    <t xml:space="preserve"> AFASTADOR SENN MUELLER CORTANTE 15CM EM ACO INOX NAO ESTERIL, AUTOCLAVAVEL E O COM CODIGO DATAMATRIX NO INSTRUMENTAL QUE PERMITAM RASTREABILIDADE  E EMBALAGEM COM DADOS DE ROTULAGEM EXIGIDOS PARA PRODUTOS PARA SAUDE</t>
  </si>
  <si>
    <t>PINÇA cirúrgica, tipo KELLY, ponta RETA, SERRILHADA, COMPRIMENTO cerca de 14 cm, COM CREMALHEIRA. Material AÇO INOXIDÁVEL, autoclavável até 135 °C. Com compatibilidade para sistema de rastreabilidade. Lote, logomarca do fabricante e as iniciais do hospital, utilizando método a laser.</t>
  </si>
  <si>
    <t>PINCA KELLY RETA 16CM</t>
  </si>
  <si>
    <t>PINÇA cirúrgica, tipo KELLY, ponta RETA, SERRILHADA, COMPRIMENTO cerca de 16 cm, COM CREMALHEIRA. Material AÇO INOXIDÁVEL, autoclavável até 135 °C. Com compatibilidade para sistema de rastreabilidade. Lote, logomarca do fabricante e as iniciais do hospital, utilizando método a laser.</t>
  </si>
  <si>
    <t>PINÇA cirúrgica, tipo KELLY, ponta CURVA, SERRILHADA, COMPRIMENTO cerca de 14 cm, COM CREMALHEIRA. Material AÇO INOXIDÁVEL, autoclavável até 135 °C. Com compatibilidade para sistema de rastreabilidade. Lote, logomarca do fabricante e as iniciais do hospital, utilizando método a laser.</t>
  </si>
  <si>
    <t xml:space="preserve">  PINCA KELLY CURVA 16CM</t>
  </si>
  <si>
    <t xml:space="preserve">PINÇA CIRÚRGICA, TIPO ADSON, PONTA RETA, 1 X 2 DENTE, COMPRIMENTO CERCA DE 12 CM, SEM CREMALHEIRA. MATERIAL AÇO INOXIDÁVEL AISI 420, AUTOCLAVÁVEL ATÉ 135 °C. COM COMPATIBILIDADE PARA SISTEMA DE RASTREABILIDADE. </t>
  </si>
  <si>
    <t>PINCA ADSON RETA S/DENTE 12cm</t>
  </si>
  <si>
    <t>PINCA CIRURGICA, TIPO DISSECCAO, MODELO ADSON, PONTA SERRILHADA RETA, EM ACO INOX, SEM DENTE, MEDINDO 12cm DE COMPRIMENTO, ACO INOX NAO ESTERIL, AUTOCLAVAVEL E COM CODIGO DATAMATRIX NO INSTRUMENTAL QUE PERMITAM RASTREABILIDADE EEMBALAGEM COM DADOS DE ROTULAGEM EXIGIDOS PARA PRODUTO PARA SAUDE.</t>
  </si>
  <si>
    <t>TESOURA SPENCER</t>
  </si>
  <si>
    <t>TESOURA cirúrgica, tipo SPENCER, PONTA RETA, COMPRIMENTO cerca de 12 cm. Material AÇO INOXIDÁVEL, autoclavável até 135 °C. Com compatibilidade para sistema de rastreabilidade. Lote, logomarca do fabricante e as iniciais do hospital, utilizando método a laser.</t>
  </si>
  <si>
    <t>PINÇA cirúrgica, tipo BABY MIXTER, COMPRIMENTO cerca de 16 cm, COM CREMALHEIRA. Material AÇO INOXIDÁVEL, autoclavável até 135 °C. Com compatibilidade para sistema de rastreabilidade. Lote, logomarca do fabricante e as iniciais do hospital, utilizando método a laser.</t>
  </si>
  <si>
    <t>PINCA CIRURGICA TIPO BOZEMANN 26CM</t>
  </si>
  <si>
    <t>PINCA CIRURGICA TIPO BOZEMANN, PONTA CURVA, SERRILHADA, COMPRIMENTO CERCA DE 26CM, COM CREMALHEIRA. MATERIAL ACO INOXIDAVEL AISI 420, AUTOCLAVAVEL ATE 135°C. COM COMPATIBILIDADE PARA SISTEMA DE RASTREABILIDADE. GARANTIA DE 10 ANOS. LOTE, LOGOMARCA DO FABRICANTE E AS INICIAIS DO HOSPITAL, UTILIZANDO METODO A LASER.</t>
  </si>
  <si>
    <t>AFASTADOR ATRIAL COOLEY ESQUERDO 28cm ponta 45x30mm</t>
  </si>
  <si>
    <t>AFASTADOR ATRIAL COOLEY ESQUERDO 28cm ponta 45x48mm</t>
  </si>
  <si>
    <t xml:space="preserve">Qnt. </t>
  </si>
  <si>
    <t>TOTAL</t>
  </si>
  <si>
    <t>08-225-25</t>
  </si>
  <si>
    <t>TRIMED</t>
  </si>
  <si>
    <t>08-222-25</t>
  </si>
  <si>
    <t>05-286-14</t>
  </si>
  <si>
    <t>05-287-14</t>
  </si>
  <si>
    <t>09-186-16</t>
  </si>
  <si>
    <t>07-230-14</t>
  </si>
  <si>
    <t>07-231-14</t>
  </si>
  <si>
    <t>07-234-16</t>
  </si>
  <si>
    <t>07-235-16</t>
  </si>
  <si>
    <t>06-270-12</t>
  </si>
  <si>
    <t>06-132-12</t>
  </si>
  <si>
    <t>08-184-25</t>
  </si>
  <si>
    <t>17-166-01</t>
  </si>
  <si>
    <t>04-150-03</t>
  </si>
  <si>
    <t>05-762-11</t>
  </si>
  <si>
    <t>07-191-12</t>
  </si>
  <si>
    <t>07-190-12</t>
  </si>
  <si>
    <t>07-181-02</t>
  </si>
  <si>
    <t>08-191-26</t>
  </si>
  <si>
    <t>05-590-10</t>
  </si>
  <si>
    <t>05-591-10</t>
  </si>
  <si>
    <t>09-721-03</t>
  </si>
  <si>
    <t>09-192-14</t>
  </si>
  <si>
    <t>09-575-00</t>
  </si>
  <si>
    <t>09-663-16</t>
  </si>
  <si>
    <t>13-234-22</t>
  </si>
  <si>
    <t>03-180-08</t>
  </si>
  <si>
    <t>04-200-07</t>
  </si>
  <si>
    <t>04-160-31</t>
  </si>
  <si>
    <t>03-280-22</t>
  </si>
  <si>
    <t>14-455-18</t>
  </si>
  <si>
    <t>07-121-10</t>
  </si>
  <si>
    <t>07-121-08</t>
  </si>
  <si>
    <t>14-772-15</t>
  </si>
  <si>
    <t>15-267-22</t>
  </si>
  <si>
    <t>14-262-10</t>
  </si>
  <si>
    <t>14-262-15</t>
  </si>
  <si>
    <t>14-262-20</t>
  </si>
  <si>
    <t>14-746-20</t>
  </si>
  <si>
    <t>29-414-14</t>
  </si>
  <si>
    <t>18-104-25</t>
  </si>
  <si>
    <t>06-650-20</t>
  </si>
  <si>
    <t>14-580-10</t>
  </si>
  <si>
    <t>PINÇA CLAMP ARTERIAL 45º 20 CM</t>
  </si>
  <si>
    <t>14-580-12</t>
  </si>
  <si>
    <t>14-584-13</t>
  </si>
  <si>
    <t>14-501-20</t>
  </si>
  <si>
    <t>14-501-25</t>
  </si>
  <si>
    <t>14-461-26</t>
  </si>
  <si>
    <t>14-557-17</t>
  </si>
  <si>
    <t>14-461-31</t>
  </si>
  <si>
    <t>14-512-01</t>
  </si>
  <si>
    <t>14-566-17</t>
  </si>
  <si>
    <t>14-491-24</t>
  </si>
  <si>
    <t>06-100-14</t>
  </si>
  <si>
    <t>06-100-16</t>
  </si>
  <si>
    <t>06-250-20</t>
  </si>
  <si>
    <t>06-654-20</t>
  </si>
  <si>
    <t>06-654-24</t>
  </si>
  <si>
    <t>06-436-18</t>
  </si>
  <si>
    <t>07-331-18</t>
  </si>
  <si>
    <t>07-439-23</t>
  </si>
  <si>
    <t>07-287-16</t>
  </si>
  <si>
    <t>07-286-16</t>
  </si>
  <si>
    <t>07-375-19</t>
  </si>
  <si>
    <t>06-184-18</t>
  </si>
  <si>
    <t>07-730-20</t>
  </si>
  <si>
    <t>07-311-24</t>
  </si>
  <si>
    <t>06-426-20</t>
  </si>
  <si>
    <t>14-309-24</t>
  </si>
  <si>
    <t>21-263-02</t>
  </si>
  <si>
    <t>11-514-18</t>
  </si>
  <si>
    <t>13-202-20</t>
  </si>
  <si>
    <t>11-552-16</t>
  </si>
  <si>
    <t>11-552-20</t>
  </si>
  <si>
    <t>11-552-26</t>
  </si>
  <si>
    <t>11-566-20</t>
  </si>
  <si>
    <t>05-171-17</t>
  </si>
  <si>
    <t>05-391-00</t>
  </si>
  <si>
    <t>05-591-11</t>
  </si>
  <si>
    <t>05-823-21</t>
  </si>
  <si>
    <t>05-181-21</t>
  </si>
  <si>
    <t>05-221-15</t>
  </si>
  <si>
    <t>05-231-23</t>
  </si>
  <si>
    <t>05-231-20</t>
  </si>
  <si>
    <t>05-230-20</t>
  </si>
  <si>
    <t>05-404-19</t>
  </si>
  <si>
    <t>05-403-19</t>
  </si>
  <si>
    <t>AI00104</t>
  </si>
  <si>
    <t>Harte</t>
  </si>
  <si>
    <t>AI1788</t>
  </si>
  <si>
    <t>AI2353</t>
  </si>
  <si>
    <t>AI00791</t>
  </si>
  <si>
    <t>AI02167</t>
  </si>
  <si>
    <t>AI02166</t>
  </si>
  <si>
    <r>
      <t> </t>
    </r>
    <r>
      <rPr>
        <sz val="11"/>
        <rFont val="Aptos Narrow"/>
        <family val="2"/>
        <scheme val="minor"/>
      </rPr>
      <t>AI2742</t>
    </r>
  </si>
  <si>
    <t>AFASTADOR ATRIAL COOLEY DIREITO 28cm ponta 25x46mm</t>
  </si>
  <si>
    <t>AI00363</t>
  </si>
  <si>
    <r>
      <t> </t>
    </r>
    <r>
      <rPr>
        <sz val="11"/>
        <rFont val="Aptos Narrow"/>
        <family val="2"/>
        <scheme val="minor"/>
      </rPr>
      <t>AI00428</t>
    </r>
  </si>
  <si>
    <t>Afastador Dinkhuysen N°1 24x20mm - Harte Instrumentos Cirúrgicos</t>
  </si>
  <si>
    <t>GANCHO DE MITRAL – Bioengenharia</t>
  </si>
  <si>
    <t>24-182-00</t>
  </si>
  <si>
    <t>23-721-19</t>
  </si>
  <si>
    <t>23-735-20</t>
  </si>
  <si>
    <t>AI1571</t>
  </si>
  <si>
    <t>HARTE</t>
  </si>
  <si>
    <t>AI0196</t>
  </si>
  <si>
    <t>25-231-23</t>
  </si>
  <si>
    <t>AI0466</t>
  </si>
  <si>
    <t>03-180-09</t>
  </si>
  <si>
    <t>23-652-02</t>
  </si>
  <si>
    <t>23-652-03</t>
  </si>
  <si>
    <t>22-408-04</t>
  </si>
  <si>
    <t>23-860-01</t>
  </si>
  <si>
    <t>23-860-03</t>
  </si>
  <si>
    <t>23-860-05</t>
  </si>
  <si>
    <t>23-584-21</t>
  </si>
  <si>
    <t>23-556-18</t>
  </si>
  <si>
    <t>23-566-18</t>
  </si>
  <si>
    <t>25-177-06</t>
  </si>
  <si>
    <t>25-181-23</t>
  </si>
  <si>
    <t>23-120-01</t>
  </si>
  <si>
    <t>23-120-02</t>
  </si>
  <si>
    <t>23-120-03</t>
  </si>
  <si>
    <t>23-522-15</t>
  </si>
  <si>
    <t>13-454-18</t>
  </si>
  <si>
    <t>23-632-12</t>
  </si>
  <si>
    <t>23-626-03</t>
  </si>
  <si>
    <t>23-626-04</t>
  </si>
  <si>
    <t>18-104-19</t>
  </si>
  <si>
    <t>AI0865</t>
  </si>
  <si>
    <t>23-211-20</t>
  </si>
  <si>
    <t>23-359-19</t>
  </si>
  <si>
    <t>22-607-14</t>
  </si>
  <si>
    <t>23-283-12</t>
  </si>
  <si>
    <t>23-281-12</t>
  </si>
  <si>
    <t>23-940-27</t>
  </si>
  <si>
    <t>03-240-27</t>
  </si>
  <si>
    <t>11-552-18</t>
  </si>
  <si>
    <t>11-548-14</t>
  </si>
  <si>
    <t>11-546-12</t>
  </si>
  <si>
    <t>23-692-02</t>
  </si>
  <si>
    <t>23-670-02</t>
  </si>
  <si>
    <t>AI1415</t>
  </si>
  <si>
    <t>05-474-16</t>
  </si>
  <si>
    <t>05-476-18</t>
  </si>
  <si>
    <t>05-390-90</t>
  </si>
  <si>
    <t>05-307-14</t>
  </si>
  <si>
    <t>05-231-18</t>
  </si>
  <si>
    <t>03-180-06</t>
  </si>
  <si>
    <t>03-180-12</t>
  </si>
  <si>
    <t>12-01180-15</t>
  </si>
  <si>
    <t>FENTEX</t>
  </si>
  <si>
    <t>12-01206-15</t>
  </si>
  <si>
    <t>15-102-01</t>
  </si>
  <si>
    <t>13-302-04</t>
  </si>
  <si>
    <t>13-302-08</t>
  </si>
  <si>
    <t>13-514-10</t>
  </si>
  <si>
    <t>15-280-01</t>
  </si>
  <si>
    <t>15-280-02</t>
  </si>
  <si>
    <t>15-280-03</t>
  </si>
  <si>
    <t>15-280-04</t>
  </si>
  <si>
    <t>15-280-05</t>
  </si>
  <si>
    <t>09-950-09</t>
  </si>
  <si>
    <t>09-950-13</t>
  </si>
  <si>
    <t>09-950-17</t>
  </si>
  <si>
    <t>13-885-18</t>
  </si>
  <si>
    <t>15-752-03</t>
  </si>
  <si>
    <t>15-752-05</t>
  </si>
  <si>
    <t>34-240-16</t>
  </si>
  <si>
    <t>34-240-20</t>
  </si>
  <si>
    <t>34-626-20</t>
  </si>
  <si>
    <t>15-110-33</t>
  </si>
  <si>
    <t>06-250-14</t>
  </si>
  <si>
    <t>06-250-16</t>
  </si>
  <si>
    <t>AI00016</t>
  </si>
  <si>
    <t>06-180-17</t>
  </si>
  <si>
    <t>13-900-04</t>
  </si>
  <si>
    <t>13-904-23</t>
  </si>
  <si>
    <t>15-752-01</t>
  </si>
  <si>
    <t>15-630-06</t>
  </si>
  <si>
    <t>15-630-09</t>
  </si>
  <si>
    <t>15-630-03</t>
  </si>
  <si>
    <t>34-496-03</t>
  </si>
  <si>
    <t>13-593-19</t>
  </si>
  <si>
    <t>05-180-17</t>
  </si>
  <si>
    <t>05-220-15</t>
  </si>
  <si>
    <t>GANCHO MITRAL 30CM</t>
  </si>
  <si>
    <t>05-312-17</t>
  </si>
  <si>
    <t>09-523-03</t>
  </si>
  <si>
    <t>09-523-02</t>
  </si>
  <si>
    <t>23CM</t>
  </si>
  <si>
    <t>21,5CM</t>
  </si>
  <si>
    <t>AI2381</t>
  </si>
  <si>
    <t>AI2127 </t>
  </si>
  <si>
    <t> AI2742</t>
  </si>
  <si>
    <t> AI00428</t>
  </si>
  <si>
    <t>03-330-15</t>
  </si>
  <si>
    <t>HB2670-15</t>
  </si>
  <si>
    <t>06-460-08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</si>
</sst>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24" x14ac:knownFonts="1">
    <font>
      <sz val="11"/>
      <color theme="1"/>
      <name val="Aptos Narrow"/>
      <family val="2"/>
      <scheme val="minor"/>
    </font>
    <font>
      <sz val="11"/>
      <color theme="1"/>
      <name val="Aptos Narrow"/>
      <family val="2"/>
      <scheme val="minor"/>
    </font>
    <font>
      <b/>
      <sz val="11"/>
      <color theme="1"/>
      <name val="Aptos Narrow"/>
      <family val="2"/>
      <scheme val="minor"/>
    </font>
    <font>
      <b/>
      <sz val="11"/>
      <name val="Calibri"/>
      <family val="2"/>
    </font>
    <font>
      <b/>
      <sz val="10"/>
      <name val="Calibri"/>
      <family val="2"/>
    </font>
    <font>
      <sz val="10"/>
      <color theme="1"/>
      <name val="Calibri"/>
      <family val="2"/>
    </font>
    <font>
      <sz val="10"/>
      <color rgb="FF000000"/>
      <name val="Times New Roman"/>
      <family val="1"/>
    </font>
    <font>
      <sz val="10"/>
      <color theme="1"/>
      <name val="Aptos Narrow"/>
      <family val="2"/>
      <scheme val="minor"/>
    </font>
    <font>
      <sz val="10"/>
      <name val="Calibri"/>
      <family val="2"/>
    </font>
    <font>
      <sz val="11"/>
      <color theme="1"/>
      <name val="Calibri"/>
      <family val="2"/>
    </font>
    <font>
      <sz val="11"/>
      <name val="Calibri"/>
      <family val="2"/>
    </font>
    <font>
      <sz val="11"/>
      <name val="Calibri"/>
      <family val="1"/>
    </font>
    <font>
      <sz val="11"/>
      <color rgb="FF000000"/>
      <name val="Calibri"/>
      <family val="2"/>
    </font>
    <font>
      <sz val="11"/>
      <color rgb="FF000000"/>
      <name val="Times New Roman"/>
      <family val="1"/>
    </font>
    <font>
      <sz val="11"/>
      <color rgb="FF000000"/>
      <name val="Tahoma"/>
      <family val="2"/>
    </font>
    <font>
      <sz val="11"/>
      <name val="Tahoma"/>
      <family val="2"/>
    </font>
    <font>
      <sz val="10"/>
      <color rgb="FF000000"/>
      <name val="Calibri"/>
      <family val="2"/>
    </font>
    <font>
      <sz val="11"/>
      <name val="Aptos Narrow"/>
      <family val="2"/>
      <scheme val="minor"/>
    </font>
    <font>
      <b/>
      <sz val="11"/>
      <name val="Aptos Narrow"/>
      <family val="2"/>
      <scheme val="minor"/>
    </font>
    <font>
      <u/>
      <sz val="11"/>
      <color theme="10"/>
      <name val="Aptos Narrow"/>
      <family val="2"/>
      <scheme val="minor"/>
    </font>
    <font>
      <sz val="11"/>
      <color rgb="FFFF0000"/>
      <name val="Aptos Narrow"/>
      <family val="2"/>
      <scheme val="minor"/>
    </font>
    <font>
      <sz val="11"/>
      <color rgb="FFFF0000"/>
      <name val="Calibri"/>
      <family val="2"/>
    </font>
    <font>
      <sz val="11"/>
      <color rgb="FF000000"/>
      <name val="Aptos Narrow"/>
      <family val="2"/>
      <scheme val="minor"/>
    </font>
    <font>
      <sz val="11"/>
      <color rgb="FF333333"/>
      <name val="Arial"/>
      <family val="2"/>
    </font>
  </fonts>
  <fills count="6">
    <fill>
      <patternFill patternType="none"/>
    </fill>
    <fill>
      <patternFill patternType="gray125"/>
    </fill>
    <fill>
      <patternFill patternType="solid">
        <fgColor rgb="FFFFFFFF"/>
        <bgColor rgb="FF000000"/>
      </patternFill>
    </fill>
    <fill>
      <patternFill patternType="solid">
        <fgColor theme="0" tint="-0.34998626667073579"/>
        <bgColor indexed="64"/>
      </patternFill>
    </fill>
    <fill>
      <patternFill patternType="solid">
        <fgColor theme="0"/>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s>
  <cellStyleXfs count="4">
    <xf numFmtId="0" fontId="0" fillId="0" borderId="0"/>
    <xf numFmtId="44" fontId="1" fillId="0" borderId="0" applyFont="0" applyFill="0" applyBorder="0" applyAlignment="0" applyProtection="0"/>
    <xf numFmtId="0" fontId="6" fillId="0" borderId="0"/>
    <xf numFmtId="0" fontId="19" fillId="0" borderId="0" applyNumberFormat="0" applyFill="0" applyBorder="0" applyAlignment="0" applyProtection="0"/>
  </cellStyleXfs>
  <cellXfs count="133">
    <xf numFmtId="0" fontId="0" fillId="0" borderId="0" xfId="0"/>
    <xf numFmtId="0" fontId="3" fillId="0" borderId="1" xfId="0" applyFont="1" applyBorder="1" applyAlignment="1">
      <alignment wrapText="1"/>
    </xf>
    <xf numFmtId="44" fontId="5" fillId="0" borderId="1" xfId="1" applyFont="1" applyBorder="1"/>
    <xf numFmtId="0" fontId="0" fillId="0" borderId="1" xfId="0" applyBorder="1"/>
    <xf numFmtId="0" fontId="0" fillId="0" borderId="1" xfId="0" applyBorder="1" applyAlignment="1">
      <alignment horizontal="center"/>
    </xf>
    <xf numFmtId="0" fontId="0" fillId="0" borderId="1" xfId="0" applyBorder="1" applyAlignment="1">
      <alignment wrapText="1"/>
    </xf>
    <xf numFmtId="1" fontId="5" fillId="0" borderId="1" xfId="1" applyNumberFormat="1" applyFont="1" applyBorder="1"/>
    <xf numFmtId="0" fontId="3" fillId="3" borderId="1" xfId="0" applyFont="1" applyFill="1" applyBorder="1" applyAlignment="1">
      <alignment wrapText="1"/>
    </xf>
    <xf numFmtId="0" fontId="3" fillId="3" borderId="1" xfId="0" applyFont="1" applyFill="1" applyBorder="1" applyAlignment="1">
      <alignment horizontal="center"/>
    </xf>
    <xf numFmtId="0" fontId="3" fillId="3" borderId="5" xfId="0" applyFont="1" applyFill="1" applyBorder="1" applyAlignment="1">
      <alignment horizontal="left" wrapText="1"/>
    </xf>
    <xf numFmtId="0" fontId="0" fillId="3" borderId="1" xfId="0" applyFill="1" applyBorder="1"/>
    <xf numFmtId="0" fontId="0" fillId="0" borderId="5" xfId="0" applyBorder="1" applyAlignment="1">
      <alignment wrapText="1"/>
    </xf>
    <xf numFmtId="1" fontId="9" fillId="0" borderId="1" xfId="1" applyNumberFormat="1" applyFont="1" applyBorder="1"/>
    <xf numFmtId="0" fontId="10" fillId="0" borderId="1" xfId="2" applyFont="1" applyBorder="1" applyAlignment="1">
      <alignment horizontal="center" wrapText="1"/>
    </xf>
    <xf numFmtId="0" fontId="10" fillId="0" borderId="1" xfId="2" applyFont="1" applyBorder="1" applyAlignment="1">
      <alignment horizontal="left" wrapText="1"/>
    </xf>
    <xf numFmtId="1" fontId="12" fillId="0" borderId="1" xfId="2" applyNumberFormat="1" applyFont="1" applyBorder="1" applyAlignment="1">
      <alignment horizontal="center" shrinkToFit="1"/>
    </xf>
    <xf numFmtId="1" fontId="12" fillId="0" borderId="1" xfId="2" applyNumberFormat="1" applyFont="1" applyBorder="1" applyAlignment="1">
      <alignment horizontal="right" shrinkToFit="1"/>
    </xf>
    <xf numFmtId="1" fontId="0" fillId="0" borderId="1" xfId="0" applyNumberFormat="1" applyBorder="1"/>
    <xf numFmtId="0" fontId="10" fillId="0" borderId="2" xfId="2" applyFont="1" applyBorder="1" applyAlignment="1">
      <alignment horizontal="center" wrapText="1"/>
    </xf>
    <xf numFmtId="0" fontId="13" fillId="0" borderId="2" xfId="2" applyFont="1" applyBorder="1" applyAlignment="1">
      <alignment horizontal="left" wrapText="1"/>
    </xf>
    <xf numFmtId="0" fontId="10" fillId="0" borderId="3" xfId="2" applyFont="1" applyBorder="1" applyAlignment="1">
      <alignment horizontal="left" wrapText="1"/>
    </xf>
    <xf numFmtId="1" fontId="12" fillId="0" borderId="2" xfId="2" applyNumberFormat="1" applyFont="1" applyBorder="1" applyAlignment="1">
      <alignment horizontal="center" shrinkToFit="1"/>
    </xf>
    <xf numFmtId="0" fontId="9" fillId="0" borderId="1" xfId="0" applyFont="1" applyBorder="1" applyAlignment="1">
      <alignment horizontal="center"/>
    </xf>
    <xf numFmtId="0" fontId="9" fillId="0" borderId="1" xfId="0" applyFont="1" applyBorder="1" applyAlignment="1">
      <alignment horizontal="left"/>
    </xf>
    <xf numFmtId="0" fontId="9" fillId="0" borderId="5" xfId="0" applyFont="1" applyBorder="1" applyAlignment="1">
      <alignment horizontal="left" wrapText="1"/>
    </xf>
    <xf numFmtId="0" fontId="9" fillId="0" borderId="1" xfId="0" applyFont="1" applyBorder="1" applyAlignment="1">
      <alignment wrapText="1"/>
    </xf>
    <xf numFmtId="0" fontId="10" fillId="0" borderId="2" xfId="2" applyFont="1" applyBorder="1" applyAlignment="1">
      <alignment horizontal="left" wrapText="1"/>
    </xf>
    <xf numFmtId="0" fontId="0" fillId="0" borderId="2" xfId="0" applyBorder="1" applyAlignment="1">
      <alignment horizontal="center"/>
    </xf>
    <xf numFmtId="0" fontId="0" fillId="0" borderId="2" xfId="0" applyBorder="1"/>
    <xf numFmtId="0" fontId="0" fillId="0" borderId="3" xfId="0" applyBorder="1" applyAlignment="1">
      <alignment wrapText="1"/>
    </xf>
    <xf numFmtId="0" fontId="13" fillId="0" borderId="1" xfId="2" applyFont="1" applyBorder="1" applyAlignment="1">
      <alignment horizontal="left" wrapText="1"/>
    </xf>
    <xf numFmtId="0" fontId="13" fillId="0" borderId="3" xfId="2" applyFont="1" applyBorder="1" applyAlignment="1">
      <alignment horizontal="left" wrapText="1"/>
    </xf>
    <xf numFmtId="0" fontId="9" fillId="0" borderId="2" xfId="0" applyFont="1" applyBorder="1" applyAlignment="1">
      <alignment horizontal="center"/>
    </xf>
    <xf numFmtId="0" fontId="9" fillId="0" borderId="2" xfId="0" applyFont="1" applyBorder="1"/>
    <xf numFmtId="0" fontId="9" fillId="0" borderId="3" xfId="0" applyFont="1" applyBorder="1" applyAlignment="1">
      <alignment horizontal="left" wrapText="1"/>
    </xf>
    <xf numFmtId="0" fontId="9" fillId="0" borderId="1" xfId="0" applyFont="1" applyBorder="1"/>
    <xf numFmtId="0" fontId="10" fillId="0" borderId="1" xfId="2" applyFont="1" applyBorder="1" applyAlignment="1">
      <alignment horizontal="right" wrapText="1"/>
    </xf>
    <xf numFmtId="1" fontId="12" fillId="0" borderId="1" xfId="2" applyNumberFormat="1" applyFont="1" applyBorder="1" applyAlignment="1">
      <alignment horizontal="left" shrinkToFit="1"/>
    </xf>
    <xf numFmtId="0" fontId="13" fillId="0" borderId="5" xfId="2" applyFont="1" applyBorder="1" applyAlignment="1">
      <alignment horizontal="left" wrapText="1"/>
    </xf>
    <xf numFmtId="0" fontId="0" fillId="0" borderId="5" xfId="0" applyBorder="1"/>
    <xf numFmtId="0" fontId="0" fillId="0" borderId="0" xfId="0" applyAlignment="1">
      <alignment horizontal="center"/>
    </xf>
    <xf numFmtId="0" fontId="0" fillId="0" borderId="9" xfId="0" applyBorder="1"/>
    <xf numFmtId="0" fontId="0" fillId="0" borderId="9" xfId="0" applyBorder="1" applyAlignment="1">
      <alignment wrapText="1"/>
    </xf>
    <xf numFmtId="1" fontId="14" fillId="0" borderId="9" xfId="2" applyNumberFormat="1" applyFont="1" applyBorder="1" applyAlignment="1">
      <alignment horizontal="right" shrinkToFit="1"/>
    </xf>
    <xf numFmtId="0" fontId="9" fillId="0" borderId="7" xfId="0" applyFont="1" applyBorder="1" applyAlignment="1">
      <alignment horizontal="center"/>
    </xf>
    <xf numFmtId="0" fontId="9" fillId="0" borderId="7" xfId="0" applyFont="1" applyBorder="1"/>
    <xf numFmtId="0" fontId="10" fillId="0" borderId="7" xfId="0" applyFont="1" applyBorder="1" applyAlignment="1">
      <alignment horizontal="center"/>
    </xf>
    <xf numFmtId="0" fontId="9" fillId="0" borderId="6" xfId="0" applyFont="1" applyBorder="1" applyAlignment="1">
      <alignment horizontal="left" wrapText="1"/>
    </xf>
    <xf numFmtId="0" fontId="0" fillId="0" borderId="10" xfId="0" applyBorder="1"/>
    <xf numFmtId="0" fontId="9" fillId="0" borderId="10" xfId="0" applyFont="1" applyBorder="1"/>
    <xf numFmtId="0" fontId="10" fillId="0" borderId="1" xfId="0" applyFont="1" applyBorder="1" applyAlignment="1">
      <alignment horizontal="center"/>
    </xf>
    <xf numFmtId="0" fontId="9" fillId="0" borderId="1" xfId="0" applyFont="1" applyBorder="1" applyAlignment="1">
      <alignment horizontal="left" wrapText="1"/>
    </xf>
    <xf numFmtId="0" fontId="10" fillId="0" borderId="5" xfId="2" applyFont="1" applyBorder="1" applyAlignment="1">
      <alignment horizontal="left" wrapText="1"/>
    </xf>
    <xf numFmtId="1" fontId="14" fillId="0" borderId="1" xfId="2" applyNumberFormat="1" applyFont="1" applyBorder="1" applyAlignment="1">
      <alignment horizontal="right" shrinkToFit="1"/>
    </xf>
    <xf numFmtId="0" fontId="15" fillId="0" borderId="2" xfId="2" applyFont="1" applyBorder="1" applyAlignment="1">
      <alignment horizontal="center" wrapText="1"/>
    </xf>
    <xf numFmtId="0" fontId="15" fillId="0" borderId="2" xfId="2" applyFont="1" applyBorder="1" applyAlignment="1">
      <alignment horizontal="left" wrapText="1"/>
    </xf>
    <xf numFmtId="0" fontId="15" fillId="0" borderId="3" xfId="2" applyFont="1" applyBorder="1" applyAlignment="1">
      <alignment horizontal="left" wrapText="1"/>
    </xf>
    <xf numFmtId="1" fontId="14" fillId="0" borderId="2" xfId="2" applyNumberFormat="1" applyFont="1" applyBorder="1" applyAlignment="1">
      <alignment horizontal="center" shrinkToFit="1"/>
    </xf>
    <xf numFmtId="1" fontId="14" fillId="0" borderId="2" xfId="2" applyNumberFormat="1" applyFont="1" applyBorder="1" applyAlignment="1">
      <alignment horizontal="right" shrinkToFit="1"/>
    </xf>
    <xf numFmtId="0" fontId="10" fillId="0" borderId="2" xfId="0" applyFont="1" applyBorder="1" applyAlignment="1">
      <alignment horizontal="center"/>
    </xf>
    <xf numFmtId="1" fontId="14" fillId="0" borderId="1" xfId="2" applyNumberFormat="1" applyFont="1" applyBorder="1" applyAlignment="1">
      <alignment horizontal="center" shrinkToFit="1"/>
    </xf>
    <xf numFmtId="0" fontId="15" fillId="0" borderId="1" xfId="2" applyFont="1" applyBorder="1" applyAlignment="1">
      <alignment horizontal="left" wrapText="1"/>
    </xf>
    <xf numFmtId="0" fontId="9" fillId="0" borderId="2" xfId="0" applyFont="1" applyBorder="1" applyAlignment="1">
      <alignment horizontal="left"/>
    </xf>
    <xf numFmtId="0" fontId="15" fillId="0" borderId="5" xfId="2" applyFont="1" applyBorder="1" applyAlignment="1">
      <alignment horizontal="left" wrapText="1"/>
    </xf>
    <xf numFmtId="0" fontId="10" fillId="2" borderId="2" xfId="0" applyFont="1" applyFill="1" applyBorder="1" applyAlignment="1">
      <alignment horizontal="left" wrapText="1"/>
    </xf>
    <xf numFmtId="0" fontId="10" fillId="0" borderId="3" xfId="0" applyFont="1" applyBorder="1" applyAlignment="1">
      <alignment horizontal="left" wrapText="1"/>
    </xf>
    <xf numFmtId="0" fontId="0" fillId="0" borderId="8" xfId="0" applyBorder="1"/>
    <xf numFmtId="1" fontId="0" fillId="0" borderId="0" xfId="0" applyNumberFormat="1"/>
    <xf numFmtId="0" fontId="3" fillId="3" borderId="9" xfId="0" applyFont="1" applyFill="1" applyBorder="1" applyAlignment="1">
      <alignment vertical="center" wrapText="1"/>
    </xf>
    <xf numFmtId="0" fontId="3" fillId="3" borderId="1" xfId="0" applyFont="1" applyFill="1" applyBorder="1" applyAlignment="1">
      <alignment horizontal="left" wrapText="1"/>
    </xf>
    <xf numFmtId="0" fontId="9" fillId="4" borderId="1" xfId="0" applyFont="1" applyFill="1" applyBorder="1" applyAlignment="1">
      <alignment wrapText="1"/>
    </xf>
    <xf numFmtId="0" fontId="3" fillId="3" borderId="1" xfId="0" applyFont="1" applyFill="1" applyBorder="1" applyAlignment="1">
      <alignment vertical="center" wrapText="1"/>
    </xf>
    <xf numFmtId="0" fontId="9" fillId="0" borderId="9" xfId="0" applyFont="1" applyBorder="1" applyAlignment="1">
      <alignment horizontal="center"/>
    </xf>
    <xf numFmtId="1" fontId="3" fillId="3" borderId="1" xfId="0" applyNumberFormat="1" applyFont="1" applyFill="1" applyBorder="1" applyAlignment="1">
      <alignment wrapText="1"/>
    </xf>
    <xf numFmtId="0" fontId="2" fillId="3" borderId="1" xfId="0" applyFont="1" applyFill="1" applyBorder="1"/>
    <xf numFmtId="1" fontId="2" fillId="3" borderId="1" xfId="0" applyNumberFormat="1" applyFont="1" applyFill="1" applyBorder="1"/>
    <xf numFmtId="0" fontId="2" fillId="0" borderId="0" xfId="0" applyFont="1"/>
    <xf numFmtId="0" fontId="2" fillId="3" borderId="0" xfId="0" applyFont="1" applyFill="1"/>
    <xf numFmtId="1" fontId="7" fillId="0" borderId="1" xfId="1" applyNumberFormat="1" applyFont="1" applyBorder="1"/>
    <xf numFmtId="0" fontId="5" fillId="0" borderId="1" xfId="1" applyNumberFormat="1" applyFont="1" applyBorder="1"/>
    <xf numFmtId="0" fontId="4" fillId="0" borderId="2" xfId="0" applyFont="1" applyBorder="1" applyAlignment="1">
      <alignment horizontal="left" vertical="top" wrapText="1"/>
    </xf>
    <xf numFmtId="0" fontId="5" fillId="0" borderId="0" xfId="0" applyFont="1"/>
    <xf numFmtId="0" fontId="4" fillId="0" borderId="2" xfId="0" applyFont="1" applyBorder="1" applyAlignment="1">
      <alignment horizontal="center" vertical="top" wrapText="1"/>
    </xf>
    <xf numFmtId="1" fontId="16" fillId="0" borderId="2" xfId="0" applyNumberFormat="1" applyFont="1" applyBorder="1" applyAlignment="1">
      <alignment horizontal="right" shrinkToFit="1"/>
    </xf>
    <xf numFmtId="0" fontId="8" fillId="0" borderId="2" xfId="0" applyFont="1" applyBorder="1" applyAlignment="1">
      <alignment horizontal="left" wrapText="1"/>
    </xf>
    <xf numFmtId="0" fontId="8" fillId="0" borderId="2" xfId="0" applyFont="1" applyBorder="1" applyAlignment="1">
      <alignment horizontal="left" vertical="top" wrapText="1"/>
    </xf>
    <xf numFmtId="0" fontId="5" fillId="0" borderId="2" xfId="0" applyFont="1" applyBorder="1" applyAlignment="1">
      <alignment horizontal="left" vertical="top" wrapText="1"/>
    </xf>
    <xf numFmtId="0" fontId="8" fillId="0" borderId="2" xfId="0" applyFont="1" applyBorder="1" applyAlignment="1">
      <alignment horizontal="left" vertical="center" wrapText="1"/>
    </xf>
    <xf numFmtId="1" fontId="16" fillId="0" borderId="2" xfId="0" applyNumberFormat="1" applyFont="1" applyBorder="1" applyAlignment="1">
      <alignment horizontal="right" vertical="center" shrinkToFit="1"/>
    </xf>
    <xf numFmtId="1" fontId="16" fillId="0" borderId="2" xfId="0" applyNumberFormat="1" applyFont="1" applyBorder="1" applyAlignment="1">
      <alignment horizontal="right" vertical="top" shrinkToFit="1"/>
    </xf>
    <xf numFmtId="0" fontId="3" fillId="0" borderId="4" xfId="0" applyFont="1" applyBorder="1" applyAlignment="1">
      <alignment horizontal="center"/>
    </xf>
    <xf numFmtId="0" fontId="3" fillId="0" borderId="4" xfId="0" applyFont="1" applyBorder="1"/>
    <xf numFmtId="0" fontId="3" fillId="0" borderId="4" xfId="0" applyFont="1" applyBorder="1" applyAlignment="1">
      <alignment horizontal="left" wrapText="1"/>
    </xf>
    <xf numFmtId="0" fontId="0" fillId="0" borderId="4" xfId="0" applyBorder="1"/>
    <xf numFmtId="0" fontId="0" fillId="0" borderId="4" xfId="0" applyBorder="1" applyAlignment="1">
      <alignment wrapText="1"/>
    </xf>
    <xf numFmtId="0" fontId="0" fillId="0" borderId="14" xfId="0" applyBorder="1" applyAlignment="1">
      <alignment wrapText="1"/>
    </xf>
    <xf numFmtId="0" fontId="0" fillId="0" borderId="14" xfId="0" applyBorder="1"/>
    <xf numFmtId="0" fontId="0" fillId="0" borderId="15" xfId="0" applyBorder="1"/>
    <xf numFmtId="0" fontId="0" fillId="0" borderId="16" xfId="0" applyBorder="1"/>
    <xf numFmtId="0" fontId="9" fillId="0" borderId="4" xfId="0" applyFont="1" applyBorder="1" applyAlignment="1">
      <alignment horizontal="center"/>
    </xf>
    <xf numFmtId="0" fontId="9" fillId="0" borderId="4" xfId="0" applyFont="1" applyBorder="1" applyAlignment="1">
      <alignment wrapText="1"/>
    </xf>
    <xf numFmtId="0" fontId="9" fillId="0" borderId="4" xfId="0" applyFont="1" applyBorder="1" applyAlignment="1">
      <alignment horizontal="left" wrapText="1"/>
    </xf>
    <xf numFmtId="0" fontId="9" fillId="0" borderId="4" xfId="0" applyFont="1" applyBorder="1"/>
    <xf numFmtId="0" fontId="0" fillId="0" borderId="4" xfId="0" applyBorder="1" applyAlignment="1">
      <alignment horizontal="center"/>
    </xf>
    <xf numFmtId="0" fontId="0" fillId="0" borderId="14" xfId="0" applyBorder="1" applyAlignment="1">
      <alignment horizontal="center"/>
    </xf>
    <xf numFmtId="0" fontId="2" fillId="0" borderId="0" xfId="0" applyFont="1" applyAlignment="1">
      <alignment horizontal="center"/>
    </xf>
    <xf numFmtId="0" fontId="17" fillId="0" borderId="0" xfId="0" applyFont="1"/>
    <xf numFmtId="0" fontId="18" fillId="0" borderId="0" xfId="0" applyFont="1"/>
    <xf numFmtId="0" fontId="19" fillId="0" borderId="0" xfId="3"/>
    <xf numFmtId="0" fontId="2" fillId="0" borderId="1" xfId="0" applyFont="1" applyBorder="1" applyAlignment="1">
      <alignment horizontal="center"/>
    </xf>
    <xf numFmtId="0" fontId="9" fillId="0" borderId="4" xfId="0" applyFont="1" applyBorder="1" applyAlignment="1">
      <alignment horizontal="left"/>
    </xf>
    <xf numFmtId="0" fontId="20" fillId="0" borderId="1" xfId="0" applyFont="1" applyBorder="1" applyAlignment="1">
      <alignment wrapText="1"/>
    </xf>
    <xf numFmtId="0" fontId="21" fillId="0" borderId="1" xfId="0" applyFont="1" applyBorder="1"/>
    <xf numFmtId="0" fontId="21" fillId="0" borderId="1" xfId="2" applyFont="1" applyBorder="1" applyAlignment="1">
      <alignment horizontal="left" wrapText="1"/>
    </xf>
    <xf numFmtId="0" fontId="21" fillId="0" borderId="2" xfId="2" applyFont="1" applyBorder="1" applyAlignment="1">
      <alignment horizontal="left" wrapText="1"/>
    </xf>
    <xf numFmtId="0" fontId="21" fillId="0" borderId="1" xfId="0" applyFont="1" applyBorder="1" applyAlignment="1">
      <alignment horizontal="left"/>
    </xf>
    <xf numFmtId="0" fontId="20" fillId="0" borderId="1" xfId="0" applyFont="1" applyBorder="1"/>
    <xf numFmtId="0" fontId="0" fillId="5" borderId="0" xfId="0" applyFill="1"/>
    <xf numFmtId="0" fontId="22" fillId="0" borderId="1" xfId="0" applyFont="1" applyBorder="1" applyAlignment="1">
      <alignment horizontal="center" vertical="center" wrapText="1"/>
    </xf>
    <xf numFmtId="0" fontId="17" fillId="5" borderId="1" xfId="0" applyFont="1" applyFill="1" applyBorder="1" applyAlignment="1">
      <alignment horizontal="center" vertical="center"/>
    </xf>
    <xf numFmtId="0" fontId="22" fillId="5" borderId="1" xfId="0" applyFont="1" applyFill="1" applyBorder="1" applyAlignment="1">
      <alignment horizontal="center" vertical="center" wrapText="1"/>
    </xf>
    <xf numFmtId="0" fontId="23" fillId="0" borderId="0" xfId="0" applyFont="1" applyAlignment="1">
      <alignment horizontal="center" vertical="center"/>
    </xf>
    <xf numFmtId="0" fontId="0" fillId="0" borderId="1" xfId="0" applyBorder="1" applyAlignment="1">
      <alignment horizontal="center" vertical="center"/>
    </xf>
    <xf numFmtId="0" fontId="0" fillId="0" borderId="1" xfId="0" applyBorder="1" applyAlignment="1" applyProtection="1">
      <alignment horizontal="center" vertical="center" wrapText="1"/>
      <protection locked="0"/>
    </xf>
    <xf numFmtId="0" fontId="23" fillId="0" borderId="1" xfId="0" applyFont="1" applyBorder="1" applyAlignment="1">
      <alignment horizontal="center" vertical="center"/>
    </xf>
    <xf numFmtId="0" fontId="0" fillId="5" borderId="1" xfId="0" applyFill="1" applyBorder="1" applyAlignment="1">
      <alignment horizontal="center" vertical="center"/>
    </xf>
    <xf numFmtId="0" fontId="3" fillId="3" borderId="9"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4" fillId="0" borderId="3" xfId="0" applyFont="1" applyBorder="1" applyAlignment="1">
      <alignment horizontal="center" vertical="top" wrapText="1"/>
    </xf>
    <xf numFmtId="0" fontId="4" fillId="0" borderId="12" xfId="0" applyFont="1" applyBorder="1" applyAlignment="1">
      <alignment horizontal="center" vertical="top" wrapText="1"/>
    </xf>
    <xf numFmtId="0" fontId="4" fillId="0" borderId="13" xfId="0" applyFont="1" applyBorder="1" applyAlignment="1">
      <alignment horizontal="center" vertical="top" wrapText="1"/>
    </xf>
    <xf numFmtId="0" fontId="2" fillId="3" borderId="11" xfId="0" applyFont="1" applyFill="1" applyBorder="1" applyAlignment="1">
      <alignment horizontal="center"/>
    </xf>
    <xf numFmtId="0" fontId="2" fillId="3" borderId="0" xfId="0" applyFont="1" applyFill="1" applyAlignment="1">
      <alignment horizontal="center"/>
    </xf>
  </cellXfs>
  <cellStyles count="4">
    <cellStyle name="Hiperlink" xfId="3" builtinId="8"/>
    <cellStyle name="Moeda" xfId="1" builtinId="4"/>
    <cellStyle name="Normal" xfId="0" builtinId="0"/>
    <cellStyle name="Normal 2" xfId="2" xr:uid="{B0B51A7B-134D-4101-83C1-689392466C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10</xdr:col>
      <xdr:colOff>0</xdr:colOff>
      <xdr:row>5</xdr:row>
      <xdr:rowOff>25400</xdr:rowOff>
    </xdr:from>
    <xdr:ext cx="9525" cy="0"/>
    <xdr:pic>
      <xdr:nvPicPr>
        <xdr:cNvPr id="2" name="Imagem 1" descr="http://sistemaswebhom.einstein.br/CME/Imagens/nada.gif">
          <a:extLst>
            <a:ext uri="{FF2B5EF4-FFF2-40B4-BE49-F238E27FC236}">
              <a16:creationId xmlns:a16="http://schemas.microsoft.com/office/drawing/2014/main" id="{BC34FBB3-1D8A-45F6-8C2E-5BDBC17C6B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2950" y="266382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5</xdr:row>
      <xdr:rowOff>25400</xdr:rowOff>
    </xdr:from>
    <xdr:ext cx="9525" cy="0"/>
    <xdr:pic>
      <xdr:nvPicPr>
        <xdr:cNvPr id="3" name="Imagem 2" descr="http://sistemaswebhom.einstein.br/CME/Imagens/nada.gif">
          <a:extLst>
            <a:ext uri="{FF2B5EF4-FFF2-40B4-BE49-F238E27FC236}">
              <a16:creationId xmlns:a16="http://schemas.microsoft.com/office/drawing/2014/main" id="{1EB854CA-6DCC-4AAE-A95E-89E4858F57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2950" y="266382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5</xdr:row>
      <xdr:rowOff>25400</xdr:rowOff>
    </xdr:from>
    <xdr:ext cx="9525" cy="0"/>
    <xdr:pic>
      <xdr:nvPicPr>
        <xdr:cNvPr id="4" name="Imagem 3" descr="http://sistemaswebhom.einstein.br/CME/Imagens/nada.gif">
          <a:extLst>
            <a:ext uri="{FF2B5EF4-FFF2-40B4-BE49-F238E27FC236}">
              <a16:creationId xmlns:a16="http://schemas.microsoft.com/office/drawing/2014/main" id="{529AC075-071D-4B8A-9A43-B4A097EECD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2950" y="266382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5</xdr:row>
      <xdr:rowOff>25400</xdr:rowOff>
    </xdr:from>
    <xdr:ext cx="9525" cy="0"/>
    <xdr:pic>
      <xdr:nvPicPr>
        <xdr:cNvPr id="5" name="Imagem 4" descr="http://sistemaswebhom.einstein.br/CME/Imagens/nada.gif">
          <a:extLst>
            <a:ext uri="{FF2B5EF4-FFF2-40B4-BE49-F238E27FC236}">
              <a16:creationId xmlns:a16="http://schemas.microsoft.com/office/drawing/2014/main" id="{0B540553-F700-40FC-9890-A7A82FC231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2950" y="266382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10</xdr:col>
      <xdr:colOff>0</xdr:colOff>
      <xdr:row>7</xdr:row>
      <xdr:rowOff>25400</xdr:rowOff>
    </xdr:from>
    <xdr:ext cx="9525" cy="0"/>
    <xdr:pic>
      <xdr:nvPicPr>
        <xdr:cNvPr id="2" name="Imagem 1" descr="http://sistemaswebhom.einstein.br/CME/Imagens/nada.gif">
          <a:extLst>
            <a:ext uri="{FF2B5EF4-FFF2-40B4-BE49-F238E27FC236}">
              <a16:creationId xmlns:a16="http://schemas.microsoft.com/office/drawing/2014/main" id="{65CB82E2-71A2-4E9A-904D-C9299E361F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3" name="Imagem 2" descr="http://sistemaswebhom.einstein.br/CME/Imagens/nada.gif">
          <a:extLst>
            <a:ext uri="{FF2B5EF4-FFF2-40B4-BE49-F238E27FC236}">
              <a16:creationId xmlns:a16="http://schemas.microsoft.com/office/drawing/2014/main" id="{FE054A70-9CE6-406A-9642-40F0ED96B5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4" name="Imagem 3" descr="http://sistemaswebhom.einstein.br/CME/Imagens/nada.gif">
          <a:extLst>
            <a:ext uri="{FF2B5EF4-FFF2-40B4-BE49-F238E27FC236}">
              <a16:creationId xmlns:a16="http://schemas.microsoft.com/office/drawing/2014/main" id="{7631D189-4729-4C07-AC45-E7A7B7E768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5" name="Imagem 4" descr="http://sistemaswebhom.einstein.br/CME/Imagens/nada.gif">
          <a:extLst>
            <a:ext uri="{FF2B5EF4-FFF2-40B4-BE49-F238E27FC236}">
              <a16:creationId xmlns:a16="http://schemas.microsoft.com/office/drawing/2014/main" id="{5789033C-582A-4522-BAC4-3F3F9B0F6C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6" name="Imagem 5" descr="http://sistemaswebhom.einstein.br/CME/Imagens/nada.gif">
          <a:extLst>
            <a:ext uri="{FF2B5EF4-FFF2-40B4-BE49-F238E27FC236}">
              <a16:creationId xmlns:a16="http://schemas.microsoft.com/office/drawing/2014/main" id="{B8FD997E-5353-42E8-AD72-236FC357B5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7" name="Imagem 6" descr="http://sistemaswebhom.einstein.br/CME/Imagens/nada.gif">
          <a:extLst>
            <a:ext uri="{FF2B5EF4-FFF2-40B4-BE49-F238E27FC236}">
              <a16:creationId xmlns:a16="http://schemas.microsoft.com/office/drawing/2014/main" id="{AEB31730-7287-476C-AC91-E98078D40C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8" name="Imagem 7" descr="http://sistemaswebhom.einstein.br/CME/Imagens/nada.gif">
          <a:extLst>
            <a:ext uri="{FF2B5EF4-FFF2-40B4-BE49-F238E27FC236}">
              <a16:creationId xmlns:a16="http://schemas.microsoft.com/office/drawing/2014/main" id="{760A35A4-0E8A-43B2-A73A-E36794C6F8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9" name="Imagem 8" descr="http://sistemaswebhom.einstein.br/CME/Imagens/nada.gif">
          <a:extLst>
            <a:ext uri="{FF2B5EF4-FFF2-40B4-BE49-F238E27FC236}">
              <a16:creationId xmlns:a16="http://schemas.microsoft.com/office/drawing/2014/main" id="{C6CD29E1-446C-466A-803C-435FD89F58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10" name="Imagem 9" descr="http://sistemaswebhom.einstein.br/CME/Imagens/nada.gif">
          <a:extLst>
            <a:ext uri="{FF2B5EF4-FFF2-40B4-BE49-F238E27FC236}">
              <a16:creationId xmlns:a16="http://schemas.microsoft.com/office/drawing/2014/main" id="{DFE44C3A-BA71-4171-BEBA-4BAACE24F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11" name="Imagem 10" descr="http://sistemaswebhom.einstein.br/CME/Imagens/nada.gif">
          <a:extLst>
            <a:ext uri="{FF2B5EF4-FFF2-40B4-BE49-F238E27FC236}">
              <a16:creationId xmlns:a16="http://schemas.microsoft.com/office/drawing/2014/main" id="{148874D8-3082-44AA-BE62-D9B24B4021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12" name="Imagem 11" descr="http://sistemaswebhom.einstein.br/CME/Imagens/nada.gif">
          <a:extLst>
            <a:ext uri="{FF2B5EF4-FFF2-40B4-BE49-F238E27FC236}">
              <a16:creationId xmlns:a16="http://schemas.microsoft.com/office/drawing/2014/main" id="{A90D2F2F-A21F-4119-872B-386CA168C2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13" name="Imagem 12" descr="http://sistemaswebhom.einstein.br/CME/Imagens/nada.gif">
          <a:extLst>
            <a:ext uri="{FF2B5EF4-FFF2-40B4-BE49-F238E27FC236}">
              <a16:creationId xmlns:a16="http://schemas.microsoft.com/office/drawing/2014/main" id="{FCFCC63B-934D-4286-B1B0-FE682DA6D0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14" name="Imagem 13" descr="http://sistemaswebhom.einstein.br/CME/Imagens/nada.gif">
          <a:extLst>
            <a:ext uri="{FF2B5EF4-FFF2-40B4-BE49-F238E27FC236}">
              <a16:creationId xmlns:a16="http://schemas.microsoft.com/office/drawing/2014/main" id="{5B55B740-8B11-459B-8522-3579BD2E71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15" name="Imagem 14" descr="http://sistemaswebhom.einstein.br/CME/Imagens/nada.gif">
          <a:extLst>
            <a:ext uri="{FF2B5EF4-FFF2-40B4-BE49-F238E27FC236}">
              <a16:creationId xmlns:a16="http://schemas.microsoft.com/office/drawing/2014/main" id="{FC70E65C-AB97-4E88-95B0-33F243771E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16" name="Imagem 15" descr="http://sistemaswebhom.einstein.br/CME/Imagens/nada.gif">
          <a:extLst>
            <a:ext uri="{FF2B5EF4-FFF2-40B4-BE49-F238E27FC236}">
              <a16:creationId xmlns:a16="http://schemas.microsoft.com/office/drawing/2014/main" id="{5FCBD360-F551-4706-B64C-9D66A823C0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17" name="Imagem 16" descr="http://sistemaswebhom.einstein.br/CME/Imagens/nada.gif">
          <a:extLst>
            <a:ext uri="{FF2B5EF4-FFF2-40B4-BE49-F238E27FC236}">
              <a16:creationId xmlns:a16="http://schemas.microsoft.com/office/drawing/2014/main" id="{502B6BEA-24C6-4DB1-84DE-AB0D9B6B2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18" name="Imagem 17" descr="http://sistemaswebhom.einstein.br/CME/Imagens/nada.gif">
          <a:extLst>
            <a:ext uri="{FF2B5EF4-FFF2-40B4-BE49-F238E27FC236}">
              <a16:creationId xmlns:a16="http://schemas.microsoft.com/office/drawing/2014/main" id="{3B1525D5-57D2-4448-A565-A6B6A622A0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19" name="Imagem 18" descr="http://sistemaswebhom.einstein.br/CME/Imagens/nada.gif">
          <a:extLst>
            <a:ext uri="{FF2B5EF4-FFF2-40B4-BE49-F238E27FC236}">
              <a16:creationId xmlns:a16="http://schemas.microsoft.com/office/drawing/2014/main" id="{07B74413-3506-4F62-BC23-78277DDC67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20" name="Imagem 19" descr="http://sistemaswebhom.einstein.br/CME/Imagens/nada.gif">
          <a:extLst>
            <a:ext uri="{FF2B5EF4-FFF2-40B4-BE49-F238E27FC236}">
              <a16:creationId xmlns:a16="http://schemas.microsoft.com/office/drawing/2014/main" id="{CCF12E50-1852-40B9-8511-F891522A2A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21" name="Imagem 20" descr="http://sistemaswebhom.einstein.br/CME/Imagens/nada.gif">
          <a:extLst>
            <a:ext uri="{FF2B5EF4-FFF2-40B4-BE49-F238E27FC236}">
              <a16:creationId xmlns:a16="http://schemas.microsoft.com/office/drawing/2014/main" id="{9C75E96B-6898-4A67-B52E-070AF5079B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22" name="Imagem 21" descr="http://sistemaswebhom.einstein.br/CME/Imagens/nada.gif">
          <a:extLst>
            <a:ext uri="{FF2B5EF4-FFF2-40B4-BE49-F238E27FC236}">
              <a16:creationId xmlns:a16="http://schemas.microsoft.com/office/drawing/2014/main" id="{C7E27457-A8CC-4785-B6A6-F445497778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23" name="Imagem 22" descr="http://sistemaswebhom.einstein.br/CME/Imagens/nada.gif">
          <a:extLst>
            <a:ext uri="{FF2B5EF4-FFF2-40B4-BE49-F238E27FC236}">
              <a16:creationId xmlns:a16="http://schemas.microsoft.com/office/drawing/2014/main" id="{1C5C023C-C424-4D5E-A5A3-8C0FC48EA5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24" name="Imagem 23" descr="http://sistemaswebhom.einstein.br/CME/Imagens/nada.gif">
          <a:extLst>
            <a:ext uri="{FF2B5EF4-FFF2-40B4-BE49-F238E27FC236}">
              <a16:creationId xmlns:a16="http://schemas.microsoft.com/office/drawing/2014/main" id="{05E41FBE-49E8-44C5-B074-55E20B023D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25" name="Imagem 24" descr="http://sistemaswebhom.einstein.br/CME/Imagens/nada.gif">
          <a:extLst>
            <a:ext uri="{FF2B5EF4-FFF2-40B4-BE49-F238E27FC236}">
              <a16:creationId xmlns:a16="http://schemas.microsoft.com/office/drawing/2014/main" id="{A3582BFB-8B59-4777-9EB9-4F7BDB25C3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26" name="Imagem 25" descr="http://sistemaswebhom.einstein.br/CME/Imagens/nada.gif">
          <a:extLst>
            <a:ext uri="{FF2B5EF4-FFF2-40B4-BE49-F238E27FC236}">
              <a16:creationId xmlns:a16="http://schemas.microsoft.com/office/drawing/2014/main" id="{1A45804B-0B31-49C0-BA5E-3C5C4147C5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27" name="Imagem 26" descr="http://sistemaswebhom.einstein.br/CME/Imagens/nada.gif">
          <a:extLst>
            <a:ext uri="{FF2B5EF4-FFF2-40B4-BE49-F238E27FC236}">
              <a16:creationId xmlns:a16="http://schemas.microsoft.com/office/drawing/2014/main" id="{83B1BB41-A79A-4DF7-95BA-60FAF3CB22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28" name="Imagem 27" descr="http://sistemaswebhom.einstein.br/CME/Imagens/nada.gif">
          <a:extLst>
            <a:ext uri="{FF2B5EF4-FFF2-40B4-BE49-F238E27FC236}">
              <a16:creationId xmlns:a16="http://schemas.microsoft.com/office/drawing/2014/main" id="{B2A3E539-6FB8-4DAD-A5C3-7A76575580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7</xdr:row>
      <xdr:rowOff>25400</xdr:rowOff>
    </xdr:from>
    <xdr:ext cx="9525" cy="0"/>
    <xdr:pic>
      <xdr:nvPicPr>
        <xdr:cNvPr id="29" name="Imagem 28" descr="http://sistemaswebhom.einstein.br/CME/Imagens/nada.gif">
          <a:extLst>
            <a:ext uri="{FF2B5EF4-FFF2-40B4-BE49-F238E27FC236}">
              <a16:creationId xmlns:a16="http://schemas.microsoft.com/office/drawing/2014/main" id="{6CF77D9F-3153-4C70-955B-B7CAC55E17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9675" y="33686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25400</xdr:rowOff>
    </xdr:from>
    <xdr:ext cx="9525" cy="0"/>
    <xdr:pic>
      <xdr:nvPicPr>
        <xdr:cNvPr id="2" name="Imagem 1" descr="http://sistemaswebhom.einstein.br/CME/Imagens/nada.gif">
          <a:extLst>
            <a:ext uri="{FF2B5EF4-FFF2-40B4-BE49-F238E27FC236}">
              <a16:creationId xmlns:a16="http://schemas.microsoft.com/office/drawing/2014/main" id="{BCCD72F5-40E1-458A-AE5E-D8C0893AAA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25400</xdr:rowOff>
    </xdr:from>
    <xdr:ext cx="9525" cy="0"/>
    <xdr:pic>
      <xdr:nvPicPr>
        <xdr:cNvPr id="3" name="Imagem 2" descr="http://sistemaswebhom.einstein.br/CME/Imagens/nada.gif">
          <a:extLst>
            <a:ext uri="{FF2B5EF4-FFF2-40B4-BE49-F238E27FC236}">
              <a16:creationId xmlns:a16="http://schemas.microsoft.com/office/drawing/2014/main" id="{2624CC5F-6579-43B0-9561-0B31C61AA1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25400</xdr:rowOff>
    </xdr:from>
    <xdr:ext cx="9525" cy="0"/>
    <xdr:pic>
      <xdr:nvPicPr>
        <xdr:cNvPr id="4" name="Imagem 3" descr="http://sistemaswebhom.einstein.br/CME/Imagens/nada.gif">
          <a:extLst>
            <a:ext uri="{FF2B5EF4-FFF2-40B4-BE49-F238E27FC236}">
              <a16:creationId xmlns:a16="http://schemas.microsoft.com/office/drawing/2014/main" id="{36191FBD-6270-45D0-B464-03377F3D2F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25400</xdr:rowOff>
    </xdr:from>
    <xdr:ext cx="9525" cy="0"/>
    <xdr:pic>
      <xdr:nvPicPr>
        <xdr:cNvPr id="5" name="Imagem 4" descr="http://sistemaswebhom.einstein.br/CME/Imagens/nada.gif">
          <a:extLst>
            <a:ext uri="{FF2B5EF4-FFF2-40B4-BE49-F238E27FC236}">
              <a16:creationId xmlns:a16="http://schemas.microsoft.com/office/drawing/2014/main" id="{AA5E7B33-73D4-4FAC-BCDC-2232457B03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25400</xdr:rowOff>
    </xdr:from>
    <xdr:ext cx="9525" cy="0"/>
    <xdr:pic>
      <xdr:nvPicPr>
        <xdr:cNvPr id="6" name="Imagem 5" descr="http://sistemaswebhom.einstein.br/CME/Imagens/nada.gif">
          <a:extLst>
            <a:ext uri="{FF2B5EF4-FFF2-40B4-BE49-F238E27FC236}">
              <a16:creationId xmlns:a16="http://schemas.microsoft.com/office/drawing/2014/main" id="{AABE4327-470C-4E0A-BA39-41AD45B60F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25400</xdr:rowOff>
    </xdr:from>
    <xdr:ext cx="9525" cy="0"/>
    <xdr:pic>
      <xdr:nvPicPr>
        <xdr:cNvPr id="7" name="Imagem 6" descr="http://sistemaswebhom.einstein.br/CME/Imagens/nada.gif">
          <a:extLst>
            <a:ext uri="{FF2B5EF4-FFF2-40B4-BE49-F238E27FC236}">
              <a16:creationId xmlns:a16="http://schemas.microsoft.com/office/drawing/2014/main" id="{AAD343AD-6F13-4C27-B964-43E7C2744C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25400</xdr:rowOff>
    </xdr:from>
    <xdr:ext cx="9525" cy="0"/>
    <xdr:pic>
      <xdr:nvPicPr>
        <xdr:cNvPr id="8" name="Imagem 7" descr="http://sistemaswebhom.einstein.br/CME/Imagens/nada.gif">
          <a:extLst>
            <a:ext uri="{FF2B5EF4-FFF2-40B4-BE49-F238E27FC236}">
              <a16:creationId xmlns:a16="http://schemas.microsoft.com/office/drawing/2014/main" id="{D580BDD9-9A7A-4689-B289-D2AA531833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25400</xdr:rowOff>
    </xdr:from>
    <xdr:ext cx="9525" cy="0"/>
    <xdr:pic>
      <xdr:nvPicPr>
        <xdr:cNvPr id="9" name="Imagem 8" descr="http://sistemaswebhom.einstein.br/CME/Imagens/nada.gif">
          <a:extLst>
            <a:ext uri="{FF2B5EF4-FFF2-40B4-BE49-F238E27FC236}">
              <a16:creationId xmlns:a16="http://schemas.microsoft.com/office/drawing/2014/main" id="{B5166CB7-1703-4DAC-958C-301D32F204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25400</xdr:rowOff>
    </xdr:from>
    <xdr:ext cx="9525" cy="0"/>
    <xdr:pic>
      <xdr:nvPicPr>
        <xdr:cNvPr id="10" name="Imagem 9" descr="http://sistemaswebhom.einstein.br/CME/Imagens/nada.gif">
          <a:extLst>
            <a:ext uri="{FF2B5EF4-FFF2-40B4-BE49-F238E27FC236}">
              <a16:creationId xmlns:a16="http://schemas.microsoft.com/office/drawing/2014/main" id="{E9449E72-28D9-487B-8543-BF5D1A6ED9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25400</xdr:rowOff>
    </xdr:from>
    <xdr:ext cx="9525" cy="0"/>
    <xdr:pic>
      <xdr:nvPicPr>
        <xdr:cNvPr id="11" name="Imagem 10" descr="http://sistemaswebhom.einstein.br/CME/Imagens/nada.gif">
          <a:extLst>
            <a:ext uri="{FF2B5EF4-FFF2-40B4-BE49-F238E27FC236}">
              <a16:creationId xmlns:a16="http://schemas.microsoft.com/office/drawing/2014/main" id="{4127E87D-FDB2-40CB-9B19-3C69D3FA8F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25400</xdr:rowOff>
    </xdr:from>
    <xdr:ext cx="9525" cy="0"/>
    <xdr:pic>
      <xdr:nvPicPr>
        <xdr:cNvPr id="12" name="Imagem 11" descr="http://sistemaswebhom.einstein.br/CME/Imagens/nada.gif">
          <a:extLst>
            <a:ext uri="{FF2B5EF4-FFF2-40B4-BE49-F238E27FC236}">
              <a16:creationId xmlns:a16="http://schemas.microsoft.com/office/drawing/2014/main" id="{DE30A083-9F43-4367-90B5-63C840E450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25400</xdr:rowOff>
    </xdr:from>
    <xdr:ext cx="9525" cy="0"/>
    <xdr:pic>
      <xdr:nvPicPr>
        <xdr:cNvPr id="13" name="Imagem 12" descr="http://sistemaswebhom.einstein.br/CME/Imagens/nada.gif">
          <a:extLst>
            <a:ext uri="{FF2B5EF4-FFF2-40B4-BE49-F238E27FC236}">
              <a16:creationId xmlns:a16="http://schemas.microsoft.com/office/drawing/2014/main" id="{01A1974B-0F05-480B-A1D8-9582F8D6B0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25400</xdr:rowOff>
    </xdr:from>
    <xdr:ext cx="9525" cy="0"/>
    <xdr:pic>
      <xdr:nvPicPr>
        <xdr:cNvPr id="14" name="Imagem 13" descr="http://sistemaswebhom.einstein.br/CME/Imagens/nada.gif">
          <a:extLst>
            <a:ext uri="{FF2B5EF4-FFF2-40B4-BE49-F238E27FC236}">
              <a16:creationId xmlns:a16="http://schemas.microsoft.com/office/drawing/2014/main" id="{5BA9B511-EB6D-4A48-BEB8-B53B4D2873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25400</xdr:rowOff>
    </xdr:from>
    <xdr:ext cx="9525" cy="0"/>
    <xdr:pic>
      <xdr:nvPicPr>
        <xdr:cNvPr id="15" name="Imagem 14" descr="http://sistemaswebhom.einstein.br/CME/Imagens/nada.gif">
          <a:extLst>
            <a:ext uri="{FF2B5EF4-FFF2-40B4-BE49-F238E27FC236}">
              <a16:creationId xmlns:a16="http://schemas.microsoft.com/office/drawing/2014/main" id="{64103E85-C64C-4ED6-AA8C-05D50C358F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25400</xdr:rowOff>
    </xdr:from>
    <xdr:ext cx="9525" cy="0"/>
    <xdr:pic>
      <xdr:nvPicPr>
        <xdr:cNvPr id="16" name="Imagem 15" descr="http://sistemaswebhom.einstein.br/CME/Imagens/nada.gif">
          <a:extLst>
            <a:ext uri="{FF2B5EF4-FFF2-40B4-BE49-F238E27FC236}">
              <a16:creationId xmlns:a16="http://schemas.microsoft.com/office/drawing/2014/main" id="{21850726-DD33-4DB8-A1C8-E0AC071804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25400</xdr:rowOff>
    </xdr:from>
    <xdr:ext cx="9525" cy="0"/>
    <xdr:pic>
      <xdr:nvPicPr>
        <xdr:cNvPr id="17" name="Imagem 16" descr="http://sistemaswebhom.einstein.br/CME/Imagens/nada.gif">
          <a:extLst>
            <a:ext uri="{FF2B5EF4-FFF2-40B4-BE49-F238E27FC236}">
              <a16:creationId xmlns:a16="http://schemas.microsoft.com/office/drawing/2014/main" id="{A4D3AA4C-C05C-4EB8-ABA2-4CD3A63172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18" name="Imagem 17" descr="http://sistemaswebhom.einstein.br/CME/Imagens/nada.gif">
          <a:extLst>
            <a:ext uri="{FF2B5EF4-FFF2-40B4-BE49-F238E27FC236}">
              <a16:creationId xmlns:a16="http://schemas.microsoft.com/office/drawing/2014/main" id="{B6CFF782-455B-484B-AF20-0A2CEC8D6F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19" name="Imagem 18" descr="http://sistemaswebhom.einstein.br/CME/Imagens/nada.gif">
          <a:extLst>
            <a:ext uri="{FF2B5EF4-FFF2-40B4-BE49-F238E27FC236}">
              <a16:creationId xmlns:a16="http://schemas.microsoft.com/office/drawing/2014/main" id="{C54998FB-CCB9-4B66-A0D4-E1ACFF882A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20" name="Imagem 19" descr="http://sistemaswebhom.einstein.br/CME/Imagens/nada.gif">
          <a:extLst>
            <a:ext uri="{FF2B5EF4-FFF2-40B4-BE49-F238E27FC236}">
              <a16:creationId xmlns:a16="http://schemas.microsoft.com/office/drawing/2014/main" id="{25E78415-29E8-4D46-B91D-6295E623C0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21" name="Imagem 20" descr="http://sistemaswebhom.einstein.br/CME/Imagens/nada.gif">
          <a:extLst>
            <a:ext uri="{FF2B5EF4-FFF2-40B4-BE49-F238E27FC236}">
              <a16:creationId xmlns:a16="http://schemas.microsoft.com/office/drawing/2014/main" id="{0E1CE358-B5C9-4B31-AAFA-C0075DF17C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22" name="Imagem 21" descr="http://sistemaswebhom.einstein.br/CME/Imagens/nada.gif">
          <a:extLst>
            <a:ext uri="{FF2B5EF4-FFF2-40B4-BE49-F238E27FC236}">
              <a16:creationId xmlns:a16="http://schemas.microsoft.com/office/drawing/2014/main" id="{5A8B9116-BD92-44E7-9EDE-4CFF6DD79D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23" name="Imagem 22" descr="http://sistemaswebhom.einstein.br/CME/Imagens/nada.gif">
          <a:extLst>
            <a:ext uri="{FF2B5EF4-FFF2-40B4-BE49-F238E27FC236}">
              <a16:creationId xmlns:a16="http://schemas.microsoft.com/office/drawing/2014/main" id="{E1070313-DE8D-4646-8949-7C740A2985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24" name="Imagem 23" descr="http://sistemaswebhom.einstein.br/CME/Imagens/nada.gif">
          <a:extLst>
            <a:ext uri="{FF2B5EF4-FFF2-40B4-BE49-F238E27FC236}">
              <a16:creationId xmlns:a16="http://schemas.microsoft.com/office/drawing/2014/main" id="{C578278E-2585-4414-8AC7-9443C1B76F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25" name="Imagem 24" descr="http://sistemaswebhom.einstein.br/CME/Imagens/nada.gif">
          <a:extLst>
            <a:ext uri="{FF2B5EF4-FFF2-40B4-BE49-F238E27FC236}">
              <a16:creationId xmlns:a16="http://schemas.microsoft.com/office/drawing/2014/main" id="{B6A6BC8F-3893-4162-B6C4-4EB732A799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26" name="Imagem 25" descr="http://sistemaswebhom.einstein.br/CME/Imagens/nada.gif">
          <a:extLst>
            <a:ext uri="{FF2B5EF4-FFF2-40B4-BE49-F238E27FC236}">
              <a16:creationId xmlns:a16="http://schemas.microsoft.com/office/drawing/2014/main" id="{D174E2F4-0516-4978-8DB3-555BCA4118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27" name="Imagem 26" descr="http://sistemaswebhom.einstein.br/CME/Imagens/nada.gif">
          <a:extLst>
            <a:ext uri="{FF2B5EF4-FFF2-40B4-BE49-F238E27FC236}">
              <a16:creationId xmlns:a16="http://schemas.microsoft.com/office/drawing/2014/main" id="{F099E96A-BE08-4F1B-9B08-8A2D760768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28" name="Imagem 27" descr="http://sistemaswebhom.einstein.br/CME/Imagens/nada.gif">
          <a:extLst>
            <a:ext uri="{FF2B5EF4-FFF2-40B4-BE49-F238E27FC236}">
              <a16:creationId xmlns:a16="http://schemas.microsoft.com/office/drawing/2014/main" id="{3C438F7B-BD49-4B09-8359-731457FA2D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29" name="Imagem 28" descr="http://sistemaswebhom.einstein.br/CME/Imagens/nada.gif">
          <a:extLst>
            <a:ext uri="{FF2B5EF4-FFF2-40B4-BE49-F238E27FC236}">
              <a16:creationId xmlns:a16="http://schemas.microsoft.com/office/drawing/2014/main" id="{C84649DA-F125-4CE6-815A-C130C905A8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30" name="Imagem 29" descr="http://sistemaswebhom.einstein.br/CME/Imagens/nada.gif">
          <a:extLst>
            <a:ext uri="{FF2B5EF4-FFF2-40B4-BE49-F238E27FC236}">
              <a16:creationId xmlns:a16="http://schemas.microsoft.com/office/drawing/2014/main" id="{4339585B-9623-4F28-B184-001CD14B0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31" name="Imagem 30" descr="http://sistemaswebhom.einstein.br/CME/Imagens/nada.gif">
          <a:extLst>
            <a:ext uri="{FF2B5EF4-FFF2-40B4-BE49-F238E27FC236}">
              <a16:creationId xmlns:a16="http://schemas.microsoft.com/office/drawing/2014/main" id="{407FE92C-70C2-496E-8E60-ABBBB9F558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32" name="Imagem 31" descr="http://sistemaswebhom.einstein.br/CME/Imagens/nada.gif">
          <a:extLst>
            <a:ext uri="{FF2B5EF4-FFF2-40B4-BE49-F238E27FC236}">
              <a16:creationId xmlns:a16="http://schemas.microsoft.com/office/drawing/2014/main" id="{4D61F14F-327C-4537-8AAB-89A57DF7E5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33" name="Imagem 32" descr="http://sistemaswebhom.einstein.br/CME/Imagens/nada.gif">
          <a:extLst>
            <a:ext uri="{FF2B5EF4-FFF2-40B4-BE49-F238E27FC236}">
              <a16:creationId xmlns:a16="http://schemas.microsoft.com/office/drawing/2014/main" id="{CC3531B1-3DFF-440B-AAED-E4384B6292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34" name="Imagem 33" descr="http://sistemaswebhom.einstein.br/CME/Imagens/nada.gif">
          <a:extLst>
            <a:ext uri="{FF2B5EF4-FFF2-40B4-BE49-F238E27FC236}">
              <a16:creationId xmlns:a16="http://schemas.microsoft.com/office/drawing/2014/main" id="{4F459D4C-1D8C-4840-954A-3A485430FA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35" name="Imagem 34" descr="http://sistemaswebhom.einstein.br/CME/Imagens/nada.gif">
          <a:extLst>
            <a:ext uri="{FF2B5EF4-FFF2-40B4-BE49-F238E27FC236}">
              <a16:creationId xmlns:a16="http://schemas.microsoft.com/office/drawing/2014/main" id="{E322A0B5-6A1E-4B04-B8B1-52AEA41F84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25400</xdr:rowOff>
    </xdr:from>
    <xdr:ext cx="9525" cy="0"/>
    <xdr:pic>
      <xdr:nvPicPr>
        <xdr:cNvPr id="36" name="Imagem 35" descr="http://sistemaswebhom.einstein.br/CME/Imagens/nada.gif">
          <a:extLst>
            <a:ext uri="{FF2B5EF4-FFF2-40B4-BE49-F238E27FC236}">
              <a16:creationId xmlns:a16="http://schemas.microsoft.com/office/drawing/2014/main" id="{1C8862D6-0DB6-4018-8CAE-F4FF6AD0D8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1072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10</xdr:row>
      <xdr:rowOff>25400</xdr:rowOff>
    </xdr:from>
    <xdr:ext cx="9525" cy="0"/>
    <xdr:pic>
      <xdr:nvPicPr>
        <xdr:cNvPr id="37" name="Imagem 36" descr="http://sistemaswebhom.einstein.br/CME/Imagens/nada.gif">
          <a:extLst>
            <a:ext uri="{FF2B5EF4-FFF2-40B4-BE49-F238E27FC236}">
              <a16:creationId xmlns:a16="http://schemas.microsoft.com/office/drawing/2014/main" id="{EF632128-8077-407C-AFE0-59739D2058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2002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10</xdr:row>
      <xdr:rowOff>25400</xdr:rowOff>
    </xdr:from>
    <xdr:ext cx="9525" cy="0"/>
    <xdr:pic>
      <xdr:nvPicPr>
        <xdr:cNvPr id="38" name="Imagem 37" descr="http://sistemaswebhom.einstein.br/CME/Imagens/nada.gif">
          <a:extLst>
            <a:ext uri="{FF2B5EF4-FFF2-40B4-BE49-F238E27FC236}">
              <a16:creationId xmlns:a16="http://schemas.microsoft.com/office/drawing/2014/main" id="{385AAF5C-61BD-48AC-9258-9126B5B28D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2002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12</xdr:row>
      <xdr:rowOff>25400</xdr:rowOff>
    </xdr:from>
    <xdr:ext cx="9525" cy="0"/>
    <xdr:pic>
      <xdr:nvPicPr>
        <xdr:cNvPr id="39" name="Imagem 38" descr="http://sistemaswebhom.einstein.br/CME/Imagens/nada.gif">
          <a:extLst>
            <a:ext uri="{FF2B5EF4-FFF2-40B4-BE49-F238E27FC236}">
              <a16:creationId xmlns:a16="http://schemas.microsoft.com/office/drawing/2014/main" id="{CD6CDB47-2BA6-491C-B3DF-E7263EE428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12</xdr:row>
      <xdr:rowOff>25400</xdr:rowOff>
    </xdr:from>
    <xdr:ext cx="9525" cy="0"/>
    <xdr:pic>
      <xdr:nvPicPr>
        <xdr:cNvPr id="40" name="Imagem 39" descr="http://sistemaswebhom.einstein.br/CME/Imagens/nada.gif">
          <a:extLst>
            <a:ext uri="{FF2B5EF4-FFF2-40B4-BE49-F238E27FC236}">
              <a16:creationId xmlns:a16="http://schemas.microsoft.com/office/drawing/2014/main" id="{17E6FF8D-0590-49D2-B3A5-82434C271E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12</xdr:row>
      <xdr:rowOff>25400</xdr:rowOff>
    </xdr:from>
    <xdr:ext cx="9525" cy="0"/>
    <xdr:pic>
      <xdr:nvPicPr>
        <xdr:cNvPr id="41" name="Imagem 40" descr="http://sistemaswebhom.einstein.br/CME/Imagens/nada.gif">
          <a:extLst>
            <a:ext uri="{FF2B5EF4-FFF2-40B4-BE49-F238E27FC236}">
              <a16:creationId xmlns:a16="http://schemas.microsoft.com/office/drawing/2014/main" id="{B5222B87-04E3-466A-A908-AD2EF4899A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12</xdr:row>
      <xdr:rowOff>25400</xdr:rowOff>
    </xdr:from>
    <xdr:ext cx="9525" cy="0"/>
    <xdr:pic>
      <xdr:nvPicPr>
        <xdr:cNvPr id="42" name="Imagem 41" descr="http://sistemaswebhom.einstein.br/CME/Imagens/nada.gif">
          <a:extLst>
            <a:ext uri="{FF2B5EF4-FFF2-40B4-BE49-F238E27FC236}">
              <a16:creationId xmlns:a16="http://schemas.microsoft.com/office/drawing/2014/main" id="{4DE19B4C-6E10-4F2C-BB85-4C26C72395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12</xdr:row>
      <xdr:rowOff>25400</xdr:rowOff>
    </xdr:from>
    <xdr:ext cx="9525" cy="0"/>
    <xdr:pic>
      <xdr:nvPicPr>
        <xdr:cNvPr id="43" name="Imagem 42" descr="http://sistemaswebhom.einstein.br/CME/Imagens/nada.gif">
          <a:extLst>
            <a:ext uri="{FF2B5EF4-FFF2-40B4-BE49-F238E27FC236}">
              <a16:creationId xmlns:a16="http://schemas.microsoft.com/office/drawing/2014/main" id="{A4C82005-3DA9-4A40-BE2B-C9AF530200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12</xdr:row>
      <xdr:rowOff>25400</xdr:rowOff>
    </xdr:from>
    <xdr:ext cx="9525" cy="0"/>
    <xdr:pic>
      <xdr:nvPicPr>
        <xdr:cNvPr id="44" name="Imagem 43" descr="http://sistemaswebhom.einstein.br/CME/Imagens/nada.gif">
          <a:extLst>
            <a:ext uri="{FF2B5EF4-FFF2-40B4-BE49-F238E27FC236}">
              <a16:creationId xmlns:a16="http://schemas.microsoft.com/office/drawing/2014/main" id="{2E3119A5-08B2-4B2A-9CE1-8EAE8E066D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12</xdr:row>
      <xdr:rowOff>25400</xdr:rowOff>
    </xdr:from>
    <xdr:ext cx="9525" cy="0"/>
    <xdr:pic>
      <xdr:nvPicPr>
        <xdr:cNvPr id="45" name="Imagem 44" descr="http://sistemaswebhom.einstein.br/CME/Imagens/nada.gif">
          <a:extLst>
            <a:ext uri="{FF2B5EF4-FFF2-40B4-BE49-F238E27FC236}">
              <a16:creationId xmlns:a16="http://schemas.microsoft.com/office/drawing/2014/main" id="{85A58A40-B644-429D-9D51-C078BBFDEF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12</xdr:row>
      <xdr:rowOff>25400</xdr:rowOff>
    </xdr:from>
    <xdr:ext cx="9525" cy="0"/>
    <xdr:pic>
      <xdr:nvPicPr>
        <xdr:cNvPr id="46" name="Imagem 45" descr="http://sistemaswebhom.einstein.br/CME/Imagens/nada.gif">
          <a:extLst>
            <a:ext uri="{FF2B5EF4-FFF2-40B4-BE49-F238E27FC236}">
              <a16:creationId xmlns:a16="http://schemas.microsoft.com/office/drawing/2014/main" id="{D8B42598-3C49-4E84-9668-AD1CC9490D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12</xdr:row>
      <xdr:rowOff>25400</xdr:rowOff>
    </xdr:from>
    <xdr:ext cx="9525" cy="0"/>
    <xdr:pic>
      <xdr:nvPicPr>
        <xdr:cNvPr id="47" name="Imagem 46" descr="http://sistemaswebhom.einstein.br/CME/Imagens/nada.gif">
          <a:extLst>
            <a:ext uri="{FF2B5EF4-FFF2-40B4-BE49-F238E27FC236}">
              <a16:creationId xmlns:a16="http://schemas.microsoft.com/office/drawing/2014/main" id="{3F6B8C41-BB51-4C1E-9DAA-5F650C239A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12</xdr:row>
      <xdr:rowOff>25400</xdr:rowOff>
    </xdr:from>
    <xdr:ext cx="9525" cy="0"/>
    <xdr:pic>
      <xdr:nvPicPr>
        <xdr:cNvPr id="48" name="Imagem 47" descr="http://sistemaswebhom.einstein.br/CME/Imagens/nada.gif">
          <a:extLst>
            <a:ext uri="{FF2B5EF4-FFF2-40B4-BE49-F238E27FC236}">
              <a16:creationId xmlns:a16="http://schemas.microsoft.com/office/drawing/2014/main" id="{6A7C4B21-BE88-4E19-B1E8-5BEC765DB5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12</xdr:row>
      <xdr:rowOff>25400</xdr:rowOff>
    </xdr:from>
    <xdr:ext cx="9525" cy="0"/>
    <xdr:pic>
      <xdr:nvPicPr>
        <xdr:cNvPr id="49" name="Imagem 48" descr="http://sistemaswebhom.einstein.br/CME/Imagens/nada.gif">
          <a:extLst>
            <a:ext uri="{FF2B5EF4-FFF2-40B4-BE49-F238E27FC236}">
              <a16:creationId xmlns:a16="http://schemas.microsoft.com/office/drawing/2014/main" id="{868FB8F2-27C4-4BB9-B1A0-932530FC0A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12</xdr:row>
      <xdr:rowOff>25400</xdr:rowOff>
    </xdr:from>
    <xdr:ext cx="9525" cy="0"/>
    <xdr:pic>
      <xdr:nvPicPr>
        <xdr:cNvPr id="50" name="Imagem 49" descr="http://sistemaswebhom.einstein.br/CME/Imagens/nada.gif">
          <a:extLst>
            <a:ext uri="{FF2B5EF4-FFF2-40B4-BE49-F238E27FC236}">
              <a16:creationId xmlns:a16="http://schemas.microsoft.com/office/drawing/2014/main" id="{B363751C-1E2C-4FD8-B1E3-61A6FB3BB0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11</xdr:row>
      <xdr:rowOff>25400</xdr:rowOff>
    </xdr:from>
    <xdr:ext cx="9525" cy="0"/>
    <xdr:pic>
      <xdr:nvPicPr>
        <xdr:cNvPr id="51" name="Imagem 50" descr="http://sistemaswebhom.einstein.br/CME/Imagens/nada.gif">
          <a:extLst>
            <a:ext uri="{FF2B5EF4-FFF2-40B4-BE49-F238E27FC236}">
              <a16:creationId xmlns:a16="http://schemas.microsoft.com/office/drawing/2014/main" id="{8C0089D9-6EC8-4DFB-A7D0-20E9E48518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11</xdr:row>
      <xdr:rowOff>25400</xdr:rowOff>
    </xdr:from>
    <xdr:ext cx="9525" cy="0"/>
    <xdr:pic>
      <xdr:nvPicPr>
        <xdr:cNvPr id="52" name="Imagem 51" descr="http://sistemaswebhom.einstein.br/CME/Imagens/nada.gif">
          <a:extLst>
            <a:ext uri="{FF2B5EF4-FFF2-40B4-BE49-F238E27FC236}">
              <a16:creationId xmlns:a16="http://schemas.microsoft.com/office/drawing/2014/main" id="{C1F0F2B1-5070-4BC0-8CD3-088E3370B1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11</xdr:row>
      <xdr:rowOff>25400</xdr:rowOff>
    </xdr:from>
    <xdr:ext cx="9525" cy="0"/>
    <xdr:pic>
      <xdr:nvPicPr>
        <xdr:cNvPr id="53" name="Imagem 52" descr="http://sistemaswebhom.einstein.br/CME/Imagens/nada.gif">
          <a:extLst>
            <a:ext uri="{FF2B5EF4-FFF2-40B4-BE49-F238E27FC236}">
              <a16:creationId xmlns:a16="http://schemas.microsoft.com/office/drawing/2014/main" id="{82E2C61B-F524-41B9-9FCD-D99AF9D75C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11</xdr:row>
      <xdr:rowOff>25400</xdr:rowOff>
    </xdr:from>
    <xdr:ext cx="9525" cy="0"/>
    <xdr:pic>
      <xdr:nvPicPr>
        <xdr:cNvPr id="54" name="Imagem 53" descr="http://sistemaswebhom.einstein.br/CME/Imagens/nada.gif">
          <a:extLst>
            <a:ext uri="{FF2B5EF4-FFF2-40B4-BE49-F238E27FC236}">
              <a16:creationId xmlns:a16="http://schemas.microsoft.com/office/drawing/2014/main" id="{A49EC6E5-FD23-4864-8F03-2F75C8CA47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60655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12</xdr:row>
      <xdr:rowOff>25400</xdr:rowOff>
    </xdr:from>
    <xdr:ext cx="9525" cy="0"/>
    <xdr:pic>
      <xdr:nvPicPr>
        <xdr:cNvPr id="55" name="Imagem 54" descr="http://sistemaswebhom.einstein.br/CME/Imagens/nada.gif">
          <a:extLst>
            <a:ext uri="{FF2B5EF4-FFF2-40B4-BE49-F238E27FC236}">
              <a16:creationId xmlns:a16="http://schemas.microsoft.com/office/drawing/2014/main" id="{94CF2873-7353-4918-87D0-9DBD4DB180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12</xdr:row>
      <xdr:rowOff>25400</xdr:rowOff>
    </xdr:from>
    <xdr:ext cx="9525" cy="0"/>
    <xdr:pic>
      <xdr:nvPicPr>
        <xdr:cNvPr id="56" name="Imagem 55" descr="http://sistemaswebhom.einstein.br/CME/Imagens/nada.gif">
          <a:extLst>
            <a:ext uri="{FF2B5EF4-FFF2-40B4-BE49-F238E27FC236}">
              <a16:creationId xmlns:a16="http://schemas.microsoft.com/office/drawing/2014/main" id="{EBDFEFE4-873D-42C7-9E79-87FBC8BB74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12</xdr:row>
      <xdr:rowOff>25400</xdr:rowOff>
    </xdr:from>
    <xdr:ext cx="9525" cy="0"/>
    <xdr:pic>
      <xdr:nvPicPr>
        <xdr:cNvPr id="57" name="Imagem 56" descr="http://sistemaswebhom.einstein.br/CME/Imagens/nada.gif">
          <a:extLst>
            <a:ext uri="{FF2B5EF4-FFF2-40B4-BE49-F238E27FC236}">
              <a16:creationId xmlns:a16="http://schemas.microsoft.com/office/drawing/2014/main" id="{FC4BB830-A52E-4ECC-9105-582C94328C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12</xdr:row>
      <xdr:rowOff>25400</xdr:rowOff>
    </xdr:from>
    <xdr:ext cx="9525" cy="0"/>
    <xdr:pic>
      <xdr:nvPicPr>
        <xdr:cNvPr id="58" name="Imagem 57" descr="http://sistemaswebhom.einstein.br/CME/Imagens/nada.gif">
          <a:extLst>
            <a:ext uri="{FF2B5EF4-FFF2-40B4-BE49-F238E27FC236}">
              <a16:creationId xmlns:a16="http://schemas.microsoft.com/office/drawing/2014/main" id="{57732E9C-0F80-4127-9C62-F56E2DB988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1958975"/>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59" name="Imagem 58" descr="http://sistemaswebhom.einstein.br/CME/Imagens/nada.gif">
          <a:extLst>
            <a:ext uri="{FF2B5EF4-FFF2-40B4-BE49-F238E27FC236}">
              <a16:creationId xmlns:a16="http://schemas.microsoft.com/office/drawing/2014/main" id="{29CC0973-65D6-44B8-B247-3282890447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60" name="Imagem 59" descr="http://sistemaswebhom.einstein.br/CME/Imagens/nada.gif">
          <a:extLst>
            <a:ext uri="{FF2B5EF4-FFF2-40B4-BE49-F238E27FC236}">
              <a16:creationId xmlns:a16="http://schemas.microsoft.com/office/drawing/2014/main" id="{97263018-A75D-48A9-8445-173749E36C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61" name="Imagem 60" descr="http://sistemaswebhom.einstein.br/CME/Imagens/nada.gif">
          <a:extLst>
            <a:ext uri="{FF2B5EF4-FFF2-40B4-BE49-F238E27FC236}">
              <a16:creationId xmlns:a16="http://schemas.microsoft.com/office/drawing/2014/main" id="{25E01405-4F5D-482C-AE02-CF2BE57648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62" name="Imagem 61" descr="http://sistemaswebhom.einstein.br/CME/Imagens/nada.gif">
          <a:extLst>
            <a:ext uri="{FF2B5EF4-FFF2-40B4-BE49-F238E27FC236}">
              <a16:creationId xmlns:a16="http://schemas.microsoft.com/office/drawing/2014/main" id="{4D631BBC-6BC1-4D81-A087-3C917A4CA5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63" name="Imagem 62" descr="http://sistemaswebhom.einstein.br/CME/Imagens/nada.gif">
          <a:extLst>
            <a:ext uri="{FF2B5EF4-FFF2-40B4-BE49-F238E27FC236}">
              <a16:creationId xmlns:a16="http://schemas.microsoft.com/office/drawing/2014/main" id="{A74EC5AB-B50A-4569-AF8D-931D624D9A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64" name="Imagem 63" descr="http://sistemaswebhom.einstein.br/CME/Imagens/nada.gif">
          <a:extLst>
            <a:ext uri="{FF2B5EF4-FFF2-40B4-BE49-F238E27FC236}">
              <a16:creationId xmlns:a16="http://schemas.microsoft.com/office/drawing/2014/main" id="{870B1B93-0030-4C73-9F6B-2C2AB86863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65" name="Imagem 64" descr="http://sistemaswebhom.einstein.br/CME/Imagens/nada.gif">
          <a:extLst>
            <a:ext uri="{FF2B5EF4-FFF2-40B4-BE49-F238E27FC236}">
              <a16:creationId xmlns:a16="http://schemas.microsoft.com/office/drawing/2014/main" id="{7812C4AF-1CF4-42AA-9A0D-A0251C6D44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66" name="Imagem 65" descr="http://sistemaswebhom.einstein.br/CME/Imagens/nada.gif">
          <a:extLst>
            <a:ext uri="{FF2B5EF4-FFF2-40B4-BE49-F238E27FC236}">
              <a16:creationId xmlns:a16="http://schemas.microsoft.com/office/drawing/2014/main" id="{DA2413AC-C0CE-4E5A-8F0B-753D80C50A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67" name="Imagem 66" descr="http://sistemaswebhom.einstein.br/CME/Imagens/nada.gif">
          <a:extLst>
            <a:ext uri="{FF2B5EF4-FFF2-40B4-BE49-F238E27FC236}">
              <a16:creationId xmlns:a16="http://schemas.microsoft.com/office/drawing/2014/main" id="{A510DB6D-58E3-43CF-AEC6-D9F7ADB1B3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68" name="Imagem 67" descr="http://sistemaswebhom.einstein.br/CME/Imagens/nada.gif">
          <a:extLst>
            <a:ext uri="{FF2B5EF4-FFF2-40B4-BE49-F238E27FC236}">
              <a16:creationId xmlns:a16="http://schemas.microsoft.com/office/drawing/2014/main" id="{FF7CC666-3CA8-436F-9601-1C769E5A45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69" name="Imagem 68" descr="http://sistemaswebhom.einstein.br/CME/Imagens/nada.gif">
          <a:extLst>
            <a:ext uri="{FF2B5EF4-FFF2-40B4-BE49-F238E27FC236}">
              <a16:creationId xmlns:a16="http://schemas.microsoft.com/office/drawing/2014/main" id="{8F3AA587-CB57-4371-92FE-A27441942D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70" name="Imagem 69" descr="http://sistemaswebhom.einstein.br/CME/Imagens/nada.gif">
          <a:extLst>
            <a:ext uri="{FF2B5EF4-FFF2-40B4-BE49-F238E27FC236}">
              <a16:creationId xmlns:a16="http://schemas.microsoft.com/office/drawing/2014/main" id="{2C312F56-10EC-4619-AFCB-70C3BE1D53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71" name="Imagem 70" descr="http://sistemaswebhom.einstein.br/CME/Imagens/nada.gif">
          <a:extLst>
            <a:ext uri="{FF2B5EF4-FFF2-40B4-BE49-F238E27FC236}">
              <a16:creationId xmlns:a16="http://schemas.microsoft.com/office/drawing/2014/main" id="{E44C2588-A078-489F-BD63-AF8FBEDC20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72" name="Imagem 71" descr="http://sistemaswebhom.einstein.br/CME/Imagens/nada.gif">
          <a:extLst>
            <a:ext uri="{FF2B5EF4-FFF2-40B4-BE49-F238E27FC236}">
              <a16:creationId xmlns:a16="http://schemas.microsoft.com/office/drawing/2014/main" id="{3213DB0C-7CA2-4AA5-84BD-39F6FF556D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73" name="Imagem 72" descr="http://sistemaswebhom.einstein.br/CME/Imagens/nada.gif">
          <a:extLst>
            <a:ext uri="{FF2B5EF4-FFF2-40B4-BE49-F238E27FC236}">
              <a16:creationId xmlns:a16="http://schemas.microsoft.com/office/drawing/2014/main" id="{040C61E9-6D8B-471F-862B-63383E69C6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74" name="Imagem 73" descr="http://sistemaswebhom.einstein.br/CME/Imagens/nada.gif">
          <a:extLst>
            <a:ext uri="{FF2B5EF4-FFF2-40B4-BE49-F238E27FC236}">
              <a16:creationId xmlns:a16="http://schemas.microsoft.com/office/drawing/2014/main" id="{75862D42-0741-411C-A5F0-A662495745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75" name="Imagem 74" descr="http://sistemaswebhom.einstein.br/CME/Imagens/nada.gif">
          <a:extLst>
            <a:ext uri="{FF2B5EF4-FFF2-40B4-BE49-F238E27FC236}">
              <a16:creationId xmlns:a16="http://schemas.microsoft.com/office/drawing/2014/main" id="{8141FC36-0683-4C4A-865D-FAD7E50E47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76" name="Imagem 75" descr="http://sistemaswebhom.einstein.br/CME/Imagens/nada.gif">
          <a:extLst>
            <a:ext uri="{FF2B5EF4-FFF2-40B4-BE49-F238E27FC236}">
              <a16:creationId xmlns:a16="http://schemas.microsoft.com/office/drawing/2014/main" id="{525BEB0F-8991-4986-B66D-3054D6F639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77" name="Imagem 76" descr="http://sistemaswebhom.einstein.br/CME/Imagens/nada.gif">
          <a:extLst>
            <a:ext uri="{FF2B5EF4-FFF2-40B4-BE49-F238E27FC236}">
              <a16:creationId xmlns:a16="http://schemas.microsoft.com/office/drawing/2014/main" id="{DB0C54F9-1B9F-4475-A2FC-D4815112AE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78" name="Imagem 77" descr="http://sistemaswebhom.einstein.br/CME/Imagens/nada.gif">
          <a:extLst>
            <a:ext uri="{FF2B5EF4-FFF2-40B4-BE49-F238E27FC236}">
              <a16:creationId xmlns:a16="http://schemas.microsoft.com/office/drawing/2014/main" id="{FDDA0273-ABA1-4B81-BC7C-DD7B74DDB5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79" name="Imagem 78" descr="http://sistemaswebhom.einstein.br/CME/Imagens/nada.gif">
          <a:extLst>
            <a:ext uri="{FF2B5EF4-FFF2-40B4-BE49-F238E27FC236}">
              <a16:creationId xmlns:a16="http://schemas.microsoft.com/office/drawing/2014/main" id="{F3A48B81-2C21-4C2E-A2CB-BB75C419C1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80" name="Imagem 79" descr="http://sistemaswebhom.einstein.br/CME/Imagens/nada.gif">
          <a:extLst>
            <a:ext uri="{FF2B5EF4-FFF2-40B4-BE49-F238E27FC236}">
              <a16:creationId xmlns:a16="http://schemas.microsoft.com/office/drawing/2014/main" id="{C407FF6E-2BE3-44D6-BCB0-4B92CA2D28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81" name="Imagem 80" descr="http://sistemaswebhom.einstein.br/CME/Imagens/nada.gif">
          <a:extLst>
            <a:ext uri="{FF2B5EF4-FFF2-40B4-BE49-F238E27FC236}">
              <a16:creationId xmlns:a16="http://schemas.microsoft.com/office/drawing/2014/main" id="{EA27D5B2-68F0-49A5-9561-DBC85754FE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82" name="Imagem 81" descr="http://sistemaswebhom.einstein.br/CME/Imagens/nada.gif">
          <a:extLst>
            <a:ext uri="{FF2B5EF4-FFF2-40B4-BE49-F238E27FC236}">
              <a16:creationId xmlns:a16="http://schemas.microsoft.com/office/drawing/2014/main" id="{8FF2C608-DF18-408E-8A96-4F3E17111E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83" name="Imagem 82" descr="http://sistemaswebhom.einstein.br/CME/Imagens/nada.gif">
          <a:extLst>
            <a:ext uri="{FF2B5EF4-FFF2-40B4-BE49-F238E27FC236}">
              <a16:creationId xmlns:a16="http://schemas.microsoft.com/office/drawing/2014/main" id="{AFD55409-4CC6-4FC9-B06C-ED1AB7425A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84" name="Imagem 83" descr="http://sistemaswebhom.einstein.br/CME/Imagens/nada.gif">
          <a:extLst>
            <a:ext uri="{FF2B5EF4-FFF2-40B4-BE49-F238E27FC236}">
              <a16:creationId xmlns:a16="http://schemas.microsoft.com/office/drawing/2014/main" id="{D08D8533-807C-431C-AD81-0AB3F9D991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85" name="Imagem 84" descr="http://sistemaswebhom.einstein.br/CME/Imagens/nada.gif">
          <a:extLst>
            <a:ext uri="{FF2B5EF4-FFF2-40B4-BE49-F238E27FC236}">
              <a16:creationId xmlns:a16="http://schemas.microsoft.com/office/drawing/2014/main" id="{D0CC7E37-ED41-4C90-9E39-029DA47A08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86" name="Imagem 85" descr="http://sistemaswebhom.einstein.br/CME/Imagens/nada.gif">
          <a:extLst>
            <a:ext uri="{FF2B5EF4-FFF2-40B4-BE49-F238E27FC236}">
              <a16:creationId xmlns:a16="http://schemas.microsoft.com/office/drawing/2014/main" id="{309EBF31-9CF8-427B-AB24-BA3B3DDB92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87" name="Imagem 86" descr="http://sistemaswebhom.einstein.br/CME/Imagens/nada.gif">
          <a:extLst>
            <a:ext uri="{FF2B5EF4-FFF2-40B4-BE49-F238E27FC236}">
              <a16:creationId xmlns:a16="http://schemas.microsoft.com/office/drawing/2014/main" id="{E20579AE-460B-4ABA-B171-647E9F83A6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88" name="Imagem 87" descr="http://sistemaswebhom.einstein.br/CME/Imagens/nada.gif">
          <a:extLst>
            <a:ext uri="{FF2B5EF4-FFF2-40B4-BE49-F238E27FC236}">
              <a16:creationId xmlns:a16="http://schemas.microsoft.com/office/drawing/2014/main" id="{D4C33D56-699D-48AE-A983-B50413099D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89" name="Imagem 88" descr="http://sistemaswebhom.einstein.br/CME/Imagens/nada.gif">
          <a:extLst>
            <a:ext uri="{FF2B5EF4-FFF2-40B4-BE49-F238E27FC236}">
              <a16:creationId xmlns:a16="http://schemas.microsoft.com/office/drawing/2014/main" id="{2F01402D-02EE-42B9-9CF1-718325138C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90" name="Imagem 89" descr="http://sistemaswebhom.einstein.br/CME/Imagens/nada.gif">
          <a:extLst>
            <a:ext uri="{FF2B5EF4-FFF2-40B4-BE49-F238E27FC236}">
              <a16:creationId xmlns:a16="http://schemas.microsoft.com/office/drawing/2014/main" id="{BB4B6A21-4B42-4B35-A1D6-D113040BB7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13</xdr:row>
      <xdr:rowOff>25400</xdr:rowOff>
    </xdr:from>
    <xdr:ext cx="9525" cy="0"/>
    <xdr:pic>
      <xdr:nvPicPr>
        <xdr:cNvPr id="91" name="Imagem 90" descr="http://sistemaswebhom.einstein.br/CME/Imagens/nada.gif">
          <a:extLst>
            <a:ext uri="{FF2B5EF4-FFF2-40B4-BE49-F238E27FC236}">
              <a16:creationId xmlns:a16="http://schemas.microsoft.com/office/drawing/2014/main" id="{144CFC8C-9EED-421B-BD4C-C44F654482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9075" y="2311400"/>
          <a:ext cx="9525" cy="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ioengenhariafaj.com.br/produtos/gancho-de-mitral/" TargetMode="External"/><Relationship Id="rId1" Type="http://schemas.openxmlformats.org/officeDocument/2006/relationships/hyperlink" Target="https://www.harteinstrumentos.com.br/produto/afastador-dinkhuysen-n1-24x20mm-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474DC-B56E-4AA8-ABE2-84E0AFF53D78}">
  <dimension ref="A1:M96"/>
  <sheetViews>
    <sheetView workbookViewId="0">
      <pane ySplit="1" topLeftCell="A2" activePane="bottomLeft" state="frozen"/>
      <selection pane="bottomLeft" activeCell="N11" sqref="N11"/>
    </sheetView>
  </sheetViews>
  <sheetFormatPr defaultRowHeight="15" x14ac:dyDescent="0.25"/>
  <cols>
    <col min="1" max="1" width="10.28515625" customWidth="1"/>
    <col min="2" max="2" width="73.7109375" customWidth="1"/>
    <col min="3" max="3" width="14.28515625" hidden="1" customWidth="1"/>
    <col min="4" max="4" width="0" hidden="1" customWidth="1"/>
    <col min="5" max="5" width="82.5703125" hidden="1" customWidth="1"/>
    <col min="6" max="6" width="14.140625" hidden="1" customWidth="1"/>
    <col min="7" max="7" width="11.140625" hidden="1" customWidth="1"/>
    <col min="8" max="8" width="9.140625" hidden="1" customWidth="1"/>
    <col min="9" max="9" width="12.85546875" style="67" hidden="1" customWidth="1"/>
    <col min="10" max="10" width="15.85546875" customWidth="1"/>
    <col min="11" max="11" width="12.85546875" customWidth="1"/>
  </cols>
  <sheetData>
    <row r="1" spans="1:12" ht="20.25" customHeight="1" x14ac:dyDescent="0.25">
      <c r="A1" s="8" t="s">
        <v>0</v>
      </c>
      <c r="B1" s="7" t="s">
        <v>1</v>
      </c>
      <c r="C1" s="8" t="s">
        <v>2</v>
      </c>
      <c r="D1" s="8" t="s">
        <v>3</v>
      </c>
      <c r="E1" s="69" t="s">
        <v>4</v>
      </c>
      <c r="F1" s="7" t="s">
        <v>8</v>
      </c>
      <c r="G1" s="7" t="s">
        <v>10</v>
      </c>
      <c r="H1" s="7" t="s">
        <v>63</v>
      </c>
      <c r="I1" s="73" t="s">
        <v>64</v>
      </c>
      <c r="J1" s="126" t="s">
        <v>127</v>
      </c>
    </row>
    <row r="2" spans="1:12" s="76" customFormat="1" ht="20.25" customHeight="1" x14ac:dyDescent="0.25">
      <c r="A2" s="8"/>
      <c r="B2" s="7"/>
      <c r="C2" s="8"/>
      <c r="D2" s="8"/>
      <c r="E2" s="9" t="s">
        <v>84</v>
      </c>
      <c r="F2" s="7">
        <v>3</v>
      </c>
      <c r="G2" s="74">
        <v>3</v>
      </c>
      <c r="H2" s="74">
        <v>1</v>
      </c>
      <c r="I2" s="75">
        <v>3</v>
      </c>
      <c r="J2" s="127"/>
      <c r="K2" s="105" t="s">
        <v>571</v>
      </c>
    </row>
    <row r="3" spans="1:12" ht="20.25" customHeight="1" x14ac:dyDescent="0.25">
      <c r="A3" s="4">
        <v>23928</v>
      </c>
      <c r="B3" s="3" t="s">
        <v>65</v>
      </c>
      <c r="C3" s="3" t="s">
        <v>66</v>
      </c>
      <c r="D3" s="3">
        <v>473776</v>
      </c>
      <c r="E3" s="11" t="s">
        <v>67</v>
      </c>
      <c r="F3" s="5">
        <v>0</v>
      </c>
      <c r="G3" s="3">
        <v>0</v>
      </c>
      <c r="H3" s="3">
        <v>1</v>
      </c>
      <c r="I3" s="12">
        <v>0</v>
      </c>
      <c r="J3" s="3">
        <f>($F$2*F3)+($G$2*G3)+($H$2*H3)+($I$2*I3)</f>
        <v>1</v>
      </c>
      <c r="K3" t="s">
        <v>592</v>
      </c>
    </row>
    <row r="4" spans="1:12" ht="20.25" customHeight="1" x14ac:dyDescent="0.25">
      <c r="A4" s="13" t="s">
        <v>128</v>
      </c>
      <c r="B4" s="113" t="s">
        <v>667</v>
      </c>
      <c r="C4" s="13" t="s">
        <v>129</v>
      </c>
      <c r="D4" s="15">
        <v>473991</v>
      </c>
      <c r="E4" s="14" t="s">
        <v>130</v>
      </c>
      <c r="F4" s="16">
        <v>1</v>
      </c>
      <c r="G4">
        <v>0</v>
      </c>
      <c r="H4" s="3">
        <v>0</v>
      </c>
      <c r="I4" s="17">
        <v>0</v>
      </c>
      <c r="J4" s="3">
        <f t="shared" ref="J4:J15" si="0">($F$2*F4)+($G$2*G4)+($H$2*H4)+($I$2*I4)</f>
        <v>3</v>
      </c>
      <c r="K4" s="119" t="s">
        <v>760</v>
      </c>
      <c r="L4" s="117" t="s">
        <v>762</v>
      </c>
    </row>
    <row r="5" spans="1:12" ht="19.5" customHeight="1" x14ac:dyDescent="0.25">
      <c r="A5" s="18" t="s">
        <v>128</v>
      </c>
      <c r="B5" s="114" t="s">
        <v>566</v>
      </c>
      <c r="C5" s="19"/>
      <c r="D5" s="19"/>
      <c r="E5" s="20" t="s">
        <v>131</v>
      </c>
      <c r="F5" s="16">
        <v>1</v>
      </c>
      <c r="G5" s="3">
        <v>0</v>
      </c>
      <c r="H5" s="3">
        <v>0</v>
      </c>
      <c r="I5" s="17">
        <v>0</v>
      </c>
      <c r="J5" s="3">
        <f t="shared" si="0"/>
        <v>3</v>
      </c>
      <c r="K5" s="118"/>
    </row>
    <row r="6" spans="1:12" ht="19.5" customHeight="1" x14ac:dyDescent="0.25">
      <c r="A6" s="18" t="s">
        <v>128</v>
      </c>
      <c r="B6" s="114" t="s">
        <v>567</v>
      </c>
      <c r="C6" s="18" t="s">
        <v>132</v>
      </c>
      <c r="D6" s="21">
        <v>473993</v>
      </c>
      <c r="E6" s="20" t="s">
        <v>133</v>
      </c>
      <c r="F6" s="16">
        <v>1</v>
      </c>
      <c r="G6" s="3">
        <v>0</v>
      </c>
      <c r="H6" s="3">
        <v>0</v>
      </c>
      <c r="I6" s="17">
        <v>0</v>
      </c>
      <c r="J6" s="3">
        <f t="shared" si="0"/>
        <v>3</v>
      </c>
      <c r="K6" s="120" t="s">
        <v>761</v>
      </c>
      <c r="L6" s="117" t="s">
        <v>763</v>
      </c>
    </row>
    <row r="7" spans="1:12" ht="20.25" customHeight="1" x14ac:dyDescent="0.25">
      <c r="A7" s="21">
        <v>22657</v>
      </c>
      <c r="B7" s="114" t="s">
        <v>9</v>
      </c>
      <c r="C7" s="18" t="s">
        <v>134</v>
      </c>
      <c r="D7" s="21">
        <v>473968</v>
      </c>
      <c r="E7" s="20" t="s">
        <v>135</v>
      </c>
      <c r="F7" s="16">
        <v>1</v>
      </c>
      <c r="G7" s="3">
        <v>0</v>
      </c>
      <c r="H7" s="3">
        <v>0</v>
      </c>
      <c r="I7" s="17">
        <v>0</v>
      </c>
      <c r="J7" s="3">
        <f t="shared" si="0"/>
        <v>3</v>
      </c>
      <c r="K7" s="108" t="s">
        <v>764</v>
      </c>
      <c r="L7" s="108" t="s">
        <v>670</v>
      </c>
    </row>
    <row r="8" spans="1:12" ht="20.25" customHeight="1" x14ac:dyDescent="0.25">
      <c r="A8" s="22">
        <v>22656</v>
      </c>
      <c r="B8" s="115" t="s">
        <v>5</v>
      </c>
      <c r="C8" s="22" t="s">
        <v>6</v>
      </c>
      <c r="D8" s="22">
        <v>473835</v>
      </c>
      <c r="E8" s="24" t="s">
        <v>7</v>
      </c>
      <c r="F8" s="3">
        <v>0</v>
      </c>
      <c r="G8" s="25">
        <v>1</v>
      </c>
      <c r="H8" s="3">
        <v>0</v>
      </c>
      <c r="I8" s="17">
        <v>0</v>
      </c>
      <c r="J8" s="3">
        <f t="shared" si="0"/>
        <v>3</v>
      </c>
    </row>
    <row r="9" spans="1:12" ht="20.25" customHeight="1" x14ac:dyDescent="0.25">
      <c r="A9" s="21">
        <v>23531</v>
      </c>
      <c r="B9" s="26" t="s">
        <v>136</v>
      </c>
      <c r="C9" s="18" t="s">
        <v>128</v>
      </c>
      <c r="D9" s="18" t="s">
        <v>128</v>
      </c>
      <c r="E9" s="20" t="s">
        <v>137</v>
      </c>
      <c r="F9" s="16">
        <v>2</v>
      </c>
      <c r="G9" s="3">
        <v>0</v>
      </c>
      <c r="H9" s="3">
        <v>0</v>
      </c>
      <c r="I9" s="17">
        <v>0</v>
      </c>
      <c r="J9" s="3">
        <f t="shared" si="0"/>
        <v>6</v>
      </c>
      <c r="K9" t="s">
        <v>593</v>
      </c>
    </row>
    <row r="10" spans="1:12" ht="20.25" customHeight="1" x14ac:dyDescent="0.25">
      <c r="A10" s="21">
        <v>23403</v>
      </c>
      <c r="B10" s="26" t="s">
        <v>138</v>
      </c>
      <c r="C10" s="18" t="s">
        <v>139</v>
      </c>
      <c r="D10" s="21">
        <v>474122</v>
      </c>
      <c r="E10" s="20" t="s">
        <v>140</v>
      </c>
      <c r="F10" s="16">
        <v>4</v>
      </c>
      <c r="G10" s="3">
        <v>0</v>
      </c>
      <c r="H10" s="3">
        <v>4</v>
      </c>
      <c r="I10" s="17">
        <v>4</v>
      </c>
      <c r="J10" s="3">
        <f t="shared" si="0"/>
        <v>28</v>
      </c>
      <c r="K10" t="s">
        <v>594</v>
      </c>
    </row>
    <row r="11" spans="1:12" ht="20.25" customHeight="1" x14ac:dyDescent="0.25">
      <c r="A11" s="27">
        <v>23876</v>
      </c>
      <c r="B11" s="28" t="s">
        <v>68</v>
      </c>
      <c r="C11" s="28" t="s">
        <v>69</v>
      </c>
      <c r="D11" s="28">
        <v>473868</v>
      </c>
      <c r="E11" s="29" t="s">
        <v>70</v>
      </c>
      <c r="F11" s="16">
        <v>0</v>
      </c>
      <c r="G11" s="3">
        <v>0</v>
      </c>
      <c r="H11" s="3">
        <v>2</v>
      </c>
      <c r="I11" s="17">
        <v>0</v>
      </c>
      <c r="J11" s="3">
        <f t="shared" si="0"/>
        <v>2</v>
      </c>
      <c r="K11" s="107" t="s">
        <v>666</v>
      </c>
      <c r="L11" t="s">
        <v>660</v>
      </c>
    </row>
    <row r="12" spans="1:12" ht="20.25" customHeight="1" x14ac:dyDescent="0.25">
      <c r="A12" s="4">
        <v>17100</v>
      </c>
      <c r="B12" s="3" t="s">
        <v>71</v>
      </c>
      <c r="C12" s="3" t="s">
        <v>72</v>
      </c>
      <c r="D12" s="3">
        <v>473863</v>
      </c>
      <c r="E12" s="5" t="s">
        <v>73</v>
      </c>
      <c r="F12" s="5">
        <v>0</v>
      </c>
      <c r="G12" s="3">
        <v>0</v>
      </c>
      <c r="H12" s="3">
        <v>4</v>
      </c>
      <c r="I12" s="17">
        <v>0</v>
      </c>
      <c r="J12" s="3">
        <f t="shared" si="0"/>
        <v>4</v>
      </c>
      <c r="K12" s="93" t="s">
        <v>575</v>
      </c>
    </row>
    <row r="13" spans="1:12" ht="20.25" customHeight="1" x14ac:dyDescent="0.25">
      <c r="A13" s="13" t="s">
        <v>128</v>
      </c>
      <c r="B13" s="14" t="s">
        <v>141</v>
      </c>
      <c r="C13" s="13" t="s">
        <v>142</v>
      </c>
      <c r="D13" s="15">
        <v>473770</v>
      </c>
      <c r="E13" s="30" t="s">
        <v>143</v>
      </c>
      <c r="F13" s="16">
        <v>1</v>
      </c>
      <c r="G13" s="3">
        <v>0</v>
      </c>
      <c r="H13" s="3">
        <v>1</v>
      </c>
      <c r="I13" s="17">
        <v>0</v>
      </c>
      <c r="J13" s="3">
        <f t="shared" si="0"/>
        <v>4</v>
      </c>
      <c r="K13" t="s">
        <v>595</v>
      </c>
    </row>
    <row r="14" spans="1:12" ht="20.25" customHeight="1" x14ac:dyDescent="0.25">
      <c r="A14" s="21">
        <v>17418</v>
      </c>
      <c r="B14" s="26" t="s">
        <v>144</v>
      </c>
      <c r="C14" s="18" t="s">
        <v>145</v>
      </c>
      <c r="D14" s="21">
        <v>477812</v>
      </c>
      <c r="E14" s="31" t="s">
        <v>146</v>
      </c>
      <c r="F14" s="16">
        <v>1</v>
      </c>
      <c r="G14" s="3">
        <v>0</v>
      </c>
      <c r="H14" s="3">
        <v>0</v>
      </c>
      <c r="I14" s="17">
        <v>1</v>
      </c>
      <c r="J14" s="3">
        <f t="shared" si="0"/>
        <v>6</v>
      </c>
      <c r="K14" t="s">
        <v>596</v>
      </c>
    </row>
    <row r="15" spans="1:12" ht="20.25" customHeight="1" x14ac:dyDescent="0.25">
      <c r="A15" s="32">
        <v>23331</v>
      </c>
      <c r="B15" s="33" t="s">
        <v>39</v>
      </c>
      <c r="C15" s="32" t="s">
        <v>40</v>
      </c>
      <c r="D15" s="32">
        <v>475364</v>
      </c>
      <c r="E15" s="34" t="s">
        <v>41</v>
      </c>
      <c r="F15" s="3">
        <v>0</v>
      </c>
      <c r="G15" s="35">
        <v>1</v>
      </c>
      <c r="H15" s="3">
        <v>2</v>
      </c>
      <c r="I15" s="17">
        <v>0</v>
      </c>
      <c r="J15" s="3">
        <f t="shared" si="0"/>
        <v>5</v>
      </c>
      <c r="K15" t="s">
        <v>597</v>
      </c>
    </row>
    <row r="16" spans="1:12" ht="20.25" customHeight="1" x14ac:dyDescent="0.25">
      <c r="A16" s="13" t="s">
        <v>128</v>
      </c>
      <c r="B16" s="14" t="s">
        <v>147</v>
      </c>
      <c r="C16" s="36" t="s">
        <v>148</v>
      </c>
      <c r="D16" s="37">
        <v>272821</v>
      </c>
      <c r="E16" s="38" t="s">
        <v>149</v>
      </c>
      <c r="F16" s="16">
        <v>2</v>
      </c>
      <c r="G16" s="3">
        <v>0</v>
      </c>
      <c r="H16" s="3">
        <v>0</v>
      </c>
      <c r="I16" s="17">
        <v>2</v>
      </c>
      <c r="J16" s="3">
        <f>($F$2*F16)+($G$2*G16)+($H$2*H16)+($I$2*I16)</f>
        <v>12</v>
      </c>
      <c r="K16" t="s">
        <v>599</v>
      </c>
    </row>
    <row r="17" spans="1:12" ht="20.25" customHeight="1" x14ac:dyDescent="0.25">
      <c r="A17" s="4">
        <v>9738</v>
      </c>
      <c r="B17" s="3" t="s">
        <v>74</v>
      </c>
      <c r="C17" s="3" t="s">
        <v>75</v>
      </c>
      <c r="D17" s="3">
        <v>272821</v>
      </c>
      <c r="E17" s="5" t="s">
        <v>76</v>
      </c>
      <c r="F17" s="5">
        <v>0</v>
      </c>
      <c r="G17" s="3">
        <v>0</v>
      </c>
      <c r="H17" s="3">
        <v>2</v>
      </c>
      <c r="I17" s="17">
        <v>0</v>
      </c>
      <c r="J17" s="3">
        <f>($F$2*F17)+($G$2*G17)+($H$2*H17)+($I$2*I17)</f>
        <v>2</v>
      </c>
      <c r="K17" s="99" t="s">
        <v>584</v>
      </c>
    </row>
    <row r="18" spans="1:12" ht="20.25" customHeight="1" x14ac:dyDescent="0.25">
      <c r="A18" s="21">
        <v>14148</v>
      </c>
      <c r="B18" s="26" t="s">
        <v>150</v>
      </c>
      <c r="C18" s="18" t="s">
        <v>151</v>
      </c>
      <c r="D18" s="21">
        <v>288872</v>
      </c>
      <c r="E18" s="31" t="s">
        <v>152</v>
      </c>
      <c r="F18" s="16">
        <v>1</v>
      </c>
      <c r="G18" s="3">
        <v>0</v>
      </c>
      <c r="H18" s="3">
        <v>0</v>
      </c>
      <c r="I18" s="17">
        <v>1</v>
      </c>
      <c r="J18" s="3">
        <f t="shared" ref="J18:J81" si="1">($F$2*F18)+($G$2*G18)+($H$2*H18)+($I$2*I18)</f>
        <v>6</v>
      </c>
      <c r="K18" t="s">
        <v>598</v>
      </c>
    </row>
    <row r="19" spans="1:12" ht="20.25" customHeight="1" x14ac:dyDescent="0.25">
      <c r="A19" s="21">
        <v>22650</v>
      </c>
      <c r="B19" s="26" t="s">
        <v>153</v>
      </c>
      <c r="C19" s="18" t="s">
        <v>128</v>
      </c>
      <c r="D19" s="18" t="s">
        <v>128</v>
      </c>
      <c r="E19" s="31" t="s">
        <v>154</v>
      </c>
      <c r="F19" s="16">
        <v>1</v>
      </c>
      <c r="G19" s="3">
        <v>0</v>
      </c>
      <c r="H19" s="3">
        <v>0</v>
      </c>
      <c r="I19" s="17">
        <v>0</v>
      </c>
      <c r="J19" s="3">
        <f t="shared" si="1"/>
        <v>3</v>
      </c>
      <c r="K19" s="106" t="s">
        <v>664</v>
      </c>
      <c r="L19" t="s">
        <v>660</v>
      </c>
    </row>
    <row r="20" spans="1:12" ht="20.25" customHeight="1" x14ac:dyDescent="0.25">
      <c r="A20" s="21">
        <v>22651</v>
      </c>
      <c r="B20" s="26" t="s">
        <v>155</v>
      </c>
      <c r="C20" s="18" t="s">
        <v>128</v>
      </c>
      <c r="D20" s="18" t="s">
        <v>128</v>
      </c>
      <c r="E20" s="31" t="s">
        <v>156</v>
      </c>
      <c r="F20" s="16">
        <v>1</v>
      </c>
      <c r="G20" s="3">
        <v>0</v>
      </c>
      <c r="H20" s="3">
        <v>0</v>
      </c>
      <c r="I20" s="17">
        <v>0</v>
      </c>
      <c r="J20" s="3">
        <f t="shared" si="1"/>
        <v>3</v>
      </c>
      <c r="K20" s="106" t="s">
        <v>665</v>
      </c>
      <c r="L20" t="s">
        <v>660</v>
      </c>
    </row>
    <row r="21" spans="1:12" ht="20.25" customHeight="1" x14ac:dyDescent="0.25">
      <c r="A21" s="21">
        <v>22648</v>
      </c>
      <c r="B21" s="26" t="s">
        <v>157</v>
      </c>
      <c r="C21" s="18" t="s">
        <v>158</v>
      </c>
      <c r="D21" s="21">
        <v>475257</v>
      </c>
      <c r="E21" s="31" t="s">
        <v>159</v>
      </c>
      <c r="F21" s="16">
        <v>3</v>
      </c>
      <c r="G21" s="3">
        <v>0</v>
      </c>
      <c r="H21" s="3">
        <v>0</v>
      </c>
      <c r="I21" s="17">
        <v>3</v>
      </c>
      <c r="J21" s="3">
        <f t="shared" si="1"/>
        <v>18</v>
      </c>
      <c r="K21" t="s">
        <v>600</v>
      </c>
    </row>
    <row r="22" spans="1:12" ht="20.25" customHeight="1" x14ac:dyDescent="0.25">
      <c r="A22" s="27" t="s">
        <v>13</v>
      </c>
      <c r="B22" s="28" t="s">
        <v>77</v>
      </c>
      <c r="C22" s="28" t="s">
        <v>13</v>
      </c>
      <c r="D22" s="28" t="s">
        <v>13</v>
      </c>
      <c r="E22" s="29" t="s">
        <v>78</v>
      </c>
      <c r="F22" s="16">
        <v>0</v>
      </c>
      <c r="G22" s="3">
        <v>0</v>
      </c>
      <c r="H22" s="3">
        <v>1</v>
      </c>
      <c r="I22" s="17">
        <v>0</v>
      </c>
      <c r="J22" s="3">
        <f t="shared" si="1"/>
        <v>1</v>
      </c>
      <c r="K22" t="s">
        <v>601</v>
      </c>
    </row>
    <row r="23" spans="1:12" ht="20.25" customHeight="1" x14ac:dyDescent="0.25">
      <c r="A23" s="4" t="s">
        <v>13</v>
      </c>
      <c r="B23" s="3" t="s">
        <v>14</v>
      </c>
      <c r="C23" s="3"/>
      <c r="D23" s="3"/>
      <c r="E23" s="3" t="s">
        <v>11</v>
      </c>
      <c r="F23" s="3">
        <v>0</v>
      </c>
      <c r="G23" s="3">
        <v>2</v>
      </c>
      <c r="H23" s="3">
        <v>0</v>
      </c>
      <c r="I23" s="17"/>
      <c r="J23" s="3">
        <f t="shared" si="1"/>
        <v>6</v>
      </c>
      <c r="K23" t="s">
        <v>603</v>
      </c>
    </row>
    <row r="24" spans="1:12" ht="20.25" customHeight="1" x14ac:dyDescent="0.25">
      <c r="A24" s="4" t="s">
        <v>13</v>
      </c>
      <c r="B24" s="3" t="s">
        <v>12</v>
      </c>
      <c r="C24" s="3"/>
      <c r="D24" s="3"/>
      <c r="E24" s="39" t="s">
        <v>11</v>
      </c>
      <c r="F24" s="3">
        <v>0</v>
      </c>
      <c r="G24" s="3">
        <v>2</v>
      </c>
      <c r="H24" s="3">
        <v>0</v>
      </c>
      <c r="I24" s="17">
        <v>0</v>
      </c>
      <c r="J24" s="3">
        <f t="shared" si="1"/>
        <v>6</v>
      </c>
      <c r="K24" t="s">
        <v>602</v>
      </c>
    </row>
    <row r="25" spans="1:12" ht="20.25" customHeight="1" x14ac:dyDescent="0.25">
      <c r="A25" s="4" t="s">
        <v>13</v>
      </c>
      <c r="B25" s="3" t="s">
        <v>79</v>
      </c>
      <c r="C25" s="3" t="s">
        <v>34</v>
      </c>
      <c r="D25" s="3">
        <v>470575</v>
      </c>
      <c r="E25" s="11" t="s">
        <v>80</v>
      </c>
      <c r="F25" s="5">
        <v>0</v>
      </c>
      <c r="G25" s="3">
        <v>0</v>
      </c>
      <c r="H25" s="3">
        <v>2</v>
      </c>
      <c r="I25" s="17">
        <v>0</v>
      </c>
      <c r="J25" s="3">
        <f t="shared" si="1"/>
        <v>2</v>
      </c>
      <c r="K25" t="s">
        <v>604</v>
      </c>
    </row>
    <row r="26" spans="1:12" ht="20.25" customHeight="1" x14ac:dyDescent="0.25">
      <c r="A26" s="40">
        <v>14029</v>
      </c>
      <c r="B26" s="41" t="s">
        <v>81</v>
      </c>
      <c r="C26" s="41" t="s">
        <v>82</v>
      </c>
      <c r="D26" s="41">
        <v>484362</v>
      </c>
      <c r="E26" s="42" t="s">
        <v>83</v>
      </c>
      <c r="F26" s="43">
        <v>0</v>
      </c>
      <c r="G26">
        <v>0</v>
      </c>
      <c r="H26" s="41">
        <v>2</v>
      </c>
      <c r="I26" s="17">
        <v>0</v>
      </c>
      <c r="J26" s="3">
        <f t="shared" si="1"/>
        <v>2</v>
      </c>
      <c r="K26" t="s">
        <v>605</v>
      </c>
    </row>
    <row r="27" spans="1:12" ht="20.25" customHeight="1" x14ac:dyDescent="0.25">
      <c r="A27" s="4" t="s">
        <v>13</v>
      </c>
      <c r="B27" s="116" t="s">
        <v>86</v>
      </c>
      <c r="C27" s="3" t="s">
        <v>87</v>
      </c>
      <c r="D27" s="3">
        <v>600586</v>
      </c>
      <c r="E27" s="5" t="s">
        <v>88</v>
      </c>
      <c r="F27" s="5">
        <v>0</v>
      </c>
      <c r="G27" s="3">
        <v>0</v>
      </c>
      <c r="H27" s="3">
        <v>1</v>
      </c>
      <c r="I27" s="17">
        <v>0</v>
      </c>
      <c r="J27" s="3">
        <f t="shared" si="1"/>
        <v>1</v>
      </c>
    </row>
    <row r="28" spans="1:12" ht="20.25" customHeight="1" x14ac:dyDescent="0.25">
      <c r="A28" s="44">
        <v>22643</v>
      </c>
      <c r="B28" s="45" t="s">
        <v>15</v>
      </c>
      <c r="C28" s="46" t="s">
        <v>16</v>
      </c>
      <c r="D28" s="46">
        <v>457329</v>
      </c>
      <c r="E28" s="47" t="s">
        <v>17</v>
      </c>
      <c r="F28" s="48">
        <v>0</v>
      </c>
      <c r="G28" s="49">
        <v>1</v>
      </c>
      <c r="H28" s="48">
        <v>0</v>
      </c>
      <c r="I28" s="17">
        <v>0</v>
      </c>
      <c r="J28" s="3">
        <f t="shared" si="1"/>
        <v>3</v>
      </c>
      <c r="K28" t="s">
        <v>606</v>
      </c>
    </row>
    <row r="29" spans="1:12" ht="20.25" customHeight="1" x14ac:dyDescent="0.25">
      <c r="A29" s="22">
        <v>22645</v>
      </c>
      <c r="B29" s="35" t="s">
        <v>18</v>
      </c>
      <c r="C29" s="50" t="s">
        <v>19</v>
      </c>
      <c r="D29" s="50">
        <v>457345</v>
      </c>
      <c r="E29" s="51" t="s">
        <v>20</v>
      </c>
      <c r="F29" s="3">
        <v>0</v>
      </c>
      <c r="G29" s="35">
        <v>1</v>
      </c>
      <c r="H29" s="3">
        <v>0</v>
      </c>
      <c r="I29" s="17">
        <v>0</v>
      </c>
      <c r="J29" s="3">
        <f t="shared" si="1"/>
        <v>3</v>
      </c>
      <c r="K29" s="107" t="s">
        <v>669</v>
      </c>
      <c r="L29" t="s">
        <v>660</v>
      </c>
    </row>
    <row r="30" spans="1:12" ht="20.25" customHeight="1" x14ac:dyDescent="0.25">
      <c r="A30" s="22">
        <v>22644</v>
      </c>
      <c r="B30" s="35" t="s">
        <v>21</v>
      </c>
      <c r="C30" s="50" t="s">
        <v>22</v>
      </c>
      <c r="D30" s="50">
        <v>457332</v>
      </c>
      <c r="E30" s="24" t="s">
        <v>23</v>
      </c>
      <c r="F30" s="3">
        <v>0</v>
      </c>
      <c r="G30" s="35">
        <v>1</v>
      </c>
      <c r="H30" s="3">
        <v>0</v>
      </c>
      <c r="I30" s="17">
        <v>0</v>
      </c>
      <c r="J30" s="3">
        <f t="shared" si="1"/>
        <v>3</v>
      </c>
      <c r="K30" t="s">
        <v>607</v>
      </c>
    </row>
    <row r="31" spans="1:12" ht="20.25" customHeight="1" x14ac:dyDescent="0.25">
      <c r="A31" s="22">
        <v>22646</v>
      </c>
      <c r="B31" s="35" t="s">
        <v>24</v>
      </c>
      <c r="C31" s="50" t="s">
        <v>25</v>
      </c>
      <c r="D31" s="50">
        <v>457333</v>
      </c>
      <c r="E31" s="24" t="s">
        <v>26</v>
      </c>
      <c r="F31" s="3">
        <v>0</v>
      </c>
      <c r="G31" s="35">
        <v>1</v>
      </c>
      <c r="H31" s="3">
        <v>0</v>
      </c>
      <c r="I31" s="17">
        <v>0</v>
      </c>
      <c r="J31" s="3">
        <f t="shared" si="1"/>
        <v>3</v>
      </c>
      <c r="K31" s="106" t="s">
        <v>668</v>
      </c>
      <c r="L31" t="s">
        <v>660</v>
      </c>
    </row>
    <row r="32" spans="1:12" ht="20.25" customHeight="1" x14ac:dyDescent="0.25">
      <c r="A32" s="22">
        <v>22647</v>
      </c>
      <c r="B32" s="35" t="s">
        <v>27</v>
      </c>
      <c r="C32" s="50" t="s">
        <v>28</v>
      </c>
      <c r="D32" s="50">
        <v>457328</v>
      </c>
      <c r="E32" s="24" t="s">
        <v>29</v>
      </c>
      <c r="F32" s="3">
        <v>0</v>
      </c>
      <c r="G32" s="35">
        <v>1</v>
      </c>
      <c r="H32" s="3">
        <v>0</v>
      </c>
      <c r="I32" s="17">
        <v>0</v>
      </c>
      <c r="J32" s="3">
        <f t="shared" si="1"/>
        <v>3</v>
      </c>
      <c r="K32" t="s">
        <v>608</v>
      </c>
    </row>
    <row r="33" spans="1:12" ht="20.25" customHeight="1" x14ac:dyDescent="0.25">
      <c r="A33" s="13" t="s">
        <v>128</v>
      </c>
      <c r="B33" s="14" t="s">
        <v>160</v>
      </c>
      <c r="C33" s="36" t="s">
        <v>161</v>
      </c>
      <c r="D33" s="13" t="s">
        <v>128</v>
      </c>
      <c r="E33" s="52" t="s">
        <v>162</v>
      </c>
      <c r="F33" s="53">
        <v>2</v>
      </c>
      <c r="G33" s="3">
        <v>0</v>
      </c>
      <c r="H33" s="3">
        <v>0</v>
      </c>
      <c r="I33" s="17">
        <v>0</v>
      </c>
      <c r="J33" s="3">
        <f t="shared" si="1"/>
        <v>6</v>
      </c>
      <c r="K33" t="s">
        <v>609</v>
      </c>
    </row>
    <row r="34" spans="1:12" ht="20.25" customHeight="1" x14ac:dyDescent="0.25">
      <c r="A34" s="4">
        <v>23570</v>
      </c>
      <c r="B34" s="3" t="s">
        <v>89</v>
      </c>
      <c r="C34" s="3" t="s">
        <v>90</v>
      </c>
      <c r="D34" s="3">
        <v>483124</v>
      </c>
      <c r="E34" s="5" t="s">
        <v>91</v>
      </c>
      <c r="F34" s="53">
        <v>0</v>
      </c>
      <c r="G34" s="3">
        <v>0</v>
      </c>
      <c r="H34" s="3">
        <v>1</v>
      </c>
      <c r="I34" s="17">
        <v>0</v>
      </c>
      <c r="J34" s="3">
        <f t="shared" si="1"/>
        <v>1</v>
      </c>
      <c r="K34" t="s">
        <v>583</v>
      </c>
    </row>
    <row r="35" spans="1:12" ht="20.25" customHeight="1" x14ac:dyDescent="0.25">
      <c r="A35" s="15">
        <v>23663</v>
      </c>
      <c r="B35" s="113" t="s">
        <v>758</v>
      </c>
      <c r="C35" s="36" t="s">
        <v>163</v>
      </c>
      <c r="D35" s="37">
        <v>483153</v>
      </c>
      <c r="E35" s="52" t="s">
        <v>164</v>
      </c>
      <c r="F35" s="53">
        <v>1</v>
      </c>
      <c r="G35" s="3">
        <v>0</v>
      </c>
      <c r="H35" s="3">
        <v>0</v>
      </c>
      <c r="I35" s="17">
        <v>0</v>
      </c>
      <c r="J35" s="3">
        <f t="shared" si="1"/>
        <v>3</v>
      </c>
      <c r="K35" s="121" t="s">
        <v>765</v>
      </c>
      <c r="L35" s="108" t="s">
        <v>671</v>
      </c>
    </row>
    <row r="36" spans="1:12" ht="20.25" customHeight="1" x14ac:dyDescent="0.25">
      <c r="A36" s="54" t="s">
        <v>13</v>
      </c>
      <c r="B36" s="55" t="s">
        <v>165</v>
      </c>
      <c r="C36" s="55" t="s">
        <v>13</v>
      </c>
      <c r="D36" s="55" t="s">
        <v>13</v>
      </c>
      <c r="E36" s="56" t="s">
        <v>166</v>
      </c>
      <c r="F36" s="53">
        <v>5</v>
      </c>
      <c r="G36" s="3">
        <v>0</v>
      </c>
      <c r="H36" s="3">
        <v>0</v>
      </c>
      <c r="I36" s="17">
        <v>0</v>
      </c>
      <c r="J36" s="3">
        <f t="shared" si="1"/>
        <v>15</v>
      </c>
      <c r="K36" t="s">
        <v>610</v>
      </c>
    </row>
    <row r="37" spans="1:12" ht="20.25" customHeight="1" x14ac:dyDescent="0.25">
      <c r="A37" s="57">
        <v>14687</v>
      </c>
      <c r="B37" s="55" t="s">
        <v>167</v>
      </c>
      <c r="C37" s="55" t="s">
        <v>168</v>
      </c>
      <c r="D37" s="58">
        <v>467754</v>
      </c>
      <c r="E37" s="56" t="s">
        <v>169</v>
      </c>
      <c r="F37" s="53">
        <v>3</v>
      </c>
      <c r="G37" s="3">
        <v>0</v>
      </c>
      <c r="H37" s="3">
        <v>0</v>
      </c>
      <c r="I37" s="17">
        <v>1</v>
      </c>
      <c r="J37" s="3">
        <f t="shared" si="1"/>
        <v>12</v>
      </c>
      <c r="K37" t="s">
        <v>611</v>
      </c>
    </row>
    <row r="38" spans="1:12" ht="20.25" customHeight="1" x14ac:dyDescent="0.25">
      <c r="A38" s="32">
        <v>23417</v>
      </c>
      <c r="B38" s="33" t="s">
        <v>30</v>
      </c>
      <c r="C38" s="59" t="s">
        <v>31</v>
      </c>
      <c r="D38" s="59">
        <v>468019</v>
      </c>
      <c r="E38" s="34" t="s">
        <v>32</v>
      </c>
      <c r="F38" s="3">
        <v>0</v>
      </c>
      <c r="G38" s="35">
        <v>4</v>
      </c>
      <c r="H38" s="3">
        <v>0</v>
      </c>
      <c r="I38" s="17">
        <v>0</v>
      </c>
      <c r="J38" s="3">
        <f t="shared" si="1"/>
        <v>12</v>
      </c>
      <c r="K38" t="s">
        <v>612</v>
      </c>
    </row>
    <row r="39" spans="1:12" ht="20.25" customHeight="1" x14ac:dyDescent="0.25">
      <c r="A39" s="57">
        <v>13429</v>
      </c>
      <c r="B39" s="55" t="s">
        <v>170</v>
      </c>
      <c r="C39" s="55" t="s">
        <v>171</v>
      </c>
      <c r="D39" s="58">
        <v>467789</v>
      </c>
      <c r="E39" s="31" t="s">
        <v>172</v>
      </c>
      <c r="F39" s="53">
        <v>1</v>
      </c>
      <c r="G39" s="3">
        <v>0</v>
      </c>
      <c r="H39" s="3">
        <v>2</v>
      </c>
      <c r="I39" s="17">
        <v>1</v>
      </c>
      <c r="J39" s="3">
        <f t="shared" si="1"/>
        <v>8</v>
      </c>
      <c r="K39" s="93" t="s">
        <v>588</v>
      </c>
    </row>
    <row r="40" spans="1:12" ht="20.25" customHeight="1" x14ac:dyDescent="0.25">
      <c r="A40" s="60">
        <v>9728</v>
      </c>
      <c r="B40" s="61" t="s">
        <v>173</v>
      </c>
      <c r="C40" s="61" t="s">
        <v>174</v>
      </c>
      <c r="D40" s="53">
        <v>467873</v>
      </c>
      <c r="E40" s="38" t="s">
        <v>175</v>
      </c>
      <c r="F40" s="53">
        <v>1</v>
      </c>
      <c r="G40" s="3">
        <v>0</v>
      </c>
      <c r="H40" s="3">
        <v>1</v>
      </c>
      <c r="I40" s="17">
        <v>0</v>
      </c>
      <c r="J40" s="3">
        <f t="shared" si="1"/>
        <v>4</v>
      </c>
      <c r="K40" s="99" t="s">
        <v>582</v>
      </c>
    </row>
    <row r="41" spans="1:12" ht="20.25" customHeight="1" x14ac:dyDescent="0.25">
      <c r="A41" s="4" t="s">
        <v>13</v>
      </c>
      <c r="B41" s="3" t="s">
        <v>92</v>
      </c>
      <c r="C41" s="3" t="s">
        <v>93</v>
      </c>
      <c r="D41" s="3">
        <v>482258</v>
      </c>
      <c r="E41" s="5" t="s">
        <v>94</v>
      </c>
      <c r="F41" s="53">
        <v>0</v>
      </c>
      <c r="G41" s="3">
        <v>0</v>
      </c>
      <c r="H41" s="3">
        <v>1</v>
      </c>
      <c r="I41" s="17">
        <v>0</v>
      </c>
      <c r="J41" s="3">
        <f t="shared" si="1"/>
        <v>1</v>
      </c>
      <c r="K41" t="s">
        <v>613</v>
      </c>
    </row>
    <row r="42" spans="1:12" ht="20.25" customHeight="1" x14ac:dyDescent="0.25">
      <c r="A42" s="4" t="s">
        <v>13</v>
      </c>
      <c r="B42" s="3" t="s">
        <v>614</v>
      </c>
      <c r="C42" s="3" t="s">
        <v>13</v>
      </c>
      <c r="D42" s="3" t="s">
        <v>13</v>
      </c>
      <c r="E42" s="5" t="s">
        <v>95</v>
      </c>
      <c r="F42" s="53">
        <v>0</v>
      </c>
      <c r="G42" s="3">
        <v>0</v>
      </c>
      <c r="H42" s="3">
        <v>1</v>
      </c>
      <c r="I42" s="17">
        <v>0</v>
      </c>
      <c r="J42" s="3">
        <f t="shared" si="1"/>
        <v>1</v>
      </c>
      <c r="K42" t="s">
        <v>617</v>
      </c>
    </row>
    <row r="43" spans="1:12" ht="20.25" customHeight="1" x14ac:dyDescent="0.25">
      <c r="A43" s="4" t="s">
        <v>13</v>
      </c>
      <c r="B43" s="3" t="s">
        <v>96</v>
      </c>
      <c r="C43" s="3" t="s">
        <v>13</v>
      </c>
      <c r="D43" s="3" t="s">
        <v>13</v>
      </c>
      <c r="E43" s="5" t="s">
        <v>97</v>
      </c>
      <c r="F43" s="53">
        <v>0</v>
      </c>
      <c r="G43" s="3">
        <v>0</v>
      </c>
      <c r="H43" s="3">
        <v>2</v>
      </c>
      <c r="I43" s="17">
        <v>0</v>
      </c>
      <c r="J43" s="3">
        <f t="shared" si="1"/>
        <v>2</v>
      </c>
      <c r="K43" t="s">
        <v>615</v>
      </c>
    </row>
    <row r="44" spans="1:12" ht="20.25" customHeight="1" x14ac:dyDescent="0.25">
      <c r="A44" s="54" t="s">
        <v>13</v>
      </c>
      <c r="B44" s="55" t="s">
        <v>176</v>
      </c>
      <c r="C44" s="55" t="s">
        <v>13</v>
      </c>
      <c r="D44" s="55" t="s">
        <v>13</v>
      </c>
      <c r="E44" s="56" t="s">
        <v>177</v>
      </c>
      <c r="F44" s="53">
        <v>2</v>
      </c>
      <c r="G44" s="3">
        <v>0</v>
      </c>
      <c r="H44" s="3">
        <v>0</v>
      </c>
      <c r="I44" s="17">
        <v>2</v>
      </c>
      <c r="J44" s="3">
        <f t="shared" si="1"/>
        <v>12</v>
      </c>
      <c r="K44" t="s">
        <v>616</v>
      </c>
    </row>
    <row r="45" spans="1:12" ht="20.25" customHeight="1" x14ac:dyDescent="0.25">
      <c r="A45" s="54" t="s">
        <v>13</v>
      </c>
      <c r="B45" s="55" t="s">
        <v>178</v>
      </c>
      <c r="C45" s="19"/>
      <c r="D45" s="19"/>
      <c r="E45" s="56" t="s">
        <v>179</v>
      </c>
      <c r="F45" s="53">
        <v>2</v>
      </c>
      <c r="G45" s="3">
        <v>0</v>
      </c>
      <c r="H45" s="3">
        <v>2</v>
      </c>
      <c r="I45" s="17">
        <v>2</v>
      </c>
      <c r="J45" s="3">
        <f t="shared" si="1"/>
        <v>14</v>
      </c>
      <c r="K45" t="s">
        <v>620</v>
      </c>
    </row>
    <row r="46" spans="1:12" ht="20.25" customHeight="1" x14ac:dyDescent="0.25">
      <c r="A46" s="54" t="s">
        <v>13</v>
      </c>
      <c r="B46" s="55" t="s">
        <v>180</v>
      </c>
      <c r="C46" s="19"/>
      <c r="D46" s="19"/>
      <c r="E46" s="56" t="s">
        <v>181</v>
      </c>
      <c r="F46" s="53">
        <v>1</v>
      </c>
      <c r="G46" s="3">
        <v>0</v>
      </c>
      <c r="H46" s="3">
        <v>0</v>
      </c>
      <c r="I46" s="17">
        <v>1</v>
      </c>
      <c r="J46" s="3">
        <f t="shared" si="1"/>
        <v>6</v>
      </c>
      <c r="K46" t="s">
        <v>618</v>
      </c>
    </row>
    <row r="47" spans="1:12" ht="20.25" customHeight="1" x14ac:dyDescent="0.25">
      <c r="A47" s="54" t="s">
        <v>13</v>
      </c>
      <c r="B47" s="55" t="s">
        <v>182</v>
      </c>
      <c r="C47" s="55" t="s">
        <v>183</v>
      </c>
      <c r="D47" s="58">
        <v>482254</v>
      </c>
      <c r="E47" s="31" t="s">
        <v>184</v>
      </c>
      <c r="F47" s="53">
        <v>2</v>
      </c>
      <c r="G47" s="3">
        <v>0</v>
      </c>
      <c r="H47" s="3">
        <v>0</v>
      </c>
      <c r="I47" s="17">
        <v>0</v>
      </c>
      <c r="J47" s="3">
        <f t="shared" si="1"/>
        <v>6</v>
      </c>
      <c r="K47" t="s">
        <v>601</v>
      </c>
    </row>
    <row r="48" spans="1:12" ht="20.25" customHeight="1" x14ac:dyDescent="0.25">
      <c r="A48" s="57">
        <v>23412</v>
      </c>
      <c r="B48" s="55" t="s">
        <v>185</v>
      </c>
      <c r="C48" s="55" t="s">
        <v>186</v>
      </c>
      <c r="D48" s="58">
        <v>482255</v>
      </c>
      <c r="E48" s="31" t="s">
        <v>187</v>
      </c>
      <c r="F48" s="53">
        <v>2</v>
      </c>
      <c r="G48" s="3">
        <v>0</v>
      </c>
      <c r="H48" s="3">
        <v>0</v>
      </c>
      <c r="I48" s="17">
        <v>0</v>
      </c>
      <c r="J48" s="3">
        <f t="shared" si="1"/>
        <v>6</v>
      </c>
      <c r="K48" t="s">
        <v>619</v>
      </c>
    </row>
    <row r="49" spans="1:11" ht="20.25" customHeight="1" x14ac:dyDescent="0.25">
      <c r="A49" s="4" t="s">
        <v>13</v>
      </c>
      <c r="B49" s="3" t="s">
        <v>98</v>
      </c>
      <c r="C49" s="3" t="s">
        <v>99</v>
      </c>
      <c r="D49" s="3">
        <v>482995</v>
      </c>
      <c r="E49" s="5" t="s">
        <v>100</v>
      </c>
      <c r="F49" s="53">
        <v>0</v>
      </c>
      <c r="G49" s="3">
        <v>0</v>
      </c>
      <c r="H49" s="3">
        <v>1</v>
      </c>
      <c r="I49" s="17">
        <v>0</v>
      </c>
      <c r="J49" s="3">
        <f t="shared" si="1"/>
        <v>1</v>
      </c>
      <c r="K49" t="s">
        <v>621</v>
      </c>
    </row>
    <row r="50" spans="1:11" ht="20.25" customHeight="1" x14ac:dyDescent="0.25">
      <c r="A50" s="32">
        <v>23669</v>
      </c>
      <c r="B50" s="62" t="s">
        <v>33</v>
      </c>
      <c r="C50" s="32" t="s">
        <v>34</v>
      </c>
      <c r="D50" s="32">
        <v>470575</v>
      </c>
      <c r="E50" s="34" t="s">
        <v>35</v>
      </c>
      <c r="F50" s="3">
        <v>0</v>
      </c>
      <c r="G50" s="35">
        <v>1</v>
      </c>
      <c r="H50" s="3">
        <v>0</v>
      </c>
      <c r="I50" s="17">
        <v>0</v>
      </c>
      <c r="J50" s="3">
        <f t="shared" si="1"/>
        <v>3</v>
      </c>
      <c r="K50" t="s">
        <v>623</v>
      </c>
    </row>
    <row r="51" spans="1:11" ht="20.25" customHeight="1" x14ac:dyDescent="0.25">
      <c r="A51" s="32">
        <v>23670</v>
      </c>
      <c r="B51" s="62" t="s">
        <v>36</v>
      </c>
      <c r="C51" s="32" t="s">
        <v>37</v>
      </c>
      <c r="D51" s="32">
        <v>470615</v>
      </c>
      <c r="E51" s="34" t="s">
        <v>38</v>
      </c>
      <c r="F51" s="3">
        <v>0</v>
      </c>
      <c r="G51" s="35">
        <v>1</v>
      </c>
      <c r="H51" s="3">
        <v>0</v>
      </c>
      <c r="I51" s="17">
        <v>0</v>
      </c>
      <c r="J51" s="3">
        <f t="shared" si="1"/>
        <v>3</v>
      </c>
      <c r="K51" t="s">
        <v>622</v>
      </c>
    </row>
    <row r="52" spans="1:11" ht="20.25" customHeight="1" x14ac:dyDescent="0.25">
      <c r="A52" s="15">
        <v>23551</v>
      </c>
      <c r="B52" s="14" t="s">
        <v>188</v>
      </c>
      <c r="C52" s="36" t="s">
        <v>189</v>
      </c>
      <c r="D52" s="37">
        <v>470579</v>
      </c>
      <c r="E52" s="38" t="s">
        <v>190</v>
      </c>
      <c r="F52" s="16">
        <v>1</v>
      </c>
      <c r="G52" s="3">
        <v>0</v>
      </c>
      <c r="H52" s="3">
        <v>0</v>
      </c>
      <c r="I52" s="17">
        <v>0</v>
      </c>
      <c r="J52" s="3">
        <f t="shared" si="1"/>
        <v>3</v>
      </c>
      <c r="K52" t="s">
        <v>624</v>
      </c>
    </row>
    <row r="53" spans="1:11" ht="20.25" customHeight="1" x14ac:dyDescent="0.25">
      <c r="A53" s="4">
        <v>271</v>
      </c>
      <c r="B53" s="3" t="s">
        <v>101</v>
      </c>
      <c r="C53" s="3" t="s">
        <v>102</v>
      </c>
      <c r="D53" s="3">
        <v>467745</v>
      </c>
      <c r="E53" s="5" t="s">
        <v>103</v>
      </c>
      <c r="F53" s="16">
        <v>0</v>
      </c>
      <c r="G53" s="3">
        <v>0</v>
      </c>
      <c r="H53" s="3">
        <v>4</v>
      </c>
      <c r="I53" s="17">
        <v>0</v>
      </c>
      <c r="J53" s="3">
        <f t="shared" si="1"/>
        <v>4</v>
      </c>
      <c r="K53" t="s">
        <v>625</v>
      </c>
    </row>
    <row r="54" spans="1:11" ht="20.25" customHeight="1" x14ac:dyDescent="0.25">
      <c r="A54" s="4">
        <v>23424</v>
      </c>
      <c r="B54" s="3" t="s">
        <v>104</v>
      </c>
      <c r="C54" s="3" t="s">
        <v>105</v>
      </c>
      <c r="D54" s="3">
        <v>467746</v>
      </c>
      <c r="E54" s="5" t="s">
        <v>106</v>
      </c>
      <c r="F54" s="16">
        <v>0</v>
      </c>
      <c r="G54" s="3">
        <v>0</v>
      </c>
      <c r="H54" s="3">
        <v>4</v>
      </c>
      <c r="I54" s="17">
        <v>0</v>
      </c>
      <c r="J54" s="3">
        <f t="shared" si="1"/>
        <v>4</v>
      </c>
      <c r="K54" t="s">
        <v>626</v>
      </c>
    </row>
    <row r="55" spans="1:11" ht="20.25" customHeight="1" x14ac:dyDescent="0.25">
      <c r="A55" s="60">
        <v>14166</v>
      </c>
      <c r="B55" s="61" t="s">
        <v>85</v>
      </c>
      <c r="C55" s="61" t="s">
        <v>191</v>
      </c>
      <c r="D55" s="53">
        <v>467992</v>
      </c>
      <c r="E55" s="63" t="s">
        <v>192</v>
      </c>
      <c r="F55" s="53">
        <v>2</v>
      </c>
      <c r="G55" s="3">
        <v>0</v>
      </c>
      <c r="H55" s="3">
        <v>2</v>
      </c>
      <c r="I55" s="17">
        <v>1</v>
      </c>
      <c r="J55" s="3">
        <f t="shared" si="1"/>
        <v>11</v>
      </c>
      <c r="K55" t="s">
        <v>627</v>
      </c>
    </row>
    <row r="56" spans="1:11" ht="20.25" customHeight="1" x14ac:dyDescent="0.25">
      <c r="A56" s="57">
        <v>14686</v>
      </c>
      <c r="B56" s="55" t="s">
        <v>193</v>
      </c>
      <c r="C56" s="55" t="s">
        <v>194</v>
      </c>
      <c r="D56" s="58">
        <v>468031</v>
      </c>
      <c r="E56" s="31" t="s">
        <v>195</v>
      </c>
      <c r="F56" s="53">
        <v>4</v>
      </c>
      <c r="G56" s="3">
        <v>0</v>
      </c>
      <c r="H56" s="3">
        <v>4</v>
      </c>
      <c r="I56" s="17">
        <v>4</v>
      </c>
      <c r="J56" s="3">
        <f t="shared" si="1"/>
        <v>28</v>
      </c>
      <c r="K56" t="s">
        <v>628</v>
      </c>
    </row>
    <row r="57" spans="1:11" ht="20.25" customHeight="1" x14ac:dyDescent="0.25">
      <c r="A57" s="57">
        <v>23668</v>
      </c>
      <c r="B57" s="55" t="s">
        <v>196</v>
      </c>
      <c r="C57" s="55" t="s">
        <v>197</v>
      </c>
      <c r="D57" s="58">
        <v>467748</v>
      </c>
      <c r="E57" s="31" t="s">
        <v>198</v>
      </c>
      <c r="F57" s="53">
        <v>4</v>
      </c>
      <c r="G57" s="3">
        <v>0</v>
      </c>
      <c r="H57" s="3">
        <v>4</v>
      </c>
      <c r="I57" s="17">
        <v>4</v>
      </c>
      <c r="J57" s="3">
        <f t="shared" si="1"/>
        <v>28</v>
      </c>
      <c r="K57" t="s">
        <v>629</v>
      </c>
    </row>
    <row r="58" spans="1:11" ht="20.25" customHeight="1" x14ac:dyDescent="0.25">
      <c r="A58" s="57">
        <v>23443</v>
      </c>
      <c r="B58" s="55" t="s">
        <v>199</v>
      </c>
      <c r="C58" s="55" t="s">
        <v>200</v>
      </c>
      <c r="D58" s="58">
        <v>467718</v>
      </c>
      <c r="E58" s="56" t="s">
        <v>201</v>
      </c>
      <c r="F58" s="53">
        <v>1</v>
      </c>
      <c r="G58" s="3">
        <v>0</v>
      </c>
      <c r="H58" s="3">
        <v>0</v>
      </c>
      <c r="I58" s="17">
        <v>1</v>
      </c>
      <c r="J58" s="3">
        <f t="shared" si="1"/>
        <v>6</v>
      </c>
      <c r="K58" t="s">
        <v>630</v>
      </c>
    </row>
    <row r="59" spans="1:11" ht="20.25" customHeight="1" x14ac:dyDescent="0.25">
      <c r="A59" s="57">
        <v>9734</v>
      </c>
      <c r="B59" s="55" t="s">
        <v>202</v>
      </c>
      <c r="C59" s="55" t="s">
        <v>203</v>
      </c>
      <c r="D59" s="58">
        <v>467839</v>
      </c>
      <c r="E59" s="56" t="s">
        <v>204</v>
      </c>
      <c r="F59" s="53">
        <v>25</v>
      </c>
      <c r="G59" s="3">
        <v>0</v>
      </c>
      <c r="H59" s="3">
        <v>6</v>
      </c>
      <c r="I59" s="17">
        <v>25</v>
      </c>
      <c r="J59" s="3">
        <f t="shared" si="1"/>
        <v>156</v>
      </c>
      <c r="K59" s="93" t="s">
        <v>579</v>
      </c>
    </row>
    <row r="60" spans="1:11" ht="20.25" customHeight="1" x14ac:dyDescent="0.25">
      <c r="A60" s="4">
        <v>9732</v>
      </c>
      <c r="B60" s="3" t="s">
        <v>107</v>
      </c>
      <c r="C60" s="3" t="s">
        <v>108</v>
      </c>
      <c r="D60" s="3">
        <v>467834</v>
      </c>
      <c r="E60" s="5" t="s">
        <v>109</v>
      </c>
      <c r="F60" s="5">
        <v>0</v>
      </c>
      <c r="G60" s="3">
        <v>0</v>
      </c>
      <c r="H60" s="3">
        <v>7</v>
      </c>
      <c r="I60" s="17">
        <v>0</v>
      </c>
      <c r="J60" s="3">
        <f t="shared" si="1"/>
        <v>7</v>
      </c>
      <c r="K60" s="93" t="s">
        <v>578</v>
      </c>
    </row>
    <row r="61" spans="1:11" ht="20.25" customHeight="1" x14ac:dyDescent="0.25">
      <c r="A61" s="4">
        <v>23453</v>
      </c>
      <c r="B61" s="3" t="s">
        <v>115</v>
      </c>
      <c r="C61" s="3" t="s">
        <v>114</v>
      </c>
      <c r="D61" s="3">
        <v>467808</v>
      </c>
      <c r="E61" s="5" t="s">
        <v>113</v>
      </c>
      <c r="F61" s="5">
        <v>0</v>
      </c>
      <c r="G61" s="3">
        <v>0</v>
      </c>
      <c r="H61" s="3">
        <v>4</v>
      </c>
      <c r="I61" s="17">
        <v>0</v>
      </c>
      <c r="J61" s="3">
        <f t="shared" si="1"/>
        <v>4</v>
      </c>
      <c r="K61" t="s">
        <v>633</v>
      </c>
    </row>
    <row r="62" spans="1:11" ht="20.25" customHeight="1" x14ac:dyDescent="0.25">
      <c r="A62" s="4">
        <v>23451</v>
      </c>
      <c r="B62" s="3" t="s">
        <v>112</v>
      </c>
      <c r="C62" s="3" t="s">
        <v>111</v>
      </c>
      <c r="D62" s="3">
        <v>467801</v>
      </c>
      <c r="E62" s="5" t="s">
        <v>110</v>
      </c>
      <c r="F62" s="5">
        <v>0</v>
      </c>
      <c r="G62" s="3">
        <v>0</v>
      </c>
      <c r="H62" s="3">
        <v>4</v>
      </c>
      <c r="I62" s="17">
        <v>0</v>
      </c>
      <c r="J62" s="3">
        <f t="shared" si="1"/>
        <v>4</v>
      </c>
      <c r="K62" t="s">
        <v>634</v>
      </c>
    </row>
    <row r="63" spans="1:11" ht="20.25" customHeight="1" x14ac:dyDescent="0.25">
      <c r="A63" s="57">
        <v>23489</v>
      </c>
      <c r="B63" s="55" t="s">
        <v>205</v>
      </c>
      <c r="C63" s="55" t="s">
        <v>206</v>
      </c>
      <c r="D63" s="58">
        <v>467776</v>
      </c>
      <c r="E63" s="31" t="s">
        <v>207</v>
      </c>
      <c r="F63" s="53">
        <v>1</v>
      </c>
      <c r="G63" s="3">
        <v>0</v>
      </c>
      <c r="H63" s="3">
        <v>1</v>
      </c>
      <c r="I63" s="17">
        <v>1</v>
      </c>
      <c r="J63" s="3">
        <f t="shared" si="1"/>
        <v>7</v>
      </c>
      <c r="K63" t="s">
        <v>631</v>
      </c>
    </row>
    <row r="64" spans="1:11" ht="20.25" customHeight="1" x14ac:dyDescent="0.25">
      <c r="A64" s="57">
        <v>23488</v>
      </c>
      <c r="B64" s="55" t="s">
        <v>208</v>
      </c>
      <c r="C64" s="55" t="s">
        <v>209</v>
      </c>
      <c r="D64" s="58">
        <v>467784</v>
      </c>
      <c r="E64" s="56" t="s">
        <v>210</v>
      </c>
      <c r="F64" s="53">
        <v>2</v>
      </c>
      <c r="G64" s="3">
        <v>0</v>
      </c>
      <c r="H64" s="3">
        <v>2</v>
      </c>
      <c r="I64" s="17">
        <v>2</v>
      </c>
      <c r="J64" s="3">
        <f t="shared" si="1"/>
        <v>14</v>
      </c>
      <c r="K64" t="s">
        <v>632</v>
      </c>
    </row>
    <row r="65" spans="1:12" ht="20.25" customHeight="1" x14ac:dyDescent="0.25">
      <c r="A65" s="57">
        <v>23447</v>
      </c>
      <c r="B65" s="55" t="s">
        <v>211</v>
      </c>
      <c r="C65" s="55" t="s">
        <v>212</v>
      </c>
      <c r="D65" s="58">
        <v>467857</v>
      </c>
      <c r="E65" s="31" t="s">
        <v>213</v>
      </c>
      <c r="F65" s="53">
        <v>6</v>
      </c>
      <c r="G65" s="3">
        <v>0</v>
      </c>
      <c r="H65" s="3">
        <v>6</v>
      </c>
      <c r="I65" s="17">
        <v>10</v>
      </c>
      <c r="J65" s="3">
        <f t="shared" si="1"/>
        <v>54</v>
      </c>
      <c r="K65" s="93" t="s">
        <v>586</v>
      </c>
    </row>
    <row r="66" spans="1:12" ht="20.25" customHeight="1" x14ac:dyDescent="0.25">
      <c r="A66" s="57">
        <v>13591</v>
      </c>
      <c r="B66" s="55" t="s">
        <v>214</v>
      </c>
      <c r="C66" s="55" t="s">
        <v>215</v>
      </c>
      <c r="D66" s="58">
        <v>467836</v>
      </c>
      <c r="E66" s="56" t="s">
        <v>216</v>
      </c>
      <c r="F66" s="53">
        <v>3</v>
      </c>
      <c r="G66" s="3">
        <v>0</v>
      </c>
      <c r="H66" s="3">
        <v>4</v>
      </c>
      <c r="I66" s="17">
        <v>2</v>
      </c>
      <c r="J66" s="3">
        <f t="shared" si="1"/>
        <v>19</v>
      </c>
      <c r="K66" t="s">
        <v>635</v>
      </c>
    </row>
    <row r="67" spans="1:12" ht="20.25" customHeight="1" x14ac:dyDescent="0.25">
      <c r="A67" s="4" t="s">
        <v>13</v>
      </c>
      <c r="B67" s="3" t="s">
        <v>116</v>
      </c>
      <c r="C67" s="3" t="s">
        <v>117</v>
      </c>
      <c r="D67" s="3">
        <v>468088</v>
      </c>
      <c r="E67" s="5" t="s">
        <v>118</v>
      </c>
      <c r="F67" s="53">
        <v>0</v>
      </c>
      <c r="G67" s="3">
        <v>0</v>
      </c>
      <c r="H67" s="3">
        <v>2</v>
      </c>
      <c r="I67" s="17">
        <v>0</v>
      </c>
      <c r="J67" s="3">
        <f t="shared" si="1"/>
        <v>2</v>
      </c>
      <c r="K67" t="s">
        <v>636</v>
      </c>
    </row>
    <row r="68" spans="1:12" ht="20.25" customHeight="1" x14ac:dyDescent="0.25">
      <c r="A68" s="57">
        <v>14127</v>
      </c>
      <c r="B68" s="55" t="s">
        <v>217</v>
      </c>
      <c r="C68" s="55" t="s">
        <v>218</v>
      </c>
      <c r="D68" s="58">
        <v>467765</v>
      </c>
      <c r="E68" s="31" t="s">
        <v>219</v>
      </c>
      <c r="F68" s="53">
        <v>4</v>
      </c>
      <c r="G68" s="3">
        <v>0</v>
      </c>
      <c r="H68" s="3">
        <v>0</v>
      </c>
      <c r="I68" s="17">
        <v>4</v>
      </c>
      <c r="J68" s="3">
        <f t="shared" si="1"/>
        <v>24</v>
      </c>
      <c r="K68" t="s">
        <v>637</v>
      </c>
    </row>
    <row r="69" spans="1:12" ht="20.25" customHeight="1" x14ac:dyDescent="0.25">
      <c r="A69" s="57">
        <v>14143</v>
      </c>
      <c r="B69" s="55" t="s">
        <v>220</v>
      </c>
      <c r="C69" s="55" t="s">
        <v>221</v>
      </c>
      <c r="D69" s="58">
        <v>467820</v>
      </c>
      <c r="E69" s="31" t="s">
        <v>222</v>
      </c>
      <c r="F69" s="53">
        <v>2</v>
      </c>
      <c r="G69" s="3">
        <v>0</v>
      </c>
      <c r="H69" s="3">
        <v>0</v>
      </c>
      <c r="I69" s="17">
        <v>2</v>
      </c>
      <c r="J69" s="3">
        <f t="shared" si="1"/>
        <v>12</v>
      </c>
      <c r="K69" t="s">
        <v>638</v>
      </c>
    </row>
    <row r="70" spans="1:12" ht="20.25" customHeight="1" x14ac:dyDescent="0.25">
      <c r="A70" s="57">
        <v>840</v>
      </c>
      <c r="B70" s="55" t="s">
        <v>223</v>
      </c>
      <c r="C70" s="55" t="s">
        <v>224</v>
      </c>
      <c r="D70" s="58">
        <v>468063</v>
      </c>
      <c r="E70" s="31" t="s">
        <v>225</v>
      </c>
      <c r="F70" s="53">
        <v>1</v>
      </c>
      <c r="G70" s="3">
        <v>0</v>
      </c>
      <c r="H70" s="3">
        <v>0</v>
      </c>
      <c r="I70" s="17">
        <v>0</v>
      </c>
      <c r="J70" s="3">
        <f t="shared" si="1"/>
        <v>3</v>
      </c>
      <c r="K70" t="s">
        <v>639</v>
      </c>
    </row>
    <row r="71" spans="1:12" ht="20.25" customHeight="1" x14ac:dyDescent="0.25">
      <c r="A71" s="54" t="s">
        <v>13</v>
      </c>
      <c r="B71" s="55" t="s">
        <v>226</v>
      </c>
      <c r="C71" s="55" t="s">
        <v>227</v>
      </c>
      <c r="D71" s="58">
        <v>468268</v>
      </c>
      <c r="E71" s="56" t="s">
        <v>228</v>
      </c>
      <c r="F71" s="53">
        <v>1</v>
      </c>
      <c r="G71" s="3">
        <v>0</v>
      </c>
      <c r="H71" s="3">
        <v>0</v>
      </c>
      <c r="I71" s="17">
        <v>0</v>
      </c>
      <c r="J71" s="3">
        <f t="shared" si="1"/>
        <v>3</v>
      </c>
      <c r="K71" s="106" t="s">
        <v>663</v>
      </c>
      <c r="L71" t="s">
        <v>660</v>
      </c>
    </row>
    <row r="72" spans="1:12" ht="20.25" customHeight="1" x14ac:dyDescent="0.25">
      <c r="A72" s="54" t="s">
        <v>13</v>
      </c>
      <c r="B72" s="55" t="s">
        <v>229</v>
      </c>
      <c r="C72" s="55" t="s">
        <v>230</v>
      </c>
      <c r="D72" s="58">
        <v>467978</v>
      </c>
      <c r="E72" s="56" t="s">
        <v>231</v>
      </c>
      <c r="F72" s="53">
        <v>2</v>
      </c>
      <c r="G72" s="3">
        <v>0</v>
      </c>
      <c r="H72" s="3">
        <v>0</v>
      </c>
      <c r="I72" s="17">
        <v>1</v>
      </c>
      <c r="J72" s="3">
        <f t="shared" si="1"/>
        <v>9</v>
      </c>
      <c r="K72" t="s">
        <v>640</v>
      </c>
    </row>
    <row r="73" spans="1:12" ht="20.25" customHeight="1" x14ac:dyDescent="0.25">
      <c r="A73" s="54" t="s">
        <v>13</v>
      </c>
      <c r="B73" s="55" t="s">
        <v>232</v>
      </c>
      <c r="C73" s="55" t="s">
        <v>233</v>
      </c>
      <c r="D73" s="58">
        <v>467982</v>
      </c>
      <c r="E73" s="56" t="s">
        <v>234</v>
      </c>
      <c r="F73" s="53">
        <v>2</v>
      </c>
      <c r="G73" s="3">
        <v>0</v>
      </c>
      <c r="H73" s="3">
        <v>0</v>
      </c>
      <c r="I73" s="17">
        <v>0</v>
      </c>
      <c r="J73" s="3">
        <f t="shared" si="1"/>
        <v>6</v>
      </c>
      <c r="K73" s="106" t="s">
        <v>662</v>
      </c>
      <c r="L73" t="s">
        <v>660</v>
      </c>
    </row>
    <row r="74" spans="1:12" ht="20.25" customHeight="1" x14ac:dyDescent="0.25">
      <c r="A74" s="57">
        <v>14580</v>
      </c>
      <c r="B74" s="55" t="s">
        <v>235</v>
      </c>
      <c r="C74" s="55" t="s">
        <v>236</v>
      </c>
      <c r="D74" s="58">
        <v>467938</v>
      </c>
      <c r="E74" s="31" t="s">
        <v>237</v>
      </c>
      <c r="F74" s="53">
        <v>1</v>
      </c>
      <c r="G74" s="3">
        <v>0</v>
      </c>
      <c r="H74" s="3">
        <v>0</v>
      </c>
      <c r="I74" s="17">
        <v>0</v>
      </c>
      <c r="J74" s="3">
        <f t="shared" si="1"/>
        <v>3</v>
      </c>
      <c r="K74" t="s">
        <v>641</v>
      </c>
    </row>
    <row r="75" spans="1:12" ht="19.5" customHeight="1" x14ac:dyDescent="0.25">
      <c r="A75" s="32">
        <v>23684</v>
      </c>
      <c r="B75" s="64" t="s">
        <v>42</v>
      </c>
      <c r="C75" s="32" t="s">
        <v>43</v>
      </c>
      <c r="D75" s="32">
        <v>471070</v>
      </c>
      <c r="E75" s="65" t="s">
        <v>44</v>
      </c>
      <c r="F75" s="3">
        <v>0</v>
      </c>
      <c r="G75" s="35">
        <v>1</v>
      </c>
      <c r="H75" s="3">
        <v>1</v>
      </c>
      <c r="I75" s="17">
        <v>0</v>
      </c>
      <c r="J75" s="3">
        <f t="shared" si="1"/>
        <v>4</v>
      </c>
      <c r="K75" t="s">
        <v>642</v>
      </c>
    </row>
    <row r="76" spans="1:12" ht="20.25" customHeight="1" x14ac:dyDescent="0.25">
      <c r="A76" s="60">
        <v>857</v>
      </c>
      <c r="B76" s="61" t="s">
        <v>238</v>
      </c>
      <c r="C76" s="61" t="s">
        <v>239</v>
      </c>
      <c r="D76" s="53">
        <v>471175</v>
      </c>
      <c r="E76" s="38" t="s">
        <v>240</v>
      </c>
      <c r="F76" s="53">
        <v>1</v>
      </c>
      <c r="G76" s="3">
        <v>0</v>
      </c>
      <c r="H76" s="3">
        <v>0</v>
      </c>
      <c r="I76" s="17">
        <v>1</v>
      </c>
      <c r="J76" s="3">
        <f t="shared" si="1"/>
        <v>6</v>
      </c>
      <c r="K76" t="s">
        <v>643</v>
      </c>
    </row>
    <row r="77" spans="1:12" ht="20.25" customHeight="1" x14ac:dyDescent="0.25">
      <c r="A77" s="57">
        <v>13474</v>
      </c>
      <c r="B77" s="55" t="s">
        <v>241</v>
      </c>
      <c r="C77" s="55" t="s">
        <v>242</v>
      </c>
      <c r="D77" s="58">
        <v>471166</v>
      </c>
      <c r="E77" s="31" t="s">
        <v>243</v>
      </c>
      <c r="F77" s="53">
        <v>3</v>
      </c>
      <c r="G77" s="3">
        <v>0</v>
      </c>
      <c r="H77" s="3">
        <v>3</v>
      </c>
      <c r="I77" s="17">
        <v>0</v>
      </c>
      <c r="J77" s="3">
        <f t="shared" si="1"/>
        <v>12</v>
      </c>
      <c r="K77" t="s">
        <v>644</v>
      </c>
    </row>
    <row r="78" spans="1:12" ht="20.25" customHeight="1" x14ac:dyDescent="0.25">
      <c r="A78" s="57">
        <v>13476</v>
      </c>
      <c r="B78" s="55" t="s">
        <v>244</v>
      </c>
      <c r="C78" s="55" t="s">
        <v>245</v>
      </c>
      <c r="D78" s="58">
        <v>471155</v>
      </c>
      <c r="E78" s="31" t="s">
        <v>246</v>
      </c>
      <c r="F78" s="53">
        <v>3</v>
      </c>
      <c r="G78" s="3">
        <v>0</v>
      </c>
      <c r="H78" s="3">
        <v>2</v>
      </c>
      <c r="I78" s="17">
        <v>4</v>
      </c>
      <c r="J78" s="3">
        <f t="shared" si="1"/>
        <v>23</v>
      </c>
      <c r="K78" t="s">
        <v>645</v>
      </c>
    </row>
    <row r="79" spans="1:12" ht="20.25" customHeight="1" x14ac:dyDescent="0.25">
      <c r="A79" s="57">
        <v>23440</v>
      </c>
      <c r="B79" s="55" t="s">
        <v>247</v>
      </c>
      <c r="C79" s="55" t="s">
        <v>248</v>
      </c>
      <c r="D79" s="58">
        <v>471158</v>
      </c>
      <c r="E79" s="31" t="s">
        <v>249</v>
      </c>
      <c r="F79" s="53">
        <v>3</v>
      </c>
      <c r="G79" s="3">
        <v>0</v>
      </c>
      <c r="H79" s="3">
        <v>0</v>
      </c>
      <c r="I79" s="17">
        <v>3</v>
      </c>
      <c r="J79" s="3">
        <f t="shared" si="1"/>
        <v>18</v>
      </c>
      <c r="K79" t="s">
        <v>646</v>
      </c>
    </row>
    <row r="80" spans="1:12" ht="20.25" customHeight="1" x14ac:dyDescent="0.25">
      <c r="A80" s="32" t="s">
        <v>13</v>
      </c>
      <c r="B80" s="33" t="s">
        <v>45</v>
      </c>
      <c r="C80" s="32" t="s">
        <v>46</v>
      </c>
      <c r="D80" s="32">
        <v>471206</v>
      </c>
      <c r="E80" s="34" t="s">
        <v>47</v>
      </c>
      <c r="F80" s="3">
        <v>0</v>
      </c>
      <c r="G80" s="35">
        <v>1</v>
      </c>
      <c r="H80" s="3">
        <v>0</v>
      </c>
      <c r="I80" s="17">
        <v>0</v>
      </c>
      <c r="J80" s="3">
        <f t="shared" si="1"/>
        <v>3</v>
      </c>
      <c r="K80" t="s">
        <v>647</v>
      </c>
    </row>
    <row r="81" spans="1:13" ht="20.25" customHeight="1" x14ac:dyDescent="0.25">
      <c r="A81" s="22">
        <v>22649</v>
      </c>
      <c r="B81" s="35" t="s">
        <v>48</v>
      </c>
      <c r="C81" s="22" t="s">
        <v>49</v>
      </c>
      <c r="D81" s="22">
        <v>471581</v>
      </c>
      <c r="E81" s="24" t="s">
        <v>50</v>
      </c>
      <c r="F81" s="3">
        <v>0</v>
      </c>
      <c r="G81" s="35">
        <v>1</v>
      </c>
      <c r="H81" s="3">
        <v>0</v>
      </c>
      <c r="I81" s="17">
        <v>0</v>
      </c>
      <c r="J81" s="3">
        <f t="shared" si="1"/>
        <v>3</v>
      </c>
      <c r="K81" s="106" t="s">
        <v>661</v>
      </c>
      <c r="L81" t="s">
        <v>660</v>
      </c>
      <c r="M81" s="117" t="s">
        <v>759</v>
      </c>
    </row>
    <row r="82" spans="1:13" ht="20.25" customHeight="1" x14ac:dyDescent="0.25">
      <c r="A82" s="60">
        <v>23567</v>
      </c>
      <c r="B82" s="61" t="s">
        <v>250</v>
      </c>
      <c r="C82" s="61" t="s">
        <v>251</v>
      </c>
      <c r="D82" s="53">
        <v>471471</v>
      </c>
      <c r="E82" s="38" t="s">
        <v>252</v>
      </c>
      <c r="F82" s="53">
        <v>1</v>
      </c>
      <c r="G82" s="3">
        <v>0</v>
      </c>
      <c r="H82" s="3">
        <v>1</v>
      </c>
      <c r="I82" s="17">
        <v>1</v>
      </c>
      <c r="J82" s="3">
        <f t="shared" ref="J82:J94" si="2">($F$2*F82)+($G$2*G82)+($H$2*H82)+($I$2*I82)</f>
        <v>7</v>
      </c>
      <c r="K82" t="s">
        <v>648</v>
      </c>
    </row>
    <row r="83" spans="1:13" ht="20.25" customHeight="1" x14ac:dyDescent="0.25">
      <c r="A83" s="32">
        <v>23661</v>
      </c>
      <c r="B83" s="33" t="s">
        <v>51</v>
      </c>
      <c r="C83" s="32" t="s">
        <v>52</v>
      </c>
      <c r="D83" s="32">
        <v>471674</v>
      </c>
      <c r="E83" s="34" t="s">
        <v>53</v>
      </c>
      <c r="F83" s="3">
        <v>0</v>
      </c>
      <c r="G83" s="35">
        <v>1</v>
      </c>
      <c r="H83" s="3">
        <v>0</v>
      </c>
      <c r="I83" s="17">
        <v>0</v>
      </c>
      <c r="J83" s="3">
        <f t="shared" si="2"/>
        <v>3</v>
      </c>
      <c r="K83" t="s">
        <v>649</v>
      </c>
    </row>
    <row r="84" spans="1:13" ht="20.25" customHeight="1" x14ac:dyDescent="0.25">
      <c r="A84" s="4">
        <v>23769</v>
      </c>
      <c r="B84" s="3" t="s">
        <v>119</v>
      </c>
      <c r="C84" s="3" t="s">
        <v>120</v>
      </c>
      <c r="D84" s="3">
        <v>471573</v>
      </c>
      <c r="E84" s="5" t="s">
        <v>121</v>
      </c>
      <c r="F84" s="3">
        <v>0</v>
      </c>
      <c r="G84" s="35">
        <v>0</v>
      </c>
      <c r="H84" s="3">
        <v>1</v>
      </c>
      <c r="I84" s="17">
        <v>0</v>
      </c>
      <c r="J84" s="3">
        <f t="shared" si="2"/>
        <v>1</v>
      </c>
      <c r="K84" t="s">
        <v>650</v>
      </c>
    </row>
    <row r="85" spans="1:13" ht="20.25" customHeight="1" x14ac:dyDescent="0.25">
      <c r="A85" s="60">
        <v>14646</v>
      </c>
      <c r="B85" s="61" t="s">
        <v>253</v>
      </c>
      <c r="C85" s="61" t="s">
        <v>254</v>
      </c>
      <c r="D85" s="53">
        <v>471589</v>
      </c>
      <c r="E85" s="38" t="s">
        <v>255</v>
      </c>
      <c r="F85" s="53">
        <v>1</v>
      </c>
      <c r="G85" s="3">
        <v>0</v>
      </c>
      <c r="H85" s="3">
        <v>0</v>
      </c>
      <c r="I85" s="17">
        <v>1</v>
      </c>
      <c r="J85" s="3">
        <f t="shared" si="2"/>
        <v>6</v>
      </c>
      <c r="K85" t="s">
        <v>651</v>
      </c>
    </row>
    <row r="86" spans="1:13" ht="20.25" customHeight="1" x14ac:dyDescent="0.25">
      <c r="A86" s="54" t="s">
        <v>13</v>
      </c>
      <c r="B86" s="55" t="s">
        <v>256</v>
      </c>
      <c r="C86" s="55" t="s">
        <v>257</v>
      </c>
      <c r="D86" s="58">
        <v>471484</v>
      </c>
      <c r="E86" s="31" t="s">
        <v>258</v>
      </c>
      <c r="F86" s="53">
        <v>1</v>
      </c>
      <c r="G86" s="3">
        <v>0</v>
      </c>
      <c r="H86" s="3">
        <v>0</v>
      </c>
      <c r="I86" s="17">
        <v>0</v>
      </c>
      <c r="J86" s="3">
        <f t="shared" si="2"/>
        <v>3</v>
      </c>
      <c r="K86" t="s">
        <v>652</v>
      </c>
    </row>
    <row r="87" spans="1:13" ht="20.25" customHeight="1" x14ac:dyDescent="0.25">
      <c r="A87" s="4">
        <v>23897</v>
      </c>
      <c r="B87" s="3" t="s">
        <v>122</v>
      </c>
      <c r="C87" s="3" t="s">
        <v>123</v>
      </c>
      <c r="D87" s="3">
        <v>471528</v>
      </c>
      <c r="E87" s="5" t="s">
        <v>124</v>
      </c>
      <c r="F87" s="53">
        <v>0</v>
      </c>
      <c r="G87" s="3">
        <v>0</v>
      </c>
      <c r="H87" s="3">
        <v>1</v>
      </c>
      <c r="I87" s="17">
        <v>0</v>
      </c>
      <c r="J87" s="3">
        <f t="shared" si="2"/>
        <v>1</v>
      </c>
      <c r="K87" t="s">
        <v>653</v>
      </c>
    </row>
    <row r="88" spans="1:13" ht="20.25" customHeight="1" x14ac:dyDescent="0.25">
      <c r="A88" s="57">
        <v>24131</v>
      </c>
      <c r="B88" s="55" t="s">
        <v>259</v>
      </c>
      <c r="C88" s="55" t="s">
        <v>260</v>
      </c>
      <c r="D88" s="58">
        <v>471532</v>
      </c>
      <c r="E88" s="31" t="s">
        <v>261</v>
      </c>
      <c r="F88" s="53">
        <v>1</v>
      </c>
      <c r="G88" s="3">
        <v>0</v>
      </c>
      <c r="H88" s="3">
        <v>0</v>
      </c>
      <c r="I88" s="17">
        <v>1</v>
      </c>
      <c r="J88" s="3">
        <f t="shared" si="2"/>
        <v>6</v>
      </c>
      <c r="K88" t="s">
        <v>654</v>
      </c>
    </row>
    <row r="89" spans="1:13" ht="20.25" customHeight="1" x14ac:dyDescent="0.25">
      <c r="A89" s="57">
        <v>23434</v>
      </c>
      <c r="B89" s="55" t="s">
        <v>262</v>
      </c>
      <c r="C89" s="55" t="s">
        <v>263</v>
      </c>
      <c r="D89" s="58">
        <v>471513</v>
      </c>
      <c r="E89" s="31" t="s">
        <v>264</v>
      </c>
      <c r="F89" s="53">
        <v>2</v>
      </c>
      <c r="G89" s="3">
        <v>0</v>
      </c>
      <c r="H89" s="3">
        <v>0</v>
      </c>
      <c r="I89" s="17">
        <v>2</v>
      </c>
      <c r="J89" s="3">
        <f t="shared" si="2"/>
        <v>12</v>
      </c>
      <c r="K89" t="s">
        <v>656</v>
      </c>
    </row>
    <row r="90" spans="1:13" ht="20.25" customHeight="1" x14ac:dyDescent="0.25">
      <c r="A90" s="57">
        <v>13646</v>
      </c>
      <c r="B90" s="55" t="s">
        <v>265</v>
      </c>
      <c r="C90" s="55" t="s">
        <v>266</v>
      </c>
      <c r="D90" s="58">
        <v>471530</v>
      </c>
      <c r="E90" s="31" t="s">
        <v>267</v>
      </c>
      <c r="F90" s="53">
        <v>2</v>
      </c>
      <c r="G90" s="3">
        <v>0</v>
      </c>
      <c r="H90" s="3">
        <v>4</v>
      </c>
      <c r="I90" s="17">
        <v>4</v>
      </c>
      <c r="J90" s="3">
        <f t="shared" si="2"/>
        <v>22</v>
      </c>
      <c r="K90" t="s">
        <v>655</v>
      </c>
    </row>
    <row r="91" spans="1:13" ht="20.25" customHeight="1" x14ac:dyDescent="0.25">
      <c r="A91" s="32">
        <v>16471</v>
      </c>
      <c r="B91" s="33" t="s">
        <v>54</v>
      </c>
      <c r="C91" s="32" t="s">
        <v>55</v>
      </c>
      <c r="D91" s="32">
        <v>471658</v>
      </c>
      <c r="E91" s="34" t="s">
        <v>56</v>
      </c>
      <c r="F91" s="3">
        <v>0</v>
      </c>
      <c r="G91" s="35">
        <v>2</v>
      </c>
      <c r="H91" s="3">
        <v>1</v>
      </c>
      <c r="I91" s="17">
        <v>0</v>
      </c>
      <c r="J91" s="3">
        <f t="shared" si="2"/>
        <v>7</v>
      </c>
      <c r="K91" t="s">
        <v>657</v>
      </c>
    </row>
    <row r="92" spans="1:13" ht="20.25" customHeight="1" x14ac:dyDescent="0.25">
      <c r="A92" s="22">
        <v>16507</v>
      </c>
      <c r="B92" s="35" t="s">
        <v>57</v>
      </c>
      <c r="C92" s="22" t="s">
        <v>58</v>
      </c>
      <c r="D92" s="22">
        <v>471659</v>
      </c>
      <c r="E92" s="24" t="s">
        <v>59</v>
      </c>
      <c r="F92" s="3">
        <v>0</v>
      </c>
      <c r="G92" s="35">
        <v>1</v>
      </c>
      <c r="H92" s="3">
        <v>0</v>
      </c>
      <c r="I92" s="17">
        <v>0</v>
      </c>
      <c r="J92" s="3">
        <f t="shared" si="2"/>
        <v>3</v>
      </c>
      <c r="K92" t="s">
        <v>658</v>
      </c>
    </row>
    <row r="93" spans="1:13" ht="20.25" customHeight="1" x14ac:dyDescent="0.25">
      <c r="A93" s="22" t="s">
        <v>13</v>
      </c>
      <c r="B93" s="35" t="s">
        <v>60</v>
      </c>
      <c r="C93" s="22" t="s">
        <v>61</v>
      </c>
      <c r="D93" s="22">
        <v>471660</v>
      </c>
      <c r="E93" s="24" t="s">
        <v>62</v>
      </c>
      <c r="F93" s="3">
        <v>0</v>
      </c>
      <c r="G93" s="35">
        <v>1</v>
      </c>
      <c r="H93" s="3">
        <v>0</v>
      </c>
      <c r="I93" s="17">
        <v>0</v>
      </c>
      <c r="J93" s="3">
        <f t="shared" si="2"/>
        <v>3</v>
      </c>
      <c r="K93" t="s">
        <v>717</v>
      </c>
    </row>
    <row r="94" spans="1:13" ht="20.25" customHeight="1" x14ac:dyDescent="0.25">
      <c r="A94" s="4" t="s">
        <v>13</v>
      </c>
      <c r="B94" s="3" t="s">
        <v>125</v>
      </c>
      <c r="C94" s="3" t="s">
        <v>13</v>
      </c>
      <c r="D94" s="3" t="s">
        <v>13</v>
      </c>
      <c r="E94" s="5" t="s">
        <v>126</v>
      </c>
      <c r="F94" s="3">
        <v>0</v>
      </c>
      <c r="G94" s="35">
        <v>0</v>
      </c>
      <c r="H94" s="3">
        <v>5</v>
      </c>
      <c r="I94" s="17">
        <v>0</v>
      </c>
      <c r="J94" s="3">
        <f t="shared" si="2"/>
        <v>5</v>
      </c>
      <c r="K94" s="106" t="s">
        <v>659</v>
      </c>
      <c r="L94" t="s">
        <v>660</v>
      </c>
    </row>
    <row r="95" spans="1:13" x14ac:dyDescent="0.25">
      <c r="H95" s="66"/>
    </row>
    <row r="96" spans="1:13" x14ac:dyDescent="0.25">
      <c r="H96" s="66"/>
    </row>
  </sheetData>
  <autoFilter ref="A1:J94" xr:uid="{4C2474DC-B56E-4AA8-ABE2-84E0AFF53D78}"/>
  <sortState xmlns:xlrd2="http://schemas.microsoft.com/office/spreadsheetml/2017/richdata2" ref="A3:I94">
    <sortCondition ref="B4:B94"/>
  </sortState>
  <mergeCells count="1">
    <mergeCell ref="J1:J2"/>
  </mergeCells>
  <hyperlinks>
    <hyperlink ref="L7" r:id="rId1" display="https://www.harteinstrumentos.com.br/produto/afastador-dinkhuysen-n1-24x20mm-2/" xr:uid="{C1C59438-50AA-49B4-A412-81AAF57D2516}"/>
    <hyperlink ref="L35" r:id="rId2" display="https://www.bioengenhariafaj.com.br/produtos/gancho-de-mitral/" xr:uid="{34CA1DF1-9AA9-43C4-8122-1791A1B9F577}"/>
  </hyperlinks>
  <pageMargins left="0.511811024" right="0.511811024" top="0.78740157499999996" bottom="0.78740157499999996" header="0.31496062000000002" footer="0.31496062000000002"/>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F930-B5DC-4D42-BD79-D9FE8943ED10}">
  <dimension ref="A1:K67"/>
  <sheetViews>
    <sheetView tabSelected="1" topLeftCell="A44" workbookViewId="0">
      <selection activeCell="I57" sqref="I57"/>
    </sheetView>
  </sheetViews>
  <sheetFormatPr defaultRowHeight="15" x14ac:dyDescent="0.25"/>
  <cols>
    <col min="1" max="1" width="10.42578125" bestFit="1" customWidth="1"/>
    <col min="2" max="2" width="50.7109375" customWidth="1"/>
    <col min="3" max="3" width="14.28515625" hidden="1" customWidth="1"/>
    <col min="4" max="4" width="8.5703125" hidden="1" customWidth="1"/>
    <col min="5" max="5" width="73.85546875" hidden="1" customWidth="1"/>
    <col min="6" max="6" width="14.140625" hidden="1" customWidth="1"/>
    <col min="7" max="7" width="9.7109375" hidden="1" customWidth="1"/>
    <col min="8" max="8" width="20.140625" customWidth="1"/>
    <col min="9" max="9" width="11.42578125" bestFit="1" customWidth="1"/>
    <col min="11" max="11" width="11.85546875" customWidth="1"/>
  </cols>
  <sheetData>
    <row r="1" spans="1:11" ht="18.75" customHeight="1" x14ac:dyDescent="0.25">
      <c r="A1" s="8" t="s">
        <v>0</v>
      </c>
      <c r="B1" s="7" t="s">
        <v>1</v>
      </c>
      <c r="C1" s="8" t="s">
        <v>2</v>
      </c>
      <c r="D1" s="8" t="s">
        <v>3</v>
      </c>
      <c r="E1" s="69" t="s">
        <v>4</v>
      </c>
      <c r="F1" s="1" t="s">
        <v>268</v>
      </c>
      <c r="G1" s="1" t="s">
        <v>269</v>
      </c>
      <c r="H1" s="68" t="s">
        <v>568</v>
      </c>
    </row>
    <row r="2" spans="1:11" ht="18.75" customHeight="1" x14ac:dyDescent="0.25">
      <c r="A2" s="8"/>
      <c r="B2" s="7"/>
      <c r="C2" s="8"/>
      <c r="D2" s="8"/>
      <c r="E2" s="69" t="s">
        <v>84</v>
      </c>
      <c r="F2" s="7">
        <v>4</v>
      </c>
      <c r="G2" s="10">
        <v>2</v>
      </c>
      <c r="H2" s="71" t="s">
        <v>569</v>
      </c>
      <c r="I2" s="105" t="s">
        <v>571</v>
      </c>
    </row>
    <row r="3" spans="1:11" ht="18.75" customHeight="1" x14ac:dyDescent="0.25">
      <c r="A3" s="72">
        <v>25201</v>
      </c>
      <c r="B3" s="35" t="s">
        <v>283</v>
      </c>
      <c r="C3" s="22" t="s">
        <v>13</v>
      </c>
      <c r="D3" s="22" t="s">
        <v>13</v>
      </c>
      <c r="E3" s="51" t="s">
        <v>270</v>
      </c>
      <c r="F3" s="35">
        <v>1</v>
      </c>
      <c r="G3" s="3">
        <v>0</v>
      </c>
      <c r="H3" s="3">
        <f>(F3*$F$2)+(G3*$G$2)</f>
        <v>4</v>
      </c>
      <c r="I3" t="s">
        <v>724</v>
      </c>
      <c r="J3" t="s">
        <v>723</v>
      </c>
      <c r="K3" s="119" t="s">
        <v>768</v>
      </c>
    </row>
    <row r="4" spans="1:11" ht="18.75" customHeight="1" x14ac:dyDescent="0.25">
      <c r="A4" s="22">
        <v>25202</v>
      </c>
      <c r="B4" s="35" t="s">
        <v>284</v>
      </c>
      <c r="C4" s="22" t="s">
        <v>13</v>
      </c>
      <c r="D4" s="22" t="s">
        <v>13</v>
      </c>
      <c r="E4" s="51" t="s">
        <v>271</v>
      </c>
      <c r="F4" s="35">
        <v>2</v>
      </c>
      <c r="G4" s="3">
        <v>1</v>
      </c>
      <c r="H4" s="3">
        <f t="shared" ref="H4:H65" si="0">(F4*$F$2)+(G4*$G$2)</f>
        <v>10</v>
      </c>
      <c r="I4" t="s">
        <v>720</v>
      </c>
    </row>
    <row r="5" spans="1:11" ht="18.75" customHeight="1" x14ac:dyDescent="0.25">
      <c r="A5" s="22">
        <v>25203</v>
      </c>
      <c r="B5" s="35" t="s">
        <v>285</v>
      </c>
      <c r="C5" s="22" t="s">
        <v>13</v>
      </c>
      <c r="D5" s="22" t="s">
        <v>13</v>
      </c>
      <c r="E5" s="51" t="s">
        <v>272</v>
      </c>
      <c r="F5" s="35">
        <v>1</v>
      </c>
      <c r="G5" s="3">
        <v>0</v>
      </c>
      <c r="H5" s="3">
        <f t="shared" si="0"/>
        <v>4</v>
      </c>
      <c r="I5" t="s">
        <v>597</v>
      </c>
    </row>
    <row r="6" spans="1:11" ht="18.75" customHeight="1" x14ac:dyDescent="0.25">
      <c r="A6" s="22">
        <v>25204</v>
      </c>
      <c r="B6" s="35" t="s">
        <v>286</v>
      </c>
      <c r="C6" s="22" t="s">
        <v>13</v>
      </c>
      <c r="D6" s="22" t="s">
        <v>13</v>
      </c>
      <c r="E6" s="51" t="s">
        <v>273</v>
      </c>
      <c r="F6" s="35">
        <v>1</v>
      </c>
      <c r="G6" s="3">
        <v>1</v>
      </c>
      <c r="H6" s="3">
        <f t="shared" si="0"/>
        <v>6</v>
      </c>
      <c r="I6" t="s">
        <v>680</v>
      </c>
    </row>
    <row r="7" spans="1:11" ht="18.75" customHeight="1" x14ac:dyDescent="0.25">
      <c r="A7" s="22">
        <v>23333</v>
      </c>
      <c r="B7" s="25" t="s">
        <v>296</v>
      </c>
      <c r="C7" s="22" t="s">
        <v>13</v>
      </c>
      <c r="D7" s="22" t="s">
        <v>13</v>
      </c>
      <c r="E7" s="51" t="s">
        <v>297</v>
      </c>
      <c r="F7" s="35">
        <v>0</v>
      </c>
      <c r="G7" s="3">
        <v>1</v>
      </c>
      <c r="H7" s="3">
        <f t="shared" si="0"/>
        <v>2</v>
      </c>
      <c r="I7" t="s">
        <v>721</v>
      </c>
    </row>
    <row r="8" spans="1:11" ht="18.75" customHeight="1" x14ac:dyDescent="0.25">
      <c r="A8" s="22">
        <v>23334</v>
      </c>
      <c r="B8" s="25" t="s">
        <v>298</v>
      </c>
      <c r="C8" s="22" t="s">
        <v>13</v>
      </c>
      <c r="D8" s="22" t="s">
        <v>13</v>
      </c>
      <c r="E8" s="51" t="s">
        <v>299</v>
      </c>
      <c r="F8" s="35">
        <v>0</v>
      </c>
      <c r="G8" s="3">
        <v>1</v>
      </c>
      <c r="H8" s="3">
        <f t="shared" si="0"/>
        <v>2</v>
      </c>
      <c r="I8" t="s">
        <v>722</v>
      </c>
      <c r="J8" t="s">
        <v>723</v>
      </c>
      <c r="K8" s="125" t="s">
        <v>769</v>
      </c>
    </row>
    <row r="9" spans="1:11" ht="18.75" customHeight="1" x14ac:dyDescent="0.25">
      <c r="A9" s="22">
        <v>9738</v>
      </c>
      <c r="B9" s="25" t="s">
        <v>300</v>
      </c>
      <c r="C9" s="22"/>
      <c r="D9" s="22"/>
      <c r="E9" s="51" t="s">
        <v>301</v>
      </c>
      <c r="F9" s="35">
        <v>0</v>
      </c>
      <c r="G9" s="3">
        <v>1</v>
      </c>
      <c r="H9" s="3">
        <f t="shared" si="0"/>
        <v>2</v>
      </c>
      <c r="I9" s="110" t="s">
        <v>584</v>
      </c>
    </row>
    <row r="10" spans="1:11" ht="18.75" customHeight="1" x14ac:dyDescent="0.25">
      <c r="A10" s="22">
        <v>14148</v>
      </c>
      <c r="B10" s="25" t="s">
        <v>302</v>
      </c>
      <c r="C10" s="22"/>
      <c r="D10" s="22"/>
      <c r="E10" s="51" t="s">
        <v>303</v>
      </c>
      <c r="F10" s="35">
        <v>0</v>
      </c>
      <c r="G10" s="3">
        <v>1</v>
      </c>
      <c r="H10" s="3">
        <f t="shared" si="0"/>
        <v>2</v>
      </c>
      <c r="I10" t="s">
        <v>598</v>
      </c>
    </row>
    <row r="11" spans="1:11" ht="18.75" customHeight="1" x14ac:dyDescent="0.25">
      <c r="A11" s="22">
        <v>26263</v>
      </c>
      <c r="B11" s="25" t="s">
        <v>304</v>
      </c>
      <c r="C11" s="22"/>
      <c r="D11" s="22"/>
      <c r="E11" s="51" t="s">
        <v>305</v>
      </c>
      <c r="F11" s="70">
        <v>0</v>
      </c>
      <c r="G11" s="35">
        <v>2</v>
      </c>
      <c r="H11" s="3">
        <f t="shared" si="0"/>
        <v>4</v>
      </c>
      <c r="I11" t="s">
        <v>725</v>
      </c>
    </row>
    <row r="12" spans="1:11" ht="18.75" customHeight="1" x14ac:dyDescent="0.25">
      <c r="A12" s="22">
        <v>23337</v>
      </c>
      <c r="B12" s="25" t="s">
        <v>308</v>
      </c>
      <c r="C12" s="22"/>
      <c r="D12" s="22"/>
      <c r="E12" s="51" t="s">
        <v>309</v>
      </c>
      <c r="F12" s="70">
        <v>0</v>
      </c>
      <c r="G12" s="35">
        <v>1</v>
      </c>
      <c r="H12" s="3">
        <f t="shared" si="0"/>
        <v>2</v>
      </c>
      <c r="I12" t="s">
        <v>727</v>
      </c>
    </row>
    <row r="13" spans="1:11" ht="18.75" customHeight="1" x14ac:dyDescent="0.25">
      <c r="A13" s="22">
        <v>23335</v>
      </c>
      <c r="B13" s="25" t="s">
        <v>306</v>
      </c>
      <c r="C13" s="22"/>
      <c r="D13" s="22"/>
      <c r="E13" s="51" t="s">
        <v>307</v>
      </c>
      <c r="F13" s="70">
        <v>0</v>
      </c>
      <c r="G13" s="35">
        <v>1</v>
      </c>
      <c r="H13" s="3">
        <f t="shared" si="0"/>
        <v>2</v>
      </c>
      <c r="I13" t="s">
        <v>726</v>
      </c>
    </row>
    <row r="14" spans="1:11" ht="18.75" customHeight="1" x14ac:dyDescent="0.25">
      <c r="A14" s="22">
        <v>24011</v>
      </c>
      <c r="B14" s="25" t="s">
        <v>310</v>
      </c>
      <c r="C14" s="22"/>
      <c r="D14" s="22"/>
      <c r="E14" s="51" t="s">
        <v>311</v>
      </c>
      <c r="F14" s="70">
        <v>0</v>
      </c>
      <c r="G14" s="35">
        <v>1</v>
      </c>
      <c r="H14" s="3">
        <f t="shared" si="0"/>
        <v>2</v>
      </c>
      <c r="I14" t="s">
        <v>728</v>
      </c>
    </row>
    <row r="15" spans="1:11" ht="18.75" customHeight="1" x14ac:dyDescent="0.25">
      <c r="A15" s="22">
        <v>14029</v>
      </c>
      <c r="B15" s="25" t="s">
        <v>312</v>
      </c>
      <c r="C15" s="22"/>
      <c r="D15" s="22"/>
      <c r="E15" s="51" t="s">
        <v>313</v>
      </c>
      <c r="F15" s="70">
        <v>0</v>
      </c>
      <c r="G15" s="35">
        <v>1</v>
      </c>
      <c r="H15" s="3">
        <f t="shared" si="0"/>
        <v>2</v>
      </c>
      <c r="I15" t="s">
        <v>688</v>
      </c>
    </row>
    <row r="16" spans="1:11" ht="18.75" customHeight="1" x14ac:dyDescent="0.25">
      <c r="A16" s="22">
        <v>23341</v>
      </c>
      <c r="B16" s="25" t="s">
        <v>314</v>
      </c>
      <c r="C16" s="22"/>
      <c r="D16" s="22"/>
      <c r="E16" s="51" t="s">
        <v>315</v>
      </c>
      <c r="F16" s="70">
        <v>0</v>
      </c>
      <c r="G16" s="35">
        <v>1</v>
      </c>
      <c r="H16" s="3">
        <f t="shared" si="0"/>
        <v>2</v>
      </c>
      <c r="I16" t="s">
        <v>729</v>
      </c>
    </row>
    <row r="17" spans="1:9" ht="18.75" customHeight="1" x14ac:dyDescent="0.25">
      <c r="A17" s="22">
        <v>23342</v>
      </c>
      <c r="B17" s="25" t="s">
        <v>316</v>
      </c>
      <c r="C17" s="22"/>
      <c r="D17" s="22"/>
      <c r="E17" s="51" t="s">
        <v>317</v>
      </c>
      <c r="F17" s="70">
        <v>0</v>
      </c>
      <c r="G17" s="35">
        <v>1</v>
      </c>
      <c r="H17" s="3">
        <f t="shared" si="0"/>
        <v>2</v>
      </c>
      <c r="I17" t="s">
        <v>730</v>
      </c>
    </row>
    <row r="18" spans="1:9" ht="18.75" customHeight="1" x14ac:dyDescent="0.25">
      <c r="A18" s="22">
        <v>23343</v>
      </c>
      <c r="B18" s="25" t="s">
        <v>318</v>
      </c>
      <c r="C18" s="22"/>
      <c r="D18" s="22"/>
      <c r="E18" s="51" t="s">
        <v>319</v>
      </c>
      <c r="F18" s="70">
        <v>0</v>
      </c>
      <c r="G18" s="35">
        <v>1</v>
      </c>
      <c r="H18" s="3">
        <f t="shared" si="0"/>
        <v>2</v>
      </c>
      <c r="I18" t="s">
        <v>731</v>
      </c>
    </row>
    <row r="19" spans="1:9" ht="18.75" customHeight="1" x14ac:dyDescent="0.25">
      <c r="A19" s="22">
        <v>23344</v>
      </c>
      <c r="B19" s="25" t="s">
        <v>320</v>
      </c>
      <c r="C19" s="22"/>
      <c r="D19" s="22"/>
      <c r="E19" s="51" t="s">
        <v>321</v>
      </c>
      <c r="F19" s="70">
        <v>0</v>
      </c>
      <c r="G19" s="35">
        <v>1</v>
      </c>
      <c r="H19" s="3">
        <f t="shared" si="0"/>
        <v>2</v>
      </c>
      <c r="I19" t="s">
        <v>732</v>
      </c>
    </row>
    <row r="20" spans="1:9" ht="18.75" customHeight="1" x14ac:dyDescent="0.25">
      <c r="A20" s="22">
        <v>23345</v>
      </c>
      <c r="B20" s="25" t="s">
        <v>322</v>
      </c>
      <c r="C20" s="22"/>
      <c r="D20" s="22"/>
      <c r="E20" s="51" t="s">
        <v>323</v>
      </c>
      <c r="F20" s="70">
        <v>0</v>
      </c>
      <c r="G20" s="35">
        <v>1</v>
      </c>
      <c r="H20" s="3">
        <f t="shared" si="0"/>
        <v>2</v>
      </c>
      <c r="I20" t="s">
        <v>733</v>
      </c>
    </row>
    <row r="21" spans="1:9" ht="18.75" customHeight="1" x14ac:dyDescent="0.25">
      <c r="A21" s="22" t="s">
        <v>13</v>
      </c>
      <c r="B21" s="25" t="s">
        <v>330</v>
      </c>
      <c r="C21" s="50" t="s">
        <v>331</v>
      </c>
      <c r="D21" s="50">
        <v>600954</v>
      </c>
      <c r="E21" s="51" t="s">
        <v>332</v>
      </c>
      <c r="F21" s="70">
        <v>0</v>
      </c>
      <c r="G21" s="35">
        <v>1</v>
      </c>
      <c r="H21" s="3">
        <f t="shared" si="0"/>
        <v>2</v>
      </c>
      <c r="I21" t="s">
        <v>734</v>
      </c>
    </row>
    <row r="22" spans="1:9" ht="18.75" customHeight="1" x14ac:dyDescent="0.25">
      <c r="A22" s="22" t="s">
        <v>13</v>
      </c>
      <c r="B22" s="25" t="s">
        <v>324</v>
      </c>
      <c r="C22" s="22" t="s">
        <v>325</v>
      </c>
      <c r="D22" s="22">
        <v>453698</v>
      </c>
      <c r="E22" s="51" t="s">
        <v>326</v>
      </c>
      <c r="F22" s="70">
        <v>0</v>
      </c>
      <c r="G22" s="35">
        <v>2</v>
      </c>
      <c r="H22" s="3">
        <f t="shared" si="0"/>
        <v>4</v>
      </c>
      <c r="I22" t="s">
        <v>735</v>
      </c>
    </row>
    <row r="23" spans="1:9" ht="18.75" customHeight="1" x14ac:dyDescent="0.25">
      <c r="A23" s="22" t="s">
        <v>13</v>
      </c>
      <c r="B23" s="25" t="s">
        <v>327</v>
      </c>
      <c r="C23" s="50" t="s">
        <v>328</v>
      </c>
      <c r="D23" s="50">
        <v>600955</v>
      </c>
      <c r="E23" s="51" t="s">
        <v>329</v>
      </c>
      <c r="F23" s="70">
        <v>0</v>
      </c>
      <c r="G23" s="35">
        <v>1</v>
      </c>
      <c r="H23" s="3">
        <f t="shared" si="0"/>
        <v>2</v>
      </c>
      <c r="I23" t="s">
        <v>736</v>
      </c>
    </row>
    <row r="24" spans="1:9" ht="18.75" customHeight="1" x14ac:dyDescent="0.25">
      <c r="A24" s="4">
        <v>23346</v>
      </c>
      <c r="B24" s="5" t="s">
        <v>355</v>
      </c>
      <c r="C24" s="3"/>
      <c r="D24" s="3"/>
      <c r="E24" s="5" t="s">
        <v>356</v>
      </c>
      <c r="F24" s="70">
        <v>0</v>
      </c>
      <c r="G24" s="3">
        <v>2</v>
      </c>
      <c r="H24" s="3">
        <f t="shared" si="0"/>
        <v>4</v>
      </c>
      <c r="I24" t="s">
        <v>737</v>
      </c>
    </row>
    <row r="25" spans="1:9" ht="18.75" customHeight="1" x14ac:dyDescent="0.25">
      <c r="A25" s="4">
        <v>23354</v>
      </c>
      <c r="B25" s="5" t="s">
        <v>367</v>
      </c>
      <c r="C25" s="3"/>
      <c r="D25" s="3"/>
      <c r="E25" s="5" t="s">
        <v>368</v>
      </c>
      <c r="F25" s="70">
        <v>0</v>
      </c>
      <c r="G25" s="3">
        <v>1</v>
      </c>
      <c r="H25" s="3">
        <f t="shared" si="0"/>
        <v>2</v>
      </c>
      <c r="I25" t="s">
        <v>738</v>
      </c>
    </row>
    <row r="26" spans="1:9" ht="18.75" customHeight="1" x14ac:dyDescent="0.25">
      <c r="A26" s="4">
        <v>23376</v>
      </c>
      <c r="B26" s="5" t="s">
        <v>369</v>
      </c>
      <c r="C26" s="3"/>
      <c r="D26" s="3"/>
      <c r="E26" s="5" t="s">
        <v>370</v>
      </c>
      <c r="F26" s="70">
        <v>0</v>
      </c>
      <c r="G26" s="3">
        <v>1</v>
      </c>
      <c r="H26" s="3">
        <f t="shared" si="0"/>
        <v>2</v>
      </c>
      <c r="I26" t="s">
        <v>739</v>
      </c>
    </row>
    <row r="27" spans="1:9" ht="18.75" customHeight="1" x14ac:dyDescent="0.25">
      <c r="A27" s="22">
        <v>23366</v>
      </c>
      <c r="B27" s="35" t="s">
        <v>295</v>
      </c>
      <c r="C27" s="22"/>
      <c r="D27" s="22"/>
      <c r="E27" s="51" t="s">
        <v>282</v>
      </c>
      <c r="F27" s="35">
        <v>1</v>
      </c>
      <c r="G27" s="3">
        <v>0</v>
      </c>
      <c r="H27" s="3">
        <f t="shared" si="0"/>
        <v>4</v>
      </c>
      <c r="I27" t="s">
        <v>742</v>
      </c>
    </row>
    <row r="28" spans="1:9" ht="18.75" customHeight="1" x14ac:dyDescent="0.25">
      <c r="A28" s="22">
        <v>23361</v>
      </c>
      <c r="B28" s="35" t="s">
        <v>287</v>
      </c>
      <c r="C28" s="22"/>
      <c r="D28" s="22"/>
      <c r="E28" s="51" t="s">
        <v>274</v>
      </c>
      <c r="F28" s="35">
        <v>2</v>
      </c>
      <c r="G28" s="3">
        <v>0</v>
      </c>
      <c r="H28" s="3">
        <f t="shared" si="0"/>
        <v>8</v>
      </c>
      <c r="I28" t="s">
        <v>740</v>
      </c>
    </row>
    <row r="29" spans="1:9" ht="18.75" customHeight="1" x14ac:dyDescent="0.25">
      <c r="A29" s="22">
        <v>23363</v>
      </c>
      <c r="B29" s="35" t="s">
        <v>288</v>
      </c>
      <c r="C29" s="22" t="s">
        <v>13</v>
      </c>
      <c r="D29" s="22" t="s">
        <v>13</v>
      </c>
      <c r="E29" s="51" t="s">
        <v>275</v>
      </c>
      <c r="F29" s="35">
        <v>1</v>
      </c>
      <c r="G29" s="3">
        <v>0</v>
      </c>
      <c r="H29" s="3">
        <f t="shared" si="0"/>
        <v>4</v>
      </c>
      <c r="I29" t="s">
        <v>741</v>
      </c>
    </row>
    <row r="30" spans="1:9" ht="18.75" customHeight="1" x14ac:dyDescent="0.25">
      <c r="A30" s="22">
        <v>26251</v>
      </c>
      <c r="B30" s="25" t="s">
        <v>333</v>
      </c>
      <c r="C30" s="50"/>
      <c r="D30" s="50"/>
      <c r="E30" s="51" t="s">
        <v>334</v>
      </c>
      <c r="F30" s="70">
        <v>0</v>
      </c>
      <c r="G30" s="3">
        <v>1</v>
      </c>
      <c r="H30" s="3">
        <f t="shared" si="0"/>
        <v>2</v>
      </c>
      <c r="I30" t="s">
        <v>743</v>
      </c>
    </row>
    <row r="31" spans="1:9" ht="18.75" customHeight="1" x14ac:dyDescent="0.25">
      <c r="A31" s="4">
        <v>14110</v>
      </c>
      <c r="B31" s="5" t="s">
        <v>335</v>
      </c>
      <c r="C31" s="3"/>
      <c r="D31" s="3"/>
      <c r="E31" s="5" t="s">
        <v>336</v>
      </c>
      <c r="F31" s="70">
        <v>0</v>
      </c>
      <c r="G31" s="3">
        <v>2</v>
      </c>
      <c r="H31" s="3">
        <f t="shared" si="0"/>
        <v>4</v>
      </c>
      <c r="I31" s="93" t="s">
        <v>580</v>
      </c>
    </row>
    <row r="32" spans="1:9" ht="18.75" customHeight="1" x14ac:dyDescent="0.25">
      <c r="A32" s="4">
        <v>14137</v>
      </c>
      <c r="B32" s="5" t="s">
        <v>343</v>
      </c>
      <c r="C32" s="3"/>
      <c r="D32" s="3"/>
      <c r="E32" s="5" t="s">
        <v>344</v>
      </c>
      <c r="F32" s="70">
        <v>0</v>
      </c>
      <c r="G32" s="3">
        <v>1</v>
      </c>
      <c r="H32" s="3">
        <f t="shared" si="0"/>
        <v>2</v>
      </c>
      <c r="I32" t="s">
        <v>744</v>
      </c>
    </row>
    <row r="33" spans="1:10" ht="18.75" customHeight="1" x14ac:dyDescent="0.25">
      <c r="A33" s="4">
        <v>14138</v>
      </c>
      <c r="B33" s="5" t="s">
        <v>345</v>
      </c>
      <c r="C33" s="3"/>
      <c r="D33" s="3"/>
      <c r="E33" s="5" t="s">
        <v>346</v>
      </c>
      <c r="F33" s="70">
        <v>0</v>
      </c>
      <c r="G33" s="3">
        <v>2</v>
      </c>
      <c r="H33" s="3">
        <f t="shared" si="0"/>
        <v>4</v>
      </c>
      <c r="I33" t="s">
        <v>745</v>
      </c>
    </row>
    <row r="34" spans="1:10" ht="18.75" customHeight="1" x14ac:dyDescent="0.25">
      <c r="A34" s="4">
        <v>271</v>
      </c>
      <c r="B34" s="5" t="s">
        <v>339</v>
      </c>
      <c r="C34" s="3"/>
      <c r="D34" s="3"/>
      <c r="E34" s="5" t="s">
        <v>340</v>
      </c>
      <c r="F34" s="70">
        <v>0</v>
      </c>
      <c r="G34" s="3">
        <v>1</v>
      </c>
      <c r="H34" s="3">
        <f t="shared" si="0"/>
        <v>2</v>
      </c>
      <c r="I34" t="s">
        <v>625</v>
      </c>
    </row>
    <row r="35" spans="1:10" ht="18.75" customHeight="1" x14ac:dyDescent="0.25">
      <c r="A35" s="4">
        <v>23424</v>
      </c>
      <c r="B35" s="5" t="s">
        <v>341</v>
      </c>
      <c r="C35" s="3"/>
      <c r="D35" s="3"/>
      <c r="E35" s="5" t="s">
        <v>342</v>
      </c>
      <c r="F35" s="70">
        <v>0</v>
      </c>
      <c r="G35" s="3">
        <v>2</v>
      </c>
      <c r="H35" s="3">
        <f t="shared" si="0"/>
        <v>4</v>
      </c>
      <c r="I35" t="s">
        <v>626</v>
      </c>
    </row>
    <row r="36" spans="1:10" ht="18.75" customHeight="1" x14ac:dyDescent="0.25">
      <c r="A36" s="22">
        <v>26795</v>
      </c>
      <c r="B36" s="35" t="s">
        <v>289</v>
      </c>
      <c r="C36" s="22"/>
      <c r="D36" s="22"/>
      <c r="E36" s="51" t="s">
        <v>276</v>
      </c>
      <c r="F36" s="35">
        <v>1</v>
      </c>
      <c r="G36" s="3">
        <v>0</v>
      </c>
      <c r="H36" s="3">
        <f t="shared" si="0"/>
        <v>4</v>
      </c>
      <c r="I36" s="106" t="s">
        <v>746</v>
      </c>
      <c r="J36" t="s">
        <v>676</v>
      </c>
    </row>
    <row r="37" spans="1:10" ht="18.75" customHeight="1" x14ac:dyDescent="0.25">
      <c r="A37" s="22">
        <v>9728</v>
      </c>
      <c r="B37" s="25" t="s">
        <v>337</v>
      </c>
      <c r="C37" s="22"/>
      <c r="D37" s="22"/>
      <c r="E37" s="51" t="s">
        <v>338</v>
      </c>
      <c r="F37" s="3">
        <v>0</v>
      </c>
      <c r="G37" s="3">
        <v>1</v>
      </c>
      <c r="H37" s="3">
        <f t="shared" si="0"/>
        <v>2</v>
      </c>
      <c r="I37" s="110" t="s">
        <v>582</v>
      </c>
    </row>
    <row r="38" spans="1:10" ht="18.75" customHeight="1" x14ac:dyDescent="0.25">
      <c r="A38" s="22">
        <v>26256</v>
      </c>
      <c r="B38" s="35" t="s">
        <v>291</v>
      </c>
      <c r="C38" s="22"/>
      <c r="D38" s="22"/>
      <c r="E38" s="51" t="s">
        <v>278</v>
      </c>
      <c r="F38" s="35">
        <v>1</v>
      </c>
      <c r="G38" s="3">
        <v>0</v>
      </c>
      <c r="H38" s="3">
        <f t="shared" si="0"/>
        <v>4</v>
      </c>
      <c r="I38" t="s">
        <v>747</v>
      </c>
    </row>
    <row r="39" spans="1:10" ht="18.75" customHeight="1" x14ac:dyDescent="0.25">
      <c r="A39" s="4">
        <v>26256</v>
      </c>
      <c r="B39" s="5" t="s">
        <v>291</v>
      </c>
      <c r="C39" s="3"/>
      <c r="D39" s="3"/>
      <c r="E39" s="5" t="s">
        <v>349</v>
      </c>
      <c r="F39" s="3">
        <v>0</v>
      </c>
      <c r="G39" s="3">
        <v>2</v>
      </c>
      <c r="H39" s="3">
        <f t="shared" si="0"/>
        <v>4</v>
      </c>
      <c r="I39" t="s">
        <v>747</v>
      </c>
    </row>
    <row r="40" spans="1:10" ht="18.75" customHeight="1" x14ac:dyDescent="0.25">
      <c r="A40" s="4">
        <v>24086</v>
      </c>
      <c r="B40" s="5" t="s">
        <v>350</v>
      </c>
      <c r="C40" s="3"/>
      <c r="D40" s="3"/>
      <c r="E40" s="5" t="s">
        <v>351</v>
      </c>
      <c r="F40" s="70">
        <v>0</v>
      </c>
      <c r="G40" s="3">
        <v>2</v>
      </c>
      <c r="H40" s="3">
        <f t="shared" si="0"/>
        <v>4</v>
      </c>
      <c r="I40" t="s">
        <v>748</v>
      </c>
    </row>
    <row r="41" spans="1:10" ht="18.75" customHeight="1" x14ac:dyDescent="0.25">
      <c r="A41" s="4">
        <v>23345</v>
      </c>
      <c r="B41" s="5" t="s">
        <v>353</v>
      </c>
      <c r="C41" s="3"/>
      <c r="D41" s="3"/>
      <c r="E41" s="5" t="s">
        <v>354</v>
      </c>
      <c r="F41" s="70">
        <v>0</v>
      </c>
      <c r="G41" s="3">
        <v>1</v>
      </c>
      <c r="H41" s="3">
        <f t="shared" si="0"/>
        <v>2</v>
      </c>
      <c r="I41" t="s">
        <v>737</v>
      </c>
    </row>
    <row r="42" spans="1:10" ht="18.75" customHeight="1" x14ac:dyDescent="0.25">
      <c r="A42" s="4">
        <v>21907</v>
      </c>
      <c r="B42" s="5" t="s">
        <v>394</v>
      </c>
      <c r="C42" s="3"/>
      <c r="D42" s="3"/>
      <c r="E42" s="5" t="s">
        <v>352</v>
      </c>
      <c r="F42" s="70">
        <v>0</v>
      </c>
      <c r="G42" s="3">
        <v>1</v>
      </c>
      <c r="H42" s="3">
        <f t="shared" si="0"/>
        <v>2</v>
      </c>
      <c r="I42" t="s">
        <v>749</v>
      </c>
    </row>
    <row r="43" spans="1:10" ht="18.75" customHeight="1" x14ac:dyDescent="0.25">
      <c r="A43" s="4">
        <v>13426</v>
      </c>
      <c r="B43" s="5" t="s">
        <v>357</v>
      </c>
      <c r="C43" s="3"/>
      <c r="D43" s="3"/>
      <c r="E43" s="5" t="s">
        <v>358</v>
      </c>
      <c r="F43" s="70">
        <v>0</v>
      </c>
      <c r="G43" s="3">
        <v>5</v>
      </c>
      <c r="H43" s="3">
        <f t="shared" si="0"/>
        <v>10</v>
      </c>
      <c r="I43" s="93" t="s">
        <v>586</v>
      </c>
    </row>
    <row r="44" spans="1:10" ht="18.75" customHeight="1" x14ac:dyDescent="0.25">
      <c r="A44" s="4">
        <v>23447</v>
      </c>
      <c r="B44" s="5" t="s">
        <v>359</v>
      </c>
      <c r="C44" s="3"/>
      <c r="D44" s="3"/>
      <c r="E44" s="5" t="s">
        <v>360</v>
      </c>
      <c r="F44" s="70">
        <v>0</v>
      </c>
      <c r="G44" s="3">
        <v>5</v>
      </c>
      <c r="H44" s="3">
        <f t="shared" si="0"/>
        <v>10</v>
      </c>
      <c r="I44" s="96" t="s">
        <v>587</v>
      </c>
    </row>
    <row r="45" spans="1:10" ht="18.75" customHeight="1" x14ac:dyDescent="0.25">
      <c r="A45" s="4">
        <v>9733</v>
      </c>
      <c r="B45" s="5" t="s">
        <v>361</v>
      </c>
      <c r="C45" s="3"/>
      <c r="D45" s="3"/>
      <c r="E45" s="5" t="s">
        <v>362</v>
      </c>
      <c r="F45" s="70">
        <v>0</v>
      </c>
      <c r="G45" s="3">
        <v>10</v>
      </c>
      <c r="H45" s="3">
        <f t="shared" si="0"/>
        <v>20</v>
      </c>
      <c r="I45" s="93" t="s">
        <v>577</v>
      </c>
    </row>
    <row r="46" spans="1:10" ht="18.75" customHeight="1" x14ac:dyDescent="0.25">
      <c r="A46" s="4">
        <v>9731</v>
      </c>
      <c r="B46" s="5" t="s">
        <v>363</v>
      </c>
      <c r="C46" s="3"/>
      <c r="D46" s="3"/>
      <c r="E46" s="5" t="s">
        <v>364</v>
      </c>
      <c r="F46" s="70">
        <v>0</v>
      </c>
      <c r="G46" s="3">
        <v>10</v>
      </c>
      <c r="H46" s="3">
        <f t="shared" si="0"/>
        <v>20</v>
      </c>
      <c r="I46" s="97" t="s">
        <v>576</v>
      </c>
    </row>
    <row r="47" spans="1:10" ht="18.75" customHeight="1" x14ac:dyDescent="0.25">
      <c r="A47" s="4">
        <v>23352</v>
      </c>
      <c r="B47" s="5" t="s">
        <v>365</v>
      </c>
      <c r="C47" s="3"/>
      <c r="D47" s="3"/>
      <c r="E47" s="5" t="s">
        <v>366</v>
      </c>
      <c r="F47" s="70">
        <v>0</v>
      </c>
      <c r="G47" s="3">
        <v>1</v>
      </c>
      <c r="H47" s="3">
        <f t="shared" si="0"/>
        <v>2</v>
      </c>
      <c r="I47" t="s">
        <v>750</v>
      </c>
    </row>
    <row r="48" spans="1:10" ht="18.75" customHeight="1" x14ac:dyDescent="0.25">
      <c r="A48" s="22">
        <v>23959</v>
      </c>
      <c r="B48" s="35" t="s">
        <v>292</v>
      </c>
      <c r="C48" s="22"/>
      <c r="D48" s="22"/>
      <c r="E48" s="51" t="s">
        <v>279</v>
      </c>
      <c r="F48" s="35">
        <v>1</v>
      </c>
      <c r="G48" s="3">
        <v>0</v>
      </c>
      <c r="H48" s="3">
        <f t="shared" si="0"/>
        <v>4</v>
      </c>
      <c r="I48" t="s">
        <v>751</v>
      </c>
    </row>
    <row r="49" spans="1:9" ht="18.75" customHeight="1" x14ac:dyDescent="0.25">
      <c r="A49" s="4">
        <v>23959</v>
      </c>
      <c r="B49" s="5" t="s">
        <v>292</v>
      </c>
      <c r="C49" s="3"/>
      <c r="D49" s="3"/>
      <c r="E49" s="5" t="s">
        <v>371</v>
      </c>
      <c r="F49" s="70">
        <v>0</v>
      </c>
      <c r="G49" s="3">
        <v>1</v>
      </c>
      <c r="H49" s="3">
        <f t="shared" si="0"/>
        <v>2</v>
      </c>
      <c r="I49" t="s">
        <v>751</v>
      </c>
    </row>
    <row r="50" spans="1:9" ht="18.75" customHeight="1" x14ac:dyDescent="0.25">
      <c r="A50" s="22">
        <v>23960</v>
      </c>
      <c r="B50" s="35" t="s">
        <v>293</v>
      </c>
      <c r="C50" s="22"/>
      <c r="D50" s="22"/>
      <c r="E50" s="51" t="s">
        <v>280</v>
      </c>
      <c r="F50" s="35">
        <v>1</v>
      </c>
      <c r="G50" s="3">
        <v>0</v>
      </c>
      <c r="H50" s="3">
        <f t="shared" si="0"/>
        <v>4</v>
      </c>
      <c r="I50" t="s">
        <v>752</v>
      </c>
    </row>
    <row r="51" spans="1:9" ht="18.75" customHeight="1" x14ac:dyDescent="0.25">
      <c r="A51" s="4">
        <v>23960</v>
      </c>
      <c r="B51" s="5" t="s">
        <v>293</v>
      </c>
      <c r="C51" s="3"/>
      <c r="D51" s="3"/>
      <c r="E51" s="5" t="s">
        <v>280</v>
      </c>
      <c r="F51" s="70">
        <v>0</v>
      </c>
      <c r="G51" s="3">
        <v>1</v>
      </c>
      <c r="H51" s="3">
        <f t="shared" si="0"/>
        <v>2</v>
      </c>
      <c r="I51" t="s">
        <v>752</v>
      </c>
    </row>
    <row r="52" spans="1:9" ht="18.75" customHeight="1" x14ac:dyDescent="0.25">
      <c r="A52" s="4">
        <v>26797</v>
      </c>
      <c r="B52" s="5" t="s">
        <v>374</v>
      </c>
      <c r="C52" s="3"/>
      <c r="D52" s="3"/>
      <c r="E52" s="5" t="s">
        <v>375</v>
      </c>
      <c r="F52" s="70">
        <v>0</v>
      </c>
      <c r="G52" s="3">
        <v>1</v>
      </c>
      <c r="H52" s="3">
        <f t="shared" si="0"/>
        <v>2</v>
      </c>
      <c r="I52" t="s">
        <v>753</v>
      </c>
    </row>
    <row r="53" spans="1:9" ht="18.75" customHeight="1" x14ac:dyDescent="0.25">
      <c r="A53" s="4">
        <v>24098</v>
      </c>
      <c r="B53" s="111" t="s">
        <v>372</v>
      </c>
      <c r="C53" s="3"/>
      <c r="D53" s="3"/>
      <c r="E53" s="5" t="s">
        <v>373</v>
      </c>
      <c r="F53" s="70">
        <v>0</v>
      </c>
      <c r="G53" s="3">
        <v>1</v>
      </c>
      <c r="H53" s="3">
        <f t="shared" si="0"/>
        <v>2</v>
      </c>
    </row>
    <row r="54" spans="1:9" ht="18.75" customHeight="1" x14ac:dyDescent="0.25">
      <c r="A54" s="4">
        <v>14647</v>
      </c>
      <c r="B54" s="5" t="s">
        <v>347</v>
      </c>
      <c r="C54" s="3"/>
      <c r="D54" s="3"/>
      <c r="E54" s="5" t="s">
        <v>348</v>
      </c>
      <c r="F54" s="70">
        <v>0</v>
      </c>
      <c r="G54" s="3">
        <v>2</v>
      </c>
      <c r="H54" s="3">
        <f t="shared" si="0"/>
        <v>4</v>
      </c>
      <c r="I54" t="s">
        <v>704</v>
      </c>
    </row>
    <row r="55" spans="1:9" ht="18.75" customHeight="1" x14ac:dyDescent="0.25">
      <c r="A55" s="22">
        <v>26796</v>
      </c>
      <c r="B55" s="112" t="s">
        <v>290</v>
      </c>
      <c r="C55" s="22"/>
      <c r="D55" s="22"/>
      <c r="E55" s="51" t="s">
        <v>277</v>
      </c>
      <c r="F55" s="35">
        <v>1</v>
      </c>
      <c r="G55" s="3">
        <v>0</v>
      </c>
      <c r="H55" s="3">
        <f t="shared" si="0"/>
        <v>4</v>
      </c>
    </row>
    <row r="56" spans="1:9" ht="18.75" customHeight="1" x14ac:dyDescent="0.25">
      <c r="A56" s="4" t="s">
        <v>13</v>
      </c>
      <c r="B56" s="5" t="s">
        <v>376</v>
      </c>
      <c r="C56" s="3"/>
      <c r="D56" s="3"/>
      <c r="E56" s="5" t="s">
        <v>377</v>
      </c>
      <c r="F56" s="70">
        <v>0</v>
      </c>
      <c r="G56" s="3">
        <v>1</v>
      </c>
      <c r="H56" s="3">
        <f t="shared" si="0"/>
        <v>2</v>
      </c>
      <c r="I56" t="s">
        <v>754</v>
      </c>
    </row>
    <row r="57" spans="1:9" ht="18.75" customHeight="1" x14ac:dyDescent="0.25">
      <c r="A57" s="22">
        <v>23573</v>
      </c>
      <c r="B57" s="112" t="s">
        <v>294</v>
      </c>
      <c r="C57" s="22"/>
      <c r="D57" s="22"/>
      <c r="E57" s="51" t="s">
        <v>281</v>
      </c>
      <c r="F57" s="35">
        <v>1</v>
      </c>
      <c r="G57" s="3">
        <v>0</v>
      </c>
      <c r="H57" s="3">
        <f t="shared" si="0"/>
        <v>4</v>
      </c>
      <c r="I57" s="117" t="s">
        <v>770</v>
      </c>
    </row>
    <row r="58" spans="1:9" ht="18.75" customHeight="1" x14ac:dyDescent="0.25">
      <c r="A58" s="4">
        <v>13473</v>
      </c>
      <c r="B58" s="5" t="s">
        <v>378</v>
      </c>
      <c r="C58" s="3"/>
      <c r="D58" s="3"/>
      <c r="E58" s="5" t="s">
        <v>379</v>
      </c>
      <c r="F58" s="70">
        <v>0</v>
      </c>
      <c r="G58" s="3">
        <v>2</v>
      </c>
      <c r="H58" s="3">
        <f t="shared" si="0"/>
        <v>4</v>
      </c>
      <c r="I58" t="s">
        <v>710</v>
      </c>
    </row>
    <row r="59" spans="1:9" ht="29.25" customHeight="1" x14ac:dyDescent="0.25">
      <c r="A59" s="4" t="s">
        <v>13</v>
      </c>
      <c r="B59" s="5" t="s">
        <v>380</v>
      </c>
      <c r="C59" s="3"/>
      <c r="D59" s="3"/>
      <c r="E59" s="5" t="s">
        <v>381</v>
      </c>
      <c r="F59" s="70">
        <v>0</v>
      </c>
      <c r="G59" s="3">
        <v>1</v>
      </c>
      <c r="H59" s="3">
        <f t="shared" si="0"/>
        <v>2</v>
      </c>
      <c r="I59" t="s">
        <v>647</v>
      </c>
    </row>
    <row r="60" spans="1:9" ht="18.75" customHeight="1" x14ac:dyDescent="0.25">
      <c r="A60" s="4">
        <v>23329</v>
      </c>
      <c r="B60" s="5" t="s">
        <v>382</v>
      </c>
      <c r="C60" s="3"/>
      <c r="D60" s="3"/>
      <c r="E60" s="5" t="s">
        <v>383</v>
      </c>
      <c r="F60" s="70">
        <v>0</v>
      </c>
      <c r="G60" s="3">
        <v>2</v>
      </c>
      <c r="H60" s="3">
        <f t="shared" si="0"/>
        <v>4</v>
      </c>
      <c r="I60" t="s">
        <v>755</v>
      </c>
    </row>
    <row r="61" spans="1:9" ht="18.75" customHeight="1" x14ac:dyDescent="0.25">
      <c r="A61" s="4">
        <v>23567</v>
      </c>
      <c r="B61" s="5" t="s">
        <v>384</v>
      </c>
      <c r="C61" s="3"/>
      <c r="D61" s="3"/>
      <c r="E61" s="5" t="s">
        <v>385</v>
      </c>
      <c r="F61" s="70">
        <v>0</v>
      </c>
      <c r="G61" s="3">
        <v>1</v>
      </c>
      <c r="H61" s="3">
        <f t="shared" si="0"/>
        <v>2</v>
      </c>
      <c r="I61" t="s">
        <v>756</v>
      </c>
    </row>
    <row r="62" spans="1:9" ht="18.75" customHeight="1" x14ac:dyDescent="0.25">
      <c r="A62" s="4">
        <v>9735</v>
      </c>
      <c r="B62" s="5" t="s">
        <v>386</v>
      </c>
      <c r="C62" s="3"/>
      <c r="D62" s="3"/>
      <c r="E62" s="5" t="s">
        <v>387</v>
      </c>
      <c r="F62" s="70">
        <v>0</v>
      </c>
      <c r="G62" s="3">
        <v>2</v>
      </c>
      <c r="H62" s="3">
        <f t="shared" si="0"/>
        <v>4</v>
      </c>
      <c r="I62" t="s">
        <v>719</v>
      </c>
    </row>
    <row r="63" spans="1:9" ht="18.75" customHeight="1" x14ac:dyDescent="0.25">
      <c r="A63" s="4">
        <v>14129</v>
      </c>
      <c r="B63" s="5" t="s">
        <v>388</v>
      </c>
      <c r="C63" s="3"/>
      <c r="D63" s="3"/>
      <c r="E63" s="5" t="s">
        <v>389</v>
      </c>
      <c r="F63" s="70">
        <v>0</v>
      </c>
      <c r="G63" s="3">
        <v>1</v>
      </c>
      <c r="H63" s="3">
        <f t="shared" si="0"/>
        <v>2</v>
      </c>
      <c r="I63" s="93" t="s">
        <v>573</v>
      </c>
    </row>
    <row r="64" spans="1:9" ht="18.75" customHeight="1" x14ac:dyDescent="0.25">
      <c r="A64" s="4">
        <v>866</v>
      </c>
      <c r="B64" s="5" t="s">
        <v>390</v>
      </c>
      <c r="C64" s="3"/>
      <c r="D64" s="3"/>
      <c r="E64" s="5" t="s">
        <v>391</v>
      </c>
      <c r="F64" s="70">
        <v>0</v>
      </c>
      <c r="G64" s="3">
        <v>1</v>
      </c>
      <c r="H64" s="3">
        <f t="shared" si="0"/>
        <v>2</v>
      </c>
      <c r="I64" t="s">
        <v>757</v>
      </c>
    </row>
    <row r="65" spans="1:9" ht="18.75" customHeight="1" x14ac:dyDescent="0.25">
      <c r="A65" s="4">
        <v>16507</v>
      </c>
      <c r="B65" s="5" t="s">
        <v>392</v>
      </c>
      <c r="C65" s="3"/>
      <c r="D65" s="3"/>
      <c r="E65" s="5" t="s">
        <v>393</v>
      </c>
      <c r="F65" s="70">
        <v>0</v>
      </c>
      <c r="G65" s="3">
        <v>1</v>
      </c>
      <c r="H65" s="3">
        <f t="shared" si="0"/>
        <v>2</v>
      </c>
      <c r="I65" t="s">
        <v>658</v>
      </c>
    </row>
    <row r="66" spans="1:9" x14ac:dyDescent="0.25">
      <c r="G66" s="66"/>
    </row>
    <row r="67" spans="1:9" x14ac:dyDescent="0.25">
      <c r="G67" s="66"/>
    </row>
  </sheetData>
  <autoFilter ref="A1:H65" xr:uid="{A9DCF930-B5DC-4D42-BD79-D9FE8943ED10}"/>
  <sortState xmlns:xlrd2="http://schemas.microsoft.com/office/spreadsheetml/2017/richdata2" ref="A3:H65">
    <sortCondition ref="B4:B65"/>
  </sortState>
  <pageMargins left="0.511811024" right="0.511811024" top="0.78740157499999996" bottom="0.78740157499999996"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A06DD-8E3A-4AFF-8E21-C400D99042DB}">
  <dimension ref="A1:J57"/>
  <sheetViews>
    <sheetView topLeftCell="A52" workbookViewId="0">
      <selection activeCell="B3" sqref="B3:B57"/>
    </sheetView>
  </sheetViews>
  <sheetFormatPr defaultRowHeight="15" x14ac:dyDescent="0.25"/>
  <cols>
    <col min="1" max="1" width="10.42578125" bestFit="1" customWidth="1"/>
    <col min="2" max="2" width="44" customWidth="1"/>
    <col min="3" max="3" width="14.28515625" hidden="1" customWidth="1"/>
    <col min="4" max="4" width="0" hidden="1" customWidth="1"/>
    <col min="5" max="5" width="98.5703125" hidden="1" customWidth="1"/>
    <col min="6" max="7" width="16.140625" hidden="1" customWidth="1"/>
    <col min="8" max="8" width="17.85546875" customWidth="1"/>
    <col min="9" max="9" width="9.42578125" bestFit="1" customWidth="1"/>
  </cols>
  <sheetData>
    <row r="1" spans="1:10" ht="18" customHeight="1" x14ac:dyDescent="0.25">
      <c r="A1" s="8" t="s">
        <v>0</v>
      </c>
      <c r="B1" s="7" t="s">
        <v>1</v>
      </c>
      <c r="C1" s="8" t="s">
        <v>2</v>
      </c>
      <c r="D1" s="8" t="s">
        <v>3</v>
      </c>
      <c r="E1" s="69" t="s">
        <v>4</v>
      </c>
      <c r="F1" s="1" t="s">
        <v>473</v>
      </c>
      <c r="G1" s="1" t="s">
        <v>474</v>
      </c>
      <c r="H1" s="68" t="s">
        <v>127</v>
      </c>
      <c r="I1" s="109" t="s">
        <v>571</v>
      </c>
    </row>
    <row r="2" spans="1:10" ht="18" hidden="1" customHeight="1" x14ac:dyDescent="0.25">
      <c r="A2" s="8"/>
      <c r="B2" s="7"/>
      <c r="C2" s="8"/>
      <c r="D2" s="8"/>
      <c r="E2" s="69" t="s">
        <v>84</v>
      </c>
      <c r="F2" s="7">
        <v>5</v>
      </c>
      <c r="G2" s="10">
        <v>2</v>
      </c>
      <c r="H2" s="71"/>
    </row>
    <row r="3" spans="1:10" ht="18" customHeight="1" x14ac:dyDescent="0.25">
      <c r="A3" s="22">
        <v>14045</v>
      </c>
      <c r="B3" s="35" t="s">
        <v>475</v>
      </c>
      <c r="C3" s="22" t="s">
        <v>476</v>
      </c>
      <c r="D3" s="22">
        <v>458227</v>
      </c>
      <c r="E3" s="51" t="s">
        <v>477</v>
      </c>
      <c r="F3" s="25">
        <v>0</v>
      </c>
      <c r="G3" s="35">
        <v>1</v>
      </c>
      <c r="H3" s="79">
        <f>($F$2*F3)+($G$2*G3)</f>
        <v>2</v>
      </c>
      <c r="I3" t="s">
        <v>672</v>
      </c>
    </row>
    <row r="4" spans="1:10" ht="18" customHeight="1" x14ac:dyDescent="0.25">
      <c r="A4" s="22">
        <v>23732</v>
      </c>
      <c r="B4" s="35" t="s">
        <v>402</v>
      </c>
      <c r="C4" s="22"/>
      <c r="D4" s="22"/>
      <c r="E4" s="51" t="s">
        <v>403</v>
      </c>
      <c r="F4" s="35">
        <v>1</v>
      </c>
      <c r="G4" s="6">
        <v>0</v>
      </c>
      <c r="H4" s="79">
        <f t="shared" ref="H4:H57" si="0">($F$2*F4)+($G$2*G4)</f>
        <v>5</v>
      </c>
      <c r="I4" t="s">
        <v>673</v>
      </c>
    </row>
    <row r="5" spans="1:10" ht="18" customHeight="1" x14ac:dyDescent="0.25">
      <c r="A5" s="22">
        <v>23730</v>
      </c>
      <c r="B5" s="35" t="s">
        <v>398</v>
      </c>
      <c r="C5" s="22"/>
      <c r="D5" s="22"/>
      <c r="E5" s="51" t="s">
        <v>399</v>
      </c>
      <c r="F5" s="35">
        <v>2</v>
      </c>
      <c r="G5" s="6">
        <v>0</v>
      </c>
      <c r="H5" s="79">
        <f t="shared" si="0"/>
        <v>10</v>
      </c>
      <c r="I5" t="s">
        <v>674</v>
      </c>
    </row>
    <row r="6" spans="1:10" ht="18" customHeight="1" x14ac:dyDescent="0.25">
      <c r="A6" s="22">
        <v>23791</v>
      </c>
      <c r="B6" s="35" t="s">
        <v>408</v>
      </c>
      <c r="C6" s="22"/>
      <c r="D6" s="22"/>
      <c r="E6" s="51" t="s">
        <v>409</v>
      </c>
      <c r="F6" s="35">
        <v>1</v>
      </c>
      <c r="G6" s="6">
        <v>0</v>
      </c>
      <c r="H6" s="79">
        <f t="shared" si="0"/>
        <v>5</v>
      </c>
      <c r="I6" s="106" t="s">
        <v>675</v>
      </c>
      <c r="J6" t="s">
        <v>676</v>
      </c>
    </row>
    <row r="7" spans="1:10" ht="18" customHeight="1" x14ac:dyDescent="0.25">
      <c r="A7" s="22">
        <v>23737</v>
      </c>
      <c r="B7" s="35" t="s">
        <v>406</v>
      </c>
      <c r="C7" s="22"/>
      <c r="D7" s="22"/>
      <c r="E7" s="51" t="s">
        <v>407</v>
      </c>
      <c r="F7" s="35">
        <v>1</v>
      </c>
      <c r="G7" s="6">
        <v>0</v>
      </c>
      <c r="H7" s="79">
        <f t="shared" si="0"/>
        <v>5</v>
      </c>
      <c r="I7" s="106" t="s">
        <v>677</v>
      </c>
      <c r="J7" t="s">
        <v>676</v>
      </c>
    </row>
    <row r="8" spans="1:10" ht="18" customHeight="1" x14ac:dyDescent="0.25">
      <c r="A8" s="22">
        <v>14032</v>
      </c>
      <c r="B8" s="35" t="s">
        <v>492</v>
      </c>
      <c r="C8" s="22" t="s">
        <v>493</v>
      </c>
      <c r="D8" s="22">
        <v>484450</v>
      </c>
      <c r="E8" s="51" t="s">
        <v>494</v>
      </c>
      <c r="F8" s="70">
        <v>0</v>
      </c>
      <c r="G8" s="35">
        <v>1</v>
      </c>
      <c r="H8" s="79">
        <f t="shared" si="0"/>
        <v>2</v>
      </c>
      <c r="I8" t="s">
        <v>678</v>
      </c>
    </row>
    <row r="9" spans="1:10" ht="18" customHeight="1" x14ac:dyDescent="0.25">
      <c r="A9" s="22">
        <v>23735</v>
      </c>
      <c r="B9" s="35" t="s">
        <v>416</v>
      </c>
      <c r="C9" s="22"/>
      <c r="D9" s="22"/>
      <c r="E9" s="51" t="s">
        <v>417</v>
      </c>
      <c r="F9" s="35">
        <v>1</v>
      </c>
      <c r="G9" s="6">
        <v>0</v>
      </c>
      <c r="H9" s="79">
        <f t="shared" si="0"/>
        <v>5</v>
      </c>
      <c r="I9" s="106" t="s">
        <v>679</v>
      </c>
      <c r="J9" t="s">
        <v>676</v>
      </c>
    </row>
    <row r="10" spans="1:10" ht="18" customHeight="1" x14ac:dyDescent="0.25">
      <c r="A10" s="22" t="s">
        <v>13</v>
      </c>
      <c r="B10" s="35" t="s">
        <v>410</v>
      </c>
      <c r="C10" s="22"/>
      <c r="D10" s="22"/>
      <c r="E10" s="51" t="s">
        <v>411</v>
      </c>
      <c r="F10" s="35">
        <v>2</v>
      </c>
      <c r="G10" s="6">
        <v>0</v>
      </c>
      <c r="H10" s="79">
        <f t="shared" si="0"/>
        <v>10</v>
      </c>
      <c r="I10" t="s">
        <v>680</v>
      </c>
    </row>
    <row r="11" spans="1:10" ht="18" customHeight="1" x14ac:dyDescent="0.25">
      <c r="A11" s="22">
        <v>9738</v>
      </c>
      <c r="B11" s="25" t="s">
        <v>300</v>
      </c>
      <c r="C11" s="22"/>
      <c r="D11" s="22"/>
      <c r="E11" s="51" t="s">
        <v>301</v>
      </c>
      <c r="F11" s="35">
        <v>1</v>
      </c>
      <c r="G11" s="6">
        <v>0</v>
      </c>
      <c r="H11" s="79">
        <f t="shared" si="0"/>
        <v>5</v>
      </c>
      <c r="I11" s="99" t="s">
        <v>584</v>
      </c>
    </row>
    <row r="12" spans="1:10" ht="18" customHeight="1" x14ac:dyDescent="0.25">
      <c r="A12" s="22">
        <v>14148</v>
      </c>
      <c r="B12" s="35" t="s">
        <v>302</v>
      </c>
      <c r="C12" s="22" t="s">
        <v>481</v>
      </c>
      <c r="D12" s="22">
        <v>288872</v>
      </c>
      <c r="E12" s="51" t="s">
        <v>482</v>
      </c>
      <c r="F12" s="25">
        <v>0</v>
      </c>
      <c r="G12" s="35">
        <v>1</v>
      </c>
      <c r="H12" s="79">
        <f t="shared" si="0"/>
        <v>2</v>
      </c>
      <c r="I12" t="s">
        <v>598</v>
      </c>
    </row>
    <row r="13" spans="1:10" ht="18" customHeight="1" x14ac:dyDescent="0.25">
      <c r="A13" s="22">
        <v>23738</v>
      </c>
      <c r="B13" s="35" t="s">
        <v>412</v>
      </c>
      <c r="C13" s="22"/>
      <c r="D13" s="22"/>
      <c r="E13" s="51" t="s">
        <v>413</v>
      </c>
      <c r="F13" s="35">
        <v>2</v>
      </c>
      <c r="G13" s="6">
        <v>0</v>
      </c>
      <c r="H13" s="79">
        <f t="shared" si="0"/>
        <v>10</v>
      </c>
      <c r="I13" t="s">
        <v>681</v>
      </c>
    </row>
    <row r="14" spans="1:10" ht="18" customHeight="1" x14ac:dyDescent="0.25">
      <c r="A14" s="22">
        <v>23739</v>
      </c>
      <c r="B14" s="35" t="s">
        <v>414</v>
      </c>
      <c r="C14" s="22"/>
      <c r="D14" s="22"/>
      <c r="E14" s="51" t="s">
        <v>415</v>
      </c>
      <c r="F14" s="35">
        <v>2</v>
      </c>
      <c r="G14" s="6">
        <v>0</v>
      </c>
      <c r="H14" s="79">
        <f t="shared" si="0"/>
        <v>10</v>
      </c>
      <c r="I14" t="s">
        <v>682</v>
      </c>
    </row>
    <row r="15" spans="1:10" ht="18" customHeight="1" x14ac:dyDescent="0.25">
      <c r="A15" s="22">
        <v>23800</v>
      </c>
      <c r="B15" s="35" t="s">
        <v>429</v>
      </c>
      <c r="C15" s="50"/>
      <c r="D15" s="50"/>
      <c r="E15" s="51" t="s">
        <v>430</v>
      </c>
      <c r="F15" s="35">
        <v>1</v>
      </c>
      <c r="G15" s="78">
        <v>0</v>
      </c>
      <c r="H15" s="79">
        <f t="shared" si="0"/>
        <v>5</v>
      </c>
      <c r="I15" t="s">
        <v>683</v>
      </c>
    </row>
    <row r="16" spans="1:10" ht="18" customHeight="1" x14ac:dyDescent="0.25">
      <c r="A16" s="22">
        <v>14015</v>
      </c>
      <c r="B16" s="35" t="s">
        <v>483</v>
      </c>
      <c r="C16" s="22" t="s">
        <v>484</v>
      </c>
      <c r="D16" s="22">
        <v>477667</v>
      </c>
      <c r="E16" s="51" t="s">
        <v>485</v>
      </c>
      <c r="F16" s="25">
        <v>0</v>
      </c>
      <c r="G16" s="35">
        <v>1</v>
      </c>
      <c r="H16" s="79">
        <f t="shared" si="0"/>
        <v>2</v>
      </c>
      <c r="I16" t="s">
        <v>684</v>
      </c>
    </row>
    <row r="17" spans="1:9" ht="18" customHeight="1" x14ac:dyDescent="0.25">
      <c r="A17" s="22">
        <v>14017</v>
      </c>
      <c r="B17" s="35" t="s">
        <v>486</v>
      </c>
      <c r="C17" s="22" t="s">
        <v>487</v>
      </c>
      <c r="D17" s="22">
        <v>477669</v>
      </c>
      <c r="E17" s="51" t="s">
        <v>488</v>
      </c>
      <c r="F17" s="70">
        <v>0</v>
      </c>
      <c r="G17" s="35">
        <v>1</v>
      </c>
      <c r="H17" s="79">
        <f t="shared" si="0"/>
        <v>2</v>
      </c>
      <c r="I17" t="s">
        <v>685</v>
      </c>
    </row>
    <row r="18" spans="1:9" ht="18" customHeight="1" x14ac:dyDescent="0.25">
      <c r="A18" s="22">
        <v>14018</v>
      </c>
      <c r="B18" s="35" t="s">
        <v>489</v>
      </c>
      <c r="C18" s="22" t="s">
        <v>490</v>
      </c>
      <c r="D18" s="22">
        <v>477671</v>
      </c>
      <c r="E18" s="51" t="s">
        <v>491</v>
      </c>
      <c r="F18" s="70">
        <v>0</v>
      </c>
      <c r="G18" s="35">
        <v>1</v>
      </c>
      <c r="H18" s="79">
        <f t="shared" si="0"/>
        <v>2</v>
      </c>
      <c r="I18" t="s">
        <v>686</v>
      </c>
    </row>
    <row r="19" spans="1:9" ht="18" customHeight="1" x14ac:dyDescent="0.25">
      <c r="A19" s="22">
        <v>23745</v>
      </c>
      <c r="B19" s="35" t="s">
        <v>418</v>
      </c>
      <c r="C19" s="22"/>
      <c r="D19" s="22"/>
      <c r="E19" s="51" t="s">
        <v>419</v>
      </c>
      <c r="F19" s="35">
        <v>1</v>
      </c>
      <c r="G19" s="6">
        <v>0</v>
      </c>
      <c r="H19" s="79">
        <f t="shared" si="0"/>
        <v>5</v>
      </c>
      <c r="I19" t="s">
        <v>687</v>
      </c>
    </row>
    <row r="20" spans="1:9" ht="18" customHeight="1" x14ac:dyDescent="0.25">
      <c r="A20" s="22">
        <v>14029</v>
      </c>
      <c r="B20" s="35" t="s">
        <v>312</v>
      </c>
      <c r="C20" s="22"/>
      <c r="D20" s="22"/>
      <c r="E20" s="51" t="s">
        <v>420</v>
      </c>
      <c r="F20" s="35">
        <v>1</v>
      </c>
      <c r="G20" s="6">
        <v>0</v>
      </c>
      <c r="H20" s="79">
        <f t="shared" si="0"/>
        <v>5</v>
      </c>
      <c r="I20" t="s">
        <v>688</v>
      </c>
    </row>
    <row r="21" spans="1:9" ht="18" customHeight="1" x14ac:dyDescent="0.25">
      <c r="A21" s="22">
        <v>23886</v>
      </c>
      <c r="B21" s="35" t="s">
        <v>421</v>
      </c>
      <c r="C21" s="22"/>
      <c r="D21" s="22"/>
      <c r="E21" s="51" t="s">
        <v>422</v>
      </c>
      <c r="F21" s="35">
        <v>1</v>
      </c>
      <c r="G21" s="6">
        <v>0</v>
      </c>
      <c r="H21" s="79">
        <f t="shared" si="0"/>
        <v>5</v>
      </c>
      <c r="I21" t="s">
        <v>689</v>
      </c>
    </row>
    <row r="22" spans="1:9" ht="18" customHeight="1" x14ac:dyDescent="0.25">
      <c r="A22" s="22">
        <v>14020</v>
      </c>
      <c r="B22" s="35" t="s">
        <v>495</v>
      </c>
      <c r="C22" s="22" t="s">
        <v>496</v>
      </c>
      <c r="D22" s="22">
        <v>484370</v>
      </c>
      <c r="E22" s="51" t="s">
        <v>497</v>
      </c>
      <c r="F22" s="70">
        <v>0</v>
      </c>
      <c r="G22" s="35">
        <v>1</v>
      </c>
      <c r="H22" s="79">
        <f t="shared" si="0"/>
        <v>2</v>
      </c>
      <c r="I22" t="s">
        <v>690</v>
      </c>
    </row>
    <row r="23" spans="1:9" ht="18" customHeight="1" x14ac:dyDescent="0.25">
      <c r="A23" s="22" t="s">
        <v>505</v>
      </c>
      <c r="B23" s="35" t="s">
        <v>506</v>
      </c>
      <c r="C23" s="22" t="s">
        <v>13</v>
      </c>
      <c r="D23" s="22" t="s">
        <v>13</v>
      </c>
      <c r="E23" s="51" t="s">
        <v>507</v>
      </c>
      <c r="F23" s="70">
        <v>0</v>
      </c>
      <c r="G23" s="35">
        <v>1</v>
      </c>
      <c r="H23" s="79">
        <f t="shared" si="0"/>
        <v>2</v>
      </c>
      <c r="I23" t="s">
        <v>691</v>
      </c>
    </row>
    <row r="24" spans="1:9" ht="18" customHeight="1" x14ac:dyDescent="0.25">
      <c r="A24" s="22">
        <v>14023</v>
      </c>
      <c r="B24" s="23" t="s">
        <v>423</v>
      </c>
      <c r="C24" s="22"/>
      <c r="D24" s="22"/>
      <c r="E24" s="51" t="s">
        <v>424</v>
      </c>
      <c r="F24" s="35">
        <v>1</v>
      </c>
      <c r="G24" s="6">
        <v>0</v>
      </c>
      <c r="H24" s="79">
        <f t="shared" si="0"/>
        <v>5</v>
      </c>
      <c r="I24" t="s">
        <v>692</v>
      </c>
    </row>
    <row r="25" spans="1:9" ht="18" customHeight="1" x14ac:dyDescent="0.25">
      <c r="A25" s="22">
        <v>14024</v>
      </c>
      <c r="B25" s="35" t="s">
        <v>425</v>
      </c>
      <c r="C25" s="22"/>
      <c r="D25" s="22"/>
      <c r="E25" s="51" t="s">
        <v>426</v>
      </c>
      <c r="F25" s="35">
        <v>1</v>
      </c>
      <c r="G25" s="6">
        <v>0</v>
      </c>
      <c r="H25" s="79">
        <f t="shared" si="0"/>
        <v>5</v>
      </c>
      <c r="I25" t="s">
        <v>693</v>
      </c>
    </row>
    <row r="26" spans="1:9" ht="18" customHeight="1" x14ac:dyDescent="0.25">
      <c r="A26" s="22">
        <v>14025</v>
      </c>
      <c r="B26" s="35" t="s">
        <v>427</v>
      </c>
      <c r="C26" s="22"/>
      <c r="D26" s="22"/>
      <c r="E26" s="51" t="s">
        <v>428</v>
      </c>
      <c r="F26" s="35">
        <v>1</v>
      </c>
      <c r="G26" s="6">
        <v>0</v>
      </c>
      <c r="H26" s="79">
        <f t="shared" si="0"/>
        <v>5</v>
      </c>
      <c r="I26" t="s">
        <v>694</v>
      </c>
    </row>
    <row r="27" spans="1:9" ht="18" customHeight="1" x14ac:dyDescent="0.25">
      <c r="A27" s="22">
        <v>14034</v>
      </c>
      <c r="B27" s="35" t="s">
        <v>431</v>
      </c>
      <c r="C27" s="50"/>
      <c r="D27" s="50"/>
      <c r="E27" s="51" t="s">
        <v>432</v>
      </c>
      <c r="F27" s="3">
        <v>1</v>
      </c>
      <c r="G27" s="78">
        <v>0</v>
      </c>
      <c r="H27" s="79">
        <f t="shared" si="0"/>
        <v>5</v>
      </c>
      <c r="I27" t="s">
        <v>695</v>
      </c>
    </row>
    <row r="28" spans="1:9" ht="18" customHeight="1" x14ac:dyDescent="0.25">
      <c r="A28" s="22">
        <v>13635</v>
      </c>
      <c r="B28" s="35" t="s">
        <v>404</v>
      </c>
      <c r="C28" s="22"/>
      <c r="D28" s="22"/>
      <c r="E28" s="51" t="s">
        <v>405</v>
      </c>
      <c r="F28" s="35">
        <v>2</v>
      </c>
      <c r="G28" s="6">
        <v>0</v>
      </c>
      <c r="H28" s="79">
        <f t="shared" si="0"/>
        <v>10</v>
      </c>
      <c r="I28" s="99" t="s">
        <v>583</v>
      </c>
    </row>
    <row r="29" spans="1:9" ht="18" customHeight="1" x14ac:dyDescent="0.25">
      <c r="A29" s="22">
        <v>23962</v>
      </c>
      <c r="B29" s="35" t="s">
        <v>400</v>
      </c>
      <c r="C29" s="22"/>
      <c r="D29" s="22"/>
      <c r="E29" s="51" t="s">
        <v>401</v>
      </c>
      <c r="F29" s="35">
        <v>1</v>
      </c>
      <c r="G29" s="6">
        <v>0</v>
      </c>
      <c r="H29" s="79">
        <f t="shared" si="0"/>
        <v>5</v>
      </c>
      <c r="I29" t="s">
        <v>696</v>
      </c>
    </row>
    <row r="30" spans="1:9" ht="18" customHeight="1" x14ac:dyDescent="0.25">
      <c r="A30" s="4" t="s">
        <v>13</v>
      </c>
      <c r="B30" s="3" t="s">
        <v>433</v>
      </c>
      <c r="C30" s="3"/>
      <c r="D30" s="3"/>
      <c r="E30" s="5" t="s">
        <v>434</v>
      </c>
      <c r="F30" s="3">
        <v>1</v>
      </c>
      <c r="G30" s="78">
        <v>0</v>
      </c>
      <c r="H30" s="79">
        <f t="shared" si="0"/>
        <v>5</v>
      </c>
      <c r="I30" t="s">
        <v>697</v>
      </c>
    </row>
    <row r="31" spans="1:9" ht="18" customHeight="1" x14ac:dyDescent="0.25">
      <c r="A31" s="22" t="s">
        <v>13</v>
      </c>
      <c r="B31" s="35" t="s">
        <v>435</v>
      </c>
      <c r="C31" s="22"/>
      <c r="D31" s="22"/>
      <c r="E31" s="51" t="s">
        <v>436</v>
      </c>
      <c r="F31" s="3">
        <v>1</v>
      </c>
      <c r="G31" s="78">
        <v>0</v>
      </c>
      <c r="H31" s="79">
        <f t="shared" si="0"/>
        <v>5</v>
      </c>
      <c r="I31" t="s">
        <v>698</v>
      </c>
    </row>
    <row r="32" spans="1:9" ht="18" customHeight="1" x14ac:dyDescent="0.25">
      <c r="A32" s="4" t="s">
        <v>13</v>
      </c>
      <c r="B32" s="35" t="s">
        <v>437</v>
      </c>
      <c r="C32" s="3"/>
      <c r="D32" s="3"/>
      <c r="E32" s="51" t="s">
        <v>436</v>
      </c>
      <c r="F32" s="3">
        <v>1</v>
      </c>
      <c r="G32" s="78">
        <v>0</v>
      </c>
      <c r="H32" s="79">
        <f t="shared" si="0"/>
        <v>5</v>
      </c>
      <c r="I32" t="s">
        <v>699</v>
      </c>
    </row>
    <row r="33" spans="1:10" ht="18" customHeight="1" x14ac:dyDescent="0.25">
      <c r="A33" s="22">
        <v>23471</v>
      </c>
      <c r="B33" s="35" t="s">
        <v>498</v>
      </c>
      <c r="C33" s="22" t="s">
        <v>499</v>
      </c>
      <c r="D33" s="22">
        <v>467749</v>
      </c>
      <c r="E33" s="51" t="s">
        <v>500</v>
      </c>
      <c r="F33" s="70">
        <v>0</v>
      </c>
      <c r="G33" s="35">
        <v>1</v>
      </c>
      <c r="H33" s="79">
        <f t="shared" si="0"/>
        <v>2</v>
      </c>
      <c r="I33" t="s">
        <v>700</v>
      </c>
    </row>
    <row r="34" spans="1:10" ht="18" customHeight="1" x14ac:dyDescent="0.25">
      <c r="A34" s="22">
        <v>23727</v>
      </c>
      <c r="B34" s="35" t="s">
        <v>501</v>
      </c>
      <c r="C34" s="22" t="s">
        <v>502</v>
      </c>
      <c r="D34" s="22">
        <v>467760</v>
      </c>
      <c r="E34" s="51" t="s">
        <v>503</v>
      </c>
      <c r="F34" s="70">
        <v>0</v>
      </c>
      <c r="G34" s="35">
        <v>1</v>
      </c>
      <c r="H34" s="79">
        <f t="shared" si="0"/>
        <v>2</v>
      </c>
      <c r="I34" s="106" t="s">
        <v>701</v>
      </c>
      <c r="J34" t="s">
        <v>676</v>
      </c>
    </row>
    <row r="35" spans="1:10" ht="18" customHeight="1" x14ac:dyDescent="0.25">
      <c r="A35" s="4">
        <v>9728</v>
      </c>
      <c r="B35" s="3" t="s">
        <v>173</v>
      </c>
      <c r="C35" s="3" t="s">
        <v>174</v>
      </c>
      <c r="D35" s="3">
        <v>467873</v>
      </c>
      <c r="E35" s="5" t="s">
        <v>438</v>
      </c>
      <c r="F35" s="3">
        <v>1</v>
      </c>
      <c r="G35" s="78">
        <v>0</v>
      </c>
      <c r="H35" s="79">
        <f t="shared" si="0"/>
        <v>5</v>
      </c>
      <c r="I35" s="99" t="s">
        <v>582</v>
      </c>
    </row>
    <row r="36" spans="1:10" ht="18" customHeight="1" x14ac:dyDescent="0.25">
      <c r="A36" s="4" t="s">
        <v>13</v>
      </c>
      <c r="B36" s="3" t="s">
        <v>445</v>
      </c>
      <c r="C36" s="3"/>
      <c r="D36" s="3"/>
      <c r="E36" s="5" t="s">
        <v>446</v>
      </c>
      <c r="F36" s="3">
        <v>1</v>
      </c>
      <c r="G36" s="78">
        <v>0</v>
      </c>
      <c r="H36" s="79">
        <f t="shared" si="0"/>
        <v>5</v>
      </c>
      <c r="I36" t="s">
        <v>702</v>
      </c>
    </row>
    <row r="37" spans="1:10" ht="18" customHeight="1" x14ac:dyDescent="0.25">
      <c r="A37" s="4">
        <v>23752</v>
      </c>
      <c r="B37" s="3" t="s">
        <v>471</v>
      </c>
      <c r="C37" s="3"/>
      <c r="D37" s="3"/>
      <c r="E37" s="5" t="s">
        <v>472</v>
      </c>
      <c r="F37" s="3">
        <v>1</v>
      </c>
      <c r="G37" s="78">
        <v>0</v>
      </c>
      <c r="H37" s="79">
        <f t="shared" si="0"/>
        <v>5</v>
      </c>
      <c r="I37" t="s">
        <v>703</v>
      </c>
    </row>
    <row r="38" spans="1:10" ht="18" customHeight="1" x14ac:dyDescent="0.25">
      <c r="A38" s="4">
        <v>9733</v>
      </c>
      <c r="B38" s="5" t="s">
        <v>361</v>
      </c>
      <c r="C38" s="3"/>
      <c r="D38" s="3"/>
      <c r="E38" s="5" t="s">
        <v>362</v>
      </c>
      <c r="F38" s="3">
        <v>2</v>
      </c>
      <c r="G38" s="78">
        <v>0</v>
      </c>
      <c r="H38" s="79">
        <f t="shared" si="0"/>
        <v>10</v>
      </c>
      <c r="I38" s="93" t="s">
        <v>577</v>
      </c>
    </row>
    <row r="39" spans="1:10" ht="18" customHeight="1" x14ac:dyDescent="0.25">
      <c r="A39" s="4">
        <v>14647</v>
      </c>
      <c r="B39" s="5" t="s">
        <v>347</v>
      </c>
      <c r="C39" s="3"/>
      <c r="D39" s="3"/>
      <c r="E39" s="5" t="s">
        <v>348</v>
      </c>
      <c r="F39" s="3">
        <v>2</v>
      </c>
      <c r="G39" s="78">
        <v>0</v>
      </c>
      <c r="H39" s="79">
        <f t="shared" si="0"/>
        <v>10</v>
      </c>
      <c r="I39" t="s">
        <v>704</v>
      </c>
    </row>
    <row r="40" spans="1:10" ht="18" customHeight="1" x14ac:dyDescent="0.25">
      <c r="A40" s="4">
        <v>23821</v>
      </c>
      <c r="B40" s="3" t="s">
        <v>443</v>
      </c>
      <c r="C40" s="3"/>
      <c r="D40" s="3"/>
      <c r="E40" s="5" t="s">
        <v>444</v>
      </c>
      <c r="F40" s="3">
        <v>1</v>
      </c>
      <c r="G40" s="78">
        <v>0</v>
      </c>
      <c r="H40" s="79">
        <f t="shared" si="0"/>
        <v>5</v>
      </c>
      <c r="I40" t="s">
        <v>705</v>
      </c>
    </row>
    <row r="41" spans="1:10" ht="18" customHeight="1" x14ac:dyDescent="0.25">
      <c r="A41" s="4">
        <v>23817</v>
      </c>
      <c r="B41" s="3" t="s">
        <v>441</v>
      </c>
      <c r="C41" s="3"/>
      <c r="D41" s="3"/>
      <c r="E41" s="5" t="s">
        <v>442</v>
      </c>
      <c r="F41" s="3">
        <v>1</v>
      </c>
      <c r="G41" s="78">
        <v>0</v>
      </c>
      <c r="H41" s="79">
        <f t="shared" si="0"/>
        <v>5</v>
      </c>
      <c r="I41" t="s">
        <v>706</v>
      </c>
    </row>
    <row r="42" spans="1:10" ht="18" customHeight="1" x14ac:dyDescent="0.25">
      <c r="A42" s="4">
        <v>16414</v>
      </c>
      <c r="B42" s="3" t="s">
        <v>439</v>
      </c>
      <c r="C42" s="3"/>
      <c r="D42" s="3"/>
      <c r="E42" s="5" t="s">
        <v>440</v>
      </c>
      <c r="F42" s="3">
        <v>1</v>
      </c>
      <c r="G42" s="78">
        <v>0</v>
      </c>
      <c r="H42" s="79">
        <f t="shared" si="0"/>
        <v>5</v>
      </c>
      <c r="I42" t="s">
        <v>707</v>
      </c>
    </row>
    <row r="43" spans="1:10" ht="18" customHeight="1" x14ac:dyDescent="0.25">
      <c r="A43" s="22">
        <v>882</v>
      </c>
      <c r="B43" s="35" t="s">
        <v>478</v>
      </c>
      <c r="C43" s="22" t="s">
        <v>479</v>
      </c>
      <c r="D43" s="22">
        <v>475259</v>
      </c>
      <c r="E43" s="51" t="s">
        <v>480</v>
      </c>
      <c r="F43" s="25">
        <v>0</v>
      </c>
      <c r="G43" s="35">
        <v>1</v>
      </c>
      <c r="H43" s="79">
        <f t="shared" si="0"/>
        <v>2</v>
      </c>
      <c r="I43" t="s">
        <v>708</v>
      </c>
    </row>
    <row r="44" spans="1:10" ht="18" customHeight="1" x14ac:dyDescent="0.25">
      <c r="A44" s="4">
        <v>14473</v>
      </c>
      <c r="B44" s="3" t="s">
        <v>449</v>
      </c>
      <c r="C44" s="3"/>
      <c r="D44" s="3"/>
      <c r="E44" s="5" t="s">
        <v>450</v>
      </c>
      <c r="F44" s="3">
        <v>1</v>
      </c>
      <c r="G44" s="78">
        <v>0</v>
      </c>
      <c r="H44" s="79">
        <f t="shared" si="0"/>
        <v>5</v>
      </c>
      <c r="I44" t="s">
        <v>710</v>
      </c>
    </row>
    <row r="45" spans="1:10" ht="18" customHeight="1" x14ac:dyDescent="0.25">
      <c r="A45" s="4">
        <v>13475</v>
      </c>
      <c r="B45" s="3" t="s">
        <v>451</v>
      </c>
      <c r="C45" s="3"/>
      <c r="D45" s="3"/>
      <c r="E45" s="5" t="s">
        <v>452</v>
      </c>
      <c r="F45" s="3">
        <v>1</v>
      </c>
      <c r="G45" s="78">
        <v>0</v>
      </c>
      <c r="H45" s="79">
        <f t="shared" si="0"/>
        <v>5</v>
      </c>
      <c r="I45" t="s">
        <v>709</v>
      </c>
    </row>
    <row r="46" spans="1:10" ht="18" customHeight="1" x14ac:dyDescent="0.25">
      <c r="A46" s="4">
        <v>13476</v>
      </c>
      <c r="B46" s="3" t="s">
        <v>244</v>
      </c>
      <c r="C46" s="3" t="s">
        <v>245</v>
      </c>
      <c r="D46" s="3">
        <v>471155</v>
      </c>
      <c r="E46" s="5" t="s">
        <v>504</v>
      </c>
      <c r="F46" s="3">
        <v>0</v>
      </c>
      <c r="G46" s="78">
        <v>1</v>
      </c>
      <c r="H46" s="79">
        <f t="shared" si="0"/>
        <v>2</v>
      </c>
      <c r="I46" t="s">
        <v>645</v>
      </c>
    </row>
    <row r="47" spans="1:10" ht="18" customHeight="1" x14ac:dyDescent="0.25">
      <c r="A47" s="4">
        <v>23439</v>
      </c>
      <c r="B47" s="3" t="s">
        <v>447</v>
      </c>
      <c r="C47" s="3"/>
      <c r="D47" s="3"/>
      <c r="E47" s="5" t="s">
        <v>448</v>
      </c>
      <c r="F47" s="3">
        <v>1</v>
      </c>
      <c r="G47" s="78">
        <v>0</v>
      </c>
      <c r="H47" s="79">
        <f t="shared" si="0"/>
        <v>5</v>
      </c>
      <c r="I47" t="s">
        <v>711</v>
      </c>
    </row>
    <row r="48" spans="1:10" ht="18" customHeight="1" x14ac:dyDescent="0.25">
      <c r="A48" s="4">
        <v>14048</v>
      </c>
      <c r="B48" s="3" t="s">
        <v>453</v>
      </c>
      <c r="C48" s="3"/>
      <c r="D48" s="3"/>
      <c r="E48" s="5" t="s">
        <v>454</v>
      </c>
      <c r="F48" s="3">
        <v>1</v>
      </c>
      <c r="G48" s="78">
        <v>0</v>
      </c>
      <c r="H48" s="79">
        <f t="shared" si="0"/>
        <v>5</v>
      </c>
      <c r="I48" s="106" t="s">
        <v>713</v>
      </c>
    </row>
    <row r="49" spans="1:10" ht="18" customHeight="1" x14ac:dyDescent="0.25">
      <c r="A49" s="4">
        <v>14046</v>
      </c>
      <c r="B49" s="3" t="s">
        <v>455</v>
      </c>
      <c r="C49" s="3"/>
      <c r="D49" s="3"/>
      <c r="E49" s="5" t="s">
        <v>456</v>
      </c>
      <c r="F49" s="3">
        <v>2</v>
      </c>
      <c r="G49" s="78">
        <v>0</v>
      </c>
      <c r="H49" s="79">
        <f t="shared" si="0"/>
        <v>10</v>
      </c>
      <c r="I49" t="s">
        <v>712</v>
      </c>
    </row>
    <row r="50" spans="1:10" ht="18" customHeight="1" x14ac:dyDescent="0.25">
      <c r="A50" s="4">
        <v>25911</v>
      </c>
      <c r="B50" s="3" t="s">
        <v>457</v>
      </c>
      <c r="C50" s="3"/>
      <c r="D50" s="3"/>
      <c r="E50" s="5" t="s">
        <v>458</v>
      </c>
      <c r="F50" s="3">
        <v>1</v>
      </c>
      <c r="G50" s="78">
        <v>0</v>
      </c>
      <c r="H50" s="79">
        <f t="shared" si="0"/>
        <v>5</v>
      </c>
      <c r="I50" s="106" t="s">
        <v>714</v>
      </c>
      <c r="J50" t="s">
        <v>676</v>
      </c>
    </row>
    <row r="51" spans="1:10" ht="18" customHeight="1" x14ac:dyDescent="0.25">
      <c r="A51" s="4">
        <v>23765</v>
      </c>
      <c r="B51" s="3" t="s">
        <v>459</v>
      </c>
      <c r="C51" s="3"/>
      <c r="D51" s="3"/>
      <c r="E51" s="5" t="s">
        <v>460</v>
      </c>
      <c r="F51" s="3">
        <v>1</v>
      </c>
      <c r="G51" s="78">
        <v>0</v>
      </c>
      <c r="H51" s="79">
        <f t="shared" si="0"/>
        <v>5</v>
      </c>
      <c r="I51" t="s">
        <v>715</v>
      </c>
    </row>
    <row r="52" spans="1:10" ht="18" customHeight="1" x14ac:dyDescent="0.25">
      <c r="A52" s="4">
        <v>9826</v>
      </c>
      <c r="B52" s="3" t="s">
        <v>463</v>
      </c>
      <c r="C52" s="3"/>
      <c r="D52" s="3"/>
      <c r="E52" s="5" t="s">
        <v>464</v>
      </c>
      <c r="F52" s="3">
        <v>1</v>
      </c>
      <c r="G52" s="78">
        <v>0</v>
      </c>
      <c r="H52" s="79">
        <f t="shared" si="0"/>
        <v>5</v>
      </c>
      <c r="I52" s="93" t="s">
        <v>591</v>
      </c>
    </row>
    <row r="53" spans="1:10" ht="18" customHeight="1" x14ac:dyDescent="0.25">
      <c r="A53" s="4">
        <v>19152</v>
      </c>
      <c r="B53" s="3" t="s">
        <v>465</v>
      </c>
      <c r="C53" s="3"/>
      <c r="D53" s="3"/>
      <c r="E53" s="5" t="s">
        <v>466</v>
      </c>
      <c r="F53" s="3">
        <v>1</v>
      </c>
      <c r="G53" s="78">
        <v>0</v>
      </c>
      <c r="H53" s="79">
        <f t="shared" si="0"/>
        <v>5</v>
      </c>
      <c r="I53" s="93" t="s">
        <v>590</v>
      </c>
    </row>
    <row r="54" spans="1:10" ht="18" customHeight="1" x14ac:dyDescent="0.25">
      <c r="A54" s="4">
        <v>23768</v>
      </c>
      <c r="B54" s="3" t="s">
        <v>461</v>
      </c>
      <c r="C54" s="3"/>
      <c r="D54" s="3"/>
      <c r="E54" s="5" t="s">
        <v>462</v>
      </c>
      <c r="F54" s="3">
        <v>1</v>
      </c>
      <c r="G54" s="78">
        <v>0</v>
      </c>
      <c r="H54" s="79">
        <f t="shared" si="0"/>
        <v>5</v>
      </c>
      <c r="I54" t="s">
        <v>716</v>
      </c>
    </row>
    <row r="55" spans="1:10" ht="18" customHeight="1" x14ac:dyDescent="0.25">
      <c r="A55" s="4">
        <v>862</v>
      </c>
      <c r="B55" s="3" t="s">
        <v>467</v>
      </c>
      <c r="C55" s="3"/>
      <c r="D55" s="3"/>
      <c r="E55" s="5" t="s">
        <v>468</v>
      </c>
      <c r="F55" s="3">
        <v>1</v>
      </c>
      <c r="G55" s="78">
        <v>0</v>
      </c>
      <c r="H55" s="79">
        <f t="shared" si="0"/>
        <v>5</v>
      </c>
      <c r="I55" t="s">
        <v>718</v>
      </c>
    </row>
    <row r="56" spans="1:10" ht="18" customHeight="1" x14ac:dyDescent="0.25">
      <c r="A56" s="22">
        <v>9735</v>
      </c>
      <c r="B56" s="35" t="s">
        <v>386</v>
      </c>
      <c r="C56" s="22" t="s">
        <v>469</v>
      </c>
      <c r="D56" s="22">
        <v>471529</v>
      </c>
      <c r="E56" s="51" t="s">
        <v>470</v>
      </c>
      <c r="F56" s="35">
        <v>1</v>
      </c>
      <c r="G56" s="6">
        <v>1</v>
      </c>
      <c r="H56" s="79">
        <f t="shared" si="0"/>
        <v>7</v>
      </c>
      <c r="I56" t="s">
        <v>719</v>
      </c>
    </row>
    <row r="57" spans="1:10" ht="18" customHeight="1" x14ac:dyDescent="0.25">
      <c r="A57" s="4">
        <v>14129</v>
      </c>
      <c r="B57" s="5" t="s">
        <v>388</v>
      </c>
      <c r="C57" s="3"/>
      <c r="D57" s="3"/>
      <c r="E57" s="5" t="s">
        <v>389</v>
      </c>
      <c r="F57" s="3">
        <v>1</v>
      </c>
      <c r="G57" s="78">
        <v>0</v>
      </c>
      <c r="H57" s="79">
        <f t="shared" si="0"/>
        <v>5</v>
      </c>
      <c r="I57" s="93" t="s">
        <v>573</v>
      </c>
    </row>
  </sheetData>
  <sortState xmlns:xlrd2="http://schemas.microsoft.com/office/spreadsheetml/2017/richdata2" ref="A3:H57">
    <sortCondition ref="B4:B57"/>
  </sortState>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7F43C-087F-4D27-9832-0367EB489C62}">
  <sheetPr>
    <tabColor rgb="FFFF0000"/>
  </sheetPr>
  <dimension ref="A1:I57"/>
  <sheetViews>
    <sheetView zoomScale="80" zoomScaleNormal="80" workbookViewId="0">
      <selection activeCell="E10" sqref="E10"/>
    </sheetView>
  </sheetViews>
  <sheetFormatPr defaultRowHeight="15" x14ac:dyDescent="0.25"/>
  <cols>
    <col min="1" max="1" width="9.140625" style="81"/>
    <col min="2" max="3" width="0" style="81" hidden="1" customWidth="1"/>
    <col min="4" max="4" width="73.42578125" style="81" customWidth="1"/>
    <col min="5" max="5" width="94.5703125" style="81" customWidth="1"/>
    <col min="6" max="6" width="12.28515625" style="81" hidden="1" customWidth="1"/>
    <col min="7" max="7" width="13.85546875" customWidth="1"/>
    <col min="8" max="9" width="19.85546875" customWidth="1"/>
    <col min="10" max="16384" width="9.140625" style="81"/>
  </cols>
  <sheetData>
    <row r="1" spans="1:9" x14ac:dyDescent="0.25">
      <c r="A1" s="128" t="s">
        <v>508</v>
      </c>
      <c r="B1" s="129"/>
      <c r="C1" s="129"/>
      <c r="D1" s="129"/>
      <c r="E1" s="130"/>
      <c r="F1" s="80"/>
      <c r="G1" s="68" t="s">
        <v>541</v>
      </c>
      <c r="H1" s="131" t="s">
        <v>397</v>
      </c>
      <c r="I1" s="132"/>
    </row>
    <row r="2" spans="1:9" ht="25.5" x14ac:dyDescent="0.25">
      <c r="A2" s="80" t="s">
        <v>509</v>
      </c>
      <c r="B2" s="80" t="s">
        <v>510</v>
      </c>
      <c r="C2" s="80" t="s">
        <v>3</v>
      </c>
      <c r="D2" s="80" t="s">
        <v>511</v>
      </c>
      <c r="E2" s="82" t="s">
        <v>512</v>
      </c>
      <c r="F2" s="80" t="s">
        <v>540</v>
      </c>
      <c r="G2" s="71">
        <v>3</v>
      </c>
      <c r="H2" s="77" t="s">
        <v>395</v>
      </c>
      <c r="I2" s="77" t="s">
        <v>396</v>
      </c>
    </row>
    <row r="3" spans="1:9" ht="38.25" x14ac:dyDescent="0.25">
      <c r="A3" s="83">
        <v>14295</v>
      </c>
      <c r="B3" s="84" t="s">
        <v>513</v>
      </c>
      <c r="C3" s="83">
        <v>439948</v>
      </c>
      <c r="D3" s="84" t="s">
        <v>514</v>
      </c>
      <c r="E3" s="85" t="s">
        <v>515</v>
      </c>
      <c r="F3" s="83">
        <v>1</v>
      </c>
      <c r="G3" s="79">
        <f>$G$2*F3</f>
        <v>3</v>
      </c>
      <c r="H3" s="2"/>
      <c r="I3" s="3"/>
    </row>
    <row r="4" spans="1:9" ht="51" x14ac:dyDescent="0.25">
      <c r="A4" s="84" t="s">
        <v>13</v>
      </c>
      <c r="B4" s="84" t="s">
        <v>13</v>
      </c>
      <c r="C4" s="84" t="s">
        <v>13</v>
      </c>
      <c r="D4" s="84" t="s">
        <v>516</v>
      </c>
      <c r="E4" s="85" t="s">
        <v>517</v>
      </c>
      <c r="F4" s="83">
        <v>1</v>
      </c>
      <c r="G4" s="79">
        <f t="shared" ref="G4:G16" si="0">$G$2*F4</f>
        <v>3</v>
      </c>
      <c r="H4" s="3"/>
      <c r="I4" s="3"/>
    </row>
    <row r="5" spans="1:9" ht="51" x14ac:dyDescent="0.25">
      <c r="A5" s="84" t="s">
        <v>13</v>
      </c>
      <c r="B5" s="84" t="s">
        <v>13</v>
      </c>
      <c r="C5" s="84" t="s">
        <v>13</v>
      </c>
      <c r="D5" s="84" t="s">
        <v>518</v>
      </c>
      <c r="E5" s="85" t="s">
        <v>519</v>
      </c>
      <c r="F5" s="83">
        <v>1</v>
      </c>
      <c r="G5" s="79">
        <f t="shared" si="0"/>
        <v>3</v>
      </c>
      <c r="H5" s="3"/>
      <c r="I5" s="3"/>
    </row>
    <row r="6" spans="1:9" ht="38.25" x14ac:dyDescent="0.25">
      <c r="A6" s="86"/>
      <c r="B6" s="86"/>
      <c r="C6" s="86"/>
      <c r="D6" s="84" t="s">
        <v>520</v>
      </c>
      <c r="E6" s="85" t="s">
        <v>521</v>
      </c>
      <c r="F6" s="83">
        <v>1</v>
      </c>
      <c r="G6" s="79">
        <f t="shared" si="0"/>
        <v>3</v>
      </c>
      <c r="H6" s="3"/>
      <c r="I6" s="3"/>
    </row>
    <row r="7" spans="1:9" ht="38.25" x14ac:dyDescent="0.25">
      <c r="A7" s="84" t="s">
        <v>13</v>
      </c>
      <c r="B7" s="84" t="s">
        <v>13</v>
      </c>
      <c r="C7" s="84" t="s">
        <v>13</v>
      </c>
      <c r="D7" s="84" t="s">
        <v>522</v>
      </c>
      <c r="E7" s="85" t="s">
        <v>523</v>
      </c>
      <c r="F7" s="83">
        <v>1</v>
      </c>
      <c r="G7" s="79">
        <f t="shared" si="0"/>
        <v>3</v>
      </c>
      <c r="H7" s="3"/>
      <c r="I7" s="3"/>
    </row>
    <row r="8" spans="1:9" ht="38.25" x14ac:dyDescent="0.25">
      <c r="A8" s="84" t="s">
        <v>13</v>
      </c>
      <c r="B8" s="84" t="s">
        <v>13</v>
      </c>
      <c r="C8" s="84" t="s">
        <v>13</v>
      </c>
      <c r="D8" s="84" t="s">
        <v>524</v>
      </c>
      <c r="E8" s="85" t="s">
        <v>525</v>
      </c>
      <c r="F8" s="83">
        <v>1</v>
      </c>
      <c r="G8" s="79">
        <f t="shared" si="0"/>
        <v>3</v>
      </c>
      <c r="H8" s="3"/>
      <c r="I8" s="3"/>
    </row>
    <row r="9" spans="1:9" ht="51" x14ac:dyDescent="0.25">
      <c r="A9" s="84" t="s">
        <v>13</v>
      </c>
      <c r="B9" s="84" t="s">
        <v>13</v>
      </c>
      <c r="C9" s="84" t="s">
        <v>13</v>
      </c>
      <c r="D9" s="84" t="s">
        <v>526</v>
      </c>
      <c r="E9" s="85" t="s">
        <v>527</v>
      </c>
      <c r="F9" s="83">
        <v>1</v>
      </c>
      <c r="G9" s="79">
        <f t="shared" si="0"/>
        <v>3</v>
      </c>
      <c r="H9" s="3"/>
      <c r="I9" s="3"/>
    </row>
    <row r="10" spans="1:9" ht="51" x14ac:dyDescent="0.25">
      <c r="A10" s="86"/>
      <c r="B10" s="84" t="s">
        <v>13</v>
      </c>
      <c r="C10" s="84" t="s">
        <v>13</v>
      </c>
      <c r="D10" s="87" t="s">
        <v>528</v>
      </c>
      <c r="E10" s="85" t="s">
        <v>529</v>
      </c>
      <c r="F10" s="83">
        <v>1</v>
      </c>
      <c r="G10" s="79">
        <f t="shared" si="0"/>
        <v>3</v>
      </c>
      <c r="H10" s="3"/>
      <c r="I10" s="3"/>
    </row>
    <row r="11" spans="1:9" ht="63.75" x14ac:dyDescent="0.25">
      <c r="A11" s="83">
        <v>23587</v>
      </c>
      <c r="B11" s="84" t="s">
        <v>530</v>
      </c>
      <c r="C11" s="83">
        <v>329976</v>
      </c>
      <c r="D11" s="84" t="s">
        <v>531</v>
      </c>
      <c r="E11" s="86" t="s">
        <v>532</v>
      </c>
      <c r="F11" s="83">
        <v>1</v>
      </c>
      <c r="G11" s="79">
        <f t="shared" si="0"/>
        <v>3</v>
      </c>
      <c r="H11" s="3"/>
      <c r="I11" s="3"/>
    </row>
    <row r="12" spans="1:9" ht="25.5" x14ac:dyDescent="0.25">
      <c r="A12" s="87" t="s">
        <v>13</v>
      </c>
      <c r="B12" s="87" t="s">
        <v>13</v>
      </c>
      <c r="C12" s="87" t="s">
        <v>13</v>
      </c>
      <c r="D12" s="87" t="s">
        <v>533</v>
      </c>
      <c r="E12" s="85" t="s">
        <v>534</v>
      </c>
      <c r="F12" s="88">
        <v>1</v>
      </c>
      <c r="G12" s="79">
        <f t="shared" si="0"/>
        <v>3</v>
      </c>
      <c r="H12" s="3"/>
      <c r="I12" s="3"/>
    </row>
    <row r="13" spans="1:9" x14ac:dyDescent="0.25">
      <c r="A13" s="85" t="s">
        <v>13</v>
      </c>
      <c r="B13" s="85" t="s">
        <v>13</v>
      </c>
      <c r="C13" s="85" t="s">
        <v>13</v>
      </c>
      <c r="D13" s="85" t="s">
        <v>535</v>
      </c>
      <c r="E13" s="85" t="s">
        <v>13</v>
      </c>
      <c r="F13" s="89">
        <v>6</v>
      </c>
      <c r="G13" s="79">
        <f t="shared" si="0"/>
        <v>18</v>
      </c>
      <c r="H13" s="3"/>
      <c r="I13" s="3"/>
    </row>
    <row r="14" spans="1:9" x14ac:dyDescent="0.25">
      <c r="A14" s="85" t="s">
        <v>13</v>
      </c>
      <c r="B14" s="85" t="s">
        <v>13</v>
      </c>
      <c r="C14" s="85" t="s">
        <v>13</v>
      </c>
      <c r="D14" s="85" t="s">
        <v>536</v>
      </c>
      <c r="E14" s="85" t="s">
        <v>13</v>
      </c>
      <c r="F14" s="89">
        <v>4</v>
      </c>
      <c r="G14" s="79">
        <f t="shared" si="0"/>
        <v>12</v>
      </c>
      <c r="H14" s="3"/>
      <c r="I14" s="3"/>
    </row>
    <row r="15" spans="1:9" x14ac:dyDescent="0.25">
      <c r="A15" s="85" t="s">
        <v>13</v>
      </c>
      <c r="B15" s="85" t="s">
        <v>13</v>
      </c>
      <c r="C15" s="85" t="s">
        <v>13</v>
      </c>
      <c r="D15" s="85" t="s">
        <v>537</v>
      </c>
      <c r="E15" s="85" t="s">
        <v>13</v>
      </c>
      <c r="F15" s="89">
        <v>6</v>
      </c>
      <c r="G15" s="79">
        <f t="shared" si="0"/>
        <v>18</v>
      </c>
      <c r="H15" s="3"/>
      <c r="I15" s="3"/>
    </row>
    <row r="16" spans="1:9" ht="38.25" x14ac:dyDescent="0.25">
      <c r="A16" s="84" t="s">
        <v>13</v>
      </c>
      <c r="B16" s="84" t="s">
        <v>13</v>
      </c>
      <c r="C16" s="84" t="s">
        <v>13</v>
      </c>
      <c r="D16" s="84" t="s">
        <v>538</v>
      </c>
      <c r="E16" s="85" t="s">
        <v>539</v>
      </c>
      <c r="F16" s="83">
        <v>1</v>
      </c>
      <c r="G16" s="79">
        <f t="shared" si="0"/>
        <v>3</v>
      </c>
      <c r="H16" s="3"/>
      <c r="I16" s="3"/>
    </row>
    <row r="17" spans="7:9" x14ac:dyDescent="0.25">
      <c r="G17" s="79"/>
      <c r="H17" s="3"/>
      <c r="I17" s="3"/>
    </row>
    <row r="18" spans="7:9" x14ac:dyDescent="0.25">
      <c r="G18" s="79"/>
      <c r="H18" s="3"/>
      <c r="I18" s="3"/>
    </row>
    <row r="19" spans="7:9" x14ac:dyDescent="0.25">
      <c r="G19" s="79"/>
      <c r="H19" s="3"/>
      <c r="I19" s="3"/>
    </row>
    <row r="20" spans="7:9" x14ac:dyDescent="0.25">
      <c r="G20" s="79"/>
      <c r="H20" s="3"/>
      <c r="I20" s="3"/>
    </row>
    <row r="21" spans="7:9" x14ac:dyDescent="0.25">
      <c r="G21" s="79"/>
      <c r="H21" s="3"/>
      <c r="I21" s="3"/>
    </row>
    <row r="22" spans="7:9" x14ac:dyDescent="0.25">
      <c r="G22" s="79"/>
      <c r="H22" s="3"/>
      <c r="I22" s="3"/>
    </row>
    <row r="23" spans="7:9" x14ac:dyDescent="0.25">
      <c r="G23" s="79"/>
      <c r="H23" s="3"/>
      <c r="I23" s="3"/>
    </row>
    <row r="24" spans="7:9" x14ac:dyDescent="0.25">
      <c r="G24" s="79"/>
      <c r="H24" s="3"/>
      <c r="I24" s="3"/>
    </row>
    <row r="25" spans="7:9" x14ac:dyDescent="0.25">
      <c r="G25" s="79"/>
      <c r="H25" s="3"/>
      <c r="I25" s="3"/>
    </row>
    <row r="26" spans="7:9" x14ac:dyDescent="0.25">
      <c r="G26" s="79"/>
      <c r="H26" s="3"/>
      <c r="I26" s="3"/>
    </row>
    <row r="27" spans="7:9" x14ac:dyDescent="0.25">
      <c r="G27" s="79"/>
      <c r="H27" s="3"/>
      <c r="I27" s="3"/>
    </row>
    <row r="28" spans="7:9" x14ac:dyDescent="0.25">
      <c r="G28" s="79"/>
      <c r="H28" s="3"/>
      <c r="I28" s="3"/>
    </row>
    <row r="29" spans="7:9" x14ac:dyDescent="0.25">
      <c r="G29" s="79"/>
      <c r="H29" s="3"/>
      <c r="I29" s="3"/>
    </row>
    <row r="30" spans="7:9" x14ac:dyDescent="0.25">
      <c r="G30" s="79"/>
      <c r="H30" s="3"/>
      <c r="I30" s="3"/>
    </row>
    <row r="31" spans="7:9" x14ac:dyDescent="0.25">
      <c r="G31" s="79"/>
      <c r="H31" s="3"/>
      <c r="I31" s="3"/>
    </row>
    <row r="32" spans="7:9" x14ac:dyDescent="0.25">
      <c r="G32" s="79"/>
      <c r="H32" s="3"/>
      <c r="I32" s="3"/>
    </row>
    <row r="33" spans="7:9" x14ac:dyDescent="0.25">
      <c r="G33" s="79"/>
      <c r="H33" s="3"/>
      <c r="I33" s="3"/>
    </row>
    <row r="34" spans="7:9" x14ac:dyDescent="0.25">
      <c r="G34" s="79"/>
      <c r="H34" s="3"/>
      <c r="I34" s="3"/>
    </row>
    <row r="35" spans="7:9" x14ac:dyDescent="0.25">
      <c r="G35" s="79"/>
      <c r="H35" s="3"/>
      <c r="I35" s="3"/>
    </row>
    <row r="36" spans="7:9" x14ac:dyDescent="0.25">
      <c r="G36" s="79"/>
      <c r="H36" s="3"/>
      <c r="I36" s="3"/>
    </row>
    <row r="37" spans="7:9" x14ac:dyDescent="0.25">
      <c r="G37" s="79"/>
      <c r="H37" s="3"/>
      <c r="I37" s="3"/>
    </row>
    <row r="38" spans="7:9" x14ac:dyDescent="0.25">
      <c r="G38" s="79"/>
      <c r="H38" s="3"/>
      <c r="I38" s="3"/>
    </row>
    <row r="39" spans="7:9" x14ac:dyDescent="0.25">
      <c r="G39" s="79"/>
      <c r="H39" s="3"/>
      <c r="I39" s="3"/>
    </row>
    <row r="40" spans="7:9" x14ac:dyDescent="0.25">
      <c r="G40" s="79"/>
      <c r="H40" s="3"/>
      <c r="I40" s="3"/>
    </row>
    <row r="41" spans="7:9" x14ac:dyDescent="0.25">
      <c r="G41" s="79"/>
      <c r="H41" s="3"/>
      <c r="I41" s="3"/>
    </row>
    <row r="42" spans="7:9" x14ac:dyDescent="0.25">
      <c r="G42" s="79"/>
      <c r="H42" s="3"/>
      <c r="I42" s="3"/>
    </row>
    <row r="43" spans="7:9" x14ac:dyDescent="0.25">
      <c r="G43" s="79"/>
      <c r="H43" s="3"/>
      <c r="I43" s="3"/>
    </row>
    <row r="44" spans="7:9" x14ac:dyDescent="0.25">
      <c r="G44" s="79"/>
      <c r="H44" s="3"/>
      <c r="I44" s="3"/>
    </row>
    <row r="45" spans="7:9" x14ac:dyDescent="0.25">
      <c r="G45" s="79"/>
      <c r="H45" s="3"/>
      <c r="I45" s="3"/>
    </row>
    <row r="46" spans="7:9" x14ac:dyDescent="0.25">
      <c r="G46" s="79"/>
      <c r="H46" s="3"/>
      <c r="I46" s="3"/>
    </row>
    <row r="47" spans="7:9" x14ac:dyDescent="0.25">
      <c r="G47" s="79"/>
      <c r="H47" s="3"/>
      <c r="I47" s="3"/>
    </row>
    <row r="48" spans="7:9" x14ac:dyDescent="0.25">
      <c r="G48" s="79"/>
      <c r="H48" s="3"/>
      <c r="I48" s="3"/>
    </row>
    <row r="49" spans="7:9" x14ac:dyDescent="0.25">
      <c r="G49" s="79"/>
      <c r="H49" s="3"/>
      <c r="I49" s="3"/>
    </row>
    <row r="50" spans="7:9" x14ac:dyDescent="0.25">
      <c r="G50" s="79"/>
      <c r="H50" s="3"/>
      <c r="I50" s="3"/>
    </row>
    <row r="51" spans="7:9" x14ac:dyDescent="0.25">
      <c r="G51" s="79"/>
      <c r="H51" s="3"/>
      <c r="I51" s="3"/>
    </row>
    <row r="52" spans="7:9" x14ac:dyDescent="0.25">
      <c r="G52" s="79"/>
      <c r="H52" s="3"/>
      <c r="I52" s="3"/>
    </row>
    <row r="53" spans="7:9" x14ac:dyDescent="0.25">
      <c r="G53" s="79"/>
      <c r="H53" s="3"/>
      <c r="I53" s="3"/>
    </row>
    <row r="54" spans="7:9" x14ac:dyDescent="0.25">
      <c r="G54" s="79"/>
      <c r="H54" s="3"/>
      <c r="I54" s="3"/>
    </row>
    <row r="55" spans="7:9" x14ac:dyDescent="0.25">
      <c r="G55" s="79"/>
      <c r="H55" s="3"/>
      <c r="I55" s="3"/>
    </row>
    <row r="56" spans="7:9" x14ac:dyDescent="0.25">
      <c r="G56" s="79"/>
      <c r="H56" s="3"/>
      <c r="I56" s="3"/>
    </row>
    <row r="57" spans="7:9" x14ac:dyDescent="0.25">
      <c r="G57" s="79"/>
      <c r="H57" s="3"/>
      <c r="I57" s="3"/>
    </row>
  </sheetData>
  <mergeCells count="2">
    <mergeCell ref="A1:E1"/>
    <mergeCell ref="H1:I1"/>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71128-BE5C-4055-A8AF-6214C874F86A}">
  <dimension ref="A1:F22"/>
  <sheetViews>
    <sheetView topLeftCell="A20" workbookViewId="0">
      <selection activeCell="E2" sqref="E2:E22"/>
    </sheetView>
  </sheetViews>
  <sheetFormatPr defaultRowHeight="15" x14ac:dyDescent="0.25"/>
  <cols>
    <col min="1" max="1" width="10.42578125" bestFit="1" customWidth="1"/>
    <col min="2" max="2" width="51.85546875" customWidth="1"/>
    <col min="3" max="3" width="14.28515625" hidden="1" customWidth="1"/>
    <col min="4" max="4" width="9.42578125" bestFit="1" customWidth="1"/>
    <col min="5" max="5" width="68.85546875" customWidth="1"/>
    <col min="6" max="6" width="11.42578125" bestFit="1" customWidth="1"/>
  </cols>
  <sheetData>
    <row r="1" spans="1:6" x14ac:dyDescent="0.25">
      <c r="A1" s="90" t="s">
        <v>0</v>
      </c>
      <c r="B1" s="91" t="s">
        <v>1</v>
      </c>
      <c r="C1" s="90" t="s">
        <v>2</v>
      </c>
      <c r="D1" s="90" t="s">
        <v>571</v>
      </c>
      <c r="E1" s="92" t="s">
        <v>542</v>
      </c>
      <c r="F1" s="91" t="s">
        <v>543</v>
      </c>
    </row>
    <row r="2" spans="1:6" ht="60" x14ac:dyDescent="0.25">
      <c r="A2" s="93">
        <v>23549</v>
      </c>
      <c r="B2" s="93" t="s">
        <v>544</v>
      </c>
      <c r="C2" s="93"/>
      <c r="D2" s="93" t="s">
        <v>570</v>
      </c>
      <c r="E2" s="94" t="s">
        <v>545</v>
      </c>
      <c r="F2" s="93">
        <v>50</v>
      </c>
    </row>
    <row r="3" spans="1:6" ht="60" x14ac:dyDescent="0.25">
      <c r="A3" s="93">
        <v>23550</v>
      </c>
      <c r="B3" s="93" t="s">
        <v>546</v>
      </c>
      <c r="C3" s="93"/>
      <c r="D3" s="93" t="s">
        <v>572</v>
      </c>
      <c r="E3" s="94" t="s">
        <v>547</v>
      </c>
      <c r="F3" s="93">
        <v>50</v>
      </c>
    </row>
    <row r="4" spans="1:6" ht="60" x14ac:dyDescent="0.25">
      <c r="A4" s="93">
        <v>14129</v>
      </c>
      <c r="B4" s="93" t="s">
        <v>388</v>
      </c>
      <c r="C4" s="93"/>
      <c r="D4" s="93" t="s">
        <v>573</v>
      </c>
      <c r="E4" s="94" t="s">
        <v>548</v>
      </c>
      <c r="F4" s="93">
        <v>50</v>
      </c>
    </row>
    <row r="5" spans="1:6" ht="60" x14ac:dyDescent="0.25">
      <c r="A5" s="93">
        <v>14132</v>
      </c>
      <c r="B5" s="93" t="s">
        <v>549</v>
      </c>
      <c r="C5" s="93"/>
      <c r="D5" s="93" t="s">
        <v>574</v>
      </c>
      <c r="E5" s="94" t="s">
        <v>550</v>
      </c>
      <c r="F5" s="93">
        <v>50</v>
      </c>
    </row>
    <row r="6" spans="1:6" ht="60" x14ac:dyDescent="0.25">
      <c r="A6" s="93">
        <v>17100</v>
      </c>
      <c r="B6" s="93" t="s">
        <v>551</v>
      </c>
      <c r="C6" s="93"/>
      <c r="D6" s="93" t="s">
        <v>575</v>
      </c>
      <c r="E6" s="95" t="s">
        <v>552</v>
      </c>
      <c r="F6" s="96">
        <v>25</v>
      </c>
    </row>
    <row r="7" spans="1:6" ht="75" x14ac:dyDescent="0.25">
      <c r="A7" s="93">
        <v>9731</v>
      </c>
      <c r="B7" s="93" t="s">
        <v>363</v>
      </c>
      <c r="C7" s="93"/>
      <c r="D7" s="97" t="s">
        <v>576</v>
      </c>
      <c r="E7" s="94" t="s">
        <v>553</v>
      </c>
      <c r="F7" s="93">
        <v>100</v>
      </c>
    </row>
    <row r="8" spans="1:6" ht="75" x14ac:dyDescent="0.25">
      <c r="A8" s="93">
        <v>9732</v>
      </c>
      <c r="B8" s="93" t="s">
        <v>554</v>
      </c>
      <c r="C8" s="93"/>
      <c r="D8" s="93" t="s">
        <v>578</v>
      </c>
      <c r="E8" s="94" t="s">
        <v>555</v>
      </c>
      <c r="F8" s="98">
        <v>100</v>
      </c>
    </row>
    <row r="9" spans="1:6" ht="75" x14ac:dyDescent="0.25">
      <c r="A9" s="93">
        <v>9733</v>
      </c>
      <c r="B9" s="93" t="s">
        <v>361</v>
      </c>
      <c r="C9" s="93"/>
      <c r="D9" s="93" t="s">
        <v>577</v>
      </c>
      <c r="E9" s="94" t="s">
        <v>556</v>
      </c>
      <c r="F9" s="93">
        <v>100</v>
      </c>
    </row>
    <row r="10" spans="1:6" ht="75" x14ac:dyDescent="0.25">
      <c r="A10" s="93">
        <v>9734</v>
      </c>
      <c r="B10" s="93" t="s">
        <v>557</v>
      </c>
      <c r="C10" s="93"/>
      <c r="D10" s="93" t="s">
        <v>579</v>
      </c>
      <c r="E10" s="94" t="s">
        <v>204</v>
      </c>
      <c r="F10" s="93">
        <v>100</v>
      </c>
    </row>
    <row r="11" spans="1:6" ht="60" x14ac:dyDescent="0.25">
      <c r="A11" s="93">
        <v>14110</v>
      </c>
      <c r="B11" s="93" t="s">
        <v>335</v>
      </c>
      <c r="C11" s="93"/>
      <c r="D11" s="93" t="s">
        <v>580</v>
      </c>
      <c r="E11" s="94" t="s">
        <v>558</v>
      </c>
      <c r="F11" s="93">
        <v>50</v>
      </c>
    </row>
    <row r="12" spans="1:6" ht="75" x14ac:dyDescent="0.25">
      <c r="A12" s="93">
        <v>4492</v>
      </c>
      <c r="B12" s="93" t="s">
        <v>559</v>
      </c>
      <c r="C12" s="93"/>
      <c r="D12" s="93" t="s">
        <v>581</v>
      </c>
      <c r="E12" s="94" t="s">
        <v>560</v>
      </c>
      <c r="F12" s="93">
        <v>50</v>
      </c>
    </row>
    <row r="13" spans="1:6" ht="60" x14ac:dyDescent="0.25">
      <c r="A13" s="99">
        <v>9728</v>
      </c>
      <c r="B13" s="100" t="s">
        <v>337</v>
      </c>
      <c r="C13" s="99"/>
      <c r="D13" s="99" t="s">
        <v>582</v>
      </c>
      <c r="E13" s="101" t="s">
        <v>338</v>
      </c>
      <c r="F13" s="93">
        <v>100</v>
      </c>
    </row>
    <row r="14" spans="1:6" ht="75" x14ac:dyDescent="0.25">
      <c r="A14" s="99">
        <v>13635</v>
      </c>
      <c r="B14" s="102" t="s">
        <v>404</v>
      </c>
      <c r="C14" s="99"/>
      <c r="D14" s="99" t="s">
        <v>583</v>
      </c>
      <c r="E14" s="101" t="s">
        <v>405</v>
      </c>
      <c r="F14" s="102">
        <v>50</v>
      </c>
    </row>
    <row r="15" spans="1:6" ht="75" x14ac:dyDescent="0.25">
      <c r="A15" s="99">
        <v>9738</v>
      </c>
      <c r="B15" s="100" t="s">
        <v>300</v>
      </c>
      <c r="C15" s="99"/>
      <c r="D15" s="99" t="s">
        <v>584</v>
      </c>
      <c r="E15" s="101" t="s">
        <v>301</v>
      </c>
      <c r="F15" s="102">
        <v>100</v>
      </c>
    </row>
    <row r="16" spans="1:6" ht="60" x14ac:dyDescent="0.25">
      <c r="A16" s="96" t="s">
        <v>13</v>
      </c>
      <c r="B16" s="96" t="s">
        <v>561</v>
      </c>
      <c r="C16" s="96"/>
      <c r="D16" s="96" t="s">
        <v>585</v>
      </c>
      <c r="E16" s="95" t="s">
        <v>562</v>
      </c>
      <c r="F16" s="96">
        <v>15</v>
      </c>
    </row>
    <row r="17" spans="1:6" ht="60" x14ac:dyDescent="0.25">
      <c r="A17" s="103">
        <v>13426</v>
      </c>
      <c r="B17" s="94" t="s">
        <v>357</v>
      </c>
      <c r="C17" s="93"/>
      <c r="D17" s="93" t="s">
        <v>586</v>
      </c>
      <c r="E17" s="94" t="s">
        <v>358</v>
      </c>
      <c r="F17" s="93">
        <v>50</v>
      </c>
    </row>
    <row r="18" spans="1:6" ht="60" x14ac:dyDescent="0.25">
      <c r="A18" s="104">
        <v>23447</v>
      </c>
      <c r="B18" s="95" t="s">
        <v>359</v>
      </c>
      <c r="C18" s="96"/>
      <c r="D18" s="96" t="s">
        <v>587</v>
      </c>
      <c r="E18" s="95" t="s">
        <v>360</v>
      </c>
      <c r="F18" s="96">
        <v>50</v>
      </c>
    </row>
    <row r="19" spans="1:6" ht="60" x14ac:dyDescent="0.25">
      <c r="A19" s="103">
        <v>13429</v>
      </c>
      <c r="B19" s="93" t="s">
        <v>170</v>
      </c>
      <c r="C19" s="93" t="s">
        <v>171</v>
      </c>
      <c r="D19" s="93" t="s">
        <v>588</v>
      </c>
      <c r="E19" s="94" t="s">
        <v>563</v>
      </c>
      <c r="F19" s="93">
        <v>20</v>
      </c>
    </row>
    <row r="20" spans="1:6" ht="90" x14ac:dyDescent="0.25">
      <c r="A20" s="103">
        <v>25098</v>
      </c>
      <c r="B20" s="93" t="s">
        <v>564</v>
      </c>
      <c r="C20" s="93"/>
      <c r="D20" s="93" t="s">
        <v>589</v>
      </c>
      <c r="E20" s="94" t="s">
        <v>565</v>
      </c>
      <c r="F20" s="93">
        <v>10</v>
      </c>
    </row>
    <row r="21" spans="1:6" ht="60" x14ac:dyDescent="0.25">
      <c r="A21" s="103">
        <v>9826</v>
      </c>
      <c r="B21" s="93" t="s">
        <v>463</v>
      </c>
      <c r="C21" s="93"/>
      <c r="D21" s="93" t="s">
        <v>591</v>
      </c>
      <c r="E21" s="94" t="s">
        <v>464</v>
      </c>
      <c r="F21" s="93">
        <v>100</v>
      </c>
    </row>
    <row r="22" spans="1:6" ht="60" x14ac:dyDescent="0.25">
      <c r="A22" s="103">
        <v>19152</v>
      </c>
      <c r="B22" s="93" t="s">
        <v>465</v>
      </c>
      <c r="C22" s="93"/>
      <c r="D22" s="93" t="s">
        <v>590</v>
      </c>
      <c r="E22" s="94" t="s">
        <v>466</v>
      </c>
      <c r="F22" s="93">
        <v>100</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62DA4-FEF1-43BA-9AA6-FE51CBF7005F}">
  <dimension ref="A1:A16"/>
  <sheetViews>
    <sheetView workbookViewId="0">
      <selection activeCell="L12" sqref="L12"/>
    </sheetView>
  </sheetViews>
  <sheetFormatPr defaultRowHeight="15" x14ac:dyDescent="0.25"/>
  <cols>
    <col min="1" max="1" width="15.28515625" customWidth="1"/>
  </cols>
  <sheetData>
    <row r="1" spans="1:1" x14ac:dyDescent="0.25">
      <c r="A1" s="124" t="s">
        <v>764</v>
      </c>
    </row>
    <row r="2" spans="1:1" x14ac:dyDescent="0.25">
      <c r="A2" s="122" t="s">
        <v>766</v>
      </c>
    </row>
    <row r="3" spans="1:1" x14ac:dyDescent="0.25">
      <c r="A3" s="118" t="s">
        <v>664</v>
      </c>
    </row>
    <row r="4" spans="1:1" x14ac:dyDescent="0.25">
      <c r="A4" s="122" t="s">
        <v>665</v>
      </c>
    </row>
    <row r="5" spans="1:1" x14ac:dyDescent="0.25">
      <c r="A5" s="118" t="s">
        <v>767</v>
      </c>
    </row>
    <row r="6" spans="1:1" x14ac:dyDescent="0.25">
      <c r="A6" s="118" t="s">
        <v>668</v>
      </c>
    </row>
    <row r="7" spans="1:1" x14ac:dyDescent="0.25">
      <c r="A7" s="124" t="s">
        <v>765</v>
      </c>
    </row>
    <row r="8" spans="1:1" x14ac:dyDescent="0.25">
      <c r="A8" s="123" t="s">
        <v>663</v>
      </c>
    </row>
    <row r="9" spans="1:1" x14ac:dyDescent="0.25">
      <c r="A9" s="123" t="s">
        <v>662</v>
      </c>
    </row>
    <row r="10" spans="1:1" x14ac:dyDescent="0.25">
      <c r="A10" s="118" t="s">
        <v>659</v>
      </c>
    </row>
    <row r="11" spans="1:1" x14ac:dyDescent="0.25">
      <c r="A11" s="118" t="s">
        <v>746</v>
      </c>
    </row>
    <row r="12" spans="1:1" x14ac:dyDescent="0.25">
      <c r="A12" s="118" t="s">
        <v>675</v>
      </c>
    </row>
    <row r="13" spans="1:1" x14ac:dyDescent="0.25">
      <c r="A13" s="118" t="s">
        <v>677</v>
      </c>
    </row>
    <row r="14" spans="1:1" x14ac:dyDescent="0.25">
      <c r="A14" s="118" t="s">
        <v>679</v>
      </c>
    </row>
    <row r="15" spans="1:1" x14ac:dyDescent="0.25">
      <c r="A15" s="118" t="s">
        <v>701</v>
      </c>
    </row>
    <row r="16" spans="1:1" x14ac:dyDescent="0.25">
      <c r="A16" s="123" t="s">
        <v>714</v>
      </c>
    </row>
  </sheetData>
  <pageMargins left="0.511811024" right="0.511811024" top="0.78740157499999996" bottom="0.78740157499999996" header="0.31496062000000002" footer="0.31496062000000002"/>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CARDÍACA</vt:lpstr>
      <vt:lpstr>NEUROCIRURGIA</vt:lpstr>
      <vt:lpstr>ORL</vt:lpstr>
      <vt:lpstr>VIDEO-OBESIDADE</vt:lpstr>
      <vt:lpstr>MATERIAIS BÁSICOS</vt:lpstr>
      <vt:lpstr>ITENS HARTE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Lylian Raquel De Medeiros</dc:creator>
  <cp:lastModifiedBy>Danielle  Portella</cp:lastModifiedBy>
  <cp:lastPrinted>2026-01-16T13:03:29Z</cp:lastPrinted>
  <dcterms:created xsi:type="dcterms:W3CDTF">2026-01-14T11:19:57Z</dcterms:created>
  <dcterms:modified xsi:type="dcterms:W3CDTF">2026-01-22T14:24:16Z</dcterms:modified>
</cp:coreProperties>
</file>