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\COTAÇÕES - VENDAS\2026\CTC011.26 - Hospital Regional Cirguito da Fe - Zampieri\"/>
    </mc:Choice>
  </mc:AlternateContent>
  <xr:revisionPtr revIDLastSave="0" documentId="13_ncr:1_{782EA943-C47E-4BF3-A356-E28FD52539C3}" xr6:coauthVersionLast="47" xr6:coauthVersionMax="47" xr10:uidLastSave="{00000000-0000-0000-0000-000000000000}"/>
  <bookViews>
    <workbookView xWindow="-120" yWindow="-120" windowWidth="20640" windowHeight="11040" tabRatio="827" activeTab="3" xr2:uid="{00000000-000D-0000-FFFF-FFFF00000000}"/>
  </bookViews>
  <sheets>
    <sheet name="CONSOLIDADO" sheetId="1" r:id="rId1"/>
    <sheet name="GO e OBSTETRICIA" sheetId="2" r:id="rId2"/>
    <sheet name="NRC" sheetId="3" r:id="rId3"/>
    <sheet name="ORTOPEDIA " sheetId="4" r:id="rId4"/>
    <sheet name="C.GERAL" sheetId="5" r:id="rId5"/>
    <sheet name="OTORRINO" sheetId="6" r:id="rId6"/>
    <sheet name="VASCULAR" sheetId="7" r:id="rId7"/>
    <sheet name="CIPE" sheetId="8" r:id="rId8"/>
    <sheet name="TORACICA" sheetId="9" r:id="rId9"/>
    <sheet name="OFTALMO" sheetId="10" r:id="rId10"/>
    <sheet name="CX DIVERSAS" sheetId="11" r:id="rId11"/>
    <sheet name="AVULSOS" sheetId="12" r:id="rId12"/>
  </sheets>
  <definedNames>
    <definedName name="_xlnm._FilterDatabase" localSheetId="0" hidden="1">CONSOLIDADO!$F$1:$G$97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2" l="1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F69" i="1" l="1"/>
  <c r="F70" i="1"/>
  <c r="F72" i="1"/>
  <c r="F73" i="1"/>
  <c r="F74" i="1"/>
  <c r="F75" i="1"/>
  <c r="B186" i="2" l="1"/>
  <c r="B169" i="2"/>
  <c r="B149" i="2"/>
  <c r="B119" i="2"/>
  <c r="B82" i="2"/>
  <c r="B57" i="2"/>
  <c r="B40" i="2"/>
  <c r="B25" i="2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Patrícia</author>
  </authors>
  <commentList>
    <comment ref="A14" authorId="0" shapeId="0" xr:uid="{00000000-0006-0000-0200-000001000000}">
      <text>
        <r>
          <rPr>
            <sz val="10"/>
            <color theme="1"/>
            <rFont val="Liberation Sans"/>
            <family val="2"/>
          </rPr>
          <t xml:space="preserve">Patrícia:
</t>
        </r>
        <r>
          <rPr>
            <sz val="9"/>
            <color rgb="FF000000"/>
            <rFont val="Liberation Sans"/>
            <family val="2"/>
          </rPr>
          <t>COLOCAR TAMANHOS DIFERENTE - COMPRIMENTO E DIAMENTRO</t>
        </r>
      </text>
    </comment>
  </commentList>
</comments>
</file>

<file path=xl/sharedStrings.xml><?xml version="1.0" encoding="utf-8"?>
<sst xmlns="http://schemas.openxmlformats.org/spreadsheetml/2006/main" count="1855" uniqueCount="1431">
  <si>
    <t>ESPECIALIDADE</t>
  </si>
  <si>
    <t>CAIXAS</t>
  </si>
  <si>
    <t>QTD CAIXAS</t>
  </si>
  <si>
    <t>RECEBIMENTO - 28/01/26</t>
  </si>
  <si>
    <t>FALTA</t>
  </si>
  <si>
    <t>OBS</t>
  </si>
  <si>
    <t>ESPECIALIDADES</t>
  </si>
  <si>
    <t>GINECOLOGIA E OBSTETRICIA</t>
  </si>
  <si>
    <t>CAIXA PARTO</t>
  </si>
  <si>
    <t>ALTA COMPLEXIDADE</t>
  </si>
  <si>
    <t>CAIXA REVISÃO DE COLO</t>
  </si>
  <si>
    <t>NEUROCIRURGIA</t>
  </si>
  <si>
    <t>CAIXA CERCAGLEM</t>
  </si>
  <si>
    <t>TRAUMA-ORTOPEDIA</t>
  </si>
  <si>
    <t>KIT SLING</t>
  </si>
  <si>
    <t>GINECO E OBSTETRICIA</t>
  </si>
  <si>
    <t>CAIXA PERINIOPLASTIA</t>
  </si>
  <si>
    <t>CAIXA HISTERECTOMIA ABDOMINAL</t>
  </si>
  <si>
    <t>BAIXA COMPLEXIDADE</t>
  </si>
  <si>
    <t>CAIXA HISTERECTOMIA VAGINAL</t>
  </si>
  <si>
    <t>BUCOMAXILO</t>
  </si>
  <si>
    <t>CAIXA CURETAGEM</t>
  </si>
  <si>
    <t>CIRURGIA GERAL</t>
  </si>
  <si>
    <t>CAIXA CESAREA</t>
  </si>
  <si>
    <t>CIRURGIA PLASTICA</t>
  </si>
  <si>
    <t xml:space="preserve">NEUROCIRURGIA (CRANIOTOMIA)     </t>
  </si>
  <si>
    <t>CIRURGIA VASCULAR</t>
  </si>
  <si>
    <t>NEUROCIRURGIA (MICROCIRURGIA BÁSICA)</t>
  </si>
  <si>
    <t>GASTROENTEROLOGIA</t>
  </si>
  <si>
    <t>NEUROCIRURGIA (LAMINECTOMIA LOMBAR)</t>
  </si>
  <si>
    <t>OFTALMOLOGIA</t>
  </si>
  <si>
    <t>NEUROCIRURGIA (LAMINECTOMIA CERVICAL)</t>
  </si>
  <si>
    <t>OTORRINOLARINGOLOGIA</t>
  </si>
  <si>
    <t xml:space="preserve">NEUROCIRURGIA (MICRO DISSECTOR)   </t>
  </si>
  <si>
    <t>NEUROCIRURGIA (AFASTADOR DE LEYLA)</t>
  </si>
  <si>
    <t>NEUROCIRURGIA (TREPANAÇÃO)</t>
  </si>
  <si>
    <t>NEUROCIRURGIA (HIPOFISE)</t>
  </si>
  <si>
    <t>NEUROCIRURGIA (NEUROENDOSCOPIA)</t>
  </si>
  <si>
    <t>ORTOPEDIA</t>
  </si>
  <si>
    <t xml:space="preserve">ORTOPEDIA (CAIXA BÁSICA GRANDE)        </t>
  </si>
  <si>
    <t xml:space="preserve">ORTOPEDIA (CAIXA BÁSICA MÉDIA)        </t>
  </si>
  <si>
    <t>ORTOPEDIA (PARTES MOLES)</t>
  </si>
  <si>
    <t xml:space="preserve">ORTOPEDIA (OSTEOTOMIA DE QUADRIL)   </t>
  </si>
  <si>
    <t xml:space="preserve">ORTOPEDIA (OMBRO)   </t>
  </si>
  <si>
    <t xml:space="preserve">ORTOPEDIA (FORMÃO E OSTEÓTOMO COM CABO)      </t>
  </si>
  <si>
    <t xml:space="preserve">ORTOPEDIA (PINÇAS ESPANHOLAS/ REDUÇÃO)   </t>
  </si>
  <si>
    <t xml:space="preserve">ORTOPEDIA (PÉ)   </t>
  </si>
  <si>
    <t xml:space="preserve">ORTOPEDIA (ARTROSCOPIA)   </t>
  </si>
  <si>
    <t xml:space="preserve">ORTOPEDIA (CAIXA DE PEZINHO INFANTIL)           </t>
  </si>
  <si>
    <t xml:space="preserve">ORTOPEDIA (ARTROSCOPIA JOELHO)           </t>
  </si>
  <si>
    <t>ORTOPEDIA (CAIXA DE ENXERTO ÓSSEO)</t>
  </si>
  <si>
    <t xml:space="preserve">ORTOPEDIA (ESPECIAL ARTROSCOPIA)           </t>
  </si>
  <si>
    <t>COMPLEMENTO DE ORTOPEDIA</t>
  </si>
  <si>
    <t>ORTOPEDIA - AVULSOS</t>
  </si>
  <si>
    <t xml:space="preserve"> AVULSO - Ortopedia (Tesoura Gesso)</t>
  </si>
  <si>
    <t>adquirir este quantitativo descrito
não temos uma aba com estes itens</t>
  </si>
  <si>
    <t xml:space="preserve"> AVULSO - Ortopedia (Afastador de Gesso)</t>
  </si>
  <si>
    <t xml:space="preserve"> AVULSO - Bernardinho</t>
  </si>
  <si>
    <t xml:space="preserve"> AVULSO - Bernardão</t>
  </si>
  <si>
    <t>Alicate Universal</t>
  </si>
  <si>
    <t>Alicate de ponta fina</t>
  </si>
  <si>
    <t>martelo médio</t>
  </si>
  <si>
    <t>martelo pesado</t>
  </si>
  <si>
    <t>Cureta pequena</t>
  </si>
  <si>
    <t>Cureta média</t>
  </si>
  <si>
    <t>Cureta grande</t>
  </si>
  <si>
    <t>Pinça Faure</t>
  </si>
  <si>
    <t>Afastador de honmam pequeno</t>
  </si>
  <si>
    <t>Afastador de honmam médio</t>
  </si>
  <si>
    <t>Afastador de honmam grande</t>
  </si>
  <si>
    <t>Afastador de profundidade, langeback longo</t>
  </si>
  <si>
    <t>Afastador norte sul, para limpeza de quadril</t>
  </si>
  <si>
    <t>Afastador autostatico gde</t>
  </si>
  <si>
    <t>Prolongador de bisturi</t>
  </si>
  <si>
    <t>Cabo de bisturi longo para lâmina 22</t>
  </si>
  <si>
    <t>Osteotomo de lâmina fina pequena</t>
  </si>
  <si>
    <t>Osteotomo de lâmina fina médio</t>
  </si>
  <si>
    <t>Osteotomo de lâmina fina grande</t>
  </si>
  <si>
    <t>GERAL (BÁSICA GRANDE)</t>
  </si>
  <si>
    <t>CIRURGIA GERAL (VIAS BILIARES)</t>
  </si>
  <si>
    <t>CIRURGIA GERAL (PROCTOLOGIA)</t>
  </si>
  <si>
    <t>GERAL (GERAL - VÍDEO)</t>
  </si>
  <si>
    <t>GERAL (APENDICECTOMIA)</t>
  </si>
  <si>
    <t>GERAL (LAPAROTOMIA)</t>
  </si>
  <si>
    <t>GERAL (TORACOTOMIA)</t>
  </si>
  <si>
    <t>GERAL (HERNIORRAFIA)</t>
  </si>
  <si>
    <t>OTORRINO</t>
  </si>
  <si>
    <t>ADENOAMIGDALECTOMIA</t>
  </si>
  <si>
    <t>TIMPANOPLASTIA / MASTOIODECTOMIA</t>
  </si>
  <si>
    <t>RINOSSEPTOPLASTIA</t>
  </si>
  <si>
    <t>DISSECTORES DE OUVIDO</t>
  </si>
  <si>
    <t>MIRINGOTOMIA</t>
  </si>
  <si>
    <t>AVULSOS OTORRINO AMBULATORIO</t>
  </si>
  <si>
    <t>ESPECULO NASAL</t>
  </si>
  <si>
    <t>PINÇA BAIONETA</t>
  </si>
  <si>
    <t>TESOURA DE IRIS</t>
  </si>
  <si>
    <t>PINÇA TAKAHASHI</t>
  </si>
  <si>
    <t>VASCULAR (AMPUTAÇÃO VASCULAR)</t>
  </si>
  <si>
    <t>VASCULAR (ENXERTO VASCULAR)</t>
  </si>
  <si>
    <t>VARIZES</t>
  </si>
  <si>
    <t>FLEBLOEXTRATOR</t>
  </si>
  <si>
    <t>CIRURGIA PEDIATRICA</t>
  </si>
  <si>
    <t>CIRURGIA DE TÓRAX (TORACOTOMIA INFANTIL)</t>
  </si>
  <si>
    <t>CIRURGIA PEDIÁTRICA (LAPAROTOMIA INFANTIL)</t>
  </si>
  <si>
    <t>CIRURGIA PEDIÁTRICA (HERNIORRAFIA INFANTIL)</t>
  </si>
  <si>
    <t>UROLOGIA INFANTIL</t>
  </si>
  <si>
    <t>CIR. TORACIA</t>
  </si>
  <si>
    <t>CAIXA EMERGENCIA TORAX</t>
  </si>
  <si>
    <t>TORACOTOMIA ADULTO</t>
  </si>
  <si>
    <t>CAIXAS DIVERSAS</t>
  </si>
  <si>
    <t xml:space="preserve"> PACOTE DE S.V.D</t>
  </si>
  <si>
    <t>CAIXA DE FLEBOTOMIA</t>
  </si>
  <si>
    <t>PACOTE INTRACARTH</t>
  </si>
  <si>
    <t>CAIXA DE DERMATOLOGIA</t>
  </si>
  <si>
    <t>CURATIVO</t>
  </si>
  <si>
    <t>PACOTE SUTURA</t>
  </si>
  <si>
    <t>DRENAGEM DE TORAX</t>
  </si>
  <si>
    <t>CAIXA DE RETIRADA DE PONTOS</t>
  </si>
  <si>
    <t>CATARATA</t>
  </si>
  <si>
    <t>VITRECTOMIA</t>
  </si>
  <si>
    <t>KIT INJEÇÃO INTRAVITREA</t>
  </si>
  <si>
    <t>CALAZIO</t>
  </si>
  <si>
    <t>RELAÇÃO DE MATERIAL GINECOLOGIA / OBSTETRICIA</t>
  </si>
  <si>
    <t>CAIXA REVISÃO DE COLO CC</t>
  </si>
  <si>
    <t>Produto</t>
  </si>
  <si>
    <t>Qtd</t>
  </si>
  <si>
    <t xml:space="preserve"> HISTERÔMETRO 28 cm</t>
  </si>
  <si>
    <t xml:space="preserve"> PORTA AGULHA COM VIDEA 22CM</t>
  </si>
  <si>
    <t xml:space="preserve"> PINÇA COLLIN RETA 24CM</t>
  </si>
  <si>
    <t xml:space="preserve"> PINÇA KELLY RETA 16CM</t>
  </si>
  <si>
    <t xml:space="preserve"> PINÇA KELLY CURVA 16CM</t>
  </si>
  <si>
    <t xml:space="preserve"> TESOURA METZEMBAUM CURVA18CM</t>
  </si>
  <si>
    <t xml:space="preserve"> PINÇA ALLIS 22CM</t>
  </si>
  <si>
    <t xml:space="preserve"> PINÇA KOCHER RETA  22CM</t>
  </si>
  <si>
    <t xml:space="preserve"> PINÇA ANATÔMICA COM DENTE  22CM</t>
  </si>
  <si>
    <t xml:space="preserve"> PINÇA ANATÔMICA SEM DENTE  22CM</t>
  </si>
  <si>
    <t xml:space="preserve"> CHERON 25CM</t>
  </si>
  <si>
    <t xml:space="preserve"> CURETA FENESTRADA M</t>
  </si>
  <si>
    <t xml:space="preserve"> CURETA FENESTRADA G</t>
  </si>
  <si>
    <t xml:space="preserve"> PINÇA WINTER RETA 24CM</t>
  </si>
  <si>
    <t xml:space="preserve"> ESPÉCULO VAGINAL G</t>
  </si>
  <si>
    <t xml:space="preserve"> POZZI 24CM</t>
  </si>
  <si>
    <t xml:space="preserve"> PINÇA MUSEUX 24CM</t>
  </si>
  <si>
    <t xml:space="preserve"> PINÇA CRILE  CURVA 22 CM</t>
  </si>
  <si>
    <t xml:space="preserve"> CÚPULA</t>
  </si>
  <si>
    <t>CONTAINER PARA GUARDA INTRUMENTAL</t>
  </si>
  <si>
    <t>TOTAL</t>
  </si>
  <si>
    <t>CX CERCLAGEM</t>
  </si>
  <si>
    <t xml:space="preserve"> CUPULA</t>
  </si>
  <si>
    <t xml:space="preserve"> TESOURA METZEMBAUM  RETA 22CM</t>
  </si>
  <si>
    <t xml:space="preserve"> COLLIN OVAL 25CM</t>
  </si>
  <si>
    <t xml:space="preserve"> PINÇA ANATÔMICA C/ DENTE 22CM</t>
  </si>
  <si>
    <t xml:space="preserve"> PORTA AGULHA RETO  LONGO 25CM</t>
  </si>
  <si>
    <t xml:space="preserve"> POZZI 24 CM</t>
  </si>
  <si>
    <t>ESPECULO VAGINAL  M</t>
  </si>
  <si>
    <t>ESPECULO VAGINAL  G</t>
  </si>
  <si>
    <t>CONTAINER PARA GUARDA DE INTRUMENTAL</t>
  </si>
  <si>
    <t xml:space="preserve"> AGULHA DE SLING Transobturatória</t>
  </si>
  <si>
    <t xml:space="preserve"> BACKAUS</t>
  </si>
  <si>
    <t xml:space="preserve"> CHERON  25CM</t>
  </si>
  <si>
    <t xml:space="preserve"> KELLY CURVA16CM</t>
  </si>
  <si>
    <t xml:space="preserve"> KOCHER RETA 18CM</t>
  </si>
  <si>
    <t xml:space="preserve"> PINÇA ANATÔMICA COM DENTE 18CM</t>
  </si>
  <si>
    <t xml:space="preserve"> PINÇA ANATÔMICA SEM DENTE 18CM</t>
  </si>
  <si>
    <t xml:space="preserve"> PORTA AGULHA COM VIDEA 20CM</t>
  </si>
  <si>
    <t xml:space="preserve"> TESOURA METZEMBAUM CURVA 18CM</t>
  </si>
  <si>
    <t xml:space="preserve"> TESOURA METZEMBAUM RETA 18 CM</t>
  </si>
  <si>
    <t>CX PERINEOPLASTIA</t>
  </si>
  <si>
    <t xml:space="preserve"> PINÇA KOCHER RETA  16CM</t>
  </si>
  <si>
    <t xml:space="preserve"> PINÇA ALLIS 20CM</t>
  </si>
  <si>
    <t xml:space="preserve"> PINÇA ALLIS 25CM</t>
  </si>
  <si>
    <t xml:space="preserve"> PINÇA ANATÔMICA COM DENTE 20CM</t>
  </si>
  <si>
    <t xml:space="preserve"> PINÇA ANATÔMICA SEM DENTE  20CM</t>
  </si>
  <si>
    <t xml:space="preserve"> PINÇA CHERON 25CM</t>
  </si>
  <si>
    <t xml:space="preserve"> PINÇA COLLIN RETA 22CM</t>
  </si>
  <si>
    <t xml:space="preserve"> PINÇA MIXTER 22CM</t>
  </si>
  <si>
    <t xml:space="preserve"> PINÇA POZZI 24CM</t>
  </si>
  <si>
    <t xml:space="preserve"> PONTA DE ASPIRADOR Yankauer 27cm</t>
  </si>
  <si>
    <t xml:space="preserve"> PORTA AGULHA COM VIDEA CURVO 22CM</t>
  </si>
  <si>
    <t>PORTA AGULHA VIDEA 18 CM</t>
  </si>
  <si>
    <t xml:space="preserve"> PORTA AGULHA DE HEGAR 18CM</t>
  </si>
  <si>
    <t xml:space="preserve"> TESOURA METZEMBAUM CURVA 20CM</t>
  </si>
  <si>
    <t xml:space="preserve"> TESOURA METZEMBAUM RETA 20CM</t>
  </si>
  <si>
    <t xml:space="preserve"> TESOURA MAYO RETA</t>
  </si>
  <si>
    <t xml:space="preserve"> VÁLVULA BREISKY</t>
  </si>
  <si>
    <t>CONTAINER PARA GUARDA DE INSTRUMENTAL</t>
  </si>
  <si>
    <t>CX HISTERECTOMIA ABDOMINAL</t>
  </si>
  <si>
    <t xml:space="preserve"> AFASTADOR DOYAN M</t>
  </si>
  <si>
    <t xml:space="preserve"> FARABEUF G</t>
  </si>
  <si>
    <t xml:space="preserve"> FARABEUF M</t>
  </si>
  <si>
    <t xml:space="preserve"> HISTEROLABO</t>
  </si>
  <si>
    <t xml:space="preserve"> PINÇA KOCHER CURVA 18CM</t>
  </si>
  <si>
    <t xml:space="preserve"> PINÇA KOCHER RETA  18CM</t>
  </si>
  <si>
    <t xml:space="preserve"> PINÇA ANATÔMICA COM DENTE 24CM</t>
  </si>
  <si>
    <t xml:space="preserve"> PINÇA ANATÔMICA SEM DENTE 16CM</t>
  </si>
  <si>
    <t xml:space="preserve"> PINÇA ANATÔMICA SEM DENTE 25CM</t>
  </si>
  <si>
    <t xml:space="preserve"> PINÇA COLLIN RETA 25CM</t>
  </si>
  <si>
    <t xml:space="preserve"> PINÇA FAURE 22CM</t>
  </si>
  <si>
    <t>PINÇA DARTIGUES 24CM</t>
  </si>
  <si>
    <t>SACA FIBROMA 17CM</t>
  </si>
  <si>
    <t xml:space="preserve"> PINÇA POZZI 25CM</t>
  </si>
  <si>
    <t>PONTA ASPIRADOR  Yankauer 27cm</t>
  </si>
  <si>
    <t xml:space="preserve"> PORTA AGULHA COM VIDEA 27 com</t>
  </si>
  <si>
    <t xml:space="preserve"> PORTA AGULHA DE HEGAR 20CM</t>
  </si>
  <si>
    <t>PORTA AGULHA DELICADO 15 CM</t>
  </si>
  <si>
    <t xml:space="preserve"> SUPRA PUBICA</t>
  </si>
  <si>
    <t xml:space="preserve"> TESOURA MAYO CURVA 27 cm</t>
  </si>
  <si>
    <t xml:space="preserve"> TESOURA METZEMBAUM CURVA 20 CM</t>
  </si>
  <si>
    <t xml:space="preserve"> TESOURA METZEMBAUM RETA 25 CM</t>
  </si>
  <si>
    <t xml:space="preserve"> TESOURA METZEMBAUM RETA 20 CM</t>
  </si>
  <si>
    <t xml:space="preserve">CX HISTERECTOMIA VAGINAL  </t>
  </si>
  <si>
    <t xml:space="preserve">  PINÇA KOCHER RETA 18CM</t>
  </si>
  <si>
    <t xml:space="preserve"> PINÇA ALLIS  20 CM</t>
  </si>
  <si>
    <t xml:space="preserve"> PINÇA ANATÔMICA COM DENTE  22 CM</t>
  </si>
  <si>
    <t xml:space="preserve"> PINÇA KELLY CURVA 18CM</t>
  </si>
  <si>
    <t>PINÇA MIXTER 22CM</t>
  </si>
  <si>
    <t xml:space="preserve"> PINÇA LAHEY 20 CM</t>
  </si>
  <si>
    <t>PINÇA PARAMENTAL  24cm 45º Semi-Curva</t>
  </si>
  <si>
    <t>PINÇA PARAMENTAL 24cm 90º Semi-Curva</t>
  </si>
  <si>
    <t xml:space="preserve"> PORTA AGULHA COM VIDEA CURVO  22CM</t>
  </si>
  <si>
    <t xml:space="preserve"> TESOURA METZEMBAUM CURVA 25CM</t>
  </si>
  <si>
    <t xml:space="preserve"> TESOURA METZEMBAUM RETA 25CM</t>
  </si>
  <si>
    <t xml:space="preserve"> TESOURA MAYO CURVA 20 CM</t>
  </si>
  <si>
    <t xml:space="preserve"> TESOURA MAYO RETA 20 CM</t>
  </si>
  <si>
    <t xml:space="preserve"> VÁLVULA DE PESO</t>
  </si>
  <si>
    <t>CX CURETAGEM</t>
  </si>
  <si>
    <t xml:space="preserve"> CURETA FENESTRADA RECAMIER  P</t>
  </si>
  <si>
    <t xml:space="preserve"> CURETA FENESTRADA RECAMIER  M</t>
  </si>
  <si>
    <t xml:space="preserve"> CURETA FENESTRADA  RECAMIER G</t>
  </si>
  <si>
    <t xml:space="preserve"> CURETA SCHOEDER  P</t>
  </si>
  <si>
    <t xml:space="preserve"> CURETA   SCHOEDER M</t>
  </si>
  <si>
    <t xml:space="preserve"> CURETA  SCHOEDER  G</t>
  </si>
  <si>
    <t xml:space="preserve"> ESPECULO VAGINAL P</t>
  </si>
  <si>
    <t xml:space="preserve"> ESPECULO VAGINAL M</t>
  </si>
  <si>
    <t xml:space="preserve"> ESPECULO VAGINAL G</t>
  </si>
  <si>
    <t xml:space="preserve"> HISTEROMETRO 24 CM</t>
  </si>
  <si>
    <t xml:space="preserve"> PINÇA CHERON 24 CM</t>
  </si>
  <si>
    <t xml:space="preserve"> PINÇA POZZI 25 CM</t>
  </si>
  <si>
    <t xml:space="preserve"> PINÇA WINTER CURVA 25 CM</t>
  </si>
  <si>
    <t xml:space="preserve"> PINÇA WINTER RETA 25 CM</t>
  </si>
  <si>
    <t>CX HISTEROSCOPIA VAGINAL CIRURGICA</t>
  </si>
  <si>
    <t>CUPULA</t>
  </si>
  <si>
    <t>PINÇA POZZI 25CM</t>
  </si>
  <si>
    <t>BACKAUS</t>
  </si>
  <si>
    <t>PINÇA ANATOMICA COM DENTE 20CM</t>
  </si>
  <si>
    <t xml:space="preserve"> TESOURA METZEMBAUM RETA 22CM</t>
  </si>
  <si>
    <t xml:space="preserve"> HISTEROMETRO</t>
  </si>
  <si>
    <t>PORTA AGULHA 25CM</t>
  </si>
  <si>
    <t>COLIN RETA 25CM</t>
  </si>
  <si>
    <t>COLIN CURVA 25CM</t>
  </si>
  <si>
    <t>CX CESAREA</t>
  </si>
  <si>
    <t>Cabo de BÍSTURI  n°4</t>
  </si>
  <si>
    <t>ALAVANCA DE PARTO</t>
  </si>
  <si>
    <t xml:space="preserve"> PINÇA ALLIS 18 cm</t>
  </si>
  <si>
    <t xml:space="preserve"> PINÇA ANATÔMICA SEM DENTE 24CM</t>
  </si>
  <si>
    <t xml:space="preserve"> PINÇA CHERON</t>
  </si>
  <si>
    <t xml:space="preserve"> PINÇA KELLY CURVA 14 cm</t>
  </si>
  <si>
    <t xml:space="preserve"> PINÇA KELLY RETA 14 cm</t>
  </si>
  <si>
    <t xml:space="preserve"> PINÇA KOCHER CURVA 16 cm</t>
  </si>
  <si>
    <t xml:space="preserve"> PINÇA KOCHER RETA  16 cm</t>
  </si>
  <si>
    <t xml:space="preserve"> PORTA AGULHA COM VIDEA 18 cm</t>
  </si>
  <si>
    <t xml:space="preserve"> PORTA AGULHA DE HEGAR 18 cm</t>
  </si>
  <si>
    <t xml:space="preserve"> TESOURA MAYO CURVA 16 cm</t>
  </si>
  <si>
    <t xml:space="preserve"> TESOURA METZEMBAUM CURVA 18 cm</t>
  </si>
  <si>
    <t xml:space="preserve"> TESOURA METZEMBAUM RETA  16 cm</t>
  </si>
  <si>
    <t>CX PARTO NORMAL</t>
  </si>
  <si>
    <t xml:space="preserve"> KOCHER RETA 18 CM</t>
  </si>
  <si>
    <t xml:space="preserve"> PINÇA ANATÔMICA COM DENTE 16CM</t>
  </si>
  <si>
    <t xml:space="preserve"> PINÇA KELLY RETA 16 CM</t>
  </si>
  <si>
    <t xml:space="preserve"> PINÇA KELLY CURVA  16 CM</t>
  </si>
  <si>
    <t xml:space="preserve"> PORTA AGULHA DE HEGAR 16 CM</t>
  </si>
  <si>
    <t xml:space="preserve"> TESOURA METZEMBAUM RETA 16 CM</t>
  </si>
  <si>
    <t xml:space="preserve"> TESOURA METZEMBAUM CURVA 16 CM</t>
  </si>
  <si>
    <t>CAIXA PARA GINECOLOGIA AMBULATÓRIO</t>
  </si>
  <si>
    <t>Especulo vaginal  n° 1, 2 , 3</t>
  </si>
  <si>
    <t>Pinça Cheron 25cm</t>
  </si>
  <si>
    <t>Pinça Foerster reta c/serrilha 24cm</t>
  </si>
  <si>
    <t>Pinça Thoms Gaylor p/biópsia 24cm</t>
  </si>
  <si>
    <t>Bandeja pequena  para Guarda do Intrumental</t>
  </si>
  <si>
    <t>CAIXA DE VELAS DE HEGAR</t>
  </si>
  <si>
    <t>VELAS DE HEGAR DE 01 A 25</t>
  </si>
  <si>
    <t>CAIXA PARA GUARDA DE INSTRUMENTAL</t>
  </si>
  <si>
    <t>CAIXA BÁSICA CRANIOTOMIA</t>
  </si>
  <si>
    <t>Cúpulas</t>
  </si>
  <si>
    <t>Afastadores Farabeuf</t>
  </si>
  <si>
    <t>Afastador de Jansen</t>
  </si>
  <si>
    <t>Pinças Kerrison  angulada 45° 3 cm</t>
  </si>
  <si>
    <t>Pinça Potts-smith c/ dente 18 cm</t>
  </si>
  <si>
    <t>Goiva curva 18 cm</t>
  </si>
  <si>
    <t>Goiva Leksell Stille 22 cm</t>
  </si>
  <si>
    <t>Elevador de Coob 18cm</t>
  </si>
  <si>
    <t>Passadores de Serra de Gigli</t>
  </si>
  <si>
    <t>Cabos de Serra de Gigli</t>
  </si>
  <si>
    <t>Aspiradores de Sucção</t>
  </si>
  <si>
    <t>Aspirador com protetor</t>
  </si>
  <si>
    <t>Espátulas Maleáveis reta 20cm</t>
  </si>
  <si>
    <t>Descolador Penfild nº 02 18 vcm</t>
  </si>
  <si>
    <t>Cabo de Bisturi nº 03</t>
  </si>
  <si>
    <t>Cabo de Bisturi nº 04</t>
  </si>
  <si>
    <t>Cabo de Bisturi nº 07</t>
  </si>
  <si>
    <t>Curetas n°0,00,000</t>
  </si>
  <si>
    <t>Cureta 5mm</t>
  </si>
  <si>
    <t>Cureta 4,5mm</t>
  </si>
  <si>
    <t>Porta agulha hegar 20</t>
  </si>
  <si>
    <t>Porta-Agulhas c/ vídea 18cm</t>
  </si>
  <si>
    <t>Porta-Agulhas c/ vídea 15cm</t>
  </si>
  <si>
    <t>Tesoura Mayo reta 17 cm</t>
  </si>
  <si>
    <t>Tesoura Mayo curvo 17 cm</t>
  </si>
  <si>
    <t>Tesoura Metzembaum 18cm</t>
  </si>
  <si>
    <t>Pinça Cherron</t>
  </si>
  <si>
    <t>Pinças Backaus</t>
  </si>
  <si>
    <t>Pinças Kelly curvo 14cm</t>
  </si>
  <si>
    <t>Pinças Kelly reta 14cm</t>
  </si>
  <si>
    <t>Pinça Adson s/dente</t>
  </si>
  <si>
    <t>Pinça Adson c/dente</t>
  </si>
  <si>
    <t>Pinça Tumor Hunter</t>
  </si>
  <si>
    <t>Pinças Baioneta  sem dente14-19 cm</t>
  </si>
  <si>
    <t>Pinças dente de rato 16-20 cm</t>
  </si>
  <si>
    <t>Pinça Anatômica 20 cm</t>
  </si>
  <si>
    <t>Dissector de free</t>
  </si>
  <si>
    <t>Pinça Protetora de Dura</t>
  </si>
  <si>
    <t>Pinça de Jansen LENGTH</t>
  </si>
  <si>
    <t>Pinça aplicador clip Haney</t>
  </si>
  <si>
    <t>Alfinete</t>
  </si>
  <si>
    <t>Tesoura de Killer 18 cm</t>
  </si>
  <si>
    <t>Rugina Farabeuf</t>
  </si>
  <si>
    <t>Rugina Lombote</t>
  </si>
  <si>
    <t>Woodson 18 cm</t>
  </si>
  <si>
    <t>Microdissector sem bola na ponta</t>
  </si>
  <si>
    <t>Gancho Giles</t>
  </si>
  <si>
    <t>Afastador Ortostático reto  14cm</t>
  </si>
  <si>
    <t>Espatula media</t>
  </si>
  <si>
    <t>Container para a guarda de instrumental</t>
  </si>
  <si>
    <t>CAIXA DE MICROCIRURGIA BASICA</t>
  </si>
  <si>
    <t>ASPIRADOR COM PROTETOR DELICADO</t>
  </si>
  <si>
    <t>ESPÁTULA 12 CM</t>
  </si>
  <si>
    <t>MICRO PORTA AGULHA BARRAQUER SEM TRAVA RETO 12 CM</t>
  </si>
  <si>
    <t>MICRO PORTA AGULHA GASTROVIEJO BAIONETA RETO COM TRAVA 22CM</t>
  </si>
  <si>
    <t>MICRO PORTA AGULHA GASTROVIEJO SEM TRAVA RETO 14CM - FALTA</t>
  </si>
  <si>
    <t>MICRO PORTA AGULHA BAIONETA CURVO</t>
  </si>
  <si>
    <t>MICRO PORTA AGULHA GASTROVIEJO SEM TRAVA 18 CM</t>
  </si>
  <si>
    <t>MICRO TESOURA RETA 18CM</t>
  </si>
  <si>
    <t>MICRO TESOURA BAIONETA CURVO 20CM</t>
  </si>
  <si>
    <t>MICRO TESOURA BAIONETA RETA 16CM</t>
  </si>
  <si>
    <t>MICRO TESOURA BAIONETA RETA 17CM</t>
  </si>
  <si>
    <t>MICRO TESOURA BAIONETA RETA 18CM</t>
  </si>
  <si>
    <t>PINÇA CLIPADORA SURGITA 21 CM</t>
  </si>
  <si>
    <t>PINÇA CLIPADORA YASARGIL 20 CM</t>
  </si>
  <si>
    <t>CX. INÓX. FURADA 20X10X5 CM</t>
  </si>
  <si>
    <t>TOTAL: 17 PEÇAS</t>
  </si>
  <si>
    <t>CAIXA LAMINECTOMIA  CERVICAL – NEURO</t>
  </si>
  <si>
    <t>Afastador de Gaspar</t>
  </si>
  <si>
    <t>Chave Aplicadora</t>
  </si>
  <si>
    <t>Parafusos de fixação</t>
  </si>
  <si>
    <t>Colocador de enxertos</t>
  </si>
  <si>
    <t>Afastador cervical transfersal</t>
  </si>
  <si>
    <t>Laminas do afastador cervical</t>
  </si>
  <si>
    <t>Curetas  Simons curva  0000</t>
  </si>
  <si>
    <t>Afastador tipo Lamina</t>
  </si>
  <si>
    <t>Kerrison 4MM</t>
  </si>
  <si>
    <t>Kerrison 1 MM</t>
  </si>
  <si>
    <t>Container para guarda do instrumental</t>
  </si>
  <si>
    <t>CAIXA DE MICRO DISSECTORES</t>
  </si>
  <si>
    <t>MICRO DISSECTOR</t>
  </si>
  <si>
    <t>CAIXA INÓX FURADA 20X12X06</t>
  </si>
  <si>
    <t>TOTAL: 08 PEÇAS</t>
  </si>
  <si>
    <t>CAIXA AFASTADOR DE LEYLA</t>
  </si>
  <si>
    <t>BRAÇO DO LEYLA</t>
  </si>
  <si>
    <t>PRESILHA DO LEILA</t>
  </si>
  <si>
    <t>CAIXA CONTAINER  36X16X 09 CM</t>
  </si>
  <si>
    <t>CAIXA  TREPANAÇÃO  –  NEUROCIRURGIA</t>
  </si>
  <si>
    <t>Trépano</t>
  </si>
  <si>
    <t>Broca Lisa Cushing</t>
  </si>
  <si>
    <t>Broca Mackenzie</t>
  </si>
  <si>
    <t>Broca Redonda de Hudson</t>
  </si>
  <si>
    <t>Broca Oval de Hudson 9mm</t>
  </si>
  <si>
    <t>Broca Oval de Hudson 14mm</t>
  </si>
  <si>
    <t>Dissector de Free Duplo</t>
  </si>
  <si>
    <t>Afastador Ortostático reto 14 cm</t>
  </si>
  <si>
    <t>Aspirador de Sucção com protetor</t>
  </si>
  <si>
    <t>Goiva reta  lecksel</t>
  </si>
  <si>
    <t>Cureta nº 000</t>
  </si>
  <si>
    <t>Afastadores Farabeuf  pequeno</t>
  </si>
  <si>
    <t>CAIXA DE HIPÓFISE</t>
  </si>
  <si>
    <t>AFASTADOR BECKMANN ADSON AGUDO PEQUENO 13 CM</t>
  </si>
  <si>
    <t>AFASTADOR BECKMANN ADSON AGUDO 30 CM</t>
  </si>
  <si>
    <t>ASPIRADOR FRAZIER CURVO</t>
  </si>
  <si>
    <t>ASPIRADOR TRANSFENOIDAL</t>
  </si>
  <si>
    <t>CABO DE BISTURI HARDY VERTICAL BAINETA</t>
  </si>
  <si>
    <t>CABO DE BISTURI Nº 3</t>
  </si>
  <si>
    <t>CURETA HARDY BAIONETA ANGULADO PARA FRENTE 90º - 26 CM</t>
  </si>
  <si>
    <t>CURETA HARDY BAIONETA PARA DIREITA  – 26 CM</t>
  </si>
  <si>
    <t>CURETA HARDY BAIONETA PARA ESQUERDA – 26 CM</t>
  </si>
  <si>
    <t>CURETA NICOLA BAIONETA PARA DIREITA – 26CM</t>
  </si>
  <si>
    <t>ELEVADOR LAMGEMBECK  20CM</t>
  </si>
  <si>
    <t>ENUCLEADOR HARDY BAIONETA PARA DIREITA– 24 CM</t>
  </si>
  <si>
    <t>ENUCLEADOR HARDY BAIONETA PARA ESQUERDA – 24 CM</t>
  </si>
  <si>
    <t>ESCOLPO RETO BAIONETA 22 CM</t>
  </si>
  <si>
    <t>ESPÉCULO NASAL  HARDY  ANGULADO PRETO</t>
  </si>
  <si>
    <t>ESPÉCULO NASAL CUSHING ANGULADO PRETO</t>
  </si>
  <si>
    <t>ESPÉCULO NASAL PARA HIPÓFISE DELICADO</t>
  </si>
  <si>
    <t>ESPÉCULO NASAL PARA HIPÓFISE GRANDE</t>
  </si>
  <si>
    <t>ESPÉCULO NASAL PARA HIPÓFISE MÉDIO</t>
  </si>
  <si>
    <t>ESPÉCULO NASAL PARA HIPÓFISE PEQUENO</t>
  </si>
  <si>
    <t>GOIVA LEMPERT RETA 20 CM</t>
  </si>
  <si>
    <t>IMPLANTADOR HARDY BAIONETA 24 CM</t>
  </si>
  <si>
    <t>MARTELO HAMMER</t>
  </si>
  <si>
    <t>MICRO DISSECTOR HARDY BAINETA</t>
  </si>
  <si>
    <t>PINÇA BAIONETA COM DENTE- 19 CM</t>
  </si>
  <si>
    <t>PINÇA GOIVA MIDETLON JANSEN</t>
  </si>
  <si>
    <t>PINÇA KERRISON ANGULADA PARA CIMA  GRADUADA 40º</t>
  </si>
  <si>
    <t>PINÇA KERRISON RETA PARA CIMA GRADUADA 90º</t>
  </si>
  <si>
    <t>PINÇA LOVE RETA  GRADUADA</t>
  </si>
  <si>
    <t>RUGINA LOMBOTE CURVA</t>
  </si>
  <si>
    <t>TESOURA METZEMBAU CURVA 18 CM</t>
  </si>
  <si>
    <t>TESOURA OLIVERCRONA PARA DURA 26 CM</t>
  </si>
  <si>
    <t>CAIXA CONTAINER  36X22X09</t>
  </si>
  <si>
    <t>TOTAL: 35 PEÇAS</t>
  </si>
  <si>
    <t>CAIXA MICROCIRURGIA  VASCULAR</t>
  </si>
  <si>
    <t>Micro Porta Agulha Barraquer reto 12,5cm</t>
  </si>
  <si>
    <t>Micro Porta Agulha Jacobson reto 22cm</t>
  </si>
  <si>
    <t>Micro Porta Agulha curvo Baioneta 18,5cm</t>
  </si>
  <si>
    <t>Micro Tesoura Jacobson curvo baioneta18cm</t>
  </si>
  <si>
    <t>Micro Tesoura Jacobson reto baioneta 16/18cm</t>
  </si>
  <si>
    <t>Micro Tesoura Yasargil reta baioneta 16/18cm</t>
  </si>
  <si>
    <t>Micro Tesoura Yasargil curvo baioneta 20cm</t>
  </si>
  <si>
    <t>Pinça Aplicadora de Clips Surgita</t>
  </si>
  <si>
    <t>Pinça Aplicadora de Clips Yasargil</t>
  </si>
  <si>
    <t>Espátula Pequena</t>
  </si>
  <si>
    <t>Aspirador com Proteção delicado</t>
  </si>
  <si>
    <t>Cx. Inox 28x14x7cm</t>
  </si>
  <si>
    <t>CAIXA DE NEURO ENDOSCOPIA</t>
  </si>
  <si>
    <t>ELETRO BIPOLAR</t>
  </si>
  <si>
    <t>ELETRO MONOPOLAR</t>
  </si>
  <si>
    <t>EMBOLO</t>
  </si>
  <si>
    <t>HASTE</t>
  </si>
  <si>
    <t>INTERMEDIÁRIO</t>
  </si>
  <si>
    <t>MICRO TESOURA</t>
  </si>
  <si>
    <t>ÓTICA 30º</t>
  </si>
  <si>
    <t>ÓTICA Oº</t>
  </si>
  <si>
    <t>PINÇA MICRO CISOR</t>
  </si>
  <si>
    <t>VENTRILOSCÓPIO</t>
  </si>
  <si>
    <t>TAPETINHO DE SILICONE AZUL</t>
  </si>
  <si>
    <t>CAIXA CONTAINER PARA GUARDA DO INSTRUMENTAL</t>
  </si>
  <si>
    <t>TOTAL: 15 PEÇAS</t>
  </si>
  <si>
    <t>CAIXA LAMINECTOMIA  LOMBAR</t>
  </si>
  <si>
    <t>Pinças Backaus 13 cm</t>
  </si>
  <si>
    <t>Pinças Kelly reta 14 cm</t>
  </si>
  <si>
    <t>Pinças kelly  curva 14 cm</t>
  </si>
  <si>
    <t>Pinça Cherron 25 cm</t>
  </si>
  <si>
    <t>Curetas Simon reta -0-00-000-0000</t>
  </si>
  <si>
    <t>Descoladores Olivecrona 20 cm</t>
  </si>
  <si>
    <t>Descolador  Penfield nº 04</t>
  </si>
  <si>
    <t>Rugina Cushing</t>
  </si>
  <si>
    <t>Afastadores Backmann -Adson</t>
  </si>
  <si>
    <t>Afastador Guelp Seletz 19 cm</t>
  </si>
  <si>
    <t>Afastadores wetlainer 14cm</t>
  </si>
  <si>
    <t>Afastador Gaspar Lombar</t>
  </si>
  <si>
    <t>Afastador Gaspar baioneta</t>
  </si>
  <si>
    <t>Afastador Langenbeck</t>
  </si>
  <si>
    <t>Pinça love reta 3mm</t>
  </si>
  <si>
    <t>Pinça Love 2 mm reta</t>
  </si>
  <si>
    <t>Pinça Love p/ baixo 3 mm</t>
  </si>
  <si>
    <t>Pinça Love p/ cima 3 mm</t>
  </si>
  <si>
    <t>Pinça Love Retrator 45°</t>
  </si>
  <si>
    <t>Goiva tipo capner cabo de madeira</t>
  </si>
  <si>
    <t>Afastador Taylor</t>
  </si>
  <si>
    <t>Afastador Love 45º - 90º</t>
  </si>
  <si>
    <t>Afastadores love reto</t>
  </si>
  <si>
    <t>Afastador Love Cabo de Madeira</t>
  </si>
  <si>
    <t>Osteotomo especial Cabo de Madeira</t>
  </si>
  <si>
    <t>Pinça Adson c/ dente</t>
  </si>
  <si>
    <t>Pinça Adson  s/ dente</t>
  </si>
  <si>
    <t>Pinça Anatômica 16 cm</t>
  </si>
  <si>
    <t>Pinça dente de rato 16 cm</t>
  </si>
  <si>
    <t>Pinças Kocher reta 16 cm</t>
  </si>
  <si>
    <t>Porta-Agulha c/ vídea 18 cm</t>
  </si>
  <si>
    <t>Porta-Agulha  hegar  18 cm</t>
  </si>
  <si>
    <t>Afastadores Farabeuf grande</t>
  </si>
  <si>
    <t>Tesoura Metzembaun curva 15 cm</t>
  </si>
  <si>
    <t>Tesoura Metzembaun curva 18 cm</t>
  </si>
  <si>
    <t>Aspirador de Sucção</t>
  </si>
  <si>
    <t>Cúpula</t>
  </si>
  <si>
    <t>Porta-Agulha  Hegar 18cm</t>
  </si>
  <si>
    <t>Pinça dente de rato 18cm</t>
  </si>
  <si>
    <t>Gancho cabo de madeira</t>
  </si>
  <si>
    <t>Elevador de Coob curto 15cm</t>
  </si>
  <si>
    <t>Elevador de coob cabo de madeira 20</t>
  </si>
  <si>
    <t>Elevador de coob cabo de madeira  29</t>
  </si>
  <si>
    <t>Pinça gerard c/ dente 20 cm</t>
  </si>
  <si>
    <t>Curetas de Simon ponta angulada –0-00-000-</t>
  </si>
  <si>
    <t>Pinça de tumor Hunt</t>
  </si>
  <si>
    <t>Afastadores Gelpi angulado</t>
  </si>
  <si>
    <t>Afastador Scoville</t>
  </si>
  <si>
    <t>Lamina do afastador sccovile</t>
  </si>
  <si>
    <t>Cortador de Fio</t>
  </si>
  <si>
    <t>Goivas Lucksel 5 e 2 mm</t>
  </si>
  <si>
    <t>Goivas Lucksel   8 mm curva</t>
  </si>
  <si>
    <t>Goiva delicada Jansem curva 22 cm</t>
  </si>
  <si>
    <t>Goiva delicada Jansem reta  19 cm</t>
  </si>
  <si>
    <t>Pinça Kerrison 7 mm</t>
  </si>
  <si>
    <t>Pinça Kerrison 06 mm</t>
  </si>
  <si>
    <t>Pinça Kerrison  3 m.</t>
  </si>
  <si>
    <t>Pinça Kerrison  4 mm</t>
  </si>
  <si>
    <t>Pinça Kerrison 40  °para cima  2mm</t>
  </si>
  <si>
    <t>Osteotómo com cabo</t>
  </si>
  <si>
    <t>Aspiradores com protetor  01</t>
  </si>
  <si>
    <t>Baioneta c/ dente</t>
  </si>
  <si>
    <t>Baioneta  s/ dente</t>
  </si>
  <si>
    <t>Elevador Hoen</t>
  </si>
  <si>
    <t>Afastador Willians</t>
  </si>
  <si>
    <t>Afastador Langebeck</t>
  </si>
  <si>
    <t>Goiva west delicado</t>
  </si>
  <si>
    <t>Microdisector Adson  20 , 23 cm</t>
  </si>
  <si>
    <t>Micro tesoura de Potts Yasargil</t>
  </si>
  <si>
    <t>Pinça potts smith 18 cm</t>
  </si>
  <si>
    <t>Caixa Container para guarda do instrumental</t>
  </si>
  <si>
    <t>QTD</t>
  </si>
  <si>
    <t>Afastadores Langebeck</t>
  </si>
  <si>
    <t>Afastador Garra 4 dentes</t>
  </si>
  <si>
    <t>Afastador Garra 6 dentes</t>
  </si>
  <si>
    <t>Cureta Wolkmann nº 01</t>
  </si>
  <si>
    <t>Cizalha grande</t>
  </si>
  <si>
    <t>Tesoura Mayo reta 17cm</t>
  </si>
  <si>
    <t>Tesoura Mayo curva 15cm</t>
  </si>
  <si>
    <t>Tesoura Metzembaun curva 20cm</t>
  </si>
  <si>
    <t>Porta-Agulhas 20cm hegar/wídia</t>
  </si>
  <si>
    <t>Pinças Anatômica 18cm e 20cm</t>
  </si>
  <si>
    <t>Pinças dente de rato 18cm</t>
  </si>
  <si>
    <t>Pinça  pean</t>
  </si>
  <si>
    <t>Pinças Allis  3-15cm/1-18cm</t>
  </si>
  <si>
    <t>Pinças Kelly curva 16cm</t>
  </si>
  <si>
    <t>Pinças Kelly reta 16cm</t>
  </si>
  <si>
    <t>Pinças Kocker 18cm</t>
  </si>
  <si>
    <t>Pinça Adson com dente</t>
  </si>
  <si>
    <t>Pinça Adson s/ dente</t>
  </si>
  <si>
    <t>Caixa Container</t>
  </si>
  <si>
    <t>RECEBEMOS 2 CAIXAS</t>
  </si>
  <si>
    <t>Afastadores Farabeuf pequenos</t>
  </si>
  <si>
    <t>Cizalha pequena 13,5cm</t>
  </si>
  <si>
    <t>Tesoura Mayo curva 17cm</t>
  </si>
  <si>
    <t>Tesoura Metzembaum curva 20 cm</t>
  </si>
  <si>
    <t>Porta-Agulhas  hegar 18cm e 20cm</t>
  </si>
  <si>
    <t>Pinças Anatômica s/ dente 16 e 18cm</t>
  </si>
  <si>
    <t>Pinças Anatômica c/ dente 16 e 20cm</t>
  </si>
  <si>
    <t>Pinças Allis 15cm</t>
  </si>
  <si>
    <t>Pinças Backaus 13cm</t>
  </si>
  <si>
    <t>Pinças Kelly curva 14cm</t>
  </si>
  <si>
    <t>Pinças Mosquito curva</t>
  </si>
  <si>
    <t>Pinças Kocher reta   3-14cm/1-18cm</t>
  </si>
  <si>
    <t>Cherron</t>
  </si>
  <si>
    <t>Caixa container para guarda de instrumental</t>
  </si>
  <si>
    <t>Tesoura de fio</t>
  </si>
  <si>
    <t>Tesoura Mayo reta 14cm</t>
  </si>
  <si>
    <t>Tesoura Metzembaun curva 14cm</t>
  </si>
  <si>
    <t>Tesoura Iris curva</t>
  </si>
  <si>
    <t>Rugina cusching</t>
  </si>
  <si>
    <t>Pinças Mosquito curvo</t>
  </si>
  <si>
    <t>Pinça Pean</t>
  </si>
  <si>
    <t>Afastadores farabeuf pequeno</t>
  </si>
  <si>
    <t>Pinça backaus</t>
  </si>
  <si>
    <t>Gancho</t>
  </si>
  <si>
    <t>Afastadores  semi-muller</t>
  </si>
  <si>
    <t>Porta agulha com wídia 12cm</t>
  </si>
  <si>
    <t>Porta agulha com wídia 14cm</t>
  </si>
  <si>
    <t>Cabo de bisturi 03</t>
  </si>
  <si>
    <t>Cabo bisturi 04</t>
  </si>
  <si>
    <t>Pinça de adson com dente</t>
  </si>
  <si>
    <t>Pinça de adson sem dente</t>
  </si>
  <si>
    <t>Tesoura  de metezembau curva 14cm</t>
  </si>
  <si>
    <t>Tesoura de mayo reta 15cm</t>
  </si>
  <si>
    <t>Pinça pean</t>
  </si>
  <si>
    <t>Pinça kocher reto 16cm</t>
  </si>
  <si>
    <t>Pinça kocher reto 14cm</t>
  </si>
  <si>
    <t>Pinça mosquito reto</t>
  </si>
  <si>
    <t>Pinça kocher curvo 14cm</t>
  </si>
  <si>
    <t>Pinça kelly curvo 14cm</t>
  </si>
  <si>
    <t>Pinça mosquito curvo</t>
  </si>
  <si>
    <t>Rugina lonbote delicada 12cm</t>
  </si>
  <si>
    <t>Afastadores com dispositivo  pequeno</t>
  </si>
  <si>
    <t>Cizalha</t>
  </si>
  <si>
    <t>Curetas Longas ( 1 cabo de madeira)</t>
  </si>
  <si>
    <t>Curetas</t>
  </si>
  <si>
    <t>Rugina lombote</t>
  </si>
  <si>
    <t>Sacabocado Leksell</t>
  </si>
  <si>
    <t>Sacabocado</t>
  </si>
  <si>
    <t>Espátulas Maleáveis pequenas</t>
  </si>
  <si>
    <t>Formões longos</t>
  </si>
  <si>
    <t>Descolador duplo tipo free 30cm</t>
  </si>
  <si>
    <t>Afastadores de Hohmann</t>
  </si>
  <si>
    <t>Formão reto medida especial 35c ( 2-3,5mm/1-3,0mm/1-2,0mm/1-1,0mm/1-1,5mm)</t>
  </si>
  <si>
    <t>Gancho para Osso T</t>
  </si>
  <si>
    <t>Pinça Mixter  25 cm</t>
  </si>
  <si>
    <t>Pinça Mixter 16 cm</t>
  </si>
  <si>
    <t>Pinças Kocher reta 20cm</t>
  </si>
  <si>
    <t>Pinças Kocher curva  20cm</t>
  </si>
  <si>
    <t>Porta-agulhas 23 cm</t>
  </si>
  <si>
    <t>Tesoura de Metzembaum curvas 17 e 23 cm</t>
  </si>
  <si>
    <t>Afastador tipo cobra</t>
  </si>
  <si>
    <t>Afastador Glenóide dentado 2 pontas</t>
  </si>
  <si>
    <t>Afastador Nervo 6/8mm cortante</t>
  </si>
  <si>
    <t>Afastador Nervo axilar cabo de madeira tipo richardson</t>
  </si>
  <si>
    <t>Afastador tipo Fukuda (P)</t>
  </si>
  <si>
    <t>Alavanca curta 20.cm tipo S</t>
  </si>
  <si>
    <t>Descolador Umeral 16.0mm</t>
  </si>
  <si>
    <t>Martelo Nylon indubel  (M)</t>
  </si>
  <si>
    <t>Perfurador agulha ( C ) tipo gancho</t>
  </si>
  <si>
    <t>Formões c/ cabo reto e curvo</t>
  </si>
  <si>
    <t>Espátula maleável  -1mm/2mmx20cm</t>
  </si>
  <si>
    <t>Afastador Gosset pequeno</t>
  </si>
  <si>
    <t>Afastadores Langebek</t>
  </si>
  <si>
    <t>Pinça Mixter</t>
  </si>
  <si>
    <t>Raspador de osso</t>
  </si>
  <si>
    <t>Passador de fio</t>
  </si>
  <si>
    <t>Afastador back-adson</t>
  </si>
  <si>
    <t>Formões c/ cabo</t>
  </si>
  <si>
    <t>Martelo</t>
  </si>
  <si>
    <t>Pinças Redução pequenos fragmentos</t>
  </si>
  <si>
    <t>Pinças Redução grandes fragmentos</t>
  </si>
  <si>
    <t>Afastador Wheitlaner pequeno</t>
  </si>
  <si>
    <t>Afastadores Langebeck  mini</t>
  </si>
  <si>
    <t>Pinças Anatômicas 12cm</t>
  </si>
  <si>
    <t>Pinças dente de rato 12cm</t>
  </si>
  <si>
    <t>Pinça dente de rato</t>
  </si>
  <si>
    <t>Pinças Kelly reta</t>
  </si>
  <si>
    <t>Rugina Lambote</t>
  </si>
  <si>
    <t>Cortador de fio pequeno</t>
  </si>
  <si>
    <t>Martelo Nylon</t>
  </si>
  <si>
    <t>Curetas Wolkmann nº 0/1/3</t>
  </si>
  <si>
    <t>Garras 3 dentes</t>
  </si>
  <si>
    <t>Goiva</t>
  </si>
  <si>
    <t>Elevador Coob</t>
  </si>
  <si>
    <t>Tesoura Iris reta</t>
  </si>
  <si>
    <t>Porta-Agulha c/vídea 15cm</t>
  </si>
  <si>
    <t>Osteotomo cabo de madeira</t>
  </si>
  <si>
    <t>Tesoura Mayo reta 16cm</t>
  </si>
  <si>
    <t>Tesoura Mayo curva 16cm</t>
  </si>
  <si>
    <t>Tesoura Metzembaum  curva14cm</t>
  </si>
  <si>
    <t>Semi- muller</t>
  </si>
  <si>
    <t>CAIXA BÁSICA DE ARTROSCÓPIA</t>
  </si>
  <si>
    <t>AFASTADOR FARABEUF PEQUENO</t>
  </si>
  <si>
    <t>ALFINETE</t>
  </si>
  <si>
    <t>CABO DE BISTURÍ Nº 3</t>
  </si>
  <si>
    <t>CÚPULA</t>
  </si>
  <si>
    <t>PINÇA ADSON COM DENTE</t>
  </si>
  <si>
    <t>PINÇA ALLIS 15 CM</t>
  </si>
  <si>
    <t>PINÇA ANATÕMICA 14 CM</t>
  </si>
  <si>
    <t>PINÇA BACKAUS 11 CM</t>
  </si>
  <si>
    <t>PINÇA DENTE DE RATO 14 CM</t>
  </si>
  <si>
    <t>PINÇA KELLY CURVA 14 CM</t>
  </si>
  <si>
    <t>PINÇA KELLY RETO 14 CM</t>
  </si>
  <si>
    <t>PINÇA KOCHER RETO 14 CM</t>
  </si>
  <si>
    <t>PINÇA PEAN ( COLLIN NO LUGAR)</t>
  </si>
  <si>
    <t>PORTA AGULHA HEGAR 14 CM</t>
  </si>
  <si>
    <t>TESOURA MAYO RETA 15 CM</t>
  </si>
  <si>
    <t>CAIXA CONTAINER  26X12X06</t>
  </si>
  <si>
    <t>Rugina curva</t>
  </si>
  <si>
    <t>Rugina reta</t>
  </si>
  <si>
    <t>Formões</t>
  </si>
  <si>
    <t>Formões delicados</t>
  </si>
  <si>
    <t>Cureta 0</t>
  </si>
  <si>
    <t>Cureta 00</t>
  </si>
  <si>
    <t>Afastadores de Homann 19 cm</t>
  </si>
  <si>
    <t>Afastadores de Homann 15 cm</t>
  </si>
  <si>
    <t>Afastadores Langenbek</t>
  </si>
  <si>
    <t>Afastadores c/ 1 gancho</t>
  </si>
  <si>
    <t>Afastadores c/ 2 ganchos</t>
  </si>
  <si>
    <t>Afastadores c/ 4 ganchos</t>
  </si>
  <si>
    <t>Descoladores de Free</t>
  </si>
  <si>
    <t>Pinças Anatômicas c/dente</t>
  </si>
  <si>
    <t>Pinças Anatômicas s/dente</t>
  </si>
  <si>
    <t>Pinças Mosquito retas 12 cm</t>
  </si>
  <si>
    <t>Pinças Kocher retas 14cm</t>
  </si>
  <si>
    <t>Pinças Love</t>
  </si>
  <si>
    <t>Cabo de Bisturi nº 3</t>
  </si>
  <si>
    <t>Cabo de Bisturi nº 4</t>
  </si>
  <si>
    <t>Porta-agulhas c/ vídea 12 cm</t>
  </si>
  <si>
    <t>Tesoura Metezembaun curva 15 cm</t>
  </si>
  <si>
    <t>Tesoura Metezembaun reta 15 cm</t>
  </si>
  <si>
    <t>Backaus</t>
  </si>
  <si>
    <t>Backaus de alta-compressão</t>
  </si>
  <si>
    <t>Alfinet</t>
  </si>
  <si>
    <t>CAIXA DE ARTROSCÓPIA DE JOELHO</t>
  </si>
  <si>
    <t>CAMISA PARA TROCATER 02 VIAS</t>
  </si>
  <si>
    <t>CAMISA PARA TROCATER 01 VIAS</t>
  </si>
  <si>
    <t>INSUFLADOR</t>
  </si>
  <si>
    <t>PINÇA BASKET ANGULADA A DIREITA LARGA</t>
  </si>
  <si>
    <t>PINÇA BASKET ANGULADA SUPERIOR FINA</t>
  </si>
  <si>
    <t>PINÇA BASKET RETA FINA</t>
  </si>
  <si>
    <t>PINÇA BASKET RETA LARGA</t>
  </si>
  <si>
    <t>PINÇA BASKETY ANGULADA  ESQUERDA LARGA</t>
  </si>
  <si>
    <t>PINÇA GRASPING</t>
  </si>
  <si>
    <t>POBLE</t>
  </si>
  <si>
    <t>TESOURA ARTRÓSCOPIA</t>
  </si>
  <si>
    <t>TROCATER PONTA AGUDA</t>
  </si>
  <si>
    <t>TORCATER PONTA ROMBA</t>
  </si>
  <si>
    <t>TROCATER PONTA FINA</t>
  </si>
  <si>
    <t>TROCATER PONTA ROMBA</t>
  </si>
  <si>
    <t>CAIXA CONTAINER 26X12X6</t>
  </si>
  <si>
    <t>CAIXA DE ENXERTO OSSEO</t>
  </si>
  <si>
    <t>ALAVANCA OSSEA CURVA 20 CM</t>
  </si>
  <si>
    <t>DESCOLADOR CABO DE MADEIRA CURVO 21 CM</t>
  </si>
  <si>
    <t>DESCOLADOR CABO DE MADEIRA RETO 20 CM</t>
  </si>
  <si>
    <t>DESCOLADOR CABO DE MADEIRA SEMI CURVO 20 CM</t>
  </si>
  <si>
    <t>ENPACTOR DE ENXERTO CABO DE MADEIRA</t>
  </si>
  <si>
    <t>EMPACTOR DE ENXERTO DE MADEIRA</t>
  </si>
  <si>
    <t>FORMÃO RETO</t>
  </si>
  <si>
    <t>GOIVA DE ENXERTO</t>
  </si>
  <si>
    <t>GOIVA WEST CABO DE MADEIRA</t>
  </si>
  <si>
    <t>CAIXA CONTAINER 26X12X06 CM</t>
  </si>
  <si>
    <t>CAIXA ESPECIAL  DE ARTROSCOPIA DE OMBRO</t>
  </si>
  <si>
    <t>CAMISA PARA TROCATER</t>
  </si>
  <si>
    <t>PINÇA BASKET RETO LARGO</t>
  </si>
  <si>
    <t>PINÇA PENETRATOR RETO</t>
  </si>
  <si>
    <t>PINÇA PENETRATOR ANGULADO 45°</t>
  </si>
  <si>
    <t>TESOURA</t>
  </si>
  <si>
    <t>TROCATER COM CAMISA</t>
  </si>
  <si>
    <t>CAIXA CONTAINER  26X 12X6</t>
  </si>
  <si>
    <t>Afastador  farabeuf grande</t>
  </si>
  <si>
    <t>Cabo de bisturi nº 4</t>
  </si>
  <si>
    <t>Cabo de bisturi nº 3</t>
  </si>
  <si>
    <t>Rugina farabeuf</t>
  </si>
  <si>
    <t>Pinça allis</t>
  </si>
  <si>
    <t>Pinça backaus 16 cm</t>
  </si>
  <si>
    <t>Pinça cherron</t>
  </si>
  <si>
    <t>Pinça dissecção anatômica</t>
  </si>
  <si>
    <t>Pinça dissecção dente de rato</t>
  </si>
  <si>
    <t>Pinça kelly curvo 16 cm</t>
  </si>
  <si>
    <t>Pinça kelly reto 14 cm</t>
  </si>
  <si>
    <t>Pinça kocker reto 14 cm</t>
  </si>
  <si>
    <t>Pinça kocker reto 16 cm</t>
  </si>
  <si>
    <t>Porta agulha com wídia 17 cm</t>
  </si>
  <si>
    <t>Cureta</t>
  </si>
  <si>
    <t>Formão</t>
  </si>
  <si>
    <t>Saca bocado</t>
  </si>
  <si>
    <t>Tesoura mayo reta 17 cm</t>
  </si>
  <si>
    <t>Tesoura metzembau curva 20 cm</t>
  </si>
  <si>
    <t>Caixa de inóx 32 x16x09 cm</t>
  </si>
  <si>
    <t>CAIXA BÁSICA GRANDE GERAL (4 caixas total)</t>
  </si>
  <si>
    <t>nº caixas</t>
  </si>
  <si>
    <t>Alfinetes p/ instrumental</t>
  </si>
  <si>
    <t>Cabo de bisturi nº03</t>
  </si>
  <si>
    <t>Cabo de bisturi nº04</t>
  </si>
  <si>
    <t>Cabo de bisturi nº07</t>
  </si>
  <si>
    <t>Afastadores Farabeuf Medio</t>
  </si>
  <si>
    <t>Afastadores Farabeuf Grande</t>
  </si>
  <si>
    <t>Pinça Cherron 24 CM</t>
  </si>
  <si>
    <t>Pinças Allis longa 5x 6 dente 19cm</t>
  </si>
  <si>
    <t>Pinças Allis médio 5x 6 dente 15cm</t>
  </si>
  <si>
    <t>Pinça Adson  s/dente 12cm</t>
  </si>
  <si>
    <t>Pinça Adson c/ dente 12cm</t>
  </si>
  <si>
    <t>Pinça Anatômica c/ dente de rato 16cm</t>
  </si>
  <si>
    <t>Pinça Anatômica c/ dente de rato 18cm</t>
  </si>
  <si>
    <t>Pinça Anatômica c/ dente de rato 25cm</t>
  </si>
  <si>
    <t>Pinça Anatômica s/ dente de rato 16cm</t>
  </si>
  <si>
    <t>Pinça Anatômica s/ dente de rato 18cm</t>
  </si>
  <si>
    <t>Pinça Anatômica s/ dente de rato 25cm</t>
  </si>
  <si>
    <t>Pinças Babcock 16cm</t>
  </si>
  <si>
    <t>Pinças Collin c/ ponta forma de anel reta 17cm</t>
  </si>
  <si>
    <t>Pinça Forester reta c/ serrilha 18cm</t>
  </si>
  <si>
    <t>Pinça Forester curva 18cm</t>
  </si>
  <si>
    <t>Pinças Rochester Ochsner reta 18cm</t>
  </si>
  <si>
    <t>Pinças backaus 13cm</t>
  </si>
  <si>
    <t>Pinça Clamps Intestinal  curva 25cm</t>
  </si>
  <si>
    <t>Pinça Clamp reta 25cm</t>
  </si>
  <si>
    <t>Pinças Mosquto curva 12cm</t>
  </si>
  <si>
    <t>Pinças Mosquito reta 12cm</t>
  </si>
  <si>
    <t>Pinça Baby Mister</t>
  </si>
  <si>
    <t>Pinças Kocher curva 16cm</t>
  </si>
  <si>
    <t>Pinças Kocher reta 16cm</t>
  </si>
  <si>
    <t>Pinça Mixter 23cm</t>
  </si>
  <si>
    <t>Pinças Mixter 18cm</t>
  </si>
  <si>
    <t>Pinça Mixter ponta grossa 24cm</t>
  </si>
  <si>
    <t>Porta-Agulha 20cm</t>
  </si>
  <si>
    <t>Porta-Agulha  25cm</t>
  </si>
  <si>
    <t>Porta-Agulha 14cm</t>
  </si>
  <si>
    <t>Tesoura Mayo curva romba 17cm</t>
  </si>
  <si>
    <t>Tesoura Mayo reta romba 17cm</t>
  </si>
  <si>
    <t>Tesoura Metzembaun reta 18cm</t>
  </si>
  <si>
    <t>Tesoura Metzembaun reta 23cm</t>
  </si>
  <si>
    <t>Tesoura Metzembaun curva 23cm</t>
  </si>
  <si>
    <t>Pinça de Pata de Ganso (Russa) 20cm</t>
  </si>
  <si>
    <t>Ponta de Aspirador</t>
  </si>
  <si>
    <t>Caixa container para a guarda do instrumental</t>
  </si>
  <si>
    <t>Pinça Adson c/dente 12cm</t>
  </si>
  <si>
    <t>Pinça Dissecção c/ serrilha 16cm</t>
  </si>
  <si>
    <t>Porta-Agulha 18cm</t>
  </si>
  <si>
    <t>Porta-Agulha 16cm</t>
  </si>
  <si>
    <t>Pinça Cherron 25cm</t>
  </si>
  <si>
    <t>Afastadores Farabeuf pequeno</t>
  </si>
  <si>
    <t>Pinça Anatômica c/ dente 16cm</t>
  </si>
  <si>
    <t>Tesoura Metzembaun reta 16cm</t>
  </si>
  <si>
    <t>Pinças Mosquito reta</t>
  </si>
  <si>
    <t>CAIXA PRÓCTO  – GERAL (4 caixas total)</t>
  </si>
  <si>
    <t>Afastador Retal médio</t>
  </si>
  <si>
    <t>Afastador Retal grande</t>
  </si>
  <si>
    <t>Especulo Retal</t>
  </si>
  <si>
    <t>Pinça dente de rato 14cm</t>
  </si>
  <si>
    <t>Pinça dente de rato 16cm</t>
  </si>
  <si>
    <t>Pinça Anatômica 14cm</t>
  </si>
  <si>
    <t>Pinça Anatômica 16cm</t>
  </si>
  <si>
    <t>Tesoura Metzembaun curva 18cm</t>
  </si>
  <si>
    <t>Tentacânula</t>
  </si>
  <si>
    <t>Estilete</t>
  </si>
  <si>
    <t>GERAL LAPAROTOMIA (1 caixas total)</t>
  </si>
  <si>
    <t>Ponça Anatômica c/ dente 18cmM</t>
  </si>
  <si>
    <t>Pinça Adson s/ dente 12cm</t>
  </si>
  <si>
    <t>Pinças Kelly curva 12cm= Mosquito</t>
  </si>
  <si>
    <t>Pinças Rochester reta 25cm</t>
  </si>
  <si>
    <t>Pinças Kocher reta 14cm</t>
  </si>
  <si>
    <t>Pinças Mixter 22cm</t>
  </si>
  <si>
    <t>Pinça Intestinal curva 21cm</t>
  </si>
  <si>
    <t>Pinça Intestinal Reta 21 cm</t>
  </si>
  <si>
    <t>Pinças Lee reta 24cm</t>
  </si>
  <si>
    <t>Pinças Allis 16cm   ( 03-15 cm/ 01-16cm)</t>
  </si>
  <si>
    <t>Pinças Allis 18cm  ( 01-18cm/ 03-20cm)</t>
  </si>
  <si>
    <t>Pinças Kelly reta 12cm = Mosquito</t>
  </si>
  <si>
    <t>Pinças Forester 26cm</t>
  </si>
  <si>
    <t>Pinças Backaus 14cm  ( 05-14cm/01-15cm )</t>
  </si>
  <si>
    <t>Pinça Pozzi longa 25cm</t>
  </si>
  <si>
    <t>Ponta de Aspirador Chuveiro</t>
  </si>
  <si>
    <t>Pinças Faure 23cm</t>
  </si>
  <si>
    <t>Pinça Museux 25cm</t>
  </si>
  <si>
    <t>Porta-Agulha  hegar 20cm</t>
  </si>
  <si>
    <t>Porta-Agulhas 25cm  (01hegar/01 wídia)</t>
  </si>
  <si>
    <t>Pinças Kocher curva 20cm</t>
  </si>
  <si>
    <t>Pinças Rochester curva 25cm</t>
  </si>
  <si>
    <t>Pinças Anatômicas s/ dente 18-24cm</t>
  </si>
  <si>
    <t>Alfinetes</t>
  </si>
  <si>
    <t>Afastador Gosset médio</t>
  </si>
  <si>
    <t>1. CAIXA DE ADENOAMIGDALECTOMIA</t>
  </si>
  <si>
    <t>1 ASPIRADOR YANKAUER; 27 cm</t>
  </si>
  <si>
    <t>1 DESCOLADOR HURD:</t>
  </si>
  <si>
    <t>1 ASPIRADOR DESCOLADOR;</t>
  </si>
  <si>
    <t>1 CABO DE BISTURI No07</t>
  </si>
  <si>
    <t>1 TESOURA METZEMBAUM RETA</t>
  </si>
  <si>
    <t>1 KELLY RETA</t>
  </si>
  <si>
    <t>1 PORTA AGULHA</t>
  </si>
  <si>
    <t>1 BACKAUS</t>
  </si>
  <si>
    <t>3 FACAS DE BACKMAN, TAMANHOS: 01, 03 E 05</t>
  </si>
  <si>
    <t>1 PINÇA NASAL BRUENINGS</t>
  </si>
  <si>
    <t>1 SCOBEE-ALLIS</t>
  </si>
  <si>
    <t>1 ABAIXA LINGUA BRUENINGS</t>
  </si>
  <si>
    <t>1 ABRIDOR DE BOCA COM 3 LÂMINAS</t>
  </si>
  <si>
    <t>1 ESTOJO INOX PERFURADO</t>
  </si>
  <si>
    <t>1 Estojo de inox perfurado</t>
  </si>
  <si>
    <t>Tesoura Metzembaun curva 15cm</t>
  </si>
  <si>
    <t>Tesoura Metzembaun reta 15cm</t>
  </si>
  <si>
    <t>Pinça Kelly curva 16cm</t>
  </si>
  <si>
    <t>Pinça Kelly delicada reta 14cm</t>
  </si>
  <si>
    <t>Pinça Kelly delicada curva 14cm</t>
  </si>
  <si>
    <t>Pinça dissecção (anatômica) c/serr.14cm</t>
  </si>
  <si>
    <t>Pinça dissecção c/dente de rato 14cm</t>
  </si>
  <si>
    <t>Clips Mayo-Bunt</t>
  </si>
  <si>
    <t>Tesoura Metzenbaum-Nelson RR curva 14cm</t>
  </si>
  <si>
    <t>Tesoura Metzenbaum-Nelson RR 18cm curva</t>
  </si>
  <si>
    <t>Cabo de bisturi nº3 (lâminas 10,11,12,15) 12cm</t>
  </si>
  <si>
    <t>Tentacânula de aço inoxidável 15cm</t>
  </si>
  <si>
    <t>CAIXA  VARIZES (6 CAIXAS)</t>
  </si>
  <si>
    <t>Cabo de bisturi n° 3</t>
  </si>
  <si>
    <t>Afastador Farabeuf delicado</t>
  </si>
  <si>
    <t>Pinça Dissecção c/ serrilha 14cm</t>
  </si>
  <si>
    <t>Pinça Dissecção c/ dente 16cm</t>
  </si>
  <si>
    <t>Pinça Adson c/ serrilha 12cm</t>
  </si>
  <si>
    <t>Porta-Agulha c/ vídea 15cm</t>
  </si>
  <si>
    <t>Cupula</t>
  </si>
  <si>
    <t>Total</t>
  </si>
  <si>
    <t>CAIXAS COMPLEMENTARES</t>
  </si>
  <si>
    <t>CAIXA AMPUTAÇÃO  VASCULAR 1 CAIXA</t>
  </si>
  <si>
    <t>Serra de gigle</t>
  </si>
  <si>
    <t>Gancho em T</t>
  </si>
  <si>
    <t>Grosa ( Lima)</t>
  </si>
  <si>
    <t>Faca de Carrie</t>
  </si>
  <si>
    <t>Saca bocado Leckesel</t>
  </si>
  <si>
    <t>CAIXA ENXERTO   VASCULAR   1 CAIXA</t>
  </si>
  <si>
    <t>Afastadores Farabeuf médio 14cm x 13cm( Tem 01 médio,01 grande)</t>
  </si>
  <si>
    <t>Afastador Weitlainer 3x4 garras rombas 14cm</t>
  </si>
  <si>
    <t>Afastador Backey -Adson</t>
  </si>
  <si>
    <t>Aspirador Yankauer</t>
  </si>
  <si>
    <t>Aspirador delicado</t>
  </si>
  <si>
    <t>Espátula Habere 33x30mm maleável</t>
  </si>
  <si>
    <t>Pinças Kocher reta c/ dente 14cm ( tem 03-14cm,01- 16cm)</t>
  </si>
  <si>
    <t>Pinças Mixter 23cm</t>
  </si>
  <si>
    <t>Pinça Baby Mixter</t>
  </si>
  <si>
    <t>Pinça Moniham</t>
  </si>
  <si>
    <t>Pinça Kocher curva 14 cm</t>
  </si>
  <si>
    <t>Pinça Kocher reta 14 cm</t>
  </si>
  <si>
    <t>Pinça Dissecção c/ serrilha 25cm</t>
  </si>
  <si>
    <t>Pinça Dissecção c/ dente 25cm</t>
  </si>
  <si>
    <t>Pinça Anatomica Debakey 30 cm</t>
  </si>
  <si>
    <t>Pinça Anatomica Debakey 24 cm</t>
  </si>
  <si>
    <t>Pinça Anatomica Debakey 20 cm</t>
  </si>
  <si>
    <t>Pinças Potts Smith reta c/ serrilha 18cm</t>
  </si>
  <si>
    <t>Pinças Potts Smith reta c/vídea 17cm</t>
  </si>
  <si>
    <t>Pinça Colley Coração Anel 16cm</t>
  </si>
  <si>
    <t>Pinça Colley Vascular 16cm</t>
  </si>
  <si>
    <t>Porta-Agulha c/ vídea 25cm</t>
  </si>
  <si>
    <t>Porta-Agulha Ryder 1mm boca 14 cm</t>
  </si>
  <si>
    <t>Porta-Agulha  c/ vídea 23cm</t>
  </si>
  <si>
    <t xml:space="preserve">Tesoura Potts de Martel 19cm  </t>
  </si>
  <si>
    <t>Tesoura Potts de Martel 18cm</t>
  </si>
  <si>
    <t>Porta-Agulha c/ vídea 15cm (crile-wood)</t>
  </si>
  <si>
    <t>Pinça Backey Bulldog reta 9cm</t>
  </si>
  <si>
    <t>Pinça Backey Bulldog curva 10cm</t>
  </si>
  <si>
    <t>Pinça Backey Bulldog  reta 12cm</t>
  </si>
  <si>
    <t>Pinça Backey Bulldog curva 9,5cm</t>
  </si>
  <si>
    <t>Pinça Backey Bulldog curva 10,5cm</t>
  </si>
  <si>
    <t>Pinça Debackey 16cm</t>
  </si>
  <si>
    <t>Cabo de Bisturi n° 03</t>
  </si>
  <si>
    <t>Cabo de bisturi nº7</t>
  </si>
  <si>
    <t>Pinça Dissecção Ligadura Gemini 16cm</t>
  </si>
  <si>
    <t>Pinças Satinski Debackey 3,5cm c/ boca 25cm</t>
  </si>
  <si>
    <t>Pinças Satinski Debackey 5,5cm boca 26cm</t>
  </si>
  <si>
    <t>Pinça De Backey   curva 20cm</t>
  </si>
  <si>
    <t>Pinça De Backey  angulada  19 cm</t>
  </si>
  <si>
    <t>Pinça  De Backey angulada  25cm</t>
  </si>
  <si>
    <t>Pinças Lambert Kay 22cm</t>
  </si>
  <si>
    <t>Pinça  De Backey curva 21 cm</t>
  </si>
  <si>
    <t>Pinça De Backey angulada 32 cm</t>
  </si>
  <si>
    <t>CIRURGIA PEDIÁTRICA</t>
  </si>
  <si>
    <t>CAIXA LAPARATOMIA/ TORACTOMIA  INFANTIL 1 CAIXA</t>
  </si>
  <si>
    <t>Afastadores Farabeuf médio  120mm x 10mm</t>
  </si>
  <si>
    <t>Afastadores Langenbeck nº 1,30 x 14mm e 22cm</t>
  </si>
  <si>
    <t>Afastadores Langenbeck nº 2,30 x 16mm e 22cm</t>
  </si>
  <si>
    <t>Afastador Volkmann 1 gancho rombo 21,5cm</t>
  </si>
  <si>
    <t>Afastador Volkmann 2 ganchos rombos 21,5cm</t>
  </si>
  <si>
    <t>Afastador Volkmann 3 ganchos rombos 21,5cm</t>
  </si>
  <si>
    <t>Pinças Allis 5 x 6 dentes 15cm</t>
  </si>
  <si>
    <t>Pinças Backaus 9cm</t>
  </si>
  <si>
    <t>Pinças Collin c/ ponta forma de coração 16cm</t>
  </si>
  <si>
    <t>Pinças Kocher reta c/ dente 14cm</t>
  </si>
  <si>
    <t>Pinças Mixter Baby 14cm</t>
  </si>
  <si>
    <t>Pinça Mixter 23 cm</t>
  </si>
  <si>
    <t>Pinça Monyham</t>
  </si>
  <si>
    <t>Pinças Micromosquito reta 12cm</t>
  </si>
  <si>
    <t>Pinças Micromosquito curva 12cm</t>
  </si>
  <si>
    <t>Pinças Kelly Delicada reta 14cm</t>
  </si>
  <si>
    <t>Pinças Kelly Delicada curva 14cm</t>
  </si>
  <si>
    <t>Pinça Rochester-Carmalt curva 16cm</t>
  </si>
  <si>
    <t>Pinça Dissecção Anatômica c/ serrilha 14cm</t>
  </si>
  <si>
    <t>Pinça Dissecção Anatômica dente de rato 14cm</t>
  </si>
  <si>
    <t>Pinças Adson Delicada c/ serrilha 12cm</t>
  </si>
  <si>
    <t>Porta-Agulha Mayo Hegar 14cm</t>
  </si>
  <si>
    <t>Porta-Agulha DERF Delicado c/ vídea 12cm</t>
  </si>
  <si>
    <t>Tesoura Mayo Stille curva 14cm</t>
  </si>
  <si>
    <t>Tesouras Matzembaun Delicada curva 14cm</t>
  </si>
  <si>
    <t>Tesoura Kilner 14cm</t>
  </si>
  <si>
    <t>Tesoura Iris reta fina 10,5cm</t>
  </si>
  <si>
    <t>Tesoura Iris curva fina 10,5cm</t>
  </si>
  <si>
    <t>Tentacânula de aço inxidável 15cm</t>
  </si>
  <si>
    <t>Espátula maleável 1cm</t>
  </si>
  <si>
    <t>Pinça Vascular Santinsky</t>
  </si>
  <si>
    <t>Clamps Buldogue tipo anatômico</t>
  </si>
  <si>
    <t>Afastadores Finocheto (P)</t>
  </si>
  <si>
    <t>Afastador Weitlaner 14cm rombo</t>
  </si>
  <si>
    <t>Afastador Finocheto Baby</t>
  </si>
  <si>
    <t>Afastador Gosst Infantil</t>
  </si>
  <si>
    <t>Espátula Hareber 300 x 40mm abdom/rins/tórax</t>
  </si>
  <si>
    <t>Pinças Collin</t>
  </si>
  <si>
    <t>Doyen 45 x 60mm</t>
  </si>
  <si>
    <t>Pinça Collin forma de anel 16cm</t>
  </si>
  <si>
    <t>Pinça Forester curva 16cm</t>
  </si>
  <si>
    <t>Pinças Kocher curva 14cm</t>
  </si>
  <si>
    <t>Pinças Rochester Pean reta 18cm</t>
  </si>
  <si>
    <t>Tesoura cirúrgica reta F/F 17cm</t>
  </si>
  <si>
    <t>Estiletes Biolivar 15cm</t>
  </si>
  <si>
    <t>Pinças Pata de Ganso</t>
  </si>
  <si>
    <t>Pinças Duval</t>
  </si>
  <si>
    <t>Pinça Deback ângulo 90</t>
  </si>
  <si>
    <t>Pinça Baby Mixter 180mm</t>
  </si>
  <si>
    <t>Pinça Hatmann reta 20cm</t>
  </si>
  <si>
    <t>Pinça Hatmann curva 20cm</t>
  </si>
  <si>
    <t>Container para guarda de instrumental</t>
  </si>
  <si>
    <t>CAIXA HERNIORRAFIA INFANTIL - 1 CAIXA</t>
  </si>
  <si>
    <t>Pinça Anatômicas 16cm</t>
  </si>
  <si>
    <t>Pinça Adson c/ dente 16cm</t>
  </si>
  <si>
    <t>Pinça Adson s/ dente 16cm</t>
  </si>
  <si>
    <t>Pinça Nelson 23cm</t>
  </si>
  <si>
    <t>Porta-Agulha Mayo Hega 14cm</t>
  </si>
  <si>
    <t>Porta-Agulha Mayo Hega 18cm</t>
  </si>
  <si>
    <t>Afastadores Farabeuf médio</t>
  </si>
  <si>
    <t>Tesoura Metzembaun curva 12,5cm</t>
  </si>
  <si>
    <t>Alfineta</t>
  </si>
  <si>
    <t>TORACOTOMIA INFANTIL</t>
  </si>
  <si>
    <t>Espátula Reverdin angulada 29cm</t>
  </si>
  <si>
    <t>Espátula Ribbon 30mm x 33cm</t>
  </si>
  <si>
    <t>Afast.Farabeuf infantil 10mm 12cm</t>
  </si>
  <si>
    <t>Afast.Finochietto baby delicado 15x15x65mm p/tórax</t>
  </si>
  <si>
    <t>Afast.Finochietto infantil 20x30x125mm</t>
  </si>
  <si>
    <t>Afast.Gosset pequeno 16x18x43x100mm, abdominal</t>
  </si>
  <si>
    <t>Afast.Gosset médio 58x65x160mm,abdominal</t>
  </si>
  <si>
    <t>Afastador Jansen rombo</t>
  </si>
  <si>
    <t>Afast.Langenbeck n˚2 30x16mm cabo chato</t>
  </si>
  <si>
    <t>Afast. Tuffier</t>
  </si>
  <si>
    <t>Espátula Haberer 28cm</t>
  </si>
  <si>
    <t>Valva de Doyen 45x60mm</t>
  </si>
  <si>
    <t>Pinça Allis 5x6 15cm</t>
  </si>
  <si>
    <t>Pinça Allis 23cm</t>
  </si>
  <si>
    <t>Pinça Babcock 16cm</t>
  </si>
  <si>
    <t>Pinça Backhaus p/campo operatório 11cm</t>
  </si>
  <si>
    <t>Pinça Collin c/pta forma de anel 16cm</t>
  </si>
  <si>
    <t>Pinça Collin Coração 16cm</t>
  </si>
  <si>
    <t>Pinça Foerster reta c/serrilha 18cm</t>
  </si>
  <si>
    <t>Pinça Foerster curva c/serrilha 18cm</t>
  </si>
  <si>
    <t>Pinça Kocher reta c/dente 14cm</t>
  </si>
  <si>
    <t>Pinça Kocher curva c/dente 14cm</t>
  </si>
  <si>
    <t>Pinça Mixter-Baby 14cm</t>
  </si>
  <si>
    <t>Pinça Moynihan</t>
  </si>
  <si>
    <t>Pinça Rochester-Pean reta hemostática 18cm</t>
  </si>
  <si>
    <t>Pinça R. Pean curva 24cm</t>
  </si>
  <si>
    <t>Pinça Schnidt curva 19cm</t>
  </si>
  <si>
    <t>Pinça Micromosquito reta.Delikat 12cm</t>
  </si>
  <si>
    <t>Pinça Micromosquito curva.Delikat 12cm</t>
  </si>
  <si>
    <t>Pinça Adson c/serrilha 12cm</t>
  </si>
  <si>
    <t>Pinça dissecção (anatômica)c/serr. 18cm</t>
  </si>
  <si>
    <t>Pinça dissecção c/serrilha 25cm</t>
  </si>
  <si>
    <t>Pinça dissecção c/dente de rato 16cm</t>
  </si>
  <si>
    <t>Pinça dissecção c/dente de rato 18cm</t>
  </si>
  <si>
    <t>Porta-agulha Mayo-Hegar 14cm c/serrilha</t>
  </si>
  <si>
    <t>Porta-agulha Mayo-Hegar 18cm c/serrilha</t>
  </si>
  <si>
    <t>Porta-agulha Derf c/vídea 12cm</t>
  </si>
  <si>
    <t>Porta-agulha Mayo-Hegar vídea 30cm</t>
  </si>
  <si>
    <t>Tesoura RR reta standard 17cm</t>
  </si>
  <si>
    <t>Tesoura Mayo-Stille reta 17cm</t>
  </si>
  <si>
    <t>Tesoura Mayo-Stille curva 14cm</t>
  </si>
  <si>
    <t>Tesoura Metzenbaum reta 23cm</t>
  </si>
  <si>
    <t>Tesoura Metzenbaum curva 23cm</t>
  </si>
  <si>
    <t>Tesoura p/Fios de Aço 12cm</t>
  </si>
  <si>
    <t>Pinça Duval reta 21cm 1,5cm boca</t>
  </si>
  <si>
    <t>Pinça dissecção De Bakey reta 30cm boca 2,8mm</t>
  </si>
  <si>
    <t>Cabo de bisturi nº3 ( lâminas 10,11,12,15) 12cm</t>
  </si>
  <si>
    <t>Cabo de bisturi nº4( lâminas 20,21,22,23,24) 13cm</t>
  </si>
  <si>
    <t>Caixa cirúrgica 32x16x08cm</t>
  </si>
  <si>
    <t>Clips Mayo-Blunt</t>
  </si>
  <si>
    <t>Estilete Bi-olivar 2mm de diâm. Inoxi. 15cm</t>
  </si>
  <si>
    <t>Rugina Farabeuf reta</t>
  </si>
  <si>
    <t>Rugina Farabeuf curva</t>
  </si>
  <si>
    <t>Aspirador de Yankauer</t>
  </si>
  <si>
    <t>Afastador Farabeuf delicado 10cm x 6mm</t>
  </si>
  <si>
    <t>Afastador Farabeuf infantil 10mm 12cm</t>
  </si>
  <si>
    <t>Afastador Finochietto inf 30x39x145mm</t>
  </si>
  <si>
    <t>Afastador Gosset pequeno 16x18x43x100mm, abdominal</t>
  </si>
  <si>
    <t>Afastador Gosset médio 58x65x160mm,abdominal</t>
  </si>
  <si>
    <t>Afastador Langenbeck n˚2 30x16mm cabo chato</t>
  </si>
  <si>
    <t>Afastador Tuffier</t>
  </si>
  <si>
    <t>Valva de Doyen 60x120mm</t>
  </si>
  <si>
    <t>Pinça Collin reta 25cm</t>
  </si>
  <si>
    <t>Pinça Guyon 25cm</t>
  </si>
  <si>
    <t>Pinça Kelly reta hemostática 14cm</t>
  </si>
  <si>
    <t>Pinça Kelly curva hemostática 14cm</t>
  </si>
  <si>
    <t>Pinça Lower 19cm</t>
  </si>
  <si>
    <t>Pinça Randall figura 2</t>
  </si>
  <si>
    <t>Pinça dissecção (anatômica) c/serrilha 14cm</t>
  </si>
  <si>
    <t>Pinça dissecção (anatômica) c/serrilha 18cm</t>
  </si>
  <si>
    <t>Tesoura Metzenbaum Delicada curva 14cm</t>
  </si>
  <si>
    <t>Tesoura Metzenbaum Delicada curva 18cm</t>
  </si>
  <si>
    <t>Tesoura p/Fios de aço 12cm</t>
  </si>
  <si>
    <t>Tesoura Dietrich 60g 17,5cm</t>
  </si>
  <si>
    <t>Pinça De Bakey 19cm arco 3,5cm</t>
  </si>
  <si>
    <t>Pinça De Bakey 10,5cm ângulo 90˚</t>
  </si>
  <si>
    <t>Pinça dissecção Dietrich reta 6,5cm M.Bulldog</t>
  </si>
  <si>
    <t>Pinça dissecção Dietrich reta 6cm M.Bulldog</t>
  </si>
  <si>
    <t>Pinça dissecção Dietrich reta 5,5cm M.Bulldog</t>
  </si>
  <si>
    <t>Pinça dissecção Dietrich ang. 6cm M.Bulldog</t>
  </si>
  <si>
    <t>Pinça dissecção Dietrich ang. 5,5cm M.Bulldog</t>
  </si>
  <si>
    <t>Pinça dissecção Dietrich ang. 5cm M.Bulldog</t>
  </si>
  <si>
    <t>Pinça De Bakey Beck 17cm</t>
  </si>
  <si>
    <t>Cabo de bisturi nº4 ( lâminas 20,21,22,23,24) 13cm</t>
  </si>
  <si>
    <t>Aspirador Poole reto 24,5cm</t>
  </si>
  <si>
    <t>CIRURGIA DE TÓRAX</t>
  </si>
  <si>
    <t>TORACOTOMIA  ADULTO 1 CAIXA</t>
  </si>
  <si>
    <t>Afastadores  Farabeuf Grande</t>
  </si>
  <si>
    <t>Afastador Finoqueto grande e medio</t>
  </si>
  <si>
    <t>Cabo de Bisturi n.04</t>
  </si>
  <si>
    <t>Cabo de Bisturi n.03</t>
  </si>
  <si>
    <t>Cabo de Bisturi n.07</t>
  </si>
  <si>
    <t>Cabos p/ Serra de Gigli</t>
  </si>
  <si>
    <t>Pinças Mixter 24cm</t>
  </si>
  <si>
    <t>Pinças Mixter  17 cm</t>
  </si>
  <si>
    <t>Pinça Anatomica c/ dente  20cm</t>
  </si>
  <si>
    <t>Pinça Anatomica sem dente  25cm</t>
  </si>
  <si>
    <t>Pinça Anatomica s/ dente  18cm</t>
  </si>
  <si>
    <t>Pinças Kelly curvas 18cm</t>
  </si>
  <si>
    <t>Pinças Kelly cuva 14cm</t>
  </si>
  <si>
    <t>Pinças Kelly retas 18cm</t>
  </si>
  <si>
    <t>Pinças Kelly retas 14cm</t>
  </si>
  <si>
    <t>Pinça Kocher 20 cm</t>
  </si>
  <si>
    <t>Pinças Moinyhan 21cm</t>
  </si>
  <si>
    <t>Pinça Baby Cock 20 cm</t>
  </si>
  <si>
    <t>Pinça Allis 20cm</t>
  </si>
  <si>
    <t>Pinças Debakey retas (vasc) 24cm</t>
  </si>
  <si>
    <t>Pinças Debakey de  Coortação   17cm</t>
  </si>
  <si>
    <t>Pinças Debakey de  Coortação   20cm</t>
  </si>
  <si>
    <t>Pinça Derra Forte</t>
  </si>
  <si>
    <t>Pinça Satinski longo 55cm</t>
  </si>
  <si>
    <t>Pinça Satinski longo 45cm</t>
  </si>
  <si>
    <t>Pinça Delly curva   longa</t>
  </si>
  <si>
    <t>Pinça Delly reta   longa</t>
  </si>
  <si>
    <t>Pinça Rochester curva 24 cm</t>
  </si>
  <si>
    <t>Pinça Rochester reta  24 cm</t>
  </si>
  <si>
    <t>Pinças Duval 21cm</t>
  </si>
  <si>
    <t>Porta Agulha Mayo Hegar 25cm</t>
  </si>
  <si>
    <t>Porta Agulha Mayo Hegar 20cm</t>
  </si>
  <si>
    <t>Porta Agualha com vídea 28cm</t>
  </si>
  <si>
    <t>Porta-agulha c/vídea 16cm</t>
  </si>
  <si>
    <t>Tesoura  Metzmbaun curva 18cm</t>
  </si>
  <si>
    <t>Tesoura  Metezembaun 25cm</t>
  </si>
  <si>
    <t>Tesoura  Metezembaun 20cm</t>
  </si>
  <si>
    <t>Tesoura  Mayo reta 17cm</t>
  </si>
  <si>
    <t>Pinça Cheron</t>
  </si>
  <si>
    <t>Doyen de costela</t>
  </si>
  <si>
    <t>Espátula 50mm 33cm</t>
  </si>
  <si>
    <t>Espátula 30mm 33cm</t>
  </si>
  <si>
    <t>Costótomo (cortador de costela)</t>
  </si>
  <si>
    <t>Pinças Russas 23cm</t>
  </si>
  <si>
    <t>Ruginas Semb</t>
  </si>
  <si>
    <t>Reynald</t>
  </si>
  <si>
    <t xml:space="preserve"> Container para guarda Intrumental grande</t>
  </si>
  <si>
    <t>CAIXA DE EMERGÊNCIA DE TÓRAX - 1 CAIXA</t>
  </si>
  <si>
    <t>Afastador Finocheto grande</t>
  </si>
  <si>
    <t>Afastador Finocheto pequeno</t>
  </si>
  <si>
    <t>Pinça Satinsky 24cm</t>
  </si>
  <si>
    <t>Pinça Satinsky 26cm</t>
  </si>
  <si>
    <t>Pinça kocher curva 20cm</t>
  </si>
  <si>
    <t>Pinça Kelly reta 16cm</t>
  </si>
  <si>
    <t>Pinça Anatômica sem dente 18cm</t>
  </si>
  <si>
    <t>Pinça Anatômica com dente 18cm</t>
  </si>
  <si>
    <t>Porta-agulha 18cm</t>
  </si>
  <si>
    <t>Cabo de bisturi n. 04</t>
  </si>
  <si>
    <t>Tesoura de Metzembaun reta 17cm</t>
  </si>
  <si>
    <t>Tesoura de Metzembaun curva 17cm</t>
  </si>
  <si>
    <t>Tesoura de mayo reta 17cm</t>
  </si>
  <si>
    <t>Cx. Container</t>
  </si>
  <si>
    <t>CAIXA CATARATA OFTALMO</t>
  </si>
  <si>
    <t>PINÇA MCPHERSON</t>
  </si>
  <si>
    <t>BLEFAROSTATO</t>
  </si>
  <si>
    <t>CHOPPER</t>
  </si>
  <si>
    <t>ANEL TORTON</t>
  </si>
  <si>
    <t>PORTA AGULHA OFTALMO</t>
  </si>
  <si>
    <t>ALÇA DE NUCLEO</t>
  </si>
  <si>
    <t>PINÇA DE PONTO RETA</t>
  </si>
  <si>
    <t>PINÇA 0.12 RETA</t>
  </si>
  <si>
    <t>PINÇA UTRATA</t>
  </si>
  <si>
    <t>TESOURA VANNAS RETA</t>
  </si>
  <si>
    <t>CANETA ULTRA FLOW IA COM PONTEIRA EM S</t>
  </si>
  <si>
    <t>PINÇA COLIBRI</t>
  </si>
  <si>
    <t>GANÇO SINSKEY</t>
  </si>
  <si>
    <t>DUPLAVIA OFTALMICA</t>
  </si>
  <si>
    <t>CABO DE BISTURI N°3</t>
  </si>
  <si>
    <t>ESPATULA DE IRIS</t>
  </si>
  <si>
    <t>ESTOJO COM TAMPA</t>
  </si>
  <si>
    <t>OFTALMOLOGIA VITRECTOMIA</t>
  </si>
  <si>
    <t>PINÇA SERRILHADA</t>
  </si>
  <si>
    <t>ALÇA SERRILHADA</t>
  </si>
  <si>
    <t>BLEFARO REG MOD LIBERMAN</t>
  </si>
  <si>
    <t>GANCHO SINSKEY</t>
  </si>
  <si>
    <t>GANCHO CHOPPER NAGAHARA</t>
  </si>
  <si>
    <t>PORTA AGULHA 10.0</t>
  </si>
  <si>
    <t>CANULA HIDRO CHATA</t>
  </si>
  <si>
    <t>TESOURA DE VANNAS AGULHADA</t>
  </si>
  <si>
    <t>TESOURA DE VANAS RETA</t>
  </si>
  <si>
    <t>PINÇA BURATO</t>
  </si>
  <si>
    <t>PINÇA CONJUNTIVA</t>
  </si>
  <si>
    <t>TESOURA DE CORNEA CURVA</t>
  </si>
  <si>
    <t>GANCHO PRESLICE</t>
  </si>
  <si>
    <t>GANCHO DE MUSCULO</t>
  </si>
  <si>
    <t>AFASTADOR SKEPPENS</t>
  </si>
  <si>
    <t>DUPLA VIA</t>
  </si>
  <si>
    <t>COMPASSO REG</t>
  </si>
  <si>
    <t>PINÇA DE RETINA E TESOURA</t>
  </si>
  <si>
    <t>PINÇA PARA MUSCULO RETO SUPERIOR</t>
  </si>
  <si>
    <t>CANETA DE CAUTÉRIO ENDODIATERMIA</t>
  </si>
  <si>
    <t>ESPATULA CICLODIALISE</t>
  </si>
  <si>
    <t>COMPASSO</t>
  </si>
  <si>
    <t>BLEFARO</t>
  </si>
  <si>
    <t>CUBA RIM</t>
  </si>
  <si>
    <t>CAIXA CALAZIO OFTALMO</t>
  </si>
  <si>
    <t>PINÇA DE PONTO RETO</t>
  </si>
  <si>
    <t>BLEFARO ADULTO</t>
  </si>
  <si>
    <t>CABO BISTURI N3</t>
  </si>
  <si>
    <t>PINÇA CALAZIO</t>
  </si>
  <si>
    <t>CURETA CALAZIO</t>
  </si>
  <si>
    <t>TESOURA CONJUNTIVA WESTCOOT</t>
  </si>
  <si>
    <t>CAIXA DE ACRILICO COM MANTA 20X10X2</t>
  </si>
  <si>
    <t>EXTRAS</t>
  </si>
  <si>
    <t>Pinça Kelly curva 14 cm</t>
  </si>
  <si>
    <t>Pinça Kelly reta 14 cm</t>
  </si>
  <si>
    <t>Pinça Anatômica 14 cm</t>
  </si>
  <si>
    <t>Pinça Dente de Rato 14 cm</t>
  </si>
  <si>
    <t>Tesoura Mayo reta 14 cm</t>
  </si>
  <si>
    <t>Pinça Allis 15 cm</t>
  </si>
  <si>
    <t>Cúpula Pequena</t>
  </si>
  <si>
    <t>RELAÇAO DE INSTRUMENTAIS PARA 01 PACOTE DE S.V.D</t>
  </si>
  <si>
    <t>Cuba Rim</t>
  </si>
  <si>
    <r>
      <t>Pinça Pean</t>
    </r>
    <r>
      <rPr>
        <sz val="10"/>
        <color theme="1"/>
        <rFont val="Arial MT"/>
      </rPr>
      <t>14 CM</t>
    </r>
  </si>
  <si>
    <t>RELAÇAO INSTRUMENTAIS PARA 1 CAIXA DE FLEBOTOMIA</t>
  </si>
  <si>
    <r>
      <t>Pinca Mosquito curva</t>
    </r>
    <r>
      <rPr>
        <sz val="10"/>
        <color theme="1"/>
        <rFont val="Arial MT"/>
      </rPr>
      <t xml:space="preserve"> 12cm</t>
    </r>
  </si>
  <si>
    <r>
      <t>Pinca Mosquito reto</t>
    </r>
    <r>
      <rPr>
        <sz val="10"/>
        <color theme="1"/>
        <rFont val="Arial MT"/>
      </rPr>
      <t xml:space="preserve"> 12cm</t>
    </r>
  </si>
  <si>
    <t>Pinca Kelly curva 14 cm</t>
  </si>
  <si>
    <t>Pinca Anatomica 14 cm</t>
  </si>
  <si>
    <t>Pinca Dente de Rato 14 cm</t>
  </si>
  <si>
    <r>
      <t>Pinca Adson sem dente</t>
    </r>
    <r>
      <rPr>
        <sz val="10"/>
        <color theme="1"/>
        <rFont val="Arial MT"/>
      </rPr>
      <t xml:space="preserve"> 12 cm</t>
    </r>
  </si>
  <si>
    <t>Porta Agulha 16 cm</t>
  </si>
  <si>
    <t>Pinca Backaus 11 cm</t>
  </si>
  <si>
    <t>Afastador Farabeuf Peq.</t>
  </si>
  <si>
    <r>
      <t>Pinça Pean</t>
    </r>
    <r>
      <rPr>
        <sz val="10"/>
        <color theme="1"/>
        <rFont val="Arial MT"/>
      </rPr>
      <t xml:space="preserve"> 14 CM</t>
    </r>
  </si>
  <si>
    <t>Tesoura Metzembaum reta 14 cm</t>
  </si>
  <si>
    <r>
      <t>Caixa Container para guarda do instrumental</t>
    </r>
    <r>
      <rPr>
        <sz val="10"/>
        <color theme="1"/>
        <rFont val="Arial MT"/>
      </rPr>
      <t xml:space="preserve"> 26x12 06 cm</t>
    </r>
  </si>
  <si>
    <t>RELAÇÃO DE INSTRUMENTAIS PARA 1 BANDEJA  INTRACARTH   ( ACESSO VENOSO CENTRAL)</t>
  </si>
  <si>
    <t>Porta Agulha hegar 16 cm</t>
  </si>
  <si>
    <t>Tesoura Metzembaum reta 16 cm</t>
  </si>
  <si>
    <t>bandeja  de inox</t>
  </si>
  <si>
    <t>CAIXA DE DERMATOLOGIA - 1 CAIXA</t>
  </si>
  <si>
    <t>Tesoura de íris curva</t>
  </si>
  <si>
    <t>Tesoura de Metzembaun reta 14cm</t>
  </si>
  <si>
    <t>Cabo de bisturi n. 03</t>
  </si>
  <si>
    <r>
      <t>Pinça Adson com dente</t>
    </r>
    <r>
      <rPr>
        <sz val="10"/>
        <color theme="1"/>
        <rFont val="Arial MT"/>
      </rPr>
      <t xml:space="preserve"> 12cm</t>
    </r>
  </si>
  <si>
    <r>
      <t>Pinça Adson sem dente</t>
    </r>
    <r>
      <rPr>
        <sz val="10"/>
        <color theme="1"/>
        <rFont val="Arial MT"/>
      </rPr>
      <t xml:space="preserve"> 12cm</t>
    </r>
  </si>
  <si>
    <r>
      <t>Pinça mosquito curvo</t>
    </r>
    <r>
      <rPr>
        <sz val="10"/>
        <color theme="1"/>
        <rFont val="Arial MT"/>
      </rPr>
      <t xml:space="preserve"> 12cm</t>
    </r>
  </si>
  <si>
    <t>Punch reto</t>
  </si>
  <si>
    <t>Gancho delicado</t>
  </si>
  <si>
    <t>Caixa container  20x10x6</t>
  </si>
  <si>
    <t>PRONTO SOCORRO</t>
  </si>
  <si>
    <t>RELAÇAO DE INSTRUMENTAIS PARA 1 CURATIVO</t>
  </si>
  <si>
    <t>RELAÇÃO DE INSTRUMENTAIS PARA 1 PACOTE SUTURA</t>
  </si>
  <si>
    <t>Pinça Pean16 cm</t>
  </si>
  <si>
    <t>Porta agulha 14cm</t>
  </si>
  <si>
    <t xml:space="preserve"> Bandeja inox  30 X 20 X 04cm</t>
  </si>
  <si>
    <t>RELAÇÃO DE INSTRUMENTAIS PARA 01 CAIXA  DRENAGEM DE TORAX</t>
  </si>
  <si>
    <t>Pinça Kelly curva 16 cm</t>
  </si>
  <si>
    <t>Pinça Kelly reta 16 cm</t>
  </si>
  <si>
    <t>Cabo Bisturi nº 04</t>
  </si>
  <si>
    <t>Porta Agulha 16cm</t>
  </si>
  <si>
    <t>Bandeja de inox  30 X 20 X 04cm</t>
  </si>
  <si>
    <t>Tesoura Spencer reta 12cm</t>
  </si>
  <si>
    <t>Bandeja em inox 22 x 09 x 15cm</t>
  </si>
  <si>
    <t>AVULSO CENTRO CIRURGICO</t>
  </si>
  <si>
    <t>QTD - solicitada</t>
  </si>
  <si>
    <t>QTD - recebida</t>
  </si>
  <si>
    <t>Afastador Balford com Valvula 70X100</t>
  </si>
  <si>
    <t>Afastador Balford com Valvula 45X80</t>
  </si>
  <si>
    <t>Afastador – Ankeney</t>
  </si>
  <si>
    <t>Afastador Finocheto P</t>
  </si>
  <si>
    <t>Afastador Finocheto M</t>
  </si>
  <si>
    <t>Afastador Finocheto G</t>
  </si>
  <si>
    <t>Afastador Doyan pequeno 45x60</t>
  </si>
  <si>
    <t>Afastador Doyan médio 60x90</t>
  </si>
  <si>
    <t>Afastador Doyan grande 60x120</t>
  </si>
  <si>
    <t>Afastador Farabeuf  12x02</t>
  </si>
  <si>
    <t>Afastador Farabeuf  14x03</t>
  </si>
  <si>
    <t>Afastador Farabeuf  18x04</t>
  </si>
  <si>
    <t>Afastador Gossset G</t>
  </si>
  <si>
    <t>Afastador Gossset M</t>
  </si>
  <si>
    <t>Afastador Gossset P</t>
  </si>
  <si>
    <t>Afastador Gelp 15 cm</t>
  </si>
  <si>
    <t>Afastador Longenback</t>
  </si>
  <si>
    <t>Afastador Weitlaner 14cm 3x4 dentes</t>
  </si>
  <si>
    <t>Afastador Weitlaner 20cm 3x4 dentes</t>
  </si>
  <si>
    <t>Afastadores Richardson</t>
  </si>
  <si>
    <t>Alavanca Fórceps</t>
  </si>
  <si>
    <t>Alicate de corta fio Aço grande 46 cm</t>
  </si>
  <si>
    <t>Alicate de corta fio Aço pequeno 28cm</t>
  </si>
  <si>
    <t>Amnioscópio</t>
  </si>
  <si>
    <t>Aspirador frazier 5mm</t>
  </si>
  <si>
    <t>Baby Mixter</t>
  </si>
  <si>
    <t>Bacias</t>
  </si>
  <si>
    <t>Bacia grande para parto</t>
  </si>
  <si>
    <t>Balde (para banho)</t>
  </si>
  <si>
    <t>Bandejas de  Inox 30 x 20 x 1,5</t>
  </si>
  <si>
    <t>Bandejas de  Inox 22 x 09 x 1,5</t>
  </si>
  <si>
    <t>Cabo Bisturi longo lamina 7</t>
  </si>
  <si>
    <t>Comadre</t>
  </si>
  <si>
    <t>Espátula maleável 30cm x 50cm</t>
  </si>
  <si>
    <t>Espatula maleável 33cm x 30cm</t>
  </si>
  <si>
    <t>Espátula maleável 33cm x 40cm</t>
  </si>
  <si>
    <t>Espéculo G</t>
  </si>
  <si>
    <t>Espéculo M</t>
  </si>
  <si>
    <t>Espéculo P</t>
  </si>
  <si>
    <t>Especulo Pitanga</t>
  </si>
  <si>
    <t>Foerster curva 23 cm</t>
  </si>
  <si>
    <t>Foerster reta 23 cm</t>
  </si>
  <si>
    <t>Goiva curva  23 cm</t>
  </si>
  <si>
    <t>Goiva curva forte  18 cm</t>
  </si>
  <si>
    <t>Goiva reta  23 cm</t>
  </si>
  <si>
    <t>Goiva reta forte  15 cm</t>
  </si>
  <si>
    <t>Pinça Mosquito Curvo</t>
  </si>
  <si>
    <t>Pinça Mosquito Reto</t>
  </si>
  <si>
    <t>Histerômetro Collin 28cm</t>
  </si>
  <si>
    <t>Jarros Inox</t>
  </si>
  <si>
    <t>Kelly curva</t>
  </si>
  <si>
    <t>Kelly reta</t>
  </si>
  <si>
    <t>Mixter 23 cm ponta delicada</t>
  </si>
  <si>
    <t>Papagaio</t>
  </si>
  <si>
    <t>Piça Allis 15 cm</t>
  </si>
  <si>
    <t>Piça Allis 20 cm</t>
  </si>
  <si>
    <t>Pinça de Nelson</t>
  </si>
  <si>
    <t>Pinça Faure 23 cm</t>
  </si>
  <si>
    <t>Pinça Kocher curva 14cm</t>
  </si>
  <si>
    <t>Pinça Kocher reta 14cm</t>
  </si>
  <si>
    <t>Pinça Magill 18cm</t>
  </si>
  <si>
    <t>Pinça Magill 25cm</t>
  </si>
  <si>
    <t>Pinça Monihan curva 21 cm</t>
  </si>
  <si>
    <t>Pinça Pozzi 23 cm</t>
  </si>
  <si>
    <t>Ponta de aspiração delicada Frazier 2.0</t>
  </si>
  <si>
    <t>Ponta de aspiração grande Frazier 5.0</t>
  </si>
  <si>
    <t>Ponta para amnioscópio (kit)</t>
  </si>
  <si>
    <t>Porta agulha Longo com videa  30 cm</t>
  </si>
  <si>
    <t>Porta agulha Longo com videa  35 cm</t>
  </si>
  <si>
    <t>Porta agulha Mayo 14cm</t>
  </si>
  <si>
    <t>Porta agulha Mayo 16cm</t>
  </si>
  <si>
    <t>Porta agulha Mayo 18cm</t>
  </si>
  <si>
    <t>Porta agulha Mayo 20cm</t>
  </si>
  <si>
    <t>Sapata</t>
  </si>
  <si>
    <t>Tesoura iris curva</t>
  </si>
  <si>
    <t>Tesoura maio 15 cm</t>
  </si>
  <si>
    <t>Tesoura maio 18 cm</t>
  </si>
  <si>
    <t>Tesoura Metzenbaum 15 reta</t>
  </si>
  <si>
    <t>Tesoura Metzenbaum 18</t>
  </si>
  <si>
    <t>Tesoura Metzenbaum 23</t>
  </si>
  <si>
    <t>Tesoura Metzenbaum 15 curva</t>
  </si>
  <si>
    <t>Tesoura Metzenbaum 18 curva</t>
  </si>
  <si>
    <t>TROCATER PARA CISTOSTOMIA</t>
  </si>
  <si>
    <t>Válvula de Doyen pequena 40x60</t>
  </si>
  <si>
    <t>Vávula Supra Púbica</t>
  </si>
  <si>
    <t>Vávulas Doyen Grande 60x120</t>
  </si>
  <si>
    <t>Vávulas Doyen media 60x90</t>
  </si>
  <si>
    <r>
      <t xml:space="preserve">INJETOR DE LENTE </t>
    </r>
    <r>
      <rPr>
        <b/>
        <sz val="10"/>
        <color theme="1"/>
        <rFont val="Liberation Sans"/>
      </rPr>
      <t>MONARCH</t>
    </r>
    <r>
      <rPr>
        <sz val="16"/>
        <color rgb="FF000000"/>
        <rFont val="Arial"/>
        <family val="2"/>
      </rPr>
      <t xml:space="preserve"> PARA CATARATA</t>
    </r>
  </si>
  <si>
    <t>bandejas de inox   30 X 20 X 04cm</t>
  </si>
  <si>
    <t>Jarro (para banho) - 2l</t>
  </si>
  <si>
    <t xml:space="preserve">2 Pinça anatômica sem dente </t>
  </si>
  <si>
    <t>2 pinça dente de rato</t>
  </si>
  <si>
    <t xml:space="preserve">1 Tesoura de Metzembaum curva </t>
  </si>
  <si>
    <t xml:space="preserve"> 1 Tesoura de Metzembaum reta</t>
  </si>
  <si>
    <t>1 Tesoura de TURBINECTOMIA reta</t>
  </si>
  <si>
    <t xml:space="preserve">2 Tesoureas de Turbinectomia curvas </t>
  </si>
  <si>
    <t>2 Porta-agulhas (Mayo-Hegar)</t>
  </si>
  <si>
    <t xml:space="preserve">2 Pinça hemostática (Halstead/Mosquito) – curvas </t>
  </si>
  <si>
    <t>3 Especulo nasal de Killian ou especulo de Cottle</t>
  </si>
  <si>
    <t xml:space="preserve">1 Descolador de Freer </t>
  </si>
  <si>
    <t>1 Descolador de Cottle</t>
  </si>
  <si>
    <t>1 Cureta de Killian – para remoção de cartilagem</t>
  </si>
  <si>
    <t xml:space="preserve">1 Descolador de Joseph </t>
  </si>
  <si>
    <t>1 Descolador Frier</t>
  </si>
  <si>
    <t xml:space="preserve">1 Cureta de Takahashi </t>
  </si>
  <si>
    <t xml:space="preserve">1 Pinça de Blakesley </t>
  </si>
  <si>
    <t xml:space="preserve">2 cabos de bisturi </t>
  </si>
  <si>
    <t>1 Tesoura de Converse</t>
  </si>
  <si>
    <t>1 Tesoura de Goldman-Fox</t>
  </si>
  <si>
    <t>1 Raspador de cartilagem</t>
  </si>
  <si>
    <t>1 Lima de osso (tipo Fomon)</t>
  </si>
  <si>
    <t xml:space="preserve">2 Osteótomos  angulados </t>
  </si>
  <si>
    <t>1 Osteotomo Reto</t>
  </si>
  <si>
    <t xml:space="preserve">1 Osteotomo delicado </t>
  </si>
  <si>
    <t>1 Martelo cirúrgico</t>
  </si>
  <si>
    <t>1 Alicate de Lucae ou Jansen-Middleton</t>
  </si>
  <si>
    <t>1 Alicate de Takahashi</t>
  </si>
  <si>
    <t xml:space="preserve">1 Gancho de skin hook </t>
  </si>
  <si>
    <t xml:space="preserve">2 ganchos delicados </t>
  </si>
  <si>
    <t xml:space="preserve">1 Medidor de cartilagem </t>
  </si>
  <si>
    <t>CAIXA DE RINOSSEPTOPLASTIA</t>
  </si>
  <si>
    <t>1 CAIXA DE DISSECTORES DE OUVIDO</t>
  </si>
  <si>
    <t>2 CAIXAS DE OUVIDO DELICADO</t>
  </si>
  <si>
    <t>1 pinça jacaré delicada</t>
  </si>
  <si>
    <t>1 intermediário de aspirador</t>
  </si>
  <si>
    <t>3 aspiradores de ouvido</t>
  </si>
  <si>
    <t>1 miringotomo</t>
  </si>
  <si>
    <t>1 dissector bolinha</t>
  </si>
  <si>
    <t>1 dissector ponta fina</t>
  </si>
  <si>
    <t>3 espéculos auriculares</t>
  </si>
  <si>
    <t>1 BANDEJA DE TIMPANOMASTOIDECTOMIA</t>
  </si>
  <si>
    <t>1 Pinça dente de rato (Adson com dente)</t>
  </si>
  <si>
    <t>1 Pinça anatômica (Adson sem dente)</t>
  </si>
  <si>
    <t xml:space="preserve">1 Amassador de fáscia </t>
  </si>
  <si>
    <t xml:space="preserve">1 Tesoura Metzenbaum reta </t>
  </si>
  <si>
    <t xml:space="preserve"> 1 Tesoura Metzenbaum curva</t>
  </si>
  <si>
    <t xml:space="preserve">2 Porta-agulha </t>
  </si>
  <si>
    <t>2 Cabo de bisturi nº 3</t>
  </si>
  <si>
    <t>2 Afastador de Farabeuf</t>
  </si>
  <si>
    <t xml:space="preserve">3 aspiradores de ouvido </t>
  </si>
  <si>
    <t>3 Espéculos auriculares (pequeno, médio, grande)</t>
  </si>
  <si>
    <t>1 Retrator de Wullstein</t>
  </si>
  <si>
    <t>2 Pinça Hartmann</t>
  </si>
  <si>
    <t xml:space="preserve">1 Pinça Alligator </t>
  </si>
  <si>
    <t>1 Dissector de Rosen</t>
  </si>
  <si>
    <t>1 Dissector de Lempert</t>
  </si>
  <si>
    <t>1x Micropinça tipo House</t>
  </si>
  <si>
    <t>1 Tesoura otológica (tipo Bellucci)</t>
  </si>
  <si>
    <t>1 Cureta de House ou Spratt</t>
  </si>
  <si>
    <t>1 BADEJA DE NARIZ ENDONASAL</t>
  </si>
  <si>
    <t>02 Aspiradores Frazier Angulado</t>
  </si>
  <si>
    <t>01 Aspirador Frazier Reto</t>
  </si>
  <si>
    <t xml:space="preserve">1 cabo de bisturi </t>
  </si>
  <si>
    <t>2 ganchos de Gilles</t>
  </si>
  <si>
    <t>1 pinça Back-bitter 360</t>
  </si>
  <si>
    <t xml:space="preserve">1 pinça back-bitter </t>
  </si>
  <si>
    <t>2 pinça Blakesley</t>
  </si>
  <si>
    <t>1 pinça Struycken angulada (comedeira)</t>
  </si>
  <si>
    <t>1 pinça Struycken reta (comedeira)</t>
  </si>
  <si>
    <t>1 Pinça Takahashi Adulto Angulada</t>
  </si>
  <si>
    <t xml:space="preserve">1 Pinça Takahashi Adulto reta </t>
  </si>
  <si>
    <t>1 Pinça Baioneta</t>
  </si>
  <si>
    <t>1 Bisturi elétrico de ponta delicado</t>
  </si>
  <si>
    <t xml:space="preserve">bandeja de nariz endonasal </t>
  </si>
  <si>
    <t xml:space="preserve">RELAÇÃO DE MATERIAL - NEUROCIRURGIA </t>
  </si>
  <si>
    <t>Pinça Kerrison 5 m.m -</t>
  </si>
  <si>
    <t xml:space="preserve">RELAÇÃO DE MATERIAL - ORTOPEDIA </t>
  </si>
  <si>
    <t xml:space="preserve">CAIXA BÁSICA GRANDE  – ORTOPEDIA </t>
  </si>
  <si>
    <t xml:space="preserve">CAIXA BÁSICA MÉDIA  – ORTOPEDIA </t>
  </si>
  <si>
    <t xml:space="preserve">CAIXA DE PARTES MOLES </t>
  </si>
  <si>
    <t xml:space="preserve">OSTEOTOMIA DE QUADRIL </t>
  </si>
  <si>
    <t xml:space="preserve">CAIXA  DE OMBRO – ORTOPEDIA </t>
  </si>
  <si>
    <t xml:space="preserve">CAIXA FORMÃO OSTEOTOMO COM CABO  - ORTOPEDIA </t>
  </si>
  <si>
    <t xml:space="preserve">CAIXA PINÇAS ESPANHOLAS OU REDUÇÃO – ORTOPEDIA </t>
  </si>
  <si>
    <t xml:space="preserve">CAIXA DE PÉ – ORTOPEDIA </t>
  </si>
  <si>
    <t xml:space="preserve">CAIXA DE PEZINHO INFANTIL - ORTOPEDIA </t>
  </si>
  <si>
    <t>Afastadores Farabeuf  infantil  0,7mm x 10mm</t>
  </si>
  <si>
    <t>Fleboextrator com 9 Ogivas Bala</t>
  </si>
  <si>
    <t>CAIXA - Fleboextrator</t>
  </si>
  <si>
    <t xml:space="preserve">6 jogos </t>
  </si>
  <si>
    <t xml:space="preserve">Nº caixas </t>
  </si>
  <si>
    <t>adquirir este quantitativo descrito não temos uma aba com estes itens</t>
  </si>
  <si>
    <t>VALOR</t>
  </si>
  <si>
    <t>OBSERVAÇÃO</t>
  </si>
  <si>
    <t xml:space="preserve">VALOR </t>
  </si>
  <si>
    <t>não cotamos</t>
  </si>
  <si>
    <t>Histeroscopia vaginal</t>
  </si>
  <si>
    <t>Caixa de Ginecologia</t>
  </si>
  <si>
    <t>Velas De Hegar</t>
  </si>
  <si>
    <t>Microcirurgia vascular</t>
  </si>
  <si>
    <t>ESTAO NOS DESCRITIVOS E NÃO ESTAO AQUI NA CONSOLIDADA</t>
  </si>
  <si>
    <t>verificar qtd dos itens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</si>
</sst>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5">
    <font>
      <sz val="10"/>
      <color theme="1"/>
      <name val="Liberation Sa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0"/>
      <color rgb="FF000000"/>
      <name val="Times New Roman1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1"/>
      <color rgb="FF000000"/>
      <name val="Calibri1"/>
      <family val="2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14"/>
      <color rgb="FFFFFFFF"/>
      <name val="Calibri1"/>
    </font>
    <font>
      <b/>
      <sz val="11"/>
      <color rgb="FF000000"/>
      <name val="Calibri1"/>
    </font>
    <font>
      <sz val="11"/>
      <color rgb="FF000000"/>
      <name val="Calibri1"/>
    </font>
    <font>
      <sz val="9"/>
      <color rgb="FF000000"/>
      <name val="Arial"/>
      <family val="2"/>
    </font>
    <font>
      <b/>
      <sz val="18"/>
      <color rgb="FF000000"/>
      <name val="Calibri1"/>
    </font>
    <font>
      <sz val="10.5"/>
      <color theme="1"/>
      <name val="Calibri"/>
      <family val="2"/>
    </font>
    <font>
      <b/>
      <sz val="10.5"/>
      <color theme="1"/>
      <name val="Calibri"/>
      <family val="2"/>
    </font>
    <font>
      <sz val="11"/>
      <color rgb="FFFF0000"/>
      <name val="Calibri1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Liberation Sans"/>
      <family val="2"/>
    </font>
    <font>
      <sz val="9"/>
      <color rgb="FF000000"/>
      <name val="Liberation Sans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7.5"/>
      <color rgb="FF000000"/>
      <name val="Arial"/>
      <family val="2"/>
    </font>
    <font>
      <b/>
      <sz val="11"/>
      <color rgb="FFFFFFFF"/>
      <name val="Calibri1"/>
    </font>
    <font>
      <sz val="11"/>
      <color theme="1"/>
      <name val="Calibri1"/>
    </font>
    <font>
      <sz val="11"/>
      <color rgb="FF000000"/>
      <name val="Times New Roman"/>
      <family val="1"/>
    </font>
    <font>
      <sz val="7.5"/>
      <color rgb="FF000000"/>
      <name val="Arial MT1"/>
    </font>
    <font>
      <b/>
      <sz val="9"/>
      <color rgb="FF000000"/>
      <name val="Times New Roman"/>
      <family val="1"/>
    </font>
    <font>
      <b/>
      <sz val="11"/>
      <color rgb="FF000000"/>
      <name val="Arial"/>
      <family val="2"/>
    </font>
    <font>
      <b/>
      <sz val="11"/>
      <color rgb="FF000000"/>
      <name val="Times New Roman"/>
      <family val="1"/>
    </font>
    <font>
      <sz val="10"/>
      <color theme="1"/>
      <name val="Arial MT1"/>
    </font>
    <font>
      <sz val="10"/>
      <color theme="1"/>
      <name val="Arial MT"/>
    </font>
    <font>
      <b/>
      <sz val="16"/>
      <color rgb="FFFFFFFF"/>
      <name val="Arial"/>
      <family val="2"/>
    </font>
    <font>
      <sz val="16"/>
      <color rgb="FF000000"/>
      <name val="Arial"/>
      <family val="2"/>
    </font>
    <font>
      <sz val="14"/>
      <color rgb="FF000000"/>
      <name val="Arial"/>
      <family val="2"/>
    </font>
    <font>
      <sz val="16"/>
      <color rgb="FFFF0000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012347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254061"/>
        <bgColor rgb="FF254061"/>
      </patternFill>
    </fill>
    <fill>
      <patternFill patternType="solid">
        <fgColor rgb="FFDCE6F2"/>
        <bgColor rgb="FFDCE6F2"/>
      </patternFill>
    </fill>
    <fill>
      <patternFill patternType="solid">
        <fgColor rgb="FFFFFFFF"/>
        <bgColor rgb="FFFFFFFF"/>
      </patternFill>
    </fill>
    <fill>
      <patternFill patternType="solid">
        <fgColor rgb="FF376092"/>
        <bgColor rgb="FF37609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DCE6F2"/>
      </patternFill>
    </fill>
    <fill>
      <patternFill patternType="solid">
        <fgColor theme="4" tint="0.39997558519241921"/>
        <bgColor rgb="FFB8CCE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DCE6F2"/>
      </patternFill>
    </fill>
    <fill>
      <patternFill patternType="solid">
        <fgColor theme="5"/>
        <bgColor indexed="64"/>
      </patternFill>
    </fill>
  </fills>
  <borders count="5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76092"/>
      </left>
      <right style="thin">
        <color rgb="FF376092"/>
      </right>
      <top style="thin">
        <color rgb="FF000000"/>
      </top>
      <bottom style="thin">
        <color rgb="FF376092"/>
      </bottom>
      <diagonal/>
    </border>
    <border>
      <left style="thin">
        <color rgb="FF376092"/>
      </left>
      <right/>
      <top style="thin">
        <color rgb="FF000000"/>
      </top>
      <bottom style="thin">
        <color rgb="FF37609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76092"/>
      </left>
      <right style="thin">
        <color rgb="FF376092"/>
      </right>
      <top style="thin">
        <color rgb="FF376092"/>
      </top>
      <bottom style="thin">
        <color rgb="FF376092"/>
      </bottom>
      <diagonal/>
    </border>
    <border>
      <left style="thin">
        <color rgb="FF376092"/>
      </left>
      <right/>
      <top style="thin">
        <color rgb="FF376092"/>
      </top>
      <bottom style="thin">
        <color rgb="FF376092"/>
      </bottom>
      <diagonal/>
    </border>
    <border>
      <left style="thin">
        <color rgb="FF376092"/>
      </left>
      <right style="thin">
        <color rgb="FF376092"/>
      </right>
      <top style="thin">
        <color rgb="FF376092"/>
      </top>
      <bottom style="thin">
        <color rgb="FF000000"/>
      </bottom>
      <diagonal/>
    </border>
    <border>
      <left style="thin">
        <color rgb="FF376092"/>
      </left>
      <right/>
      <top style="thin">
        <color rgb="FF376092"/>
      </top>
      <bottom style="thin">
        <color rgb="FF000000"/>
      </bottom>
      <diagonal/>
    </border>
    <border>
      <left style="thin">
        <color rgb="FF376092"/>
      </left>
      <right style="thin">
        <color rgb="FF376092"/>
      </right>
      <top style="thin">
        <color rgb="FF376092"/>
      </top>
      <bottom/>
      <diagonal/>
    </border>
    <border>
      <left style="thin">
        <color rgb="FF376092"/>
      </left>
      <right/>
      <top style="thin">
        <color rgb="FF376092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376092"/>
      </left>
      <right style="thin">
        <color rgb="FF376092"/>
      </right>
      <top/>
      <bottom style="thin">
        <color rgb="FF376092"/>
      </bottom>
      <diagonal/>
    </border>
    <border>
      <left style="thin">
        <color rgb="FF376092"/>
      </left>
      <right/>
      <top/>
      <bottom style="thin">
        <color rgb="FF376092"/>
      </bottom>
      <diagonal/>
    </border>
    <border>
      <left style="medium">
        <color indexed="64"/>
      </left>
      <right style="thin">
        <color rgb="FF376092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376092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76092"/>
      </right>
      <top style="thin">
        <color rgb="FF376092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376092"/>
      </right>
      <top style="thin">
        <color rgb="FF376092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376092"/>
      </left>
      <right/>
      <top style="thin">
        <color rgb="FF376092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376092"/>
      </right>
      <top style="thin">
        <color rgb="FF000000"/>
      </top>
      <bottom style="thin">
        <color rgb="FF376092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376092"/>
      </right>
      <top style="thin">
        <color rgb="FF376092"/>
      </top>
      <bottom style="thin">
        <color rgb="FF376092"/>
      </bottom>
      <diagonal/>
    </border>
    <border>
      <left style="medium">
        <color indexed="64"/>
      </left>
      <right style="thin">
        <color rgb="FF376092"/>
      </right>
      <top style="thin">
        <color rgb="FF376092"/>
      </top>
      <bottom style="thin">
        <color rgb="FF000000"/>
      </bottom>
      <diagonal/>
    </border>
    <border>
      <left style="medium">
        <color indexed="64"/>
      </left>
      <right style="thin">
        <color rgb="FF376092"/>
      </right>
      <top/>
      <bottom style="thin">
        <color rgb="FF376092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376092"/>
      </right>
      <top style="thin">
        <color rgb="FF000000"/>
      </top>
      <bottom style="thin">
        <color rgb="FF376092"/>
      </bottom>
      <diagonal/>
    </border>
    <border>
      <left/>
      <right style="thin">
        <color rgb="FF376092"/>
      </right>
      <top style="thin">
        <color rgb="FF376092"/>
      </top>
      <bottom style="thin">
        <color rgb="FF376092"/>
      </bottom>
      <diagonal/>
    </border>
    <border>
      <left/>
      <right style="thin">
        <color rgb="FF376092"/>
      </right>
      <top style="thin">
        <color rgb="FF376092"/>
      </top>
      <bottom/>
      <diagonal/>
    </border>
    <border>
      <left/>
      <right style="thin">
        <color rgb="FF376092"/>
      </right>
      <top/>
      <bottom style="thin">
        <color rgb="FF376092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5" fillId="0" borderId="0"/>
    <xf numFmtId="0" fontId="6" fillId="2" borderId="0"/>
    <xf numFmtId="0" fontId="6" fillId="3" borderId="0"/>
    <xf numFmtId="0" fontId="5" fillId="4" borderId="0"/>
    <xf numFmtId="0" fontId="7" fillId="5" borderId="0"/>
    <xf numFmtId="0" fontId="8" fillId="0" borderId="0" applyNumberFormat="0" applyFill="0" applyBorder="0" applyProtection="0"/>
    <xf numFmtId="0" fontId="6" fillId="6" borderId="0"/>
    <xf numFmtId="0" fontId="9" fillId="0" borderId="0"/>
    <xf numFmtId="0" fontId="10" fillId="7" borderId="0"/>
    <xf numFmtId="0" fontId="11" fillId="0" borderId="0"/>
    <xf numFmtId="0" fontId="12" fillId="0" borderId="0"/>
    <xf numFmtId="0" fontId="13" fillId="0" borderId="0"/>
    <xf numFmtId="0" fontId="14" fillId="0" borderId="0"/>
    <xf numFmtId="0" fontId="15" fillId="8" borderId="0"/>
    <xf numFmtId="0" fontId="16" fillId="0" borderId="0"/>
    <xf numFmtId="0" fontId="17" fillId="8" borderId="1"/>
    <xf numFmtId="0" fontId="18" fillId="0" borderId="0"/>
    <xf numFmtId="0" fontId="4" fillId="0" borderId="0"/>
    <xf numFmtId="0" fontId="4" fillId="0" borderId="0"/>
    <xf numFmtId="0" fontId="7" fillId="0" borderId="0"/>
  </cellStyleXfs>
  <cellXfs count="346">
    <xf numFmtId="0" fontId="0" fillId="0" borderId="0" xfId="0"/>
    <xf numFmtId="0" fontId="19" fillId="0" borderId="0" xfId="15" applyFont="1" applyAlignment="1">
      <alignment horizontal="center" vertical="center" wrapText="1"/>
    </xf>
    <xf numFmtId="0" fontId="20" fillId="0" borderId="3" xfId="15" applyFont="1" applyBorder="1" applyAlignment="1">
      <alignment horizontal="left" vertical="center" wrapText="1"/>
    </xf>
    <xf numFmtId="0" fontId="21" fillId="10" borderId="5" xfId="15" applyFont="1" applyFill="1" applyBorder="1" applyAlignment="1">
      <alignment horizontal="center" vertical="center"/>
    </xf>
    <xf numFmtId="0" fontId="21" fillId="0" borderId="0" xfId="15" applyFont="1"/>
    <xf numFmtId="0" fontId="20" fillId="0" borderId="3" xfId="15" applyFont="1" applyBorder="1" applyAlignment="1">
      <alignment horizontal="left" vertical="center"/>
    </xf>
    <xf numFmtId="0" fontId="21" fillId="10" borderId="7" xfId="15" applyFont="1" applyFill="1" applyBorder="1"/>
    <xf numFmtId="0" fontId="21" fillId="10" borderId="8" xfId="15" applyFont="1" applyFill="1" applyBorder="1" applyAlignment="1">
      <alignment horizontal="center" vertical="center"/>
    </xf>
    <xf numFmtId="0" fontId="21" fillId="0" borderId="3" xfId="15" applyFont="1" applyBorder="1" applyAlignment="1">
      <alignment horizontal="left"/>
    </xf>
    <xf numFmtId="0" fontId="21" fillId="10" borderId="10" xfId="15" applyFont="1" applyFill="1" applyBorder="1" applyAlignment="1">
      <alignment horizontal="center" vertical="center"/>
    </xf>
    <xf numFmtId="0" fontId="21" fillId="0" borderId="5" xfId="15" applyFont="1" applyBorder="1" applyAlignment="1">
      <alignment horizontal="center" vertical="center"/>
    </xf>
    <xf numFmtId="0" fontId="21" fillId="0" borderId="7" xfId="15" applyFont="1" applyBorder="1"/>
    <xf numFmtId="0" fontId="21" fillId="0" borderId="8" xfId="15" applyFont="1" applyBorder="1" applyAlignment="1">
      <alignment horizontal="center" vertical="center"/>
    </xf>
    <xf numFmtId="0" fontId="21" fillId="0" borderId="9" xfId="15" applyFont="1" applyBorder="1"/>
    <xf numFmtId="0" fontId="21" fillId="0" borderId="10" xfId="15" applyFont="1" applyBorder="1" applyAlignment="1">
      <alignment horizontal="center" vertical="center"/>
    </xf>
    <xf numFmtId="1" fontId="22" fillId="10" borderId="8" xfId="15" applyNumberFormat="1" applyFont="1" applyFill="1" applyBorder="1" applyAlignment="1">
      <alignment horizontal="center" vertical="center" shrinkToFit="1"/>
    </xf>
    <xf numFmtId="1" fontId="22" fillId="10" borderId="12" xfId="15" applyNumberFormat="1" applyFont="1" applyFill="1" applyBorder="1" applyAlignment="1">
      <alignment horizontal="center" vertical="center" shrinkToFit="1"/>
    </xf>
    <xf numFmtId="1" fontId="22" fillId="0" borderId="8" xfId="15" applyNumberFormat="1" applyFont="1" applyBorder="1" applyAlignment="1">
      <alignment horizontal="center" vertical="center" shrinkToFit="1"/>
    </xf>
    <xf numFmtId="1" fontId="22" fillId="0" borderId="10" xfId="15" applyNumberFormat="1" applyFont="1" applyBorder="1" applyAlignment="1">
      <alignment horizontal="center" vertical="center" shrinkToFit="1"/>
    </xf>
    <xf numFmtId="1" fontId="22" fillId="10" borderId="5" xfId="15" applyNumberFormat="1" applyFont="1" applyFill="1" applyBorder="1" applyAlignment="1">
      <alignment horizontal="center" vertical="center" shrinkToFit="1"/>
    </xf>
    <xf numFmtId="0" fontId="26" fillId="0" borderId="0" xfId="15" applyFont="1"/>
    <xf numFmtId="1" fontId="22" fillId="10" borderId="10" xfId="15" applyNumberFormat="1" applyFont="1" applyFill="1" applyBorder="1" applyAlignment="1">
      <alignment horizontal="center" vertical="center" shrinkToFit="1"/>
    </xf>
    <xf numFmtId="0" fontId="20" fillId="0" borderId="0" xfId="15" applyFont="1" applyAlignment="1">
      <alignment horizontal="center" vertical="center" wrapText="1"/>
    </xf>
    <xf numFmtId="0" fontId="21" fillId="0" borderId="0" xfId="15" applyFont="1" applyAlignment="1">
      <alignment horizontal="center"/>
    </xf>
    <xf numFmtId="0" fontId="21" fillId="0" borderId="0" xfId="15" applyFont="1" applyAlignment="1">
      <alignment horizontal="center" vertical="center"/>
    </xf>
    <xf numFmtId="0" fontId="27" fillId="0" borderId="6" xfId="0" applyFont="1" applyBorder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35" fillId="12" borderId="6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top"/>
    </xf>
    <xf numFmtId="0" fontId="21" fillId="0" borderId="6" xfId="0" applyFont="1" applyBorder="1" applyAlignment="1">
      <alignment horizontal="left" wrapText="1"/>
    </xf>
    <xf numFmtId="0" fontId="35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11" borderId="0" xfId="0" applyFill="1" applyAlignment="1">
      <alignment horizontal="left" vertical="top"/>
    </xf>
    <xf numFmtId="0" fontId="28" fillId="0" borderId="14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left" vertical="center" wrapText="1"/>
    </xf>
    <xf numFmtId="0" fontId="39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40" fillId="0" borderId="14" xfId="0" applyFont="1" applyBorder="1" applyAlignment="1">
      <alignment horizontal="center" vertical="center" wrapText="1"/>
    </xf>
    <xf numFmtId="0" fontId="41" fillId="0" borderId="14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40" fillId="0" borderId="14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wrapText="1"/>
    </xf>
    <xf numFmtId="0" fontId="42" fillId="0" borderId="6" xfId="0" applyFont="1" applyBorder="1" applyAlignment="1">
      <alignment horizontal="left" vertical="top" wrapText="1"/>
    </xf>
    <xf numFmtId="0" fontId="32" fillId="0" borderId="6" xfId="0" applyFont="1" applyBorder="1" applyAlignment="1">
      <alignment horizontal="left" vertical="top" wrapText="1"/>
    </xf>
    <xf numFmtId="0" fontId="32" fillId="0" borderId="0" xfId="0" applyFont="1" applyAlignment="1">
      <alignment horizontal="left" vertical="top" wrapText="1"/>
    </xf>
    <xf numFmtId="0" fontId="32" fillId="0" borderId="6" xfId="0" applyFont="1" applyBorder="1" applyAlignment="1">
      <alignment horizontal="left" vertical="center" wrapText="1"/>
    </xf>
    <xf numFmtId="1" fontId="38" fillId="0" borderId="13" xfId="0" applyNumberFormat="1" applyFont="1" applyBorder="1" applyAlignment="1">
      <alignment horizontal="center" vertical="top" shrinkToFit="1"/>
    </xf>
    <xf numFmtId="0" fontId="43" fillId="0" borderId="6" xfId="0" applyFont="1" applyBorder="1" applyAlignment="1">
      <alignment horizontal="left" vertical="top" wrapText="1"/>
    </xf>
    <xf numFmtId="0" fontId="44" fillId="12" borderId="16" xfId="0" applyFont="1" applyFill="1" applyBorder="1" applyAlignment="1">
      <alignment horizontal="center" vertical="center"/>
    </xf>
    <xf numFmtId="0" fontId="44" fillId="12" borderId="15" xfId="0" applyFont="1" applyFill="1" applyBorder="1" applyAlignment="1">
      <alignment horizontal="center" vertical="center"/>
    </xf>
    <xf numFmtId="0" fontId="45" fillId="0" borderId="6" xfId="15" applyFont="1" applyBorder="1"/>
    <xf numFmtId="0" fontId="45" fillId="0" borderId="6" xfId="15" applyFont="1" applyBorder="1" applyAlignment="1">
      <alignment horizontal="center"/>
    </xf>
    <xf numFmtId="0" fontId="46" fillId="0" borderId="6" xfId="15" applyFont="1" applyBorder="1"/>
    <xf numFmtId="1" fontId="46" fillId="0" borderId="6" xfId="15" applyNumberFormat="1" applyFont="1" applyBorder="1" applyAlignment="1">
      <alignment horizontal="center" vertical="center" shrinkToFit="1"/>
    </xf>
    <xf numFmtId="0" fontId="45" fillId="0" borderId="6" xfId="0" applyFont="1" applyBorder="1"/>
    <xf numFmtId="0" fontId="45" fillId="0" borderId="6" xfId="0" applyFont="1" applyBorder="1" applyAlignment="1">
      <alignment horizontal="center"/>
    </xf>
    <xf numFmtId="0" fontId="45" fillId="0" borderId="6" xfId="0" applyFont="1" applyBorder="1" applyAlignment="1">
      <alignment horizontal="center" vertical="top"/>
    </xf>
    <xf numFmtId="0" fontId="45" fillId="11" borderId="6" xfId="15" applyFont="1" applyFill="1" applyBorder="1"/>
    <xf numFmtId="0" fontId="45" fillId="11" borderId="6" xfId="15" applyFont="1" applyFill="1" applyBorder="1" applyAlignment="1">
      <alignment horizontal="center"/>
    </xf>
    <xf numFmtId="0" fontId="45" fillId="0" borderId="6" xfId="0" applyFont="1" applyBorder="1" applyAlignment="1">
      <alignment vertical="center"/>
    </xf>
    <xf numFmtId="0" fontId="45" fillId="0" borderId="6" xfId="0" applyFont="1" applyBorder="1" applyAlignment="1">
      <alignment horizontal="center" vertical="center"/>
    </xf>
    <xf numFmtId="0" fontId="45" fillId="11" borderId="6" xfId="0" applyFont="1" applyFill="1" applyBorder="1" applyAlignment="1">
      <alignment vertical="center"/>
    </xf>
    <xf numFmtId="0" fontId="45" fillId="11" borderId="6" xfId="0" applyFont="1" applyFill="1" applyBorder="1" applyAlignment="1">
      <alignment horizontal="center" vertical="center"/>
    </xf>
    <xf numFmtId="0" fontId="45" fillId="0" borderId="6" xfId="0" applyFont="1" applyBorder="1" applyAlignment="1">
      <alignment horizontal="left" vertical="top"/>
    </xf>
    <xf numFmtId="0" fontId="47" fillId="0" borderId="6" xfId="0" applyFont="1" applyBorder="1" applyAlignment="1">
      <alignment horizontal="center" vertical="center"/>
    </xf>
    <xf numFmtId="0" fontId="45" fillId="11" borderId="6" xfId="0" applyFont="1" applyFill="1" applyBorder="1" applyAlignment="1">
      <alignment horizontal="left" vertical="top"/>
    </xf>
    <xf numFmtId="0" fontId="45" fillId="11" borderId="6" xfId="0" applyFont="1" applyFill="1" applyBorder="1" applyAlignment="1">
      <alignment horizontal="center" vertical="top"/>
    </xf>
    <xf numFmtId="0" fontId="45" fillId="0" borderId="6" xfId="0" applyFont="1" applyBorder="1" applyAlignment="1">
      <alignment horizontal="left"/>
    </xf>
    <xf numFmtId="0" fontId="45" fillId="11" borderId="6" xfId="0" applyFont="1" applyFill="1" applyBorder="1"/>
    <xf numFmtId="0" fontId="45" fillId="11" borderId="6" xfId="0" applyFont="1" applyFill="1" applyBorder="1" applyAlignment="1">
      <alignment horizontal="center"/>
    </xf>
    <xf numFmtId="0" fontId="49" fillId="0" borderId="0" xfId="0" applyFont="1"/>
    <xf numFmtId="0" fontId="48" fillId="0" borderId="0" xfId="0" applyFont="1" applyAlignment="1">
      <alignment horizontal="left" vertical="top"/>
    </xf>
    <xf numFmtId="0" fontId="49" fillId="0" borderId="0" xfId="0" applyFont="1" applyAlignment="1">
      <alignment horizontal="left" vertical="top" wrapText="1"/>
    </xf>
    <xf numFmtId="0" fontId="51" fillId="0" borderId="0" xfId="0" applyFont="1" applyAlignment="1">
      <alignment horizontal="left" vertical="top" wrapText="1"/>
    </xf>
    <xf numFmtId="0" fontId="49" fillId="0" borderId="0" xfId="0" applyFont="1" applyAlignment="1">
      <alignment horizontal="left" wrapText="1"/>
    </xf>
    <xf numFmtId="0" fontId="49" fillId="0" borderId="0" xfId="0" applyFont="1" applyAlignment="1">
      <alignment horizontal="left" vertical="center" wrapText="1"/>
    </xf>
    <xf numFmtId="0" fontId="21" fillId="0" borderId="6" xfId="15" applyFont="1" applyBorder="1" applyAlignment="1">
      <alignment horizontal="center" vertical="center"/>
    </xf>
    <xf numFmtId="0" fontId="21" fillId="0" borderId="2" xfId="15" applyFont="1" applyBorder="1" applyAlignment="1">
      <alignment horizontal="center" vertical="center"/>
    </xf>
    <xf numFmtId="1" fontId="21" fillId="0" borderId="6" xfId="15" applyNumberFormat="1" applyFont="1" applyBorder="1" applyAlignment="1">
      <alignment horizontal="center" vertical="center"/>
    </xf>
    <xf numFmtId="0" fontId="26" fillId="0" borderId="6" xfId="15" applyFont="1" applyBorder="1" applyAlignment="1">
      <alignment horizontal="center" vertical="center"/>
    </xf>
    <xf numFmtId="0" fontId="48" fillId="0" borderId="0" xfId="15" applyFont="1"/>
    <xf numFmtId="0" fontId="48" fillId="11" borderId="0" xfId="15" applyFont="1" applyFill="1"/>
    <xf numFmtId="0" fontId="54" fillId="11" borderId="6" xfId="15" applyFont="1" applyFill="1" applyBorder="1" applyAlignment="1">
      <alignment horizontal="center" vertical="center"/>
    </xf>
    <xf numFmtId="0" fontId="48" fillId="11" borderId="6" xfId="15" applyFont="1" applyFill="1" applyBorder="1"/>
    <xf numFmtId="0" fontId="54" fillId="11" borderId="6" xfId="15" applyFont="1" applyFill="1" applyBorder="1"/>
    <xf numFmtId="0" fontId="48" fillId="11" borderId="6" xfId="15" applyFont="1" applyFill="1" applyBorder="1" applyAlignment="1">
      <alignment horizontal="left" vertical="center"/>
    </xf>
    <xf numFmtId="0" fontId="54" fillId="11" borderId="2" xfId="15" applyFont="1" applyFill="1" applyBorder="1"/>
    <xf numFmtId="0" fontId="54" fillId="11" borderId="0" xfId="15" applyFont="1" applyFill="1"/>
    <xf numFmtId="0" fontId="48" fillId="11" borderId="13" xfId="15" applyFont="1" applyFill="1" applyBorder="1" applyAlignment="1">
      <alignment horizontal="center"/>
    </xf>
    <xf numFmtId="0" fontId="48" fillId="11" borderId="13" xfId="15" applyFont="1" applyFill="1" applyBorder="1" applyAlignment="1">
      <alignment horizontal="center" vertical="center"/>
    </xf>
    <xf numFmtId="0" fontId="54" fillId="0" borderId="0" xfId="15" applyFont="1"/>
    <xf numFmtId="0" fontId="35" fillId="9" borderId="0" xfId="15" applyFont="1" applyFill="1" applyAlignment="1">
      <alignment horizontal="center" vertical="center" wrapText="1"/>
    </xf>
    <xf numFmtId="0" fontId="55" fillId="0" borderId="0" xfId="0" applyFont="1"/>
    <xf numFmtId="0" fontId="2" fillId="0" borderId="0" xfId="0" applyFont="1"/>
    <xf numFmtId="0" fontId="2" fillId="0" borderId="6" xfId="0" applyFont="1" applyBorder="1" applyAlignment="1">
      <alignment horizontal="left" vertical="top" wrapText="1"/>
    </xf>
    <xf numFmtId="0" fontId="48" fillId="11" borderId="0" xfId="0" applyFont="1" applyFill="1" applyAlignment="1">
      <alignment horizontal="left" vertical="top"/>
    </xf>
    <xf numFmtId="0" fontId="53" fillId="0" borderId="6" xfId="0" applyFont="1" applyBorder="1" applyAlignment="1">
      <alignment horizontal="left" vertical="top" wrapText="1"/>
    </xf>
    <xf numFmtId="0" fontId="53" fillId="0" borderId="0" xfId="0" applyFont="1" applyAlignment="1">
      <alignment horizontal="left" vertical="top" wrapText="1"/>
    </xf>
    <xf numFmtId="0" fontId="58" fillId="0" borderId="0" xfId="0" applyFont="1"/>
    <xf numFmtId="0" fontId="59" fillId="0" borderId="0" xfId="0" applyFont="1" applyAlignment="1">
      <alignment horizontal="left" vertical="top"/>
    </xf>
    <xf numFmtId="0" fontId="59" fillId="0" borderId="0" xfId="0" applyFont="1"/>
    <xf numFmtId="0" fontId="58" fillId="9" borderId="0" xfId="15" applyFont="1" applyFill="1" applyAlignment="1">
      <alignment horizontal="center" vertical="center" wrapText="1"/>
    </xf>
    <xf numFmtId="0" fontId="59" fillId="0" borderId="6" xfId="0" applyFont="1" applyBorder="1" applyAlignment="1">
      <alignment horizontal="left" vertical="top" wrapText="1"/>
    </xf>
    <xf numFmtId="0" fontId="59" fillId="11" borderId="6" xfId="0" applyFont="1" applyFill="1" applyBorder="1" applyAlignment="1">
      <alignment horizontal="left" vertical="top" wrapText="1"/>
    </xf>
    <xf numFmtId="0" fontId="59" fillId="11" borderId="0" xfId="0" applyFont="1" applyFill="1" applyAlignment="1">
      <alignment horizontal="left" vertical="top"/>
    </xf>
    <xf numFmtId="0" fontId="59" fillId="0" borderId="6" xfId="0" applyFont="1" applyBorder="1" applyAlignment="1">
      <alignment vertical="top" wrapText="1"/>
    </xf>
    <xf numFmtId="0" fontId="58" fillId="0" borderId="6" xfId="0" applyFont="1" applyBorder="1" applyAlignment="1">
      <alignment horizontal="left" vertical="top" wrapText="1"/>
    </xf>
    <xf numFmtId="0" fontId="58" fillId="0" borderId="2" xfId="0" applyFont="1" applyBorder="1" applyAlignment="1">
      <alignment horizontal="left" vertical="top" wrapText="1"/>
    </xf>
    <xf numFmtId="0" fontId="58" fillId="0" borderId="0" xfId="0" applyFont="1" applyAlignment="1">
      <alignment horizontal="left" vertical="top" wrapText="1"/>
    </xf>
    <xf numFmtId="0" fontId="59" fillId="0" borderId="6" xfId="0" applyFont="1" applyBorder="1" applyAlignment="1">
      <alignment vertical="center" wrapText="1"/>
    </xf>
    <xf numFmtId="0" fontId="58" fillId="0" borderId="6" xfId="0" applyFont="1" applyBorder="1" applyAlignment="1">
      <alignment vertical="center" wrapText="1"/>
    </xf>
    <xf numFmtId="0" fontId="58" fillId="0" borderId="0" xfId="0" applyFont="1" applyAlignment="1">
      <alignment vertical="center" wrapText="1"/>
    </xf>
    <xf numFmtId="0" fontId="52" fillId="9" borderId="0" xfId="15" applyFont="1" applyFill="1" applyAlignment="1">
      <alignment horizontal="center" vertical="center" wrapText="1"/>
    </xf>
    <xf numFmtId="0" fontId="59" fillId="0" borderId="0" xfId="0" applyFont="1" applyAlignment="1">
      <alignment horizontal="left" vertical="top" wrapText="1"/>
    </xf>
    <xf numFmtId="0" fontId="48" fillId="0" borderId="0" xfId="0" applyFont="1" applyAlignment="1">
      <alignment horizontal="left" wrapText="1"/>
    </xf>
    <xf numFmtId="0" fontId="48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48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/>
    </xf>
    <xf numFmtId="0" fontId="48" fillId="0" borderId="0" xfId="0" applyFont="1" applyAlignment="1">
      <alignment horizontal="center" vertical="top"/>
    </xf>
    <xf numFmtId="1" fontId="48" fillId="0" borderId="0" xfId="0" applyNumberFormat="1" applyFont="1" applyAlignment="1">
      <alignment horizontal="center" vertical="top" shrinkToFit="1"/>
    </xf>
    <xf numFmtId="0" fontId="56" fillId="12" borderId="0" xfId="0" applyFont="1" applyFill="1" applyAlignment="1">
      <alignment horizontal="center" vertical="center" wrapText="1"/>
    </xf>
    <xf numFmtId="0" fontId="56" fillId="12" borderId="0" xfId="0" applyFont="1" applyFill="1" applyAlignment="1">
      <alignment horizontal="left" vertical="center" wrapText="1"/>
    </xf>
    <xf numFmtId="0" fontId="3" fillId="0" borderId="6" xfId="0" applyFont="1" applyBorder="1" applyAlignment="1">
      <alignment horizontal="left" vertical="top" wrapText="1"/>
    </xf>
    <xf numFmtId="0" fontId="60" fillId="0" borderId="6" xfId="0" applyFont="1" applyBorder="1" applyAlignment="1">
      <alignment horizontal="left" vertical="top" wrapText="1"/>
    </xf>
    <xf numFmtId="1" fontId="54" fillId="0" borderId="0" xfId="0" applyNumberFormat="1" applyFont="1" applyAlignment="1">
      <alignment horizontal="center" vertical="top" shrinkToFit="1"/>
    </xf>
    <xf numFmtId="0" fontId="48" fillId="0" borderId="0" xfId="0" applyFont="1"/>
    <xf numFmtId="0" fontId="48" fillId="0" borderId="6" xfId="0" applyFont="1" applyBorder="1" applyAlignment="1">
      <alignment horizontal="left" wrapText="1"/>
    </xf>
    <xf numFmtId="0" fontId="48" fillId="11" borderId="0" xfId="0" applyFont="1" applyFill="1"/>
    <xf numFmtId="0" fontId="48" fillId="0" borderId="6" xfId="0" applyFont="1" applyBorder="1" applyAlignment="1">
      <alignment horizontal="left" vertical="top"/>
    </xf>
    <xf numFmtId="0" fontId="48" fillId="0" borderId="6" xfId="0" applyFont="1" applyBorder="1" applyAlignment="1">
      <alignment horizontal="left" vertical="top" wrapText="1"/>
    </xf>
    <xf numFmtId="0" fontId="61" fillId="0" borderId="6" xfId="0" applyFont="1" applyBorder="1" applyAlignment="1">
      <alignment horizontal="left" vertical="top" wrapText="1"/>
    </xf>
    <xf numFmtId="0" fontId="48" fillId="0" borderId="6" xfId="0" applyFont="1" applyBorder="1" applyAlignment="1">
      <alignment horizontal="left" vertical="center" wrapText="1"/>
    </xf>
    <xf numFmtId="0" fontId="48" fillId="11" borderId="6" xfId="0" applyFont="1" applyFill="1" applyBorder="1" applyAlignment="1">
      <alignment horizontal="left" wrapText="1"/>
    </xf>
    <xf numFmtId="1" fontId="22" fillId="14" borderId="12" xfId="15" applyNumberFormat="1" applyFont="1" applyFill="1" applyBorder="1" applyAlignment="1">
      <alignment horizontal="center" vertical="center" shrinkToFit="1"/>
    </xf>
    <xf numFmtId="0" fontId="24" fillId="15" borderId="6" xfId="0" applyFont="1" applyFill="1" applyBorder="1" applyAlignment="1">
      <alignment horizontal="left" vertical="top" wrapText="1"/>
    </xf>
    <xf numFmtId="1" fontId="22" fillId="0" borderId="18" xfId="15" applyNumberFormat="1" applyFont="1" applyBorder="1" applyAlignment="1">
      <alignment horizontal="center" vertical="center" shrinkToFit="1"/>
    </xf>
    <xf numFmtId="0" fontId="21" fillId="0" borderId="15" xfId="15" applyFont="1" applyBorder="1" applyAlignment="1">
      <alignment horizontal="center" vertical="center"/>
    </xf>
    <xf numFmtId="0" fontId="20" fillId="14" borderId="19" xfId="15" applyFont="1" applyFill="1" applyBorder="1" applyAlignment="1">
      <alignment horizontal="center" vertical="center" wrapText="1"/>
    </xf>
    <xf numFmtId="0" fontId="25" fillId="15" borderId="20" xfId="0" applyFont="1" applyFill="1" applyBorder="1" applyAlignment="1">
      <alignment horizontal="left" vertical="top" wrapText="1"/>
    </xf>
    <xf numFmtId="1" fontId="22" fillId="14" borderId="21" xfId="15" applyNumberFormat="1" applyFont="1" applyFill="1" applyBorder="1" applyAlignment="1">
      <alignment horizontal="center" vertical="center" shrinkToFit="1"/>
    </xf>
    <xf numFmtId="0" fontId="21" fillId="0" borderId="22" xfId="15" applyFont="1" applyBorder="1" applyAlignment="1">
      <alignment horizontal="center" vertical="center"/>
    </xf>
    <xf numFmtId="0" fontId="20" fillId="14" borderId="24" xfId="15" applyFont="1" applyFill="1" applyBorder="1" applyAlignment="1">
      <alignment horizontal="center" vertical="center" wrapText="1"/>
    </xf>
    <xf numFmtId="0" fontId="20" fillId="14" borderId="26" xfId="15" applyFont="1" applyFill="1" applyBorder="1" applyAlignment="1">
      <alignment horizontal="center" vertical="center" wrapText="1"/>
    </xf>
    <xf numFmtId="0" fontId="24" fillId="15" borderId="27" xfId="0" applyFont="1" applyFill="1" applyBorder="1" applyAlignment="1">
      <alignment horizontal="left" vertical="top" wrapText="1"/>
    </xf>
    <xf numFmtId="1" fontId="22" fillId="14" borderId="28" xfId="15" applyNumberFormat="1" applyFont="1" applyFill="1" applyBorder="1" applyAlignment="1">
      <alignment horizontal="center" vertical="center" shrinkToFit="1"/>
    </xf>
    <xf numFmtId="0" fontId="21" fillId="0" borderId="27" xfId="15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54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  <xf numFmtId="0" fontId="2" fillId="11" borderId="0" xfId="0" applyFont="1" applyFill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57" fillId="0" borderId="0" xfId="0" applyFont="1" applyAlignment="1">
      <alignment horizontal="left" vertical="top" wrapText="1"/>
    </xf>
    <xf numFmtId="0" fontId="62" fillId="0" borderId="0" xfId="0" applyFont="1" applyAlignment="1">
      <alignment vertical="center" wrapText="1"/>
    </xf>
    <xf numFmtId="0" fontId="19" fillId="9" borderId="30" xfId="15" applyFont="1" applyFill="1" applyBorder="1" applyAlignment="1">
      <alignment horizontal="center" vertical="center" wrapText="1"/>
    </xf>
    <xf numFmtId="0" fontId="19" fillId="9" borderId="31" xfId="15" applyFont="1" applyFill="1" applyBorder="1" applyAlignment="1">
      <alignment horizontal="center" vertical="center" wrapText="1"/>
    </xf>
    <xf numFmtId="0" fontId="19" fillId="9" borderId="22" xfId="15" applyFont="1" applyFill="1" applyBorder="1" applyAlignment="1">
      <alignment horizontal="center" vertical="center" wrapText="1"/>
    </xf>
    <xf numFmtId="0" fontId="19" fillId="9" borderId="23" xfId="15" applyFont="1" applyFill="1" applyBorder="1" applyAlignment="1">
      <alignment horizontal="center" vertical="center" wrapText="1"/>
    </xf>
    <xf numFmtId="0" fontId="20" fillId="10" borderId="32" xfId="15" applyFont="1" applyFill="1" applyBorder="1" applyAlignment="1">
      <alignment horizontal="center" vertical="center" wrapText="1"/>
    </xf>
    <xf numFmtId="0" fontId="21" fillId="0" borderId="33" xfId="15" applyFont="1" applyBorder="1"/>
    <xf numFmtId="0" fontId="20" fillId="10" borderId="34" xfId="15" applyFont="1" applyFill="1" applyBorder="1" applyAlignment="1">
      <alignment horizontal="center" vertical="center" wrapText="1"/>
    </xf>
    <xf numFmtId="0" fontId="20" fillId="10" borderId="35" xfId="15" applyFont="1" applyFill="1" applyBorder="1" applyAlignment="1">
      <alignment horizontal="center" vertical="center" wrapText="1"/>
    </xf>
    <xf numFmtId="0" fontId="20" fillId="0" borderId="32" xfId="15" applyFont="1" applyBorder="1" applyAlignment="1">
      <alignment horizontal="center" vertical="center" wrapText="1"/>
    </xf>
    <xf numFmtId="0" fontId="20" fillId="0" borderId="34" xfId="15" applyFont="1" applyBorder="1" applyAlignment="1">
      <alignment horizontal="center" vertical="center" wrapText="1"/>
    </xf>
    <xf numFmtId="0" fontId="20" fillId="0" borderId="35" xfId="15" applyFont="1" applyBorder="1" applyAlignment="1">
      <alignment horizontal="center" vertical="center" wrapText="1"/>
    </xf>
    <xf numFmtId="0" fontId="20" fillId="10" borderId="24" xfId="15" applyFont="1" applyFill="1" applyBorder="1" applyAlignment="1">
      <alignment horizontal="center" vertical="center" wrapText="1"/>
    </xf>
    <xf numFmtId="0" fontId="21" fillId="0" borderId="25" xfId="15" applyFont="1" applyBorder="1"/>
    <xf numFmtId="0" fontId="20" fillId="0" borderId="36" xfId="15" applyFont="1" applyBorder="1" applyAlignment="1">
      <alignment horizontal="center" vertical="center" wrapText="1"/>
    </xf>
    <xf numFmtId="0" fontId="21" fillId="0" borderId="37" xfId="15" applyFont="1" applyBorder="1"/>
    <xf numFmtId="0" fontId="26" fillId="0" borderId="33" xfId="15" applyFont="1" applyBorder="1"/>
    <xf numFmtId="0" fontId="21" fillId="0" borderId="29" xfId="15" applyFont="1" applyBorder="1"/>
    <xf numFmtId="0" fontId="20" fillId="0" borderId="38" xfId="15" applyFont="1" applyBorder="1" applyAlignment="1">
      <alignment horizontal="center" vertical="center" wrapText="1"/>
    </xf>
    <xf numFmtId="1" fontId="22" fillId="0" borderId="13" xfId="15" applyNumberFormat="1" applyFont="1" applyBorder="1" applyAlignment="1">
      <alignment horizontal="center" vertical="center" shrinkToFit="1"/>
    </xf>
    <xf numFmtId="0" fontId="21" fillId="0" borderId="13" xfId="15" applyFont="1" applyBorder="1" applyAlignment="1">
      <alignment horizontal="center"/>
    </xf>
    <xf numFmtId="0" fontId="21" fillId="0" borderId="39" xfId="15" applyFont="1" applyBorder="1" applyAlignment="1">
      <alignment horizontal="center"/>
    </xf>
    <xf numFmtId="0" fontId="20" fillId="16" borderId="32" xfId="15" applyFont="1" applyFill="1" applyBorder="1" applyAlignment="1">
      <alignment horizontal="center" vertical="center" wrapText="1"/>
    </xf>
    <xf numFmtId="0" fontId="21" fillId="16" borderId="8" xfId="15" applyFont="1" applyFill="1" applyBorder="1" applyAlignment="1">
      <alignment horizontal="center"/>
    </xf>
    <xf numFmtId="0" fontId="20" fillId="16" borderId="34" xfId="15" applyFont="1" applyFill="1" applyBorder="1" applyAlignment="1">
      <alignment horizontal="center" vertical="center" wrapText="1"/>
    </xf>
    <xf numFmtId="0" fontId="20" fillId="16" borderId="35" xfId="15" applyFont="1" applyFill="1" applyBorder="1" applyAlignment="1">
      <alignment horizontal="center" vertical="center" wrapText="1"/>
    </xf>
    <xf numFmtId="0" fontId="21" fillId="16" borderId="10" xfId="15" applyFont="1" applyFill="1" applyBorder="1" applyAlignment="1">
      <alignment horizontal="center"/>
    </xf>
    <xf numFmtId="0" fontId="20" fillId="10" borderId="40" xfId="15" applyFont="1" applyFill="1" applyBorder="1" applyAlignment="1">
      <alignment horizontal="center" vertical="center" wrapText="1"/>
    </xf>
    <xf numFmtId="0" fontId="20" fillId="10" borderId="41" xfId="15" applyFont="1" applyFill="1" applyBorder="1" applyAlignment="1">
      <alignment horizontal="center" vertical="center" wrapText="1"/>
    </xf>
    <xf numFmtId="0" fontId="20" fillId="10" borderId="42" xfId="15" applyFont="1" applyFill="1" applyBorder="1" applyAlignment="1">
      <alignment horizontal="center" vertical="center" wrapText="1"/>
    </xf>
    <xf numFmtId="0" fontId="20" fillId="10" borderId="43" xfId="15" applyFont="1" applyFill="1" applyBorder="1" applyAlignment="1">
      <alignment horizontal="center" vertical="center" wrapText="1"/>
    </xf>
    <xf numFmtId="0" fontId="21" fillId="0" borderId="3" xfId="15" applyFont="1" applyBorder="1" applyAlignment="1">
      <alignment horizontal="center" vertical="center"/>
    </xf>
    <xf numFmtId="0" fontId="21" fillId="14" borderId="45" xfId="15" applyFont="1" applyFill="1" applyBorder="1" applyAlignment="1">
      <alignment horizontal="center" vertical="center" wrapText="1"/>
    </xf>
    <xf numFmtId="0" fontId="21" fillId="13" borderId="45" xfId="15" applyFont="1" applyFill="1" applyBorder="1" applyAlignment="1">
      <alignment horizontal="center" vertical="center" wrapText="1"/>
    </xf>
    <xf numFmtId="0" fontId="21" fillId="14" borderId="47" xfId="15" applyFont="1" applyFill="1" applyBorder="1" applyAlignment="1">
      <alignment horizontal="center" vertical="center" wrapText="1"/>
    </xf>
    <xf numFmtId="0" fontId="21" fillId="0" borderId="48" xfId="15" applyFont="1" applyBorder="1" applyAlignment="1">
      <alignment horizontal="center" vertical="center"/>
    </xf>
    <xf numFmtId="0" fontId="21" fillId="0" borderId="20" xfId="15" applyFont="1" applyBorder="1" applyAlignment="1">
      <alignment horizontal="center" vertical="center"/>
    </xf>
    <xf numFmtId="0" fontId="21" fillId="14" borderId="49" xfId="15" applyFont="1" applyFill="1" applyBorder="1" applyAlignment="1">
      <alignment horizontal="center" vertical="center" wrapText="1"/>
    </xf>
    <xf numFmtId="0" fontId="21" fillId="13" borderId="49" xfId="15" applyFont="1" applyFill="1" applyBorder="1" applyAlignment="1">
      <alignment horizontal="center" vertical="center" wrapText="1"/>
    </xf>
    <xf numFmtId="0" fontId="20" fillId="13" borderId="50" xfId="15" applyFont="1" applyFill="1" applyBorder="1" applyAlignment="1">
      <alignment horizontal="center" vertical="center" wrapText="1"/>
    </xf>
    <xf numFmtId="0" fontId="20" fillId="13" borderId="51" xfId="15" applyFont="1" applyFill="1" applyBorder="1" applyAlignment="1">
      <alignment horizontal="center" vertical="center" wrapText="1"/>
    </xf>
    <xf numFmtId="0" fontId="21" fillId="0" borderId="44" xfId="15" applyFont="1" applyBorder="1" applyAlignment="1">
      <alignment horizontal="center" vertical="center"/>
    </xf>
    <xf numFmtId="0" fontId="20" fillId="14" borderId="46" xfId="15" applyFont="1" applyFill="1" applyBorder="1" applyAlignment="1">
      <alignment horizontal="center" vertical="center" wrapText="1"/>
    </xf>
    <xf numFmtId="0" fontId="21" fillId="13" borderId="51" xfId="15" applyFont="1" applyFill="1" applyBorder="1" applyAlignment="1">
      <alignment horizontal="center" vertical="center" wrapText="1"/>
    </xf>
    <xf numFmtId="0" fontId="54" fillId="0" borderId="0" xfId="15" applyFont="1" applyAlignment="1">
      <alignment horizontal="center"/>
    </xf>
    <xf numFmtId="0" fontId="48" fillId="0" borderId="0" xfId="15" applyFont="1" applyAlignment="1">
      <alignment horizontal="center"/>
    </xf>
    <xf numFmtId="0" fontId="48" fillId="11" borderId="0" xfId="15" applyFont="1" applyFill="1" applyAlignment="1">
      <alignment horizontal="center"/>
    </xf>
    <xf numFmtId="164" fontId="54" fillId="0" borderId="0" xfId="15" applyNumberFormat="1" applyFont="1"/>
    <xf numFmtId="164" fontId="48" fillId="0" borderId="0" xfId="15" applyNumberFormat="1" applyFont="1"/>
    <xf numFmtId="0" fontId="54" fillId="11" borderId="13" xfId="15" applyFont="1" applyFill="1" applyBorder="1" applyAlignment="1">
      <alignment horizontal="center" vertical="center"/>
    </xf>
    <xf numFmtId="0" fontId="54" fillId="11" borderId="13" xfId="15" applyFont="1" applyFill="1" applyBorder="1" applyAlignment="1">
      <alignment horizontal="center"/>
    </xf>
    <xf numFmtId="0" fontId="54" fillId="11" borderId="52" xfId="15" applyFont="1" applyFill="1" applyBorder="1" applyAlignment="1">
      <alignment horizontal="center"/>
    </xf>
    <xf numFmtId="164" fontId="48" fillId="0" borderId="45" xfId="15" applyNumberFormat="1" applyFont="1" applyBorder="1" applyAlignment="1">
      <alignment horizontal="center"/>
    </xf>
    <xf numFmtId="164" fontId="48" fillId="0" borderId="53" xfId="15" applyNumberFormat="1" applyFont="1" applyBorder="1" applyAlignment="1">
      <alignment horizontal="center"/>
    </xf>
    <xf numFmtId="164" fontId="48" fillId="11" borderId="53" xfId="15" applyNumberFormat="1" applyFont="1" applyFill="1" applyBorder="1"/>
    <xf numFmtId="164" fontId="54" fillId="11" borderId="53" xfId="15" applyNumberFormat="1" applyFont="1" applyFill="1" applyBorder="1"/>
    <xf numFmtId="0" fontId="48" fillId="0" borderId="45" xfId="15" applyFont="1" applyBorder="1"/>
    <xf numFmtId="0" fontId="48" fillId="11" borderId="45" xfId="15" applyFont="1" applyFill="1" applyBorder="1"/>
    <xf numFmtId="0" fontId="54" fillId="11" borderId="45" xfId="15" applyFont="1" applyFill="1" applyBorder="1"/>
    <xf numFmtId="164" fontId="48" fillId="0" borderId="45" xfId="15" applyNumberFormat="1" applyFont="1" applyBorder="1"/>
    <xf numFmtId="0" fontId="59" fillId="0" borderId="0" xfId="0" applyFont="1" applyAlignment="1">
      <alignment horizontal="center" vertical="top"/>
    </xf>
    <xf numFmtId="1" fontId="58" fillId="0" borderId="0" xfId="0" applyNumberFormat="1" applyFont="1" applyAlignment="1">
      <alignment horizontal="center" vertical="top" shrinkToFit="1"/>
    </xf>
    <xf numFmtId="1" fontId="59" fillId="0" borderId="0" xfId="0" applyNumberFormat="1" applyFont="1" applyAlignment="1">
      <alignment horizontal="center" vertical="top" shrinkToFit="1"/>
    </xf>
    <xf numFmtId="1" fontId="58" fillId="0" borderId="0" xfId="0" applyNumberFormat="1" applyFont="1" applyAlignment="1">
      <alignment horizontal="center" vertical="center" shrinkToFit="1"/>
    </xf>
    <xf numFmtId="1" fontId="59" fillId="0" borderId="13" xfId="0" applyNumberFormat="1" applyFont="1" applyBorder="1" applyAlignment="1">
      <alignment horizontal="center" vertical="top" shrinkToFit="1"/>
    </xf>
    <xf numFmtId="1" fontId="59" fillId="11" borderId="13" xfId="0" applyNumberFormat="1" applyFont="1" applyFill="1" applyBorder="1" applyAlignment="1">
      <alignment horizontal="center" vertical="top" shrinkToFit="1"/>
    </xf>
    <xf numFmtId="0" fontId="59" fillId="0" borderId="45" xfId="0" applyFont="1" applyBorder="1" applyAlignment="1">
      <alignment horizontal="center"/>
    </xf>
    <xf numFmtId="0" fontId="59" fillId="0" borderId="45" xfId="0" applyFont="1" applyBorder="1"/>
    <xf numFmtId="0" fontId="59" fillId="11" borderId="45" xfId="0" applyFont="1" applyFill="1" applyBorder="1" applyAlignment="1">
      <alignment horizontal="left" vertical="top"/>
    </xf>
    <xf numFmtId="1" fontId="58" fillId="0" borderId="13" xfId="0" applyNumberFormat="1" applyFont="1" applyBorder="1" applyAlignment="1">
      <alignment horizontal="center" vertical="top" shrinkToFit="1"/>
    </xf>
    <xf numFmtId="1" fontId="59" fillId="0" borderId="13" xfId="0" applyNumberFormat="1" applyFont="1" applyBorder="1" applyAlignment="1">
      <alignment horizontal="center" vertical="center" shrinkToFit="1"/>
    </xf>
    <xf numFmtId="1" fontId="58" fillId="0" borderId="13" xfId="0" applyNumberFormat="1" applyFont="1" applyBorder="1" applyAlignment="1">
      <alignment horizontal="center" vertical="center" shrinkToFit="1"/>
    </xf>
    <xf numFmtId="164" fontId="59" fillId="0" borderId="0" xfId="0" applyNumberFormat="1" applyFont="1"/>
    <xf numFmtId="164" fontId="59" fillId="0" borderId="45" xfId="0" applyNumberFormat="1" applyFont="1" applyBorder="1" applyAlignment="1">
      <alignment horizontal="center"/>
    </xf>
    <xf numFmtId="164" fontId="59" fillId="0" borderId="45" xfId="0" applyNumberFormat="1" applyFont="1" applyBorder="1"/>
    <xf numFmtId="164" fontId="59" fillId="11" borderId="45" xfId="0" applyNumberFormat="1" applyFont="1" applyFill="1" applyBorder="1" applyAlignment="1">
      <alignment horizontal="left" vertical="top"/>
    </xf>
    <xf numFmtId="0" fontId="2" fillId="0" borderId="0" xfId="0" applyFont="1" applyAlignment="1">
      <alignment horizontal="center"/>
    </xf>
    <xf numFmtId="1" fontId="48" fillId="0" borderId="13" xfId="0" applyNumberFormat="1" applyFont="1" applyBorder="1" applyAlignment="1">
      <alignment horizontal="center" vertical="top" shrinkToFit="1"/>
    </xf>
    <xf numFmtId="1" fontId="54" fillId="0" borderId="13" xfId="0" applyNumberFormat="1" applyFont="1" applyBorder="1" applyAlignment="1">
      <alignment horizontal="center" vertical="top" shrinkToFit="1"/>
    </xf>
    <xf numFmtId="1" fontId="48" fillId="0" borderId="13" xfId="0" applyNumberFormat="1" applyFont="1" applyBorder="1" applyAlignment="1">
      <alignment horizontal="center" vertical="center" shrinkToFit="1"/>
    </xf>
    <xf numFmtId="0" fontId="48" fillId="0" borderId="45" xfId="0" applyFont="1" applyBorder="1" applyAlignment="1">
      <alignment horizontal="center" vertical="top"/>
    </xf>
    <xf numFmtId="0" fontId="1" fillId="0" borderId="45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48" fillId="0" borderId="45" xfId="0" applyNumberFormat="1" applyFont="1" applyBorder="1" applyAlignment="1">
      <alignment horizontal="center" vertical="top"/>
    </xf>
    <xf numFmtId="164" fontId="2" fillId="0" borderId="45" xfId="0" applyNumberFormat="1" applyFont="1" applyBorder="1" applyAlignment="1">
      <alignment horizontal="center" vertical="top"/>
    </xf>
    <xf numFmtId="164" fontId="54" fillId="0" borderId="45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6" fillId="0" borderId="13" xfId="0" applyFont="1" applyBorder="1" applyAlignment="1">
      <alignment vertical="top" wrapText="1"/>
    </xf>
    <xf numFmtId="0" fontId="36" fillId="0" borderId="13" xfId="0" applyFont="1" applyBorder="1" applyAlignment="1">
      <alignment horizontal="left" vertical="top" wrapText="1"/>
    </xf>
    <xf numFmtId="0" fontId="35" fillId="12" borderId="13" xfId="0" applyFont="1" applyFill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0" fillId="0" borderId="45" xfId="0" applyBorder="1" applyAlignment="1">
      <alignment horizontal="center"/>
    </xf>
    <xf numFmtId="0" fontId="21" fillId="0" borderId="45" xfId="0" applyFont="1" applyBorder="1" applyAlignment="1">
      <alignment horizontal="left" vertical="top"/>
    </xf>
    <xf numFmtId="164" fontId="21" fillId="0" borderId="45" xfId="0" applyNumberFormat="1" applyFont="1" applyBorder="1" applyAlignment="1">
      <alignment horizontal="left" vertical="top"/>
    </xf>
    <xf numFmtId="0" fontId="49" fillId="0" borderId="45" xfId="0" applyFont="1" applyBorder="1" applyAlignment="1">
      <alignment horizontal="center"/>
    </xf>
    <xf numFmtId="0" fontId="49" fillId="0" borderId="45" xfId="0" applyFont="1" applyBorder="1"/>
    <xf numFmtId="164" fontId="49" fillId="0" borderId="45" xfId="0" applyNumberFormat="1" applyFont="1" applyBorder="1" applyAlignment="1">
      <alignment horizontal="center"/>
    </xf>
    <xf numFmtId="164" fontId="49" fillId="0" borderId="45" xfId="0" applyNumberFormat="1" applyFont="1" applyBorder="1"/>
    <xf numFmtId="164" fontId="49" fillId="0" borderId="0" xfId="0" applyNumberFormat="1" applyFont="1"/>
    <xf numFmtId="0" fontId="2" fillId="0" borderId="0" xfId="0" applyFont="1" applyAlignment="1">
      <alignment horizontal="center" vertical="top"/>
    </xf>
    <xf numFmtId="0" fontId="1" fillId="0" borderId="45" xfId="0" applyFont="1" applyBorder="1" applyAlignment="1">
      <alignment horizontal="center" vertical="center"/>
    </xf>
    <xf numFmtId="0" fontId="2" fillId="0" borderId="45" xfId="0" applyFont="1" applyBorder="1" applyAlignment="1">
      <alignment horizontal="left" vertical="top"/>
    </xf>
    <xf numFmtId="0" fontId="54" fillId="0" borderId="45" xfId="0" applyFont="1" applyBorder="1" applyAlignment="1">
      <alignment horizontal="left" vertical="top"/>
    </xf>
    <xf numFmtId="0" fontId="48" fillId="0" borderId="45" xfId="0" applyFont="1" applyBorder="1" applyAlignment="1">
      <alignment horizontal="left" vertical="top"/>
    </xf>
    <xf numFmtId="0" fontId="54" fillId="11" borderId="45" xfId="0" applyFont="1" applyFill="1" applyBorder="1" applyAlignment="1">
      <alignment horizontal="left" vertical="top"/>
    </xf>
    <xf numFmtId="0" fontId="2" fillId="0" borderId="45" xfId="0" applyFont="1" applyBorder="1"/>
    <xf numFmtId="164" fontId="1" fillId="0" borderId="45" xfId="0" applyNumberFormat="1" applyFont="1" applyBorder="1" applyAlignment="1">
      <alignment horizontal="center" vertical="center"/>
    </xf>
    <xf numFmtId="164" fontId="2" fillId="0" borderId="45" xfId="0" applyNumberFormat="1" applyFont="1" applyBorder="1" applyAlignment="1">
      <alignment horizontal="left" vertical="top"/>
    </xf>
    <xf numFmtId="164" fontId="54" fillId="0" borderId="45" xfId="0" applyNumberFormat="1" applyFont="1" applyBorder="1" applyAlignment="1">
      <alignment horizontal="left" vertical="top"/>
    </xf>
    <xf numFmtId="164" fontId="48" fillId="0" borderId="45" xfId="0" applyNumberFormat="1" applyFont="1" applyBorder="1" applyAlignment="1">
      <alignment horizontal="left" vertical="top"/>
    </xf>
    <xf numFmtId="164" fontId="54" fillId="11" borderId="45" xfId="0" applyNumberFormat="1" applyFont="1" applyFill="1" applyBorder="1" applyAlignment="1">
      <alignment horizontal="left" vertical="top"/>
    </xf>
    <xf numFmtId="164" fontId="2" fillId="0" borderId="45" xfId="0" applyNumberFormat="1" applyFont="1" applyBorder="1"/>
    <xf numFmtId="164" fontId="2" fillId="0" borderId="0" xfId="0" applyNumberFormat="1" applyFont="1"/>
    <xf numFmtId="1" fontId="60" fillId="0" borderId="13" xfId="0" applyNumberFormat="1" applyFont="1" applyBorder="1" applyAlignment="1">
      <alignment horizontal="center" vertical="top" shrinkToFit="1"/>
    </xf>
    <xf numFmtId="1" fontId="3" fillId="0" borderId="13" xfId="0" applyNumberFormat="1" applyFont="1" applyBorder="1" applyAlignment="1">
      <alignment horizontal="center" vertical="top" shrinkToFit="1"/>
    </xf>
    <xf numFmtId="0" fontId="48" fillId="0" borderId="45" xfId="0" applyFont="1" applyBorder="1"/>
    <xf numFmtId="0" fontId="48" fillId="11" borderId="45" xfId="0" applyFont="1" applyFill="1" applyBorder="1"/>
    <xf numFmtId="0" fontId="48" fillId="11" borderId="45" xfId="0" applyFont="1" applyFill="1" applyBorder="1" applyAlignment="1">
      <alignment horizontal="left" vertical="top"/>
    </xf>
    <xf numFmtId="164" fontId="48" fillId="0" borderId="45" xfId="0" applyNumberFormat="1" applyFont="1" applyBorder="1"/>
    <xf numFmtId="164" fontId="48" fillId="11" borderId="45" xfId="0" applyNumberFormat="1" applyFont="1" applyFill="1" applyBorder="1"/>
    <xf numFmtId="164" fontId="48" fillId="11" borderId="45" xfId="0" applyNumberFormat="1" applyFont="1" applyFill="1" applyBorder="1" applyAlignment="1">
      <alignment horizontal="left" vertical="top"/>
    </xf>
    <xf numFmtId="164" fontId="48" fillId="0" borderId="0" xfId="0" applyNumberFormat="1" applyFont="1"/>
    <xf numFmtId="0" fontId="2" fillId="0" borderId="13" xfId="0" applyFont="1" applyBorder="1" applyAlignment="1">
      <alignment horizontal="left" vertical="top" wrapText="1"/>
    </xf>
    <xf numFmtId="0" fontId="53" fillId="0" borderId="13" xfId="0" applyFont="1" applyBorder="1" applyAlignment="1">
      <alignment horizontal="left" vertical="top" wrapText="1"/>
    </xf>
    <xf numFmtId="0" fontId="48" fillId="11" borderId="13" xfId="0" applyFont="1" applyFill="1" applyBorder="1" applyAlignment="1">
      <alignment horizontal="left" vertical="top" wrapText="1"/>
    </xf>
    <xf numFmtId="0" fontId="2" fillId="11" borderId="13" xfId="0" applyFont="1" applyFill="1" applyBorder="1" applyAlignment="1">
      <alignment horizontal="left" vertical="top" wrapText="1"/>
    </xf>
    <xf numFmtId="0" fontId="52" fillId="9" borderId="45" xfId="15" applyFont="1" applyFill="1" applyBorder="1" applyAlignment="1">
      <alignment horizontal="center" vertical="center" wrapText="1"/>
    </xf>
    <xf numFmtId="1" fontId="48" fillId="0" borderId="45" xfId="0" applyNumberFormat="1" applyFont="1" applyBorder="1" applyAlignment="1">
      <alignment horizontal="center" vertical="top" shrinkToFit="1"/>
    </xf>
    <xf numFmtId="0" fontId="54" fillId="0" borderId="45" xfId="0" applyFont="1" applyBorder="1" applyAlignment="1">
      <alignment horizontal="center" vertical="top" shrinkToFit="1"/>
    </xf>
    <xf numFmtId="0" fontId="48" fillId="0" borderId="45" xfId="0" applyFont="1" applyBorder="1" applyAlignment="1">
      <alignment horizontal="center" vertical="top" shrinkToFit="1"/>
    </xf>
    <xf numFmtId="1" fontId="48" fillId="11" borderId="45" xfId="0" applyNumberFormat="1" applyFont="1" applyFill="1" applyBorder="1" applyAlignment="1">
      <alignment horizontal="center" vertical="top" shrinkToFit="1"/>
    </xf>
    <xf numFmtId="1" fontId="54" fillId="0" borderId="45" xfId="0" applyNumberFormat="1" applyFont="1" applyBorder="1" applyAlignment="1">
      <alignment horizontal="center" vertical="top" shrinkToFit="1"/>
    </xf>
    <xf numFmtId="164" fontId="1" fillId="0" borderId="45" xfId="0" applyNumberFormat="1" applyFont="1" applyBorder="1" applyAlignment="1">
      <alignment horizontal="center"/>
    </xf>
    <xf numFmtId="164" fontId="2" fillId="0" borderId="45" xfId="0" applyNumberFormat="1" applyFont="1" applyBorder="1" applyAlignment="1">
      <alignment horizontal="center"/>
    </xf>
    <xf numFmtId="0" fontId="39" fillId="0" borderId="13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33" fillId="0" borderId="13" xfId="0" applyFont="1" applyBorder="1" applyAlignment="1">
      <alignment horizontal="center" vertical="top"/>
    </xf>
    <xf numFmtId="0" fontId="0" fillId="0" borderId="45" xfId="0" applyBorder="1"/>
    <xf numFmtId="164" fontId="0" fillId="0" borderId="45" xfId="0" applyNumberFormat="1" applyBorder="1" applyAlignment="1">
      <alignment horizontal="center"/>
    </xf>
    <xf numFmtId="164" fontId="0" fillId="0" borderId="45" xfId="0" applyNumberFormat="1" applyBorder="1"/>
    <xf numFmtId="164" fontId="0" fillId="0" borderId="0" xfId="0" applyNumberFormat="1"/>
    <xf numFmtId="0" fontId="0" fillId="0" borderId="0" xfId="0" applyAlignment="1">
      <alignment horizontal="center" vertical="top"/>
    </xf>
    <xf numFmtId="1" fontId="34" fillId="0" borderId="13" xfId="0" applyNumberFormat="1" applyFont="1" applyBorder="1" applyAlignment="1">
      <alignment horizontal="center" vertical="top" shrinkToFit="1"/>
    </xf>
    <xf numFmtId="0" fontId="0" fillId="0" borderId="45" xfId="0" applyBorder="1" applyAlignment="1">
      <alignment horizontal="center" vertical="top"/>
    </xf>
    <xf numFmtId="1" fontId="34" fillId="0" borderId="2" xfId="0" applyNumberFormat="1" applyFont="1" applyBorder="1" applyAlignment="1">
      <alignment horizontal="center" vertical="top" shrinkToFit="1"/>
    </xf>
    <xf numFmtId="1" fontId="34" fillId="0" borderId="14" xfId="0" applyNumberFormat="1" applyFont="1" applyBorder="1" applyAlignment="1">
      <alignment horizontal="center" vertical="top" shrinkToFit="1"/>
    </xf>
    <xf numFmtId="0" fontId="0" fillId="11" borderId="45" xfId="0" applyFill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4" fontId="0" fillId="0" borderId="45" xfId="0" applyNumberFormat="1" applyBorder="1" applyAlignment="1">
      <alignment horizontal="center" vertical="top"/>
    </xf>
    <xf numFmtId="164" fontId="28" fillId="11" borderId="45" xfId="0" applyNumberFormat="1" applyFont="1" applyFill="1" applyBorder="1" applyAlignment="1">
      <alignment horizontal="center" vertical="top"/>
    </xf>
    <xf numFmtId="164" fontId="0" fillId="11" borderId="45" xfId="0" applyNumberFormat="1" applyFill="1" applyBorder="1" applyAlignment="1">
      <alignment horizontal="center" vertical="top"/>
    </xf>
    <xf numFmtId="0" fontId="44" fillId="12" borderId="14" xfId="0" applyFont="1" applyFill="1" applyBorder="1" applyAlignment="1">
      <alignment horizontal="center" vertical="center"/>
    </xf>
    <xf numFmtId="1" fontId="45" fillId="0" borderId="13" xfId="15" applyNumberFormat="1" applyFont="1" applyBorder="1" applyAlignment="1">
      <alignment horizontal="center" vertical="center" shrinkToFit="1"/>
    </xf>
    <xf numFmtId="1" fontId="45" fillId="11" borderId="13" xfId="15" applyNumberFormat="1" applyFont="1" applyFill="1" applyBorder="1" applyAlignment="1">
      <alignment horizontal="center" vertical="center" shrinkToFit="1"/>
    </xf>
    <xf numFmtId="0" fontId="45" fillId="0" borderId="13" xfId="0" applyFont="1" applyBorder="1" applyAlignment="1">
      <alignment horizontal="center" vertical="top"/>
    </xf>
    <xf numFmtId="0" fontId="45" fillId="0" borderId="13" xfId="15" applyFont="1" applyBorder="1" applyAlignment="1">
      <alignment horizontal="center" vertical="center"/>
    </xf>
    <xf numFmtId="1" fontId="45" fillId="11" borderId="13" xfId="0" applyNumberFormat="1" applyFont="1" applyFill="1" applyBorder="1" applyAlignment="1">
      <alignment horizontal="center" vertical="center" shrinkToFit="1"/>
    </xf>
    <xf numFmtId="0" fontId="21" fillId="0" borderId="13" xfId="0" applyFont="1" applyBorder="1" applyAlignment="1">
      <alignment horizontal="left" vertical="top"/>
    </xf>
    <xf numFmtId="0" fontId="3" fillId="0" borderId="45" xfId="0" applyFont="1" applyBorder="1" applyAlignment="1">
      <alignment horizontal="left" vertical="top"/>
    </xf>
    <xf numFmtId="0" fontId="50" fillId="0" borderId="45" xfId="0" applyFont="1" applyBorder="1" applyAlignment="1">
      <alignment horizontal="left" vertical="top"/>
    </xf>
    <xf numFmtId="164" fontId="3" fillId="0" borderId="45" xfId="0" applyNumberFormat="1" applyFont="1" applyBorder="1"/>
    <xf numFmtId="0" fontId="3" fillId="0" borderId="45" xfId="0" applyFont="1" applyBorder="1"/>
    <xf numFmtId="0" fontId="63" fillId="0" borderId="6" xfId="0" applyFont="1" applyBorder="1" applyAlignment="1">
      <alignment horizontal="left" vertical="center" wrapText="1"/>
    </xf>
    <xf numFmtId="0" fontId="3" fillId="0" borderId="0" xfId="0" applyFont="1"/>
    <xf numFmtId="0" fontId="23" fillId="0" borderId="23" xfId="15" applyFont="1" applyBorder="1" applyAlignment="1">
      <alignment horizontal="center" vertical="center" wrapText="1"/>
    </xf>
    <xf numFmtId="0" fontId="23" fillId="0" borderId="25" xfId="15" applyFont="1" applyBorder="1" applyAlignment="1">
      <alignment horizontal="center" vertical="center" wrapText="1"/>
    </xf>
    <xf numFmtId="0" fontId="23" fillId="0" borderId="29" xfId="15" applyFont="1" applyBorder="1" applyAlignment="1">
      <alignment horizontal="center" vertical="center" wrapText="1"/>
    </xf>
    <xf numFmtId="0" fontId="21" fillId="17" borderId="6" xfId="15" applyFont="1" applyFill="1" applyBorder="1"/>
    <xf numFmtId="0" fontId="21" fillId="17" borderId="27" xfId="15" applyFont="1" applyFill="1" applyBorder="1"/>
    <xf numFmtId="0" fontId="21" fillId="17" borderId="6" xfId="15" applyFont="1" applyFill="1" applyBorder="1" applyAlignment="1">
      <alignment horizontal="center" vertical="center"/>
    </xf>
    <xf numFmtId="0" fontId="21" fillId="17" borderId="27" xfId="15" applyFont="1" applyFill="1" applyBorder="1" applyAlignment="1">
      <alignment horizontal="center" vertical="center"/>
    </xf>
    <xf numFmtId="0" fontId="21" fillId="17" borderId="7" xfId="15" applyFont="1" applyFill="1" applyBorder="1" applyAlignment="1">
      <alignment horizontal="left"/>
    </xf>
    <xf numFmtId="0" fontId="21" fillId="17" borderId="9" xfId="15" applyFont="1" applyFill="1" applyBorder="1" applyAlignment="1">
      <alignment horizontal="left"/>
    </xf>
    <xf numFmtId="0" fontId="21" fillId="18" borderId="9" xfId="15" applyFont="1" applyFill="1" applyBorder="1"/>
    <xf numFmtId="0" fontId="21" fillId="18" borderId="4" xfId="15" applyFont="1" applyFill="1" applyBorder="1"/>
    <xf numFmtId="0" fontId="21" fillId="18" borderId="7" xfId="15" applyFont="1" applyFill="1" applyBorder="1"/>
    <xf numFmtId="0" fontId="21" fillId="17" borderId="9" xfId="15" applyFont="1" applyFill="1" applyBorder="1"/>
    <xf numFmtId="0" fontId="21" fillId="17" borderId="17" xfId="15" applyFont="1" applyFill="1" applyBorder="1"/>
    <xf numFmtId="0" fontId="21" fillId="17" borderId="7" xfId="15" applyFont="1" applyFill="1" applyBorder="1"/>
    <xf numFmtId="0" fontId="21" fillId="17" borderId="15" xfId="15" applyFont="1" applyFill="1" applyBorder="1" applyAlignment="1">
      <alignment horizontal="center" vertical="center"/>
    </xf>
    <xf numFmtId="0" fontId="21" fillId="18" borderId="11" xfId="15" applyFont="1" applyFill="1" applyBorder="1"/>
    <xf numFmtId="0" fontId="21" fillId="17" borderId="2" xfId="15" applyFont="1" applyFill="1" applyBorder="1" applyAlignment="1">
      <alignment horizontal="center" vertical="center"/>
    </xf>
    <xf numFmtId="0" fontId="21" fillId="17" borderId="4" xfId="15" applyFont="1" applyFill="1" applyBorder="1"/>
    <xf numFmtId="49" fontId="64" fillId="19" borderId="45" xfId="0" applyNumberFormat="1" applyFont="1" applyFill="1" applyBorder="1" applyAlignment="1">
      <alignment horizontal="left" vertical="center"/>
    </xf>
    <xf numFmtId="0" fontId="20" fillId="0" borderId="0" xfId="15" applyFont="1"/>
    <xf numFmtId="0" fontId="21" fillId="0" borderId="45" xfId="15" applyFont="1" applyBorder="1" applyAlignment="1">
      <alignment horizontal="center"/>
    </xf>
    <xf numFmtId="0" fontId="21" fillId="0" borderId="45" xfId="15" applyFont="1" applyBorder="1" applyAlignment="1">
      <alignment horizontal="center" vertical="center"/>
    </xf>
    <xf numFmtId="0" fontId="21" fillId="0" borderId="45" xfId="15" applyFont="1" applyBorder="1"/>
  </cellXfs>
  <cellStyles count="21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Default" xfId="6" xr:uid="{00000000-0005-0000-0000-000005000000}"/>
    <cellStyle name="Error" xfId="7" xr:uid="{00000000-0005-0000-0000-000006000000}"/>
    <cellStyle name="Footnote" xfId="8" xr:uid="{00000000-0005-0000-0000-000007000000}"/>
    <cellStyle name="Good" xfId="9" xr:uid="{00000000-0005-0000-0000-000008000000}"/>
    <cellStyle name="Heading" xfId="10" xr:uid="{00000000-0005-0000-0000-000009000000}"/>
    <cellStyle name="Heading 1" xfId="11" xr:uid="{00000000-0005-0000-0000-00000A000000}"/>
    <cellStyle name="Heading 2" xfId="12" xr:uid="{00000000-0005-0000-0000-00000B000000}"/>
    <cellStyle name="Hyperlink" xfId="13" xr:uid="{00000000-0005-0000-0000-00000C000000}"/>
    <cellStyle name="Neutral" xfId="14" xr:uid="{00000000-0005-0000-0000-00000D000000}"/>
    <cellStyle name="Normal" xfId="0" builtinId="0" customBuiltin="1"/>
    <cellStyle name="Normal 2" xfId="15" xr:uid="{00000000-0005-0000-0000-00000F000000}"/>
    <cellStyle name="Note" xfId="16" xr:uid="{00000000-0005-0000-0000-000010000000}"/>
    <cellStyle name="Result" xfId="17" xr:uid="{00000000-0005-0000-0000-000011000000}"/>
    <cellStyle name="Status" xfId="18" xr:uid="{00000000-0005-0000-0000-000012000000}"/>
    <cellStyle name="Text" xfId="19" xr:uid="{00000000-0005-0000-0000-000013000000}"/>
    <cellStyle name="Warning" xfId="20" xr:uid="{00000000-0005-0000-0000-000014000000}"/>
  </cellStyles>
  <dxfs count="6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4"/>
        <color rgb="FFFFFFFF"/>
        <name val="Calibri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178200</xdr:colOff>
      <xdr:row>2</xdr:row>
      <xdr:rowOff>87480</xdr:rowOff>
    </xdr:from>
    <xdr:ext cx="5853240" cy="1666800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1050650" y="811380"/>
          <a:ext cx="5853240" cy="1666800"/>
        </a:xfrm>
        <a:prstGeom prst="rect">
          <a:avLst/>
        </a:prstGeom>
        <a:noFill/>
        <a:ln>
          <a:noFill/>
        </a:ln>
        <a:effectLst>
          <a:outerShdw dist="138480" dir="2700000" algn="tl">
            <a:srgbClr val="333333">
              <a:alpha val="65000"/>
            </a:srgbClr>
          </a:outerShdw>
        </a:effec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__Anonymous_Sheet_DB__0" displayName="__Anonymous_Sheet_DB__0" ref="A1:D97" totalsRowShown="0" headerRowDxfId="5">
  <autoFilter ref="A1:D97" xr:uid="{00000000-0009-0000-0100-000002000000}"/>
  <tableColumns count="4">
    <tableColumn id="1" xr3:uid="{00000000-0010-0000-0000-000001000000}" name="ESPECIALIDADE"/>
    <tableColumn id="4" xr3:uid="{00000000-0010-0000-0000-000004000000}" name="Nº caixas " dataDxfId="4" dataCellStyle="Normal 2"/>
    <tableColumn id="2" xr3:uid="{00000000-0010-0000-0000-000002000000}" name="CAIXAS"/>
    <tableColumn id="3" xr3:uid="{00000000-0010-0000-0000-000003000000}" name="QTD CAIXA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1" displayName="Tabela1" ref="A1:F102" totalsRowShown="0">
  <autoFilter ref="A1:F102" xr:uid="{00000000-0009-0000-0100-000001000000}"/>
  <tableColumns count="6">
    <tableColumn id="1" xr3:uid="{00000000-0010-0000-0100-000001000000}" name="AVULSO CENTRO CIRURGICO"/>
    <tableColumn id="2" xr3:uid="{00000000-0010-0000-0100-000002000000}" name="QTD - solicitada"/>
    <tableColumn id="3" xr3:uid="{00000000-0010-0000-0100-000003000000}" name="QTD - recebida" dataDxfId="3"/>
    <tableColumn id="4" xr3:uid="{A6CA7D71-0B6B-48FD-81B0-4AA21F71DBAC}" name="QTD" dataDxfId="2">
      <calculatedColumnFormula>Tabela1[[#This Row],[QTD - solicitada]]-Tabela1[[#This Row],[QTD - recebida]]</calculatedColumnFormula>
    </tableColumn>
    <tableColumn id="5" xr3:uid="{170A1B24-D06B-4859-8042-0B7847BEDEEC}" name="VALOR" dataDxfId="1"/>
    <tableColumn id="6" xr3:uid="{3EECEA7E-A88A-4E3D-9F36-98E0B597CBE5}" name="OBSERVAÇÃ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I1048564"/>
  <sheetViews>
    <sheetView showGridLines="0" topLeftCell="B35" zoomScale="70" zoomScaleNormal="70" workbookViewId="0">
      <selection activeCell="G58" sqref="G58"/>
    </sheetView>
  </sheetViews>
  <sheetFormatPr defaultColWidth="8" defaultRowHeight="15" customHeight="1"/>
  <cols>
    <col min="1" max="1" width="31.28515625" style="22" bestFit="1" customWidth="1"/>
    <col min="2" max="2" width="7.7109375" style="22" customWidth="1"/>
    <col min="3" max="3" width="62" style="4" customWidth="1"/>
    <col min="4" max="4" width="17.85546875" style="24" customWidth="1"/>
    <col min="5" max="5" width="17.42578125" style="24" customWidth="1"/>
    <col min="6" max="6" width="10.5703125" style="24" customWidth="1"/>
    <col min="7" max="7" width="58.5703125" style="4" customWidth="1"/>
    <col min="8" max="8" width="46.140625" style="4" customWidth="1"/>
    <col min="9" max="9" width="23.85546875" style="4" customWidth="1"/>
    <col min="10" max="10" width="8" style="4" customWidth="1"/>
    <col min="11" max="11" width="32.85546875" style="4" customWidth="1"/>
    <col min="12" max="12" width="8" style="4" customWidth="1"/>
    <col min="13" max="16384" width="8" style="4"/>
  </cols>
  <sheetData>
    <row r="1" spans="1:9" customFormat="1" ht="42" customHeight="1">
      <c r="A1" s="157" t="s">
        <v>0</v>
      </c>
      <c r="B1" s="158" t="s">
        <v>1419</v>
      </c>
      <c r="C1" s="158" t="s">
        <v>1</v>
      </c>
      <c r="D1" s="158" t="s">
        <v>2</v>
      </c>
      <c r="E1" s="159" t="s">
        <v>3</v>
      </c>
      <c r="F1" s="159" t="s">
        <v>4</v>
      </c>
      <c r="G1" s="160" t="s">
        <v>5</v>
      </c>
      <c r="H1" s="1"/>
      <c r="I1" s="2" t="s">
        <v>6</v>
      </c>
    </row>
    <row r="2" spans="1:9" ht="15" customHeight="1">
      <c r="A2" s="161" t="s">
        <v>7</v>
      </c>
      <c r="B2" s="183">
        <v>1</v>
      </c>
      <c r="C2" s="332" t="s">
        <v>8</v>
      </c>
      <c r="D2" s="3">
        <v>10</v>
      </c>
      <c r="E2" s="78"/>
      <c r="F2" s="327">
        <f t="shared" ref="F2:F32" si="0">D2-E2</f>
        <v>10</v>
      </c>
      <c r="G2" s="162"/>
      <c r="I2" s="5" t="s">
        <v>9</v>
      </c>
    </row>
    <row r="3" spans="1:9" ht="15" customHeight="1">
      <c r="A3" s="163"/>
      <c r="B3" s="184">
        <v>2</v>
      </c>
      <c r="C3" s="333" t="s">
        <v>10</v>
      </c>
      <c r="D3" s="7">
        <v>2</v>
      </c>
      <c r="E3" s="78"/>
      <c r="F3" s="327">
        <f t="shared" si="0"/>
        <v>2</v>
      </c>
      <c r="G3" s="162"/>
      <c r="I3" s="8" t="s">
        <v>11</v>
      </c>
    </row>
    <row r="4" spans="1:9" ht="15" customHeight="1">
      <c r="A4" s="163"/>
      <c r="B4" s="184">
        <v>3</v>
      </c>
      <c r="C4" s="333" t="s">
        <v>12</v>
      </c>
      <c r="D4" s="7">
        <v>2</v>
      </c>
      <c r="E4" s="78"/>
      <c r="F4" s="327">
        <f t="shared" si="0"/>
        <v>2</v>
      </c>
      <c r="G4" s="162"/>
      <c r="I4" s="8" t="s">
        <v>13</v>
      </c>
    </row>
    <row r="5" spans="1:9" ht="15" customHeight="1">
      <c r="A5" s="163"/>
      <c r="B5" s="184">
        <v>4</v>
      </c>
      <c r="C5" s="333" t="s">
        <v>14</v>
      </c>
      <c r="D5" s="7">
        <v>2</v>
      </c>
      <c r="E5" s="78"/>
      <c r="F5" s="327">
        <f t="shared" si="0"/>
        <v>2</v>
      </c>
      <c r="G5" s="162"/>
      <c r="I5" s="8" t="s">
        <v>15</v>
      </c>
    </row>
    <row r="6" spans="1:9" ht="15" customHeight="1">
      <c r="A6" s="163"/>
      <c r="B6" s="183">
        <v>5</v>
      </c>
      <c r="C6" s="333" t="s">
        <v>16</v>
      </c>
      <c r="D6" s="7">
        <v>2</v>
      </c>
      <c r="E6" s="78"/>
      <c r="F6" s="327">
        <f t="shared" si="0"/>
        <v>2</v>
      </c>
      <c r="G6" s="162"/>
      <c r="I6" s="8"/>
    </row>
    <row r="7" spans="1:9" ht="15" customHeight="1">
      <c r="A7" s="163"/>
      <c r="B7" s="184">
        <v>6</v>
      </c>
      <c r="C7" s="333" t="s">
        <v>17</v>
      </c>
      <c r="D7" s="7">
        <v>3</v>
      </c>
      <c r="E7" s="78"/>
      <c r="F7" s="327">
        <f t="shared" si="0"/>
        <v>3</v>
      </c>
      <c r="G7" s="162"/>
      <c r="I7" s="5" t="s">
        <v>18</v>
      </c>
    </row>
    <row r="8" spans="1:9" ht="15" customHeight="1">
      <c r="A8" s="163"/>
      <c r="B8" s="184">
        <v>7</v>
      </c>
      <c r="C8" s="333" t="s">
        <v>19</v>
      </c>
      <c r="D8" s="7">
        <v>3</v>
      </c>
      <c r="E8" s="78"/>
      <c r="F8" s="327">
        <f t="shared" si="0"/>
        <v>3</v>
      </c>
      <c r="G8" s="162"/>
      <c r="I8" s="8" t="s">
        <v>20</v>
      </c>
    </row>
    <row r="9" spans="1:9" ht="15" customHeight="1">
      <c r="A9" s="163"/>
      <c r="B9" s="184">
        <v>8</v>
      </c>
      <c r="C9" s="333" t="s">
        <v>21</v>
      </c>
      <c r="D9" s="7">
        <v>4</v>
      </c>
      <c r="E9" s="78"/>
      <c r="F9" s="327">
        <f t="shared" si="0"/>
        <v>4</v>
      </c>
      <c r="G9" s="162"/>
      <c r="I9" s="8" t="s">
        <v>22</v>
      </c>
    </row>
    <row r="10" spans="1:9" ht="15" customHeight="1">
      <c r="A10" s="164"/>
      <c r="B10" s="183">
        <v>9</v>
      </c>
      <c r="C10" s="331" t="s">
        <v>23</v>
      </c>
      <c r="D10" s="9">
        <v>6</v>
      </c>
      <c r="E10" s="78"/>
      <c r="F10" s="327">
        <f t="shared" si="0"/>
        <v>6</v>
      </c>
      <c r="G10" s="162"/>
      <c r="I10" s="8" t="s">
        <v>24</v>
      </c>
    </row>
    <row r="11" spans="1:9" ht="15" customHeight="1">
      <c r="A11" s="165" t="s">
        <v>11</v>
      </c>
      <c r="B11" s="184">
        <v>10</v>
      </c>
      <c r="C11" s="340" t="s">
        <v>25</v>
      </c>
      <c r="D11" s="10">
        <v>3</v>
      </c>
      <c r="E11" s="78"/>
      <c r="F11" s="327">
        <f t="shared" si="0"/>
        <v>3</v>
      </c>
      <c r="G11" s="162"/>
      <c r="I11" s="8" t="s">
        <v>26</v>
      </c>
    </row>
    <row r="12" spans="1:9" ht="15" customHeight="1">
      <c r="A12" s="166"/>
      <c r="B12" s="184">
        <v>11</v>
      </c>
      <c r="C12" s="336" t="s">
        <v>27</v>
      </c>
      <c r="D12" s="12">
        <v>2</v>
      </c>
      <c r="E12" s="78"/>
      <c r="F12" s="327">
        <f t="shared" si="0"/>
        <v>2</v>
      </c>
      <c r="G12" s="162"/>
      <c r="I12" s="8" t="s">
        <v>28</v>
      </c>
    </row>
    <row r="13" spans="1:9" ht="15" customHeight="1">
      <c r="A13" s="166"/>
      <c r="B13" s="184">
        <v>12</v>
      </c>
      <c r="C13" s="336" t="s">
        <v>29</v>
      </c>
      <c r="D13" s="12">
        <v>2</v>
      </c>
      <c r="E13" s="78"/>
      <c r="F13" s="327">
        <f t="shared" si="0"/>
        <v>2</v>
      </c>
      <c r="G13" s="162"/>
      <c r="I13" s="8" t="s">
        <v>30</v>
      </c>
    </row>
    <row r="14" spans="1:9" ht="15" customHeight="1">
      <c r="A14" s="166"/>
      <c r="B14" s="183">
        <v>13</v>
      </c>
      <c r="C14" s="336" t="s">
        <v>31</v>
      </c>
      <c r="D14" s="12">
        <v>2</v>
      </c>
      <c r="E14" s="78"/>
      <c r="F14" s="327">
        <f t="shared" si="0"/>
        <v>2</v>
      </c>
      <c r="G14" s="162"/>
      <c r="I14" s="8" t="s">
        <v>32</v>
      </c>
    </row>
    <row r="15" spans="1:9" ht="15" customHeight="1">
      <c r="A15" s="166"/>
      <c r="B15" s="184">
        <v>14</v>
      </c>
      <c r="C15" s="336" t="s">
        <v>33</v>
      </c>
      <c r="D15" s="12">
        <v>2</v>
      </c>
      <c r="E15" s="78"/>
      <c r="F15" s="327">
        <f t="shared" si="0"/>
        <v>2</v>
      </c>
      <c r="G15" s="162"/>
    </row>
    <row r="16" spans="1:9" ht="15" customHeight="1">
      <c r="A16" s="166"/>
      <c r="B16" s="184">
        <v>15</v>
      </c>
      <c r="C16" s="336" t="s">
        <v>34</v>
      </c>
      <c r="D16" s="12">
        <v>1</v>
      </c>
      <c r="E16" s="78"/>
      <c r="F16" s="327">
        <f t="shared" si="0"/>
        <v>1</v>
      </c>
      <c r="G16" s="162"/>
    </row>
    <row r="17" spans="1:7" ht="15" customHeight="1">
      <c r="A17" s="166"/>
      <c r="B17" s="184">
        <v>16</v>
      </c>
      <c r="C17" s="336" t="s">
        <v>35</v>
      </c>
      <c r="D17" s="12">
        <v>2</v>
      </c>
      <c r="E17" s="78"/>
      <c r="F17" s="327">
        <f t="shared" si="0"/>
        <v>2</v>
      </c>
      <c r="G17" s="162"/>
    </row>
    <row r="18" spans="1:7" ht="15" customHeight="1">
      <c r="A18" s="166"/>
      <c r="B18" s="183">
        <v>17</v>
      </c>
      <c r="C18" s="336" t="s">
        <v>36</v>
      </c>
      <c r="D18" s="12">
        <v>1</v>
      </c>
      <c r="E18" s="78"/>
      <c r="F18" s="327">
        <f t="shared" si="0"/>
        <v>1</v>
      </c>
      <c r="G18" s="162"/>
    </row>
    <row r="19" spans="1:7" ht="15" customHeight="1">
      <c r="A19" s="167"/>
      <c r="B19" s="184">
        <v>18</v>
      </c>
      <c r="C19" s="334" t="s">
        <v>37</v>
      </c>
      <c r="D19" s="14">
        <v>1</v>
      </c>
      <c r="E19" s="78"/>
      <c r="F19" s="327">
        <f t="shared" si="0"/>
        <v>1</v>
      </c>
      <c r="G19" s="162"/>
    </row>
    <row r="20" spans="1:7" ht="15" customHeight="1">
      <c r="A20" s="161" t="s">
        <v>38</v>
      </c>
      <c r="B20" s="184">
        <v>19</v>
      </c>
      <c r="C20" s="332" t="s">
        <v>39</v>
      </c>
      <c r="D20" s="3">
        <v>3</v>
      </c>
      <c r="E20" s="78"/>
      <c r="F20" s="327">
        <f t="shared" si="0"/>
        <v>3</v>
      </c>
      <c r="G20" s="162"/>
    </row>
    <row r="21" spans="1:7" ht="15" customHeight="1">
      <c r="A21" s="163"/>
      <c r="B21" s="184">
        <v>20</v>
      </c>
      <c r="C21" s="333" t="s">
        <v>40</v>
      </c>
      <c r="D21" s="7">
        <v>3</v>
      </c>
      <c r="E21" s="78">
        <v>2</v>
      </c>
      <c r="F21" s="327">
        <f t="shared" si="0"/>
        <v>1</v>
      </c>
      <c r="G21" s="162"/>
    </row>
    <row r="22" spans="1:7" ht="15" customHeight="1">
      <c r="A22" s="163"/>
      <c r="B22" s="183">
        <v>21</v>
      </c>
      <c r="C22" s="333" t="s">
        <v>41</v>
      </c>
      <c r="D22" s="7">
        <v>3</v>
      </c>
      <c r="E22" s="78"/>
      <c r="F22" s="327">
        <f t="shared" si="0"/>
        <v>3</v>
      </c>
      <c r="G22" s="162"/>
    </row>
    <row r="23" spans="1:7" ht="15" customHeight="1">
      <c r="A23" s="163"/>
      <c r="B23" s="184">
        <v>22</v>
      </c>
      <c r="C23" s="333" t="s">
        <v>42</v>
      </c>
      <c r="D23" s="7">
        <v>2</v>
      </c>
      <c r="E23" s="78"/>
      <c r="F23" s="327">
        <f t="shared" si="0"/>
        <v>2</v>
      </c>
      <c r="G23" s="162"/>
    </row>
    <row r="24" spans="1:7" ht="15" customHeight="1">
      <c r="A24" s="163"/>
      <c r="B24" s="184">
        <v>23</v>
      </c>
      <c r="C24" s="333" t="s">
        <v>43</v>
      </c>
      <c r="D24" s="7">
        <v>3</v>
      </c>
      <c r="E24" s="78"/>
      <c r="F24" s="327">
        <f t="shared" si="0"/>
        <v>3</v>
      </c>
      <c r="G24" s="162"/>
    </row>
    <row r="25" spans="1:7" ht="15" customHeight="1">
      <c r="A25" s="163"/>
      <c r="B25" s="184">
        <v>24</v>
      </c>
      <c r="C25" s="333" t="s">
        <v>44</v>
      </c>
      <c r="D25" s="7">
        <v>3</v>
      </c>
      <c r="E25" s="78"/>
      <c r="F25" s="327">
        <f t="shared" si="0"/>
        <v>3</v>
      </c>
      <c r="G25" s="162"/>
    </row>
    <row r="26" spans="1:7" ht="15" customHeight="1">
      <c r="A26" s="163"/>
      <c r="B26" s="183">
        <v>25</v>
      </c>
      <c r="C26" s="333" t="s">
        <v>45</v>
      </c>
      <c r="D26" s="7">
        <v>2</v>
      </c>
      <c r="E26" s="78"/>
      <c r="F26" s="327">
        <f t="shared" si="0"/>
        <v>2</v>
      </c>
      <c r="G26" s="162"/>
    </row>
    <row r="27" spans="1:7" ht="15" customHeight="1">
      <c r="A27" s="163"/>
      <c r="B27" s="184">
        <v>26</v>
      </c>
      <c r="C27" s="333" t="s">
        <v>46</v>
      </c>
      <c r="D27" s="7">
        <v>3</v>
      </c>
      <c r="E27" s="78"/>
      <c r="F27" s="327">
        <f t="shared" si="0"/>
        <v>3</v>
      </c>
      <c r="G27" s="162"/>
    </row>
    <row r="28" spans="1:7" ht="15" customHeight="1">
      <c r="A28" s="163"/>
      <c r="B28" s="184">
        <v>27</v>
      </c>
      <c r="C28" s="333" t="s">
        <v>47</v>
      </c>
      <c r="D28" s="7">
        <v>2</v>
      </c>
      <c r="E28" s="78"/>
      <c r="F28" s="327">
        <f t="shared" si="0"/>
        <v>2</v>
      </c>
      <c r="G28" s="162"/>
    </row>
    <row r="29" spans="1:7" ht="15" customHeight="1">
      <c r="A29" s="163"/>
      <c r="B29" s="184">
        <v>28</v>
      </c>
      <c r="C29" s="333" t="s">
        <v>48</v>
      </c>
      <c r="D29" s="15">
        <v>1</v>
      </c>
      <c r="E29" s="78"/>
      <c r="F29" s="327">
        <f t="shared" si="0"/>
        <v>1</v>
      </c>
      <c r="G29" s="162"/>
    </row>
    <row r="30" spans="1:7" ht="15" customHeight="1">
      <c r="A30" s="163"/>
      <c r="B30" s="183">
        <v>29</v>
      </c>
      <c r="C30" s="333" t="s">
        <v>49</v>
      </c>
      <c r="D30" s="15">
        <v>4</v>
      </c>
      <c r="E30" s="78"/>
      <c r="F30" s="327">
        <f t="shared" si="0"/>
        <v>4</v>
      </c>
      <c r="G30" s="162"/>
    </row>
    <row r="31" spans="1:7" ht="15" customHeight="1">
      <c r="A31" s="163"/>
      <c r="B31" s="184">
        <v>30</v>
      </c>
      <c r="C31" s="333" t="s">
        <v>50</v>
      </c>
      <c r="D31" s="15">
        <v>1</v>
      </c>
      <c r="E31" s="78"/>
      <c r="F31" s="327">
        <f t="shared" si="0"/>
        <v>1</v>
      </c>
      <c r="G31" s="162"/>
    </row>
    <row r="32" spans="1:7" ht="15" customHeight="1">
      <c r="A32" s="163"/>
      <c r="B32" s="184">
        <v>31</v>
      </c>
      <c r="C32" s="333" t="s">
        <v>51</v>
      </c>
      <c r="D32" s="15">
        <v>2</v>
      </c>
      <c r="E32" s="78"/>
      <c r="F32" s="327">
        <f t="shared" si="0"/>
        <v>2</v>
      </c>
      <c r="G32" s="162"/>
    </row>
    <row r="33" spans="1:7" ht="15" customHeight="1" thickBot="1">
      <c r="A33" s="168"/>
      <c r="B33" s="185">
        <v>32</v>
      </c>
      <c r="C33" s="338" t="s">
        <v>52</v>
      </c>
      <c r="D33" s="16">
        <v>2</v>
      </c>
      <c r="E33" s="79"/>
      <c r="F33" s="339">
        <f t="shared" ref="F33:F62" si="1">D33-E33</f>
        <v>2</v>
      </c>
      <c r="G33" s="169"/>
    </row>
    <row r="34" spans="1:7" ht="15" customHeight="1">
      <c r="A34" s="198" t="s">
        <v>53</v>
      </c>
      <c r="B34" s="190"/>
      <c r="C34" s="190" t="s">
        <v>54</v>
      </c>
      <c r="D34" s="190">
        <v>10</v>
      </c>
      <c r="E34" s="191"/>
      <c r="F34" s="192">
        <f t="shared" si="1"/>
        <v>10</v>
      </c>
      <c r="G34" s="322" t="s">
        <v>55</v>
      </c>
    </row>
    <row r="35" spans="1:7" ht="15" customHeight="1">
      <c r="A35" s="193"/>
      <c r="B35" s="188"/>
      <c r="C35" s="188" t="s">
        <v>56</v>
      </c>
      <c r="D35" s="188">
        <v>5</v>
      </c>
      <c r="E35" s="187"/>
      <c r="F35" s="78">
        <f t="shared" si="1"/>
        <v>5</v>
      </c>
      <c r="G35" s="323"/>
    </row>
    <row r="36" spans="1:7" ht="15" customHeight="1">
      <c r="A36" s="193"/>
      <c r="B36" s="188"/>
      <c r="C36" s="188" t="s">
        <v>57</v>
      </c>
      <c r="D36" s="188">
        <v>5</v>
      </c>
      <c r="E36" s="187"/>
      <c r="F36" s="78">
        <f t="shared" si="1"/>
        <v>5</v>
      </c>
      <c r="G36" s="323"/>
    </row>
    <row r="37" spans="1:7" ht="15" customHeight="1">
      <c r="A37" s="193"/>
      <c r="B37" s="188"/>
      <c r="C37" s="188" t="s">
        <v>58</v>
      </c>
      <c r="D37" s="188">
        <v>5</v>
      </c>
      <c r="E37" s="187"/>
      <c r="F37" s="78">
        <f t="shared" si="1"/>
        <v>5</v>
      </c>
      <c r="G37" s="323"/>
    </row>
    <row r="38" spans="1:7" ht="15" customHeight="1">
      <c r="A38" s="193"/>
      <c r="B38" s="188"/>
      <c r="C38" s="188" t="s">
        <v>59</v>
      </c>
      <c r="D38" s="188">
        <v>5</v>
      </c>
      <c r="E38" s="187"/>
      <c r="F38" s="78">
        <f t="shared" si="1"/>
        <v>5</v>
      </c>
      <c r="G38" s="323"/>
    </row>
    <row r="39" spans="1:7" ht="15" customHeight="1">
      <c r="A39" s="193"/>
      <c r="B39" s="188"/>
      <c r="C39" s="188" t="s">
        <v>60</v>
      </c>
      <c r="D39" s="188">
        <v>5</v>
      </c>
      <c r="E39" s="187"/>
      <c r="F39" s="78">
        <f t="shared" si="1"/>
        <v>5</v>
      </c>
      <c r="G39" s="323"/>
    </row>
    <row r="40" spans="1:7" ht="15" customHeight="1">
      <c r="A40" s="193"/>
      <c r="B40" s="188"/>
      <c r="C40" s="188" t="s">
        <v>61</v>
      </c>
      <c r="D40" s="188">
        <v>3</v>
      </c>
      <c r="E40" s="187"/>
      <c r="F40" s="78">
        <f t="shared" si="1"/>
        <v>3</v>
      </c>
      <c r="G40" s="323"/>
    </row>
    <row r="41" spans="1:7" ht="15" customHeight="1">
      <c r="A41" s="193"/>
      <c r="B41" s="188"/>
      <c r="C41" s="188" t="s">
        <v>62</v>
      </c>
      <c r="D41" s="188">
        <v>3</v>
      </c>
      <c r="E41" s="187"/>
      <c r="F41" s="78">
        <f t="shared" si="1"/>
        <v>3</v>
      </c>
      <c r="G41" s="323"/>
    </row>
    <row r="42" spans="1:7" ht="15" customHeight="1">
      <c r="A42" s="193"/>
      <c r="B42" s="188"/>
      <c r="C42" s="188" t="s">
        <v>63</v>
      </c>
      <c r="D42" s="188">
        <v>2</v>
      </c>
      <c r="E42" s="187"/>
      <c r="F42" s="78">
        <f t="shared" si="1"/>
        <v>2</v>
      </c>
      <c r="G42" s="323"/>
    </row>
    <row r="43" spans="1:7" ht="15" customHeight="1">
      <c r="A43" s="193"/>
      <c r="B43" s="188"/>
      <c r="C43" s="188" t="s">
        <v>64</v>
      </c>
      <c r="D43" s="188">
        <v>2</v>
      </c>
      <c r="E43" s="187"/>
      <c r="F43" s="78">
        <f t="shared" si="1"/>
        <v>2</v>
      </c>
      <c r="G43" s="323"/>
    </row>
    <row r="44" spans="1:7" ht="15" customHeight="1">
      <c r="A44" s="193"/>
      <c r="B44" s="188"/>
      <c r="C44" s="188" t="s">
        <v>65</v>
      </c>
      <c r="D44" s="188">
        <v>2</v>
      </c>
      <c r="E44" s="187"/>
      <c r="F44" s="78">
        <f t="shared" si="1"/>
        <v>2</v>
      </c>
      <c r="G44" s="323"/>
    </row>
    <row r="45" spans="1:7" ht="15" customHeight="1">
      <c r="A45" s="193"/>
      <c r="B45" s="188"/>
      <c r="C45" s="188" t="s">
        <v>66</v>
      </c>
      <c r="D45" s="188">
        <v>6</v>
      </c>
      <c r="E45" s="187"/>
      <c r="F45" s="78">
        <f t="shared" si="1"/>
        <v>6</v>
      </c>
      <c r="G45" s="323"/>
    </row>
    <row r="46" spans="1:7" ht="15" customHeight="1">
      <c r="A46" s="193"/>
      <c r="B46" s="188"/>
      <c r="C46" s="188" t="s">
        <v>67</v>
      </c>
      <c r="D46" s="188">
        <v>4</v>
      </c>
      <c r="E46" s="187"/>
      <c r="F46" s="78">
        <f t="shared" si="1"/>
        <v>4</v>
      </c>
      <c r="G46" s="323"/>
    </row>
    <row r="47" spans="1:7" ht="15" customHeight="1">
      <c r="A47" s="193"/>
      <c r="B47" s="188"/>
      <c r="C47" s="188" t="s">
        <v>68</v>
      </c>
      <c r="D47" s="188">
        <v>4</v>
      </c>
      <c r="E47" s="187"/>
      <c r="F47" s="78">
        <f t="shared" si="1"/>
        <v>4</v>
      </c>
      <c r="G47" s="323"/>
    </row>
    <row r="48" spans="1:7" ht="15" customHeight="1">
      <c r="A48" s="193"/>
      <c r="B48" s="188"/>
      <c r="C48" s="188" t="s">
        <v>69</v>
      </c>
      <c r="D48" s="188">
        <v>4</v>
      </c>
      <c r="E48" s="187"/>
      <c r="F48" s="78">
        <f t="shared" si="1"/>
        <v>4</v>
      </c>
      <c r="G48" s="323"/>
    </row>
    <row r="49" spans="1:7" ht="15" customHeight="1">
      <c r="A49" s="193"/>
      <c r="B49" s="188"/>
      <c r="C49" s="188" t="s">
        <v>70</v>
      </c>
      <c r="D49" s="188">
        <v>4</v>
      </c>
      <c r="E49" s="187"/>
      <c r="F49" s="78">
        <f t="shared" si="1"/>
        <v>4</v>
      </c>
      <c r="G49" s="323"/>
    </row>
    <row r="50" spans="1:7" ht="15" customHeight="1">
      <c r="A50" s="193"/>
      <c r="B50" s="188"/>
      <c r="C50" s="188" t="s">
        <v>71</v>
      </c>
      <c r="D50" s="188">
        <v>2</v>
      </c>
      <c r="E50" s="187"/>
      <c r="F50" s="78">
        <f t="shared" si="1"/>
        <v>2</v>
      </c>
      <c r="G50" s="323"/>
    </row>
    <row r="51" spans="1:7" ht="15" customHeight="1">
      <c r="A51" s="193"/>
      <c r="B51" s="188"/>
      <c r="C51" s="188" t="s">
        <v>72</v>
      </c>
      <c r="D51" s="188">
        <v>2</v>
      </c>
      <c r="E51" s="187"/>
      <c r="F51" s="78">
        <f t="shared" si="1"/>
        <v>2</v>
      </c>
      <c r="G51" s="323"/>
    </row>
    <row r="52" spans="1:7" ht="15" customHeight="1">
      <c r="A52" s="193"/>
      <c r="B52" s="188"/>
      <c r="C52" s="188" t="s">
        <v>73</v>
      </c>
      <c r="D52" s="188">
        <v>3</v>
      </c>
      <c r="E52" s="187"/>
      <c r="F52" s="78">
        <f t="shared" si="1"/>
        <v>3</v>
      </c>
      <c r="G52" s="323"/>
    </row>
    <row r="53" spans="1:7" ht="15" customHeight="1">
      <c r="A53" s="193"/>
      <c r="B53" s="188"/>
      <c r="C53" s="188" t="s">
        <v>74</v>
      </c>
      <c r="D53" s="188">
        <v>3</v>
      </c>
      <c r="E53" s="187"/>
      <c r="F53" s="78">
        <f t="shared" si="1"/>
        <v>3</v>
      </c>
      <c r="G53" s="323"/>
    </row>
    <row r="54" spans="1:7" ht="15" customHeight="1">
      <c r="A54" s="193"/>
      <c r="B54" s="188"/>
      <c r="C54" s="188" t="s">
        <v>75</v>
      </c>
      <c r="D54" s="188">
        <v>2</v>
      </c>
      <c r="E54" s="187"/>
      <c r="F54" s="78">
        <f t="shared" si="1"/>
        <v>2</v>
      </c>
      <c r="G54" s="323"/>
    </row>
    <row r="55" spans="1:7" ht="15" customHeight="1">
      <c r="A55" s="194"/>
      <c r="B55" s="189"/>
      <c r="C55" s="189" t="s">
        <v>76</v>
      </c>
      <c r="D55" s="189">
        <v>2</v>
      </c>
      <c r="E55" s="187"/>
      <c r="F55" s="78">
        <f t="shared" si="1"/>
        <v>2</v>
      </c>
      <c r="G55" s="323"/>
    </row>
    <row r="56" spans="1:7" ht="15" customHeight="1" thickBot="1">
      <c r="A56" s="195"/>
      <c r="B56" s="196"/>
      <c r="C56" s="199" t="s">
        <v>77</v>
      </c>
      <c r="D56" s="196">
        <v>2</v>
      </c>
      <c r="E56" s="197"/>
      <c r="F56" s="149">
        <f t="shared" si="1"/>
        <v>2</v>
      </c>
      <c r="G56" s="324"/>
    </row>
    <row r="57" spans="1:7" ht="15" customHeight="1">
      <c r="A57" s="170" t="s">
        <v>22</v>
      </c>
      <c r="B57" s="186">
        <v>33</v>
      </c>
      <c r="C57" s="335" t="s">
        <v>78</v>
      </c>
      <c r="D57" s="139">
        <v>6</v>
      </c>
      <c r="E57" s="140">
        <v>4</v>
      </c>
      <c r="F57" s="337">
        <f t="shared" si="1"/>
        <v>2</v>
      </c>
      <c r="G57" s="171" t="s">
        <v>1430</v>
      </c>
    </row>
    <row r="58" spans="1:7" ht="15" customHeight="1">
      <c r="A58" s="166"/>
      <c r="B58" s="183">
        <v>34</v>
      </c>
      <c r="C58" s="11" t="s">
        <v>79</v>
      </c>
      <c r="D58" s="17">
        <v>3</v>
      </c>
      <c r="E58" s="78"/>
      <c r="F58" s="78">
        <f t="shared" si="1"/>
        <v>3</v>
      </c>
      <c r="G58" s="162"/>
    </row>
    <row r="59" spans="1:7" ht="15" customHeight="1">
      <c r="A59" s="166"/>
      <c r="B59" s="184">
        <v>35</v>
      </c>
      <c r="C59" s="336" t="s">
        <v>80</v>
      </c>
      <c r="D59" s="17">
        <v>6</v>
      </c>
      <c r="E59" s="78">
        <v>4</v>
      </c>
      <c r="F59" s="327">
        <f t="shared" si="1"/>
        <v>2</v>
      </c>
      <c r="G59" s="162"/>
    </row>
    <row r="60" spans="1:7" ht="15" customHeight="1">
      <c r="A60" s="166"/>
      <c r="B60" s="186">
        <v>36</v>
      </c>
      <c r="C60" s="11" t="s">
        <v>81</v>
      </c>
      <c r="D60" s="17">
        <v>6</v>
      </c>
      <c r="E60" s="78"/>
      <c r="F60" s="78">
        <f t="shared" si="1"/>
        <v>6</v>
      </c>
      <c r="G60" s="162"/>
    </row>
    <row r="61" spans="1:7" ht="15" customHeight="1">
      <c r="A61" s="166"/>
      <c r="B61" s="183">
        <v>37</v>
      </c>
      <c r="C61" s="11" t="s">
        <v>82</v>
      </c>
      <c r="D61" s="17">
        <v>2</v>
      </c>
      <c r="E61" s="78"/>
      <c r="F61" s="78">
        <f t="shared" si="1"/>
        <v>2</v>
      </c>
      <c r="G61" s="162"/>
    </row>
    <row r="62" spans="1:7" ht="15" customHeight="1">
      <c r="A62" s="166"/>
      <c r="B62" s="184">
        <v>38</v>
      </c>
      <c r="C62" s="336" t="s">
        <v>83</v>
      </c>
      <c r="D62" s="17">
        <v>3</v>
      </c>
      <c r="E62" s="78"/>
      <c r="F62" s="80">
        <f t="shared" si="1"/>
        <v>3</v>
      </c>
      <c r="G62" s="162"/>
    </row>
    <row r="63" spans="1:7" ht="15" customHeight="1">
      <c r="A63" s="166"/>
      <c r="B63" s="186">
        <v>39</v>
      </c>
      <c r="C63" s="11" t="s">
        <v>84</v>
      </c>
      <c r="D63" s="17">
        <v>3</v>
      </c>
      <c r="E63" s="78"/>
      <c r="F63" s="78">
        <f t="shared" ref="F63:F75" si="2">D63-E63</f>
        <v>3</v>
      </c>
      <c r="G63" s="162"/>
    </row>
    <row r="64" spans="1:7" ht="15" customHeight="1">
      <c r="A64" s="167"/>
      <c r="B64" s="183">
        <v>40</v>
      </c>
      <c r="C64" s="13" t="s">
        <v>85</v>
      </c>
      <c r="D64" s="18">
        <v>4</v>
      </c>
      <c r="E64" s="78"/>
      <c r="F64" s="78">
        <f t="shared" si="2"/>
        <v>4</v>
      </c>
      <c r="G64" s="162"/>
    </row>
    <row r="65" spans="1:9" ht="15" customHeight="1">
      <c r="A65" s="161" t="s">
        <v>86</v>
      </c>
      <c r="B65" s="184">
        <v>41</v>
      </c>
      <c r="C65" s="333" t="s">
        <v>87</v>
      </c>
      <c r="D65" s="19">
        <v>8</v>
      </c>
      <c r="E65" s="78">
        <v>4</v>
      </c>
      <c r="F65" s="327">
        <f t="shared" si="2"/>
        <v>4</v>
      </c>
      <c r="G65" s="162"/>
    </row>
    <row r="66" spans="1:9" ht="15" customHeight="1">
      <c r="A66" s="163"/>
      <c r="B66" s="186">
        <v>42</v>
      </c>
      <c r="C66" s="333" t="s">
        <v>88</v>
      </c>
      <c r="D66" s="15">
        <v>2</v>
      </c>
      <c r="E66" s="78"/>
      <c r="F66" s="327">
        <f t="shared" si="2"/>
        <v>2</v>
      </c>
      <c r="G66" s="162"/>
    </row>
    <row r="67" spans="1:9" customFormat="1" ht="15" customHeight="1">
      <c r="A67" s="163"/>
      <c r="B67" s="183">
        <v>43</v>
      </c>
      <c r="C67" s="333" t="s">
        <v>89</v>
      </c>
      <c r="D67" s="15">
        <v>1</v>
      </c>
      <c r="E67" s="78"/>
      <c r="F67" s="327">
        <f t="shared" si="2"/>
        <v>1</v>
      </c>
      <c r="G67" s="162"/>
      <c r="H67" s="4"/>
      <c r="I67" s="4"/>
    </row>
    <row r="68" spans="1:9" customFormat="1" ht="15" customHeight="1">
      <c r="A68" s="168"/>
      <c r="B68" s="184">
        <v>44</v>
      </c>
      <c r="C68" s="333" t="s">
        <v>90</v>
      </c>
      <c r="D68" s="16">
        <v>1</v>
      </c>
      <c r="E68" s="79"/>
      <c r="F68" s="339">
        <f t="shared" si="2"/>
        <v>1</v>
      </c>
      <c r="G68" s="169"/>
      <c r="H68" s="4"/>
      <c r="I68" s="4"/>
    </row>
    <row r="69" spans="1:9" customFormat="1" ht="15" customHeight="1">
      <c r="A69" s="168"/>
      <c r="B69" s="186">
        <v>45</v>
      </c>
      <c r="C69" s="6" t="s">
        <v>91</v>
      </c>
      <c r="D69" s="16">
        <v>1</v>
      </c>
      <c r="E69" s="79"/>
      <c r="F69" s="79">
        <f t="shared" si="2"/>
        <v>1</v>
      </c>
      <c r="G69" s="169"/>
      <c r="H69" s="4"/>
      <c r="I69" s="4"/>
    </row>
    <row r="70" spans="1:9" customFormat="1" ht="15" customHeight="1" thickBot="1">
      <c r="A70" s="168"/>
      <c r="B70" s="183">
        <v>46</v>
      </c>
      <c r="C70" s="338" t="s">
        <v>1402</v>
      </c>
      <c r="D70" s="16">
        <v>1</v>
      </c>
      <c r="E70" s="79"/>
      <c r="F70" s="339">
        <f t="shared" si="2"/>
        <v>1</v>
      </c>
      <c r="G70" s="169"/>
      <c r="H70" s="4"/>
      <c r="I70" s="4"/>
    </row>
    <row r="71" spans="1:9" customFormat="1" ht="15" customHeight="1">
      <c r="A71" s="141"/>
      <c r="B71" s="184"/>
      <c r="C71" s="142" t="s">
        <v>92</v>
      </c>
      <c r="D71" s="143"/>
      <c r="E71" s="144"/>
      <c r="F71" s="144"/>
      <c r="G71" s="322" t="s">
        <v>1420</v>
      </c>
      <c r="H71" s="4"/>
      <c r="I71" s="4"/>
    </row>
    <row r="72" spans="1:9" customFormat="1" ht="15" customHeight="1">
      <c r="A72" s="145"/>
      <c r="B72" s="184"/>
      <c r="C72" s="138" t="s">
        <v>93</v>
      </c>
      <c r="D72" s="137">
        <v>15</v>
      </c>
      <c r="E72" s="79"/>
      <c r="F72" s="79">
        <f t="shared" si="2"/>
        <v>15</v>
      </c>
      <c r="G72" s="323"/>
      <c r="H72" s="4"/>
      <c r="I72" s="4"/>
    </row>
    <row r="73" spans="1:9" customFormat="1" ht="15" customHeight="1">
      <c r="A73" s="145"/>
      <c r="B73" s="184"/>
      <c r="C73" s="138" t="s">
        <v>94</v>
      </c>
      <c r="D73" s="137">
        <v>5</v>
      </c>
      <c r="E73" s="79"/>
      <c r="F73" s="79">
        <f t="shared" si="2"/>
        <v>5</v>
      </c>
      <c r="G73" s="323"/>
      <c r="H73" s="4"/>
      <c r="I73" s="4"/>
    </row>
    <row r="74" spans="1:9" customFormat="1" ht="15" customHeight="1">
      <c r="A74" s="145"/>
      <c r="B74" s="183"/>
      <c r="C74" s="138" t="s">
        <v>95</v>
      </c>
      <c r="D74" s="137">
        <v>5</v>
      </c>
      <c r="E74" s="79"/>
      <c r="F74" s="79">
        <f t="shared" si="2"/>
        <v>5</v>
      </c>
      <c r="G74" s="323"/>
      <c r="H74" s="4"/>
      <c r="I74" s="4"/>
    </row>
    <row r="75" spans="1:9" customFormat="1" ht="15" customHeight="1" thickBot="1">
      <c r="A75" s="146"/>
      <c r="B75" s="184"/>
      <c r="C75" s="147" t="s">
        <v>96</v>
      </c>
      <c r="D75" s="148">
        <v>5</v>
      </c>
      <c r="E75" s="149"/>
      <c r="F75" s="149">
        <f t="shared" si="2"/>
        <v>5</v>
      </c>
      <c r="G75" s="324"/>
      <c r="H75" s="4"/>
      <c r="I75" s="4"/>
    </row>
    <row r="76" spans="1:9" customFormat="1" ht="15" customHeight="1">
      <c r="A76" s="170" t="s">
        <v>26</v>
      </c>
      <c r="B76" s="184">
        <v>47</v>
      </c>
      <c r="C76" s="335" t="s">
        <v>97</v>
      </c>
      <c r="D76" s="139">
        <v>3</v>
      </c>
      <c r="E76" s="140"/>
      <c r="F76" s="337">
        <f t="shared" ref="F76:F96" si="3">D76-E76</f>
        <v>3</v>
      </c>
      <c r="G76" s="171"/>
      <c r="H76" s="4"/>
      <c r="I76" s="4"/>
    </row>
    <row r="77" spans="1:9" customFormat="1" ht="15" customHeight="1">
      <c r="A77" s="166"/>
      <c r="B77" s="184">
        <v>48</v>
      </c>
      <c r="C77" s="336" t="s">
        <v>98</v>
      </c>
      <c r="D77" s="17">
        <v>2</v>
      </c>
      <c r="E77" s="78"/>
      <c r="F77" s="327">
        <f t="shared" si="3"/>
        <v>2</v>
      </c>
      <c r="G77" s="162"/>
      <c r="H77" s="4"/>
      <c r="I77" s="4"/>
    </row>
    <row r="78" spans="1:9" customFormat="1" ht="15" customHeight="1">
      <c r="A78" s="166"/>
      <c r="B78" s="183">
        <v>49</v>
      </c>
      <c r="C78" s="336" t="s">
        <v>99</v>
      </c>
      <c r="D78" s="17">
        <v>6</v>
      </c>
      <c r="E78" s="81"/>
      <c r="F78" s="327">
        <f t="shared" si="3"/>
        <v>6</v>
      </c>
      <c r="G78" s="172"/>
      <c r="H78" s="20"/>
      <c r="I78" s="4"/>
    </row>
    <row r="79" spans="1:9" customFormat="1" ht="15" customHeight="1">
      <c r="A79" s="167"/>
      <c r="B79" s="184">
        <v>50</v>
      </c>
      <c r="C79" s="334" t="s">
        <v>100</v>
      </c>
      <c r="D79" s="18">
        <v>6</v>
      </c>
      <c r="E79" s="78">
        <v>1</v>
      </c>
      <c r="F79" s="327">
        <f t="shared" si="3"/>
        <v>5</v>
      </c>
      <c r="G79" s="172"/>
      <c r="H79" s="20"/>
      <c r="I79" s="4"/>
    </row>
    <row r="80" spans="1:9" customFormat="1" ht="15" customHeight="1">
      <c r="A80" s="161" t="s">
        <v>101</v>
      </c>
      <c r="B80" s="184">
        <v>51</v>
      </c>
      <c r="C80" s="332" t="s">
        <v>102</v>
      </c>
      <c r="D80" s="19">
        <v>1</v>
      </c>
      <c r="E80" s="78"/>
      <c r="F80" s="327">
        <f t="shared" si="3"/>
        <v>1</v>
      </c>
      <c r="G80" s="162"/>
      <c r="H80" s="4"/>
      <c r="I80" s="4"/>
    </row>
    <row r="81" spans="1:9" customFormat="1" ht="15" customHeight="1">
      <c r="A81" s="163"/>
      <c r="B81" s="183">
        <v>52</v>
      </c>
      <c r="C81" s="333" t="s">
        <v>103</v>
      </c>
      <c r="D81" s="15">
        <v>1</v>
      </c>
      <c r="E81" s="78"/>
      <c r="F81" s="327">
        <f t="shared" si="3"/>
        <v>1</v>
      </c>
      <c r="G81" s="162"/>
      <c r="H81" s="4"/>
      <c r="I81" s="4"/>
    </row>
    <row r="82" spans="1:9" customFormat="1" ht="15" customHeight="1">
      <c r="A82" s="163"/>
      <c r="B82" s="184">
        <v>53</v>
      </c>
      <c r="C82" s="333" t="s">
        <v>104</v>
      </c>
      <c r="D82" s="15">
        <v>8</v>
      </c>
      <c r="E82" s="78"/>
      <c r="F82" s="327">
        <f t="shared" si="3"/>
        <v>8</v>
      </c>
      <c r="G82" s="162"/>
      <c r="H82" s="4"/>
      <c r="I82" s="4"/>
    </row>
    <row r="83" spans="1:9" customFormat="1" ht="15" customHeight="1">
      <c r="A83" s="164"/>
      <c r="B83" s="184">
        <v>54</v>
      </c>
      <c r="C83" s="331" t="s">
        <v>105</v>
      </c>
      <c r="D83" s="21">
        <v>1</v>
      </c>
      <c r="E83" s="78"/>
      <c r="F83" s="327">
        <f t="shared" si="3"/>
        <v>1</v>
      </c>
      <c r="G83" s="162"/>
      <c r="H83" s="4"/>
      <c r="I83" s="4"/>
    </row>
    <row r="84" spans="1:9" customFormat="1" ht="15" customHeight="1">
      <c r="A84" s="174" t="s">
        <v>106</v>
      </c>
      <c r="B84" s="183">
        <v>55</v>
      </c>
      <c r="C84" s="325" t="s">
        <v>107</v>
      </c>
      <c r="D84" s="175">
        <v>1</v>
      </c>
      <c r="E84" s="78"/>
      <c r="F84" s="327">
        <f t="shared" si="3"/>
        <v>1</v>
      </c>
      <c r="G84" s="162"/>
      <c r="H84" s="4"/>
      <c r="I84" s="4"/>
    </row>
    <row r="85" spans="1:9" customFormat="1" ht="15" customHeight="1">
      <c r="A85" s="174"/>
      <c r="B85" s="184">
        <v>56</v>
      </c>
      <c r="C85" s="325" t="s">
        <v>108</v>
      </c>
      <c r="D85" s="175">
        <v>1</v>
      </c>
      <c r="E85" s="78"/>
      <c r="F85" s="327">
        <f t="shared" si="3"/>
        <v>1</v>
      </c>
      <c r="G85" s="162"/>
      <c r="H85" s="4"/>
      <c r="I85" s="4"/>
    </row>
    <row r="86" spans="1:9" customFormat="1" ht="15" customHeight="1">
      <c r="A86" s="178" t="s">
        <v>109</v>
      </c>
      <c r="B86" s="184">
        <v>57</v>
      </c>
      <c r="C86" s="329" t="s">
        <v>110</v>
      </c>
      <c r="D86" s="179">
        <v>50</v>
      </c>
      <c r="E86" s="78">
        <v>15</v>
      </c>
      <c r="F86" s="327">
        <f t="shared" si="3"/>
        <v>35</v>
      </c>
      <c r="G86" s="162"/>
      <c r="H86" s="4"/>
      <c r="I86" s="4"/>
    </row>
    <row r="87" spans="1:9" customFormat="1" ht="15" customHeight="1">
      <c r="A87" s="180"/>
      <c r="B87" s="183">
        <v>58</v>
      </c>
      <c r="C87" s="329" t="s">
        <v>111</v>
      </c>
      <c r="D87" s="179">
        <v>10</v>
      </c>
      <c r="E87" s="78"/>
      <c r="F87" s="327">
        <f t="shared" si="3"/>
        <v>10</v>
      </c>
      <c r="G87" s="162"/>
      <c r="H87" s="4"/>
      <c r="I87" s="4"/>
    </row>
    <row r="88" spans="1:9" customFormat="1" ht="15" customHeight="1">
      <c r="A88" s="180"/>
      <c r="B88" s="184">
        <v>59</v>
      </c>
      <c r="C88" s="329" t="s">
        <v>112</v>
      </c>
      <c r="D88" s="179">
        <v>30</v>
      </c>
      <c r="E88" s="78">
        <v>4</v>
      </c>
      <c r="F88" s="327">
        <f t="shared" si="3"/>
        <v>26</v>
      </c>
      <c r="G88" s="162"/>
      <c r="H88" s="4"/>
      <c r="I88" s="4"/>
    </row>
    <row r="89" spans="1:9" customFormat="1" ht="15" customHeight="1">
      <c r="A89" s="180"/>
      <c r="B89" s="184">
        <v>60</v>
      </c>
      <c r="C89" s="329" t="s">
        <v>113</v>
      </c>
      <c r="D89" s="179">
        <v>2</v>
      </c>
      <c r="E89" s="78"/>
      <c r="F89" s="327">
        <f t="shared" si="3"/>
        <v>2</v>
      </c>
      <c r="G89" s="162"/>
      <c r="H89" s="4"/>
      <c r="I89" s="4"/>
    </row>
    <row r="90" spans="1:9" customFormat="1" ht="15" customHeight="1">
      <c r="A90" s="180"/>
      <c r="B90" s="183">
        <v>61</v>
      </c>
      <c r="C90" s="329" t="s">
        <v>114</v>
      </c>
      <c r="D90" s="179">
        <v>100</v>
      </c>
      <c r="E90" s="78">
        <v>15</v>
      </c>
      <c r="F90" s="327">
        <f t="shared" si="3"/>
        <v>85</v>
      </c>
      <c r="G90" s="162"/>
      <c r="H90" s="4"/>
      <c r="I90" s="4"/>
    </row>
    <row r="91" spans="1:9" customFormat="1" ht="15" customHeight="1">
      <c r="A91" s="180"/>
      <c r="B91" s="184">
        <v>62</v>
      </c>
      <c r="C91" s="329" t="s">
        <v>115</v>
      </c>
      <c r="D91" s="179">
        <v>10</v>
      </c>
      <c r="E91" s="78"/>
      <c r="F91" s="327">
        <f t="shared" si="3"/>
        <v>10</v>
      </c>
      <c r="G91" s="162"/>
      <c r="H91" s="4"/>
      <c r="I91" s="4"/>
    </row>
    <row r="92" spans="1:9" customFormat="1" ht="15" customHeight="1">
      <c r="A92" s="180"/>
      <c r="B92" s="184">
        <v>63</v>
      </c>
      <c r="C92" s="329" t="s">
        <v>116</v>
      </c>
      <c r="D92" s="179">
        <v>4</v>
      </c>
      <c r="E92" s="78"/>
      <c r="F92" s="327">
        <f t="shared" si="3"/>
        <v>4</v>
      </c>
      <c r="G92" s="162"/>
      <c r="H92" s="4"/>
      <c r="I92" s="4"/>
    </row>
    <row r="93" spans="1:9" customFormat="1" ht="15" customHeight="1">
      <c r="A93" s="181"/>
      <c r="B93" s="183">
        <v>64</v>
      </c>
      <c r="C93" s="330" t="s">
        <v>117</v>
      </c>
      <c r="D93" s="182">
        <v>20</v>
      </c>
      <c r="E93" s="78">
        <v>15</v>
      </c>
      <c r="F93" s="327">
        <f t="shared" si="3"/>
        <v>5</v>
      </c>
      <c r="G93" s="162"/>
      <c r="H93" s="4"/>
      <c r="I93" s="4"/>
    </row>
    <row r="94" spans="1:9" customFormat="1" ht="15" customHeight="1">
      <c r="A94" s="174" t="s">
        <v>30</v>
      </c>
      <c r="B94" s="184">
        <v>65</v>
      </c>
      <c r="C94" s="325" t="s">
        <v>118</v>
      </c>
      <c r="D94" s="176">
        <v>15</v>
      </c>
      <c r="E94" s="78">
        <v>5</v>
      </c>
      <c r="F94" s="327">
        <f t="shared" si="3"/>
        <v>10</v>
      </c>
      <c r="G94" s="162"/>
      <c r="H94" s="4"/>
      <c r="I94" s="4"/>
    </row>
    <row r="95" spans="1:9" customFormat="1" ht="15" customHeight="1">
      <c r="A95" s="174"/>
      <c r="B95" s="184">
        <v>66</v>
      </c>
      <c r="C95" s="325" t="s">
        <v>119</v>
      </c>
      <c r="D95" s="176">
        <v>5</v>
      </c>
      <c r="E95" s="78"/>
      <c r="F95" s="327">
        <f t="shared" si="3"/>
        <v>5</v>
      </c>
      <c r="G95" s="162"/>
      <c r="H95" s="4"/>
      <c r="I95" s="4"/>
    </row>
    <row r="96" spans="1:9" customFormat="1" ht="15" customHeight="1">
      <c r="A96" s="174"/>
      <c r="B96" s="183">
        <v>67</v>
      </c>
      <c r="C96" s="325" t="s">
        <v>120</v>
      </c>
      <c r="D96" s="176">
        <v>5</v>
      </c>
      <c r="E96" s="78"/>
      <c r="F96" s="327">
        <f t="shared" si="3"/>
        <v>5</v>
      </c>
      <c r="G96" s="162"/>
      <c r="H96" s="4"/>
      <c r="I96" s="4"/>
    </row>
    <row r="97" spans="1:9" customFormat="1" ht="15" customHeight="1" thickBot="1">
      <c r="A97" s="174"/>
      <c r="B97" s="183">
        <v>68</v>
      </c>
      <c r="C97" s="326" t="s">
        <v>121</v>
      </c>
      <c r="D97" s="177">
        <v>10</v>
      </c>
      <c r="E97" s="149"/>
      <c r="F97" s="328">
        <f>D97-E97</f>
        <v>10</v>
      </c>
      <c r="G97" s="173"/>
      <c r="H97" s="4"/>
      <c r="I97" s="4"/>
    </row>
    <row r="98" spans="1:9" customFormat="1" ht="15" customHeight="1">
      <c r="A98" s="22"/>
      <c r="B98" s="22"/>
      <c r="C98" s="4"/>
      <c r="D98" s="23"/>
      <c r="E98" s="24"/>
      <c r="F98" s="24"/>
      <c r="G98" s="4"/>
      <c r="H98" s="4"/>
      <c r="I98" s="4"/>
    </row>
    <row r="99" spans="1:9" customFormat="1" ht="15" customHeight="1">
      <c r="A99" s="22"/>
      <c r="B99" s="22"/>
      <c r="C99" s="342" t="s">
        <v>1429</v>
      </c>
      <c r="D99" s="23"/>
      <c r="E99" s="24"/>
      <c r="F99" s="24"/>
      <c r="G99" s="4"/>
      <c r="H99" s="4"/>
      <c r="I99" s="4"/>
    </row>
    <row r="100" spans="1:9" customFormat="1" ht="15" customHeight="1">
      <c r="A100" s="22"/>
      <c r="B100" s="22"/>
      <c r="C100" s="341" t="s">
        <v>1425</v>
      </c>
      <c r="D100" s="343"/>
      <c r="E100" s="344"/>
      <c r="F100" s="344">
        <v>1</v>
      </c>
      <c r="G100" s="345"/>
      <c r="H100" s="4"/>
      <c r="I100" s="4"/>
    </row>
    <row r="101" spans="1:9" customFormat="1" ht="15" customHeight="1">
      <c r="A101" s="22"/>
      <c r="B101" s="22"/>
      <c r="C101" s="341" t="s">
        <v>1426</v>
      </c>
      <c r="D101" s="343"/>
      <c r="E101" s="344"/>
      <c r="F101" s="344">
        <v>1</v>
      </c>
      <c r="G101" s="345"/>
      <c r="H101" s="4"/>
      <c r="I101" s="4"/>
    </row>
    <row r="102" spans="1:9" customFormat="1" ht="15" customHeight="1">
      <c r="A102" s="22"/>
      <c r="B102" s="22"/>
      <c r="C102" s="341" t="s">
        <v>1427</v>
      </c>
      <c r="D102" s="343"/>
      <c r="E102" s="344"/>
      <c r="F102" s="344">
        <v>1</v>
      </c>
      <c r="G102" s="345"/>
      <c r="H102" s="4"/>
      <c r="I102" s="4"/>
    </row>
    <row r="103" spans="1:9" customFormat="1" ht="15" customHeight="1">
      <c r="A103" s="22"/>
      <c r="B103" s="22"/>
      <c r="C103" s="341" t="s">
        <v>1428</v>
      </c>
      <c r="D103" s="343"/>
      <c r="E103" s="344"/>
      <c r="F103" s="344">
        <v>1</v>
      </c>
      <c r="G103" s="345"/>
      <c r="H103" s="4"/>
      <c r="I103" s="4"/>
    </row>
    <row r="1048563" ht="12.75" customHeight="1"/>
    <row r="1048564" ht="12.75" customHeight="1"/>
  </sheetData>
  <autoFilter ref="F1:G97" xr:uid="{00000000-0009-0000-0000-000000000000}"/>
  <mergeCells count="2">
    <mergeCell ref="G34:G56"/>
    <mergeCell ref="G71:G75"/>
  </mergeCells>
  <pageMargins left="0.51181102362204722" right="0.51181102362204722" top="1.1811023622047245" bottom="1.1811023622047245" header="0.78740157480314954" footer="0.78740157480314954"/>
  <pageSetup paperSize="0" fitToWidth="0" fitToHeight="0" orientation="portrait" horizontalDpi="0" verticalDpi="0" copies="0"/>
  <headerFooter alignWithMargins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0"/>
  <sheetViews>
    <sheetView showGridLines="0" topLeftCell="A220" zoomScale="90" zoomScaleNormal="90" workbookViewId="0">
      <selection activeCell="A244" sqref="A244"/>
    </sheetView>
  </sheetViews>
  <sheetFormatPr defaultColWidth="8" defaultRowHeight="15.6" customHeight="1"/>
  <cols>
    <col min="1" max="1" width="43.85546875" style="82" customWidth="1"/>
    <col min="2" max="2" width="7.5703125" style="201" customWidth="1"/>
    <col min="3" max="3" width="8" style="204" customWidth="1"/>
    <col min="4" max="4" width="12.140625" style="82" bestFit="1" customWidth="1"/>
    <col min="5" max="14" width="8" style="82" customWidth="1"/>
    <col min="15" max="16384" width="8" style="82"/>
  </cols>
  <sheetData>
    <row r="1" spans="1:4" ht="15.6" customHeight="1">
      <c r="A1" s="92" t="s">
        <v>122</v>
      </c>
      <c r="B1" s="200"/>
      <c r="C1" s="203"/>
    </row>
    <row r="2" spans="1:4" ht="15.6" customHeight="1">
      <c r="C2" s="208"/>
    </row>
    <row r="3" spans="1:4" ht="15.6" customHeight="1">
      <c r="A3" s="93" t="s">
        <v>123</v>
      </c>
      <c r="B3" s="93"/>
      <c r="C3" s="209" t="s">
        <v>1421</v>
      </c>
      <c r="D3" s="212" t="s">
        <v>1422</v>
      </c>
    </row>
    <row r="4" spans="1:4" ht="15.6" customHeight="1">
      <c r="A4" s="84" t="s">
        <v>124</v>
      </c>
      <c r="B4" s="205" t="s">
        <v>125</v>
      </c>
      <c r="C4" s="210"/>
      <c r="D4" s="212"/>
    </row>
    <row r="5" spans="1:4" ht="15.6" customHeight="1">
      <c r="A5" s="85" t="s">
        <v>126</v>
      </c>
      <c r="B5" s="91">
        <v>1</v>
      </c>
      <c r="C5" s="210"/>
      <c r="D5" s="212"/>
    </row>
    <row r="6" spans="1:4" ht="15.6" customHeight="1">
      <c r="A6" s="85" t="s">
        <v>127</v>
      </c>
      <c r="B6" s="91">
        <v>2</v>
      </c>
      <c r="C6" s="210"/>
      <c r="D6" s="212"/>
    </row>
    <row r="7" spans="1:4" ht="15.6" customHeight="1">
      <c r="A7" s="85" t="s">
        <v>128</v>
      </c>
      <c r="B7" s="91">
        <v>1</v>
      </c>
      <c r="C7" s="210"/>
      <c r="D7" s="212"/>
    </row>
    <row r="8" spans="1:4" ht="15.6" customHeight="1">
      <c r="A8" s="85" t="s">
        <v>129</v>
      </c>
      <c r="B8" s="91">
        <v>2</v>
      </c>
      <c r="C8" s="210"/>
      <c r="D8" s="212"/>
    </row>
    <row r="9" spans="1:4" ht="15.6" customHeight="1">
      <c r="A9" s="85" t="s">
        <v>130</v>
      </c>
      <c r="B9" s="91">
        <v>4</v>
      </c>
      <c r="C9" s="210"/>
      <c r="D9" s="212"/>
    </row>
    <row r="10" spans="1:4" ht="15.6" customHeight="1">
      <c r="A10" s="85" t="s">
        <v>131</v>
      </c>
      <c r="B10" s="91">
        <v>2</v>
      </c>
      <c r="C10" s="210"/>
      <c r="D10" s="212"/>
    </row>
    <row r="11" spans="1:4" ht="15.6" customHeight="1">
      <c r="A11" s="85" t="s">
        <v>132</v>
      </c>
      <c r="B11" s="91">
        <v>2</v>
      </c>
      <c r="C11" s="210"/>
      <c r="D11" s="212"/>
    </row>
    <row r="12" spans="1:4" ht="15.6" customHeight="1">
      <c r="A12" s="85" t="s">
        <v>133</v>
      </c>
      <c r="B12" s="91">
        <v>2</v>
      </c>
      <c r="C12" s="210"/>
      <c r="D12" s="212"/>
    </row>
    <row r="13" spans="1:4" ht="15.6" customHeight="1">
      <c r="A13" s="85" t="s">
        <v>134</v>
      </c>
      <c r="B13" s="91">
        <v>1</v>
      </c>
      <c r="C13" s="210"/>
      <c r="D13" s="212"/>
    </row>
    <row r="14" spans="1:4" ht="15.6" customHeight="1">
      <c r="A14" s="85" t="s">
        <v>135</v>
      </c>
      <c r="B14" s="91">
        <v>1</v>
      </c>
      <c r="C14" s="210"/>
      <c r="D14" s="212"/>
    </row>
    <row r="15" spans="1:4" ht="15.6" customHeight="1">
      <c r="A15" s="85" t="s">
        <v>136</v>
      </c>
      <c r="B15" s="91">
        <v>1</v>
      </c>
      <c r="C15" s="210"/>
      <c r="D15" s="212"/>
    </row>
    <row r="16" spans="1:4" ht="15.6" customHeight="1">
      <c r="A16" s="85" t="s">
        <v>137</v>
      </c>
      <c r="B16" s="91">
        <v>1</v>
      </c>
      <c r="C16" s="210"/>
      <c r="D16" s="212"/>
    </row>
    <row r="17" spans="1:4" ht="15.6" customHeight="1">
      <c r="A17" s="85" t="s">
        <v>138</v>
      </c>
      <c r="B17" s="91">
        <v>1</v>
      </c>
      <c r="C17" s="210"/>
      <c r="D17" s="212"/>
    </row>
    <row r="18" spans="1:4" ht="15.6" customHeight="1">
      <c r="A18" s="85" t="s">
        <v>139</v>
      </c>
      <c r="B18" s="91">
        <v>1</v>
      </c>
      <c r="C18" s="210"/>
      <c r="D18" s="212"/>
    </row>
    <row r="19" spans="1:4" ht="15.6" customHeight="1">
      <c r="A19" s="85" t="s">
        <v>140</v>
      </c>
      <c r="B19" s="91">
        <v>1</v>
      </c>
      <c r="C19" s="210"/>
      <c r="D19" s="212"/>
    </row>
    <row r="20" spans="1:4" ht="15.6" customHeight="1">
      <c r="A20" s="85" t="s">
        <v>141</v>
      </c>
      <c r="B20" s="91">
        <v>1</v>
      </c>
      <c r="C20" s="210"/>
      <c r="D20" s="212"/>
    </row>
    <row r="21" spans="1:4" ht="15.6" customHeight="1">
      <c r="A21" s="85" t="s">
        <v>142</v>
      </c>
      <c r="B21" s="91">
        <v>1</v>
      </c>
      <c r="C21" s="210"/>
      <c r="D21" s="212"/>
    </row>
    <row r="22" spans="1:4" ht="15.6" customHeight="1">
      <c r="A22" s="85" t="s">
        <v>143</v>
      </c>
      <c r="B22" s="91">
        <v>1</v>
      </c>
      <c r="C22" s="210"/>
      <c r="D22" s="212"/>
    </row>
    <row r="23" spans="1:4" ht="15.6" customHeight="1">
      <c r="A23" s="85" t="s">
        <v>144</v>
      </c>
      <c r="B23" s="91">
        <v>1</v>
      </c>
      <c r="C23" s="210"/>
      <c r="D23" s="212"/>
    </row>
    <row r="24" spans="1:4" ht="15.6" customHeight="1">
      <c r="A24" s="85" t="s">
        <v>145</v>
      </c>
      <c r="B24" s="91">
        <v>1</v>
      </c>
      <c r="C24" s="210"/>
      <c r="D24" s="212"/>
    </row>
    <row r="25" spans="1:4" ht="15.6" customHeight="1">
      <c r="A25" s="86" t="s">
        <v>146</v>
      </c>
      <c r="B25" s="205">
        <f>SUM(B5:B24)</f>
        <v>28</v>
      </c>
      <c r="C25" s="210"/>
      <c r="D25" s="212"/>
    </row>
    <row r="26" spans="1:4" ht="15.6" customHeight="1">
      <c r="A26" s="83"/>
      <c r="B26" s="202"/>
      <c r="C26" s="210"/>
      <c r="D26" s="212"/>
    </row>
    <row r="27" spans="1:4" ht="15.6" customHeight="1">
      <c r="A27" s="83"/>
      <c r="B27" s="202"/>
      <c r="C27" s="210"/>
      <c r="D27" s="212"/>
    </row>
    <row r="28" spans="1:4" ht="15.6" customHeight="1">
      <c r="A28" s="93" t="s">
        <v>147</v>
      </c>
      <c r="B28" s="93"/>
      <c r="C28" s="210"/>
      <c r="D28" s="212"/>
    </row>
    <row r="29" spans="1:4" ht="15.6" customHeight="1">
      <c r="A29" s="84" t="s">
        <v>124</v>
      </c>
      <c r="B29" s="205" t="s">
        <v>125</v>
      </c>
      <c r="C29" s="210"/>
      <c r="D29" s="212"/>
    </row>
    <row r="30" spans="1:4" ht="15.6" customHeight="1">
      <c r="A30" s="85" t="s">
        <v>148</v>
      </c>
      <c r="B30" s="91">
        <v>1</v>
      </c>
      <c r="C30" s="210"/>
      <c r="D30" s="212"/>
    </row>
    <row r="31" spans="1:4" ht="15.6" customHeight="1">
      <c r="A31" s="85" t="s">
        <v>136</v>
      </c>
      <c r="B31" s="91">
        <v>1</v>
      </c>
      <c r="C31" s="210"/>
      <c r="D31" s="212"/>
    </row>
    <row r="32" spans="1:4" ht="15.6" customHeight="1">
      <c r="A32" s="85" t="s">
        <v>149</v>
      </c>
      <c r="B32" s="91">
        <v>1</v>
      </c>
      <c r="C32" s="210"/>
      <c r="D32" s="212"/>
    </row>
    <row r="33" spans="1:4" ht="15.6" customHeight="1">
      <c r="A33" s="85" t="s">
        <v>150</v>
      </c>
      <c r="B33" s="91">
        <v>1</v>
      </c>
      <c r="C33" s="210"/>
      <c r="D33" s="212"/>
    </row>
    <row r="34" spans="1:4" ht="15.6" customHeight="1">
      <c r="A34" s="85" t="s">
        <v>151</v>
      </c>
      <c r="B34" s="91">
        <v>1</v>
      </c>
      <c r="C34" s="210"/>
      <c r="D34" s="212"/>
    </row>
    <row r="35" spans="1:4" ht="15.6" customHeight="1">
      <c r="A35" s="85" t="s">
        <v>152</v>
      </c>
      <c r="B35" s="91">
        <v>1</v>
      </c>
      <c r="C35" s="210"/>
      <c r="D35" s="212"/>
    </row>
    <row r="36" spans="1:4" ht="15.6" customHeight="1">
      <c r="A36" s="85" t="s">
        <v>153</v>
      </c>
      <c r="B36" s="91">
        <v>1</v>
      </c>
      <c r="C36" s="210"/>
      <c r="D36" s="212"/>
    </row>
    <row r="37" spans="1:4" ht="15.6" customHeight="1">
      <c r="A37" s="85" t="s">
        <v>154</v>
      </c>
      <c r="B37" s="91">
        <v>1</v>
      </c>
      <c r="C37" s="210"/>
      <c r="D37" s="212"/>
    </row>
    <row r="38" spans="1:4" ht="15.6" customHeight="1">
      <c r="A38" s="85" t="s">
        <v>155</v>
      </c>
      <c r="B38" s="91">
        <v>1</v>
      </c>
      <c r="C38" s="210"/>
      <c r="D38" s="212"/>
    </row>
    <row r="39" spans="1:4" ht="15.6" customHeight="1">
      <c r="A39" s="85" t="s">
        <v>156</v>
      </c>
      <c r="B39" s="91">
        <v>1</v>
      </c>
      <c r="C39" s="210"/>
      <c r="D39" s="212"/>
    </row>
    <row r="40" spans="1:4" ht="15.6" customHeight="1">
      <c r="A40" s="86" t="s">
        <v>146</v>
      </c>
      <c r="B40" s="205">
        <f>SUM(B30:B39)</f>
        <v>10</v>
      </c>
      <c r="C40" s="210"/>
      <c r="D40" s="212"/>
    </row>
    <row r="41" spans="1:4" ht="15.6" customHeight="1">
      <c r="A41" s="83"/>
      <c r="B41" s="202"/>
      <c r="C41" s="210"/>
      <c r="D41" s="212"/>
    </row>
    <row r="42" spans="1:4" ht="15.6" customHeight="1">
      <c r="A42" s="93" t="s">
        <v>14</v>
      </c>
      <c r="B42" s="93"/>
      <c r="C42" s="210"/>
      <c r="D42" s="212"/>
    </row>
    <row r="43" spans="1:4" ht="15.6" customHeight="1">
      <c r="A43" s="84" t="s">
        <v>124</v>
      </c>
      <c r="B43" s="205" t="s">
        <v>125</v>
      </c>
      <c r="C43" s="210"/>
      <c r="D43" s="212"/>
    </row>
    <row r="44" spans="1:4" ht="15.6" customHeight="1">
      <c r="A44" s="85" t="s">
        <v>157</v>
      </c>
      <c r="B44" s="90">
        <v>2</v>
      </c>
      <c r="C44" s="210"/>
      <c r="D44" s="212"/>
    </row>
    <row r="45" spans="1:4" ht="15.6" customHeight="1">
      <c r="A45" s="85" t="s">
        <v>158</v>
      </c>
      <c r="B45" s="90">
        <v>4</v>
      </c>
      <c r="C45" s="210"/>
      <c r="D45" s="212"/>
    </row>
    <row r="46" spans="1:4" ht="15.6" customHeight="1">
      <c r="A46" s="85" t="s">
        <v>159</v>
      </c>
      <c r="B46" s="90">
        <v>1</v>
      </c>
      <c r="C46" s="210"/>
      <c r="D46" s="212"/>
    </row>
    <row r="47" spans="1:4" ht="15.6" customHeight="1">
      <c r="A47" s="85" t="s">
        <v>148</v>
      </c>
      <c r="B47" s="90">
        <v>1</v>
      </c>
      <c r="C47" s="210"/>
      <c r="D47" s="212"/>
    </row>
    <row r="48" spans="1:4" ht="15.6" customHeight="1">
      <c r="A48" s="85" t="s">
        <v>160</v>
      </c>
      <c r="B48" s="90">
        <v>4</v>
      </c>
      <c r="C48" s="210"/>
      <c r="D48" s="212"/>
    </row>
    <row r="49" spans="1:4" ht="15.6" customHeight="1">
      <c r="A49" s="85" t="s">
        <v>161</v>
      </c>
      <c r="B49" s="90">
        <v>2</v>
      </c>
      <c r="C49" s="210"/>
      <c r="D49" s="212"/>
    </row>
    <row r="50" spans="1:4" ht="15.6" customHeight="1">
      <c r="A50" s="85" t="s">
        <v>132</v>
      </c>
      <c r="B50" s="90">
        <v>4</v>
      </c>
      <c r="C50" s="210"/>
      <c r="D50" s="212"/>
    </row>
    <row r="51" spans="1:4" ht="15.6" customHeight="1">
      <c r="A51" s="85" t="s">
        <v>162</v>
      </c>
      <c r="B51" s="90">
        <v>1</v>
      </c>
      <c r="C51" s="210"/>
      <c r="D51" s="212"/>
    </row>
    <row r="52" spans="1:4" ht="15.6" customHeight="1">
      <c r="A52" s="85" t="s">
        <v>163</v>
      </c>
      <c r="B52" s="90">
        <v>1</v>
      </c>
      <c r="C52" s="210"/>
      <c r="D52" s="212"/>
    </row>
    <row r="53" spans="1:4" ht="15.6" customHeight="1">
      <c r="A53" s="85" t="s">
        <v>164</v>
      </c>
      <c r="B53" s="90">
        <v>1</v>
      </c>
      <c r="C53" s="210"/>
      <c r="D53" s="212"/>
    </row>
    <row r="54" spans="1:4" ht="15.6" customHeight="1">
      <c r="A54" s="85" t="s">
        <v>165</v>
      </c>
      <c r="B54" s="90">
        <v>1</v>
      </c>
      <c r="C54" s="210"/>
      <c r="D54" s="212"/>
    </row>
    <row r="55" spans="1:4" ht="15.6" customHeight="1">
      <c r="A55" s="85" t="s">
        <v>166</v>
      </c>
      <c r="B55" s="90">
        <v>1</v>
      </c>
      <c r="C55" s="210"/>
      <c r="D55" s="212"/>
    </row>
    <row r="56" spans="1:4" ht="15.6" customHeight="1">
      <c r="A56" s="85" t="s">
        <v>156</v>
      </c>
      <c r="B56" s="90">
        <v>1</v>
      </c>
      <c r="C56" s="210"/>
      <c r="D56" s="212"/>
    </row>
    <row r="57" spans="1:4" ht="15.6" customHeight="1">
      <c r="A57" s="86" t="s">
        <v>146</v>
      </c>
      <c r="B57" s="206">
        <f>SUM(B44:B56)</f>
        <v>24</v>
      </c>
      <c r="C57" s="210"/>
      <c r="D57" s="212"/>
    </row>
    <row r="58" spans="1:4" ht="15.6" customHeight="1">
      <c r="A58" s="83"/>
      <c r="B58" s="202"/>
      <c r="C58" s="210"/>
      <c r="D58" s="212"/>
    </row>
    <row r="59" spans="1:4" ht="15.6" customHeight="1">
      <c r="A59" s="93" t="s">
        <v>167</v>
      </c>
      <c r="B59" s="93"/>
      <c r="C59" s="210"/>
      <c r="D59" s="212"/>
    </row>
    <row r="60" spans="1:4" ht="15.6" customHeight="1">
      <c r="A60" s="84" t="s">
        <v>124</v>
      </c>
      <c r="B60" s="205" t="s">
        <v>125</v>
      </c>
      <c r="C60" s="210"/>
      <c r="D60" s="212"/>
    </row>
    <row r="61" spans="1:4" ht="15.6" customHeight="1">
      <c r="A61" s="85" t="s">
        <v>158</v>
      </c>
      <c r="B61" s="90">
        <v>5</v>
      </c>
      <c r="C61" s="210"/>
      <c r="D61" s="212"/>
    </row>
    <row r="62" spans="1:4" ht="15.6" customHeight="1">
      <c r="A62" s="85" t="s">
        <v>148</v>
      </c>
      <c r="B62" s="90">
        <v>1</v>
      </c>
      <c r="C62" s="210"/>
      <c r="D62" s="212"/>
    </row>
    <row r="63" spans="1:4" ht="15.6" customHeight="1">
      <c r="A63" s="85" t="s">
        <v>168</v>
      </c>
      <c r="B63" s="90">
        <v>4</v>
      </c>
      <c r="C63" s="210"/>
      <c r="D63" s="212"/>
    </row>
    <row r="64" spans="1:4" ht="15.6" customHeight="1">
      <c r="A64" s="85" t="s">
        <v>169</v>
      </c>
      <c r="B64" s="90">
        <v>4</v>
      </c>
      <c r="C64" s="210"/>
      <c r="D64" s="212"/>
    </row>
    <row r="65" spans="1:13" ht="15.6" customHeight="1">
      <c r="A65" s="85" t="s">
        <v>170</v>
      </c>
      <c r="B65" s="90">
        <v>2</v>
      </c>
      <c r="C65" s="210"/>
      <c r="D65" s="212"/>
    </row>
    <row r="66" spans="1:13" s="83" customFormat="1" ht="15.6" customHeight="1">
      <c r="A66" s="85" t="s">
        <v>171</v>
      </c>
      <c r="B66" s="90">
        <v>1</v>
      </c>
      <c r="C66" s="210"/>
      <c r="D66" s="212"/>
      <c r="E66" s="82"/>
      <c r="F66" s="82"/>
      <c r="G66" s="82"/>
      <c r="H66" s="82"/>
      <c r="I66" s="82"/>
      <c r="J66" s="82"/>
      <c r="K66" s="82"/>
      <c r="L66" s="82"/>
      <c r="M66" s="82"/>
    </row>
    <row r="67" spans="1:13" ht="15.6" customHeight="1">
      <c r="A67" s="85" t="s">
        <v>172</v>
      </c>
      <c r="B67" s="90">
        <v>1</v>
      </c>
      <c r="C67" s="210"/>
      <c r="D67" s="212"/>
    </row>
    <row r="68" spans="1:13" ht="15.6" customHeight="1">
      <c r="A68" s="85" t="s">
        <v>173</v>
      </c>
      <c r="B68" s="90">
        <v>1</v>
      </c>
      <c r="C68" s="210"/>
      <c r="D68" s="212"/>
    </row>
    <row r="69" spans="1:13" ht="15.6" customHeight="1">
      <c r="A69" s="85" t="s">
        <v>174</v>
      </c>
      <c r="B69" s="90">
        <v>2</v>
      </c>
      <c r="C69" s="210"/>
      <c r="D69" s="212"/>
    </row>
    <row r="70" spans="1:13" ht="15.6" customHeight="1">
      <c r="A70" s="85" t="s">
        <v>130</v>
      </c>
      <c r="B70" s="90">
        <v>4</v>
      </c>
      <c r="C70" s="210"/>
      <c r="D70" s="212"/>
    </row>
    <row r="71" spans="1:13" ht="15.6" customHeight="1">
      <c r="A71" s="85" t="s">
        <v>175</v>
      </c>
      <c r="B71" s="90">
        <v>2</v>
      </c>
      <c r="C71" s="210"/>
      <c r="D71" s="212"/>
    </row>
    <row r="72" spans="1:13" ht="15.6" customHeight="1">
      <c r="A72" s="85" t="s">
        <v>176</v>
      </c>
      <c r="B72" s="90">
        <v>2</v>
      </c>
      <c r="C72" s="210"/>
      <c r="D72" s="212"/>
    </row>
    <row r="73" spans="1:13" ht="15.6" customHeight="1">
      <c r="A73" s="85" t="s">
        <v>177</v>
      </c>
      <c r="B73" s="90">
        <v>1</v>
      </c>
      <c r="C73" s="210"/>
      <c r="D73" s="212"/>
    </row>
    <row r="74" spans="1:13" ht="15.6" customHeight="1">
      <c r="A74" s="85" t="s">
        <v>178</v>
      </c>
      <c r="B74" s="90">
        <v>1</v>
      </c>
      <c r="C74" s="210"/>
      <c r="D74" s="212"/>
    </row>
    <row r="75" spans="1:13" ht="15.6" customHeight="1">
      <c r="A75" s="85" t="s">
        <v>179</v>
      </c>
      <c r="B75" s="90">
        <v>1</v>
      </c>
      <c r="C75" s="210"/>
      <c r="D75" s="212"/>
    </row>
    <row r="76" spans="1:13" ht="15.6" customHeight="1">
      <c r="A76" s="85" t="s">
        <v>180</v>
      </c>
      <c r="B76" s="90">
        <v>1</v>
      </c>
      <c r="C76" s="210"/>
      <c r="D76" s="212"/>
    </row>
    <row r="77" spans="1:13" ht="15.6" customHeight="1">
      <c r="A77" s="85" t="s">
        <v>181</v>
      </c>
      <c r="B77" s="90">
        <v>1</v>
      </c>
      <c r="C77" s="210"/>
      <c r="D77" s="212"/>
    </row>
    <row r="78" spans="1:13" ht="15.6" customHeight="1">
      <c r="A78" s="85" t="s">
        <v>182</v>
      </c>
      <c r="B78" s="90">
        <v>1</v>
      </c>
      <c r="C78" s="210"/>
      <c r="D78" s="212"/>
    </row>
    <row r="79" spans="1:13" ht="15.6" customHeight="1">
      <c r="A79" s="85" t="s">
        <v>183</v>
      </c>
      <c r="B79" s="90">
        <v>1</v>
      </c>
      <c r="C79" s="210"/>
      <c r="D79" s="212"/>
    </row>
    <row r="80" spans="1:13" ht="15.6" customHeight="1">
      <c r="A80" s="85" t="s">
        <v>184</v>
      </c>
      <c r="B80" s="90">
        <v>1</v>
      </c>
      <c r="C80" s="210"/>
      <c r="D80" s="212"/>
    </row>
    <row r="81" spans="1:13" ht="15.6" customHeight="1">
      <c r="A81" s="85" t="s">
        <v>185</v>
      </c>
      <c r="B81" s="90">
        <v>1</v>
      </c>
      <c r="C81" s="210"/>
      <c r="D81" s="212"/>
    </row>
    <row r="82" spans="1:13" ht="15.6" customHeight="1">
      <c r="A82" s="86" t="s">
        <v>146</v>
      </c>
      <c r="B82" s="206">
        <f>SUM(B61:B81)</f>
        <v>38</v>
      </c>
      <c r="C82" s="210"/>
      <c r="D82" s="212"/>
    </row>
    <row r="83" spans="1:13" ht="15.6" customHeight="1">
      <c r="A83" s="83"/>
      <c r="B83" s="202"/>
      <c r="C83" s="210"/>
      <c r="D83" s="212"/>
    </row>
    <row r="84" spans="1:13" ht="15.6" customHeight="1">
      <c r="A84" s="93" t="s">
        <v>186</v>
      </c>
      <c r="B84" s="93"/>
      <c r="C84" s="210"/>
      <c r="D84" s="212"/>
    </row>
    <row r="85" spans="1:13" ht="15.6" customHeight="1">
      <c r="A85" s="84" t="s">
        <v>124</v>
      </c>
      <c r="B85" s="205" t="s">
        <v>125</v>
      </c>
      <c r="C85" s="210"/>
      <c r="D85" s="212"/>
    </row>
    <row r="86" spans="1:13" ht="15.6" customHeight="1">
      <c r="A86" s="84"/>
      <c r="B86" s="205"/>
      <c r="C86" s="210"/>
      <c r="D86" s="213"/>
      <c r="E86" s="83"/>
      <c r="F86" s="83"/>
      <c r="G86" s="83"/>
      <c r="H86" s="83"/>
      <c r="I86" s="83"/>
      <c r="J86" s="83"/>
      <c r="K86" s="83"/>
      <c r="L86" s="83"/>
      <c r="M86" s="83"/>
    </row>
    <row r="87" spans="1:13" ht="15.6" customHeight="1">
      <c r="A87" s="85" t="s">
        <v>187</v>
      </c>
      <c r="B87" s="90">
        <v>1</v>
      </c>
      <c r="C87" s="210"/>
      <c r="D87" s="212"/>
    </row>
    <row r="88" spans="1:13" ht="15.6" customHeight="1">
      <c r="A88" s="85" t="s">
        <v>158</v>
      </c>
      <c r="B88" s="90">
        <v>6</v>
      </c>
      <c r="C88" s="210"/>
      <c r="D88" s="212"/>
    </row>
    <row r="89" spans="1:13" ht="15.6" customHeight="1">
      <c r="A89" s="85" t="s">
        <v>148</v>
      </c>
      <c r="B89" s="90">
        <v>1</v>
      </c>
      <c r="C89" s="210"/>
      <c r="D89" s="212"/>
    </row>
    <row r="90" spans="1:13" ht="15.6" customHeight="1">
      <c r="A90" s="85" t="s">
        <v>188</v>
      </c>
      <c r="B90" s="90">
        <v>2</v>
      </c>
      <c r="C90" s="210"/>
      <c r="D90" s="212"/>
    </row>
    <row r="91" spans="1:13" ht="15.6" customHeight="1">
      <c r="A91" s="85" t="s">
        <v>189</v>
      </c>
      <c r="B91" s="90">
        <v>2</v>
      </c>
      <c r="C91" s="210"/>
      <c r="D91" s="212"/>
    </row>
    <row r="92" spans="1:13" ht="15.6" customHeight="1">
      <c r="A92" s="85" t="s">
        <v>190</v>
      </c>
      <c r="B92" s="90">
        <v>1</v>
      </c>
      <c r="C92" s="210"/>
      <c r="D92" s="212"/>
    </row>
    <row r="93" spans="1:13" ht="15.6" customHeight="1">
      <c r="A93" s="85" t="s">
        <v>191</v>
      </c>
      <c r="B93" s="90">
        <v>2</v>
      </c>
      <c r="C93" s="210"/>
      <c r="D93" s="212"/>
    </row>
    <row r="94" spans="1:13" ht="15.6" customHeight="1">
      <c r="A94" s="85" t="s">
        <v>192</v>
      </c>
      <c r="B94" s="90">
        <v>4</v>
      </c>
      <c r="C94" s="210"/>
      <c r="D94" s="212"/>
    </row>
    <row r="95" spans="1:13" ht="15.6" customHeight="1">
      <c r="A95" s="85" t="s">
        <v>132</v>
      </c>
      <c r="B95" s="90">
        <v>4</v>
      </c>
      <c r="C95" s="210"/>
      <c r="D95" s="212"/>
    </row>
    <row r="96" spans="1:13" ht="15.6" customHeight="1">
      <c r="A96" s="85" t="s">
        <v>162</v>
      </c>
      <c r="B96" s="90">
        <v>1</v>
      </c>
      <c r="C96" s="210"/>
      <c r="D96" s="212"/>
    </row>
    <row r="97" spans="1:4" ht="15.6" customHeight="1">
      <c r="A97" s="85" t="s">
        <v>193</v>
      </c>
      <c r="B97" s="90">
        <v>1</v>
      </c>
      <c r="C97" s="210"/>
      <c r="D97" s="212"/>
    </row>
    <row r="98" spans="1:4" ht="15.6" customHeight="1">
      <c r="A98" s="85" t="s">
        <v>194</v>
      </c>
      <c r="B98" s="90">
        <v>1</v>
      </c>
      <c r="C98" s="210"/>
      <c r="D98" s="212"/>
    </row>
    <row r="99" spans="1:4" ht="15.6" customHeight="1">
      <c r="A99" s="85" t="s">
        <v>195</v>
      </c>
      <c r="B99" s="90">
        <v>1</v>
      </c>
      <c r="C99" s="210"/>
      <c r="D99" s="212"/>
    </row>
    <row r="100" spans="1:4" ht="15.6" customHeight="1">
      <c r="A100" s="85" t="s">
        <v>173</v>
      </c>
      <c r="B100" s="90">
        <v>1</v>
      </c>
      <c r="C100" s="210"/>
      <c r="D100" s="212"/>
    </row>
    <row r="101" spans="1:4" ht="15.6" customHeight="1">
      <c r="A101" s="85" t="s">
        <v>196</v>
      </c>
      <c r="B101" s="90">
        <v>2</v>
      </c>
      <c r="C101" s="210"/>
      <c r="D101" s="212"/>
    </row>
    <row r="102" spans="1:4" ht="15.6" customHeight="1">
      <c r="A102" s="85" t="s">
        <v>197</v>
      </c>
      <c r="B102" s="90">
        <v>4</v>
      </c>
      <c r="C102" s="210"/>
      <c r="D102" s="212"/>
    </row>
    <row r="103" spans="1:4" ht="15.6" customHeight="1">
      <c r="A103" s="85" t="s">
        <v>130</v>
      </c>
      <c r="B103" s="90">
        <v>4</v>
      </c>
      <c r="C103" s="210"/>
      <c r="D103" s="212"/>
    </row>
    <row r="104" spans="1:4" ht="15.6" customHeight="1">
      <c r="A104" s="85" t="s">
        <v>175</v>
      </c>
      <c r="B104" s="90">
        <v>4</v>
      </c>
      <c r="C104" s="210"/>
      <c r="D104" s="212"/>
    </row>
    <row r="105" spans="1:4" ht="15.6" customHeight="1">
      <c r="A105" s="85" t="s">
        <v>142</v>
      </c>
      <c r="B105" s="90">
        <v>2</v>
      </c>
      <c r="C105" s="210"/>
      <c r="D105" s="212"/>
    </row>
    <row r="106" spans="1:4" ht="15.6" customHeight="1">
      <c r="A106" s="85" t="s">
        <v>198</v>
      </c>
      <c r="B106" s="90">
        <v>1</v>
      </c>
      <c r="C106" s="210"/>
      <c r="D106" s="212"/>
    </row>
    <row r="107" spans="1:4" ht="15.6" customHeight="1">
      <c r="A107" s="85" t="s">
        <v>199</v>
      </c>
      <c r="B107" s="90">
        <v>1</v>
      </c>
      <c r="C107" s="210"/>
      <c r="D107" s="212"/>
    </row>
    <row r="108" spans="1:4" ht="15.6" customHeight="1">
      <c r="A108" s="85" t="s">
        <v>200</v>
      </c>
      <c r="B108" s="90">
        <v>2</v>
      </c>
      <c r="C108" s="210"/>
      <c r="D108" s="212"/>
    </row>
    <row r="109" spans="1:4" ht="15.6" customHeight="1">
      <c r="A109" s="85" t="s">
        <v>201</v>
      </c>
      <c r="B109" s="90">
        <v>1</v>
      </c>
      <c r="C109" s="210"/>
      <c r="D109" s="212"/>
    </row>
    <row r="110" spans="1:4" ht="15.6" customHeight="1">
      <c r="A110" s="85" t="s">
        <v>202</v>
      </c>
      <c r="B110" s="90">
        <v>1</v>
      </c>
      <c r="C110" s="210"/>
      <c r="D110" s="212"/>
    </row>
    <row r="111" spans="1:4" ht="15.6" customHeight="1">
      <c r="A111" s="85" t="s">
        <v>203</v>
      </c>
      <c r="B111" s="90">
        <v>1</v>
      </c>
      <c r="C111" s="210"/>
      <c r="D111" s="212"/>
    </row>
    <row r="112" spans="1:4" ht="15.6" customHeight="1">
      <c r="A112" s="85" t="s">
        <v>204</v>
      </c>
      <c r="B112" s="90">
        <v>1</v>
      </c>
      <c r="C112" s="210"/>
      <c r="D112" s="212"/>
    </row>
    <row r="113" spans="1:4" ht="15.6" customHeight="1">
      <c r="A113" s="85" t="s">
        <v>205</v>
      </c>
      <c r="B113" s="90">
        <v>1</v>
      </c>
      <c r="C113" s="210"/>
      <c r="D113" s="212"/>
    </row>
    <row r="114" spans="1:4" ht="15.6" customHeight="1">
      <c r="A114" s="85" t="s">
        <v>206</v>
      </c>
      <c r="B114" s="90">
        <v>1</v>
      </c>
      <c r="C114" s="210"/>
      <c r="D114" s="212"/>
    </row>
    <row r="115" spans="1:4" ht="15.6" customHeight="1">
      <c r="A115" s="85" t="s">
        <v>207</v>
      </c>
      <c r="B115" s="90">
        <v>2</v>
      </c>
      <c r="C115" s="210"/>
      <c r="D115" s="212"/>
    </row>
    <row r="116" spans="1:4" ht="15.6" customHeight="1">
      <c r="A116" s="85" t="s">
        <v>208</v>
      </c>
      <c r="B116" s="90">
        <v>1</v>
      </c>
      <c r="C116" s="210"/>
      <c r="D116" s="212"/>
    </row>
    <row r="117" spans="1:4" ht="15.6" customHeight="1">
      <c r="A117" s="85" t="s">
        <v>209</v>
      </c>
      <c r="B117" s="90">
        <v>1</v>
      </c>
      <c r="C117" s="210"/>
      <c r="D117" s="212"/>
    </row>
    <row r="118" spans="1:4" ht="15.6" customHeight="1">
      <c r="A118" s="85" t="s">
        <v>185</v>
      </c>
      <c r="B118" s="90">
        <v>1</v>
      </c>
      <c r="C118" s="210"/>
      <c r="D118" s="212"/>
    </row>
    <row r="119" spans="1:4" ht="15.6" customHeight="1">
      <c r="A119" s="86" t="s">
        <v>146</v>
      </c>
      <c r="B119" s="206">
        <f>SUM(B87:B118)</f>
        <v>59</v>
      </c>
      <c r="C119" s="210"/>
      <c r="D119" s="212"/>
    </row>
    <row r="120" spans="1:4" ht="15.6" customHeight="1">
      <c r="A120" s="83"/>
      <c r="B120" s="202"/>
      <c r="C120" s="210"/>
      <c r="D120" s="212"/>
    </row>
    <row r="121" spans="1:4" ht="15.6" customHeight="1">
      <c r="A121" s="83"/>
      <c r="B121" s="202"/>
      <c r="C121" s="210"/>
      <c r="D121" s="212"/>
    </row>
    <row r="122" spans="1:4" ht="15.6" customHeight="1">
      <c r="A122" s="93" t="s">
        <v>210</v>
      </c>
      <c r="B122" s="93"/>
      <c r="C122" s="210"/>
      <c r="D122" s="212"/>
    </row>
    <row r="123" spans="1:4" ht="15.6" customHeight="1">
      <c r="A123" s="84" t="s">
        <v>124</v>
      </c>
      <c r="B123" s="205" t="s">
        <v>125</v>
      </c>
      <c r="C123" s="210"/>
      <c r="D123" s="212"/>
    </row>
    <row r="124" spans="1:4" ht="15.6" customHeight="1">
      <c r="A124" s="85" t="s">
        <v>158</v>
      </c>
      <c r="B124" s="90">
        <v>6</v>
      </c>
      <c r="C124" s="210"/>
      <c r="D124" s="212"/>
    </row>
    <row r="125" spans="1:4" ht="15.6" customHeight="1">
      <c r="A125" s="85" t="s">
        <v>148</v>
      </c>
      <c r="B125" s="90">
        <v>1</v>
      </c>
      <c r="C125" s="210"/>
      <c r="D125" s="212"/>
    </row>
    <row r="126" spans="1:4" ht="15.6" customHeight="1">
      <c r="A126" s="85" t="s">
        <v>211</v>
      </c>
      <c r="B126" s="90">
        <v>4</v>
      </c>
      <c r="C126" s="210"/>
      <c r="D126" s="212"/>
    </row>
    <row r="127" spans="1:4" ht="15.6" customHeight="1">
      <c r="A127" s="85" t="s">
        <v>212</v>
      </c>
      <c r="B127" s="90">
        <v>5</v>
      </c>
      <c r="C127" s="210"/>
      <c r="D127" s="212"/>
    </row>
    <row r="128" spans="1:4" ht="15.6" customHeight="1">
      <c r="A128" s="85" t="s">
        <v>213</v>
      </c>
      <c r="B128" s="90">
        <v>1</v>
      </c>
      <c r="C128" s="210"/>
      <c r="D128" s="212"/>
    </row>
    <row r="129" spans="1:4" ht="15.6" customHeight="1">
      <c r="A129" s="85" t="s">
        <v>135</v>
      </c>
      <c r="B129" s="90">
        <v>1</v>
      </c>
      <c r="C129" s="210"/>
      <c r="D129" s="212"/>
    </row>
    <row r="130" spans="1:4" ht="15.6" customHeight="1">
      <c r="A130" s="85" t="s">
        <v>173</v>
      </c>
      <c r="B130" s="90">
        <v>1</v>
      </c>
      <c r="C130" s="210"/>
      <c r="D130" s="212"/>
    </row>
    <row r="131" spans="1:4" ht="15.6" customHeight="1">
      <c r="A131" s="85" t="s">
        <v>196</v>
      </c>
      <c r="B131" s="90">
        <v>2</v>
      </c>
      <c r="C131" s="210"/>
      <c r="D131" s="212"/>
    </row>
    <row r="132" spans="1:4" ht="15.6" customHeight="1">
      <c r="A132" s="85" t="s">
        <v>197</v>
      </c>
      <c r="B132" s="90">
        <v>4</v>
      </c>
      <c r="C132" s="210"/>
      <c r="D132" s="212"/>
    </row>
    <row r="133" spans="1:4" ht="15.6" customHeight="1">
      <c r="A133" s="85" t="s">
        <v>214</v>
      </c>
      <c r="B133" s="90">
        <v>4</v>
      </c>
      <c r="C133" s="210"/>
      <c r="D133" s="212"/>
    </row>
    <row r="134" spans="1:4" ht="15.6" customHeight="1">
      <c r="A134" s="85" t="s">
        <v>215</v>
      </c>
      <c r="B134" s="90">
        <v>3</v>
      </c>
      <c r="C134" s="210"/>
      <c r="D134" s="212"/>
    </row>
    <row r="135" spans="1:4" ht="15.6" customHeight="1">
      <c r="A135" s="85" t="s">
        <v>216</v>
      </c>
      <c r="B135" s="90">
        <v>2</v>
      </c>
      <c r="C135" s="210"/>
      <c r="D135" s="212"/>
    </row>
    <row r="136" spans="1:4" ht="15.6" customHeight="1">
      <c r="A136" s="85" t="s">
        <v>217</v>
      </c>
      <c r="B136" s="90">
        <v>1</v>
      </c>
      <c r="C136" s="210"/>
      <c r="D136" s="212"/>
    </row>
    <row r="137" spans="1:4" ht="15.6" customHeight="1">
      <c r="A137" s="85" t="s">
        <v>218</v>
      </c>
      <c r="B137" s="90">
        <v>1</v>
      </c>
      <c r="C137" s="210"/>
      <c r="D137" s="212"/>
    </row>
    <row r="138" spans="1:4" ht="15.6" customHeight="1">
      <c r="A138" s="85" t="s">
        <v>200</v>
      </c>
      <c r="B138" s="90">
        <v>2</v>
      </c>
      <c r="C138" s="210"/>
      <c r="D138" s="212"/>
    </row>
    <row r="139" spans="1:4" ht="15.6" customHeight="1">
      <c r="A139" s="85" t="s">
        <v>177</v>
      </c>
      <c r="B139" s="90">
        <v>1</v>
      </c>
      <c r="C139" s="210"/>
      <c r="D139" s="212"/>
    </row>
    <row r="140" spans="1:4" ht="15.6" customHeight="1">
      <c r="A140" s="85" t="s">
        <v>219</v>
      </c>
      <c r="B140" s="90">
        <v>1</v>
      </c>
      <c r="C140" s="210"/>
      <c r="D140" s="212"/>
    </row>
    <row r="141" spans="1:4" ht="15.6" customHeight="1">
      <c r="A141" s="85" t="s">
        <v>180</v>
      </c>
      <c r="B141" s="90">
        <v>1</v>
      </c>
      <c r="C141" s="210"/>
      <c r="D141" s="212"/>
    </row>
    <row r="142" spans="1:4" ht="15.6" customHeight="1">
      <c r="A142" s="85" t="s">
        <v>220</v>
      </c>
      <c r="B142" s="90">
        <v>1</v>
      </c>
      <c r="C142" s="210"/>
      <c r="D142" s="212"/>
    </row>
    <row r="143" spans="1:4" ht="15.6" customHeight="1">
      <c r="A143" s="85" t="s">
        <v>221</v>
      </c>
      <c r="B143" s="90">
        <v>2</v>
      </c>
      <c r="C143" s="210"/>
      <c r="D143" s="212"/>
    </row>
    <row r="144" spans="1:4" ht="15.6" customHeight="1">
      <c r="A144" s="85" t="s">
        <v>222</v>
      </c>
      <c r="B144" s="90">
        <v>1</v>
      </c>
      <c r="C144" s="210"/>
      <c r="D144" s="212"/>
    </row>
    <row r="145" spans="1:13" ht="15.6" customHeight="1">
      <c r="A145" s="85" t="s">
        <v>223</v>
      </c>
      <c r="B145" s="90">
        <v>1</v>
      </c>
      <c r="C145" s="210"/>
      <c r="D145" s="212"/>
    </row>
    <row r="146" spans="1:13" ht="15.6" customHeight="1">
      <c r="A146" s="85" t="s">
        <v>184</v>
      </c>
      <c r="B146" s="90">
        <v>1</v>
      </c>
      <c r="C146" s="210"/>
      <c r="D146" s="212"/>
    </row>
    <row r="147" spans="1:13" ht="15.6" customHeight="1">
      <c r="A147" s="85" t="s">
        <v>224</v>
      </c>
      <c r="B147" s="90">
        <v>1</v>
      </c>
      <c r="C147" s="210"/>
      <c r="D147" s="212"/>
    </row>
    <row r="148" spans="1:13" s="83" customFormat="1" ht="15.6" customHeight="1">
      <c r="A148" s="85" t="s">
        <v>156</v>
      </c>
      <c r="B148" s="90">
        <v>1</v>
      </c>
      <c r="C148" s="210"/>
      <c r="D148" s="212"/>
      <c r="E148" s="82"/>
      <c r="F148" s="82"/>
      <c r="G148" s="82"/>
      <c r="H148" s="82"/>
      <c r="I148" s="82"/>
      <c r="J148" s="82"/>
      <c r="K148" s="82"/>
      <c r="L148" s="82"/>
      <c r="M148" s="82"/>
    </row>
    <row r="149" spans="1:13" ht="15.6" customHeight="1">
      <c r="A149" s="86" t="s">
        <v>146</v>
      </c>
      <c r="B149" s="206">
        <f>SUM(B124:B148)</f>
        <v>49</v>
      </c>
      <c r="C149" s="210"/>
      <c r="D149" s="212"/>
    </row>
    <row r="150" spans="1:13" ht="15.6" customHeight="1">
      <c r="A150" s="83"/>
      <c r="B150" s="90"/>
      <c r="C150" s="210"/>
      <c r="D150" s="212"/>
    </row>
    <row r="151" spans="1:13" ht="15.6" customHeight="1">
      <c r="A151" s="93" t="s">
        <v>225</v>
      </c>
      <c r="B151" s="93"/>
      <c r="C151" s="210"/>
      <c r="D151" s="212"/>
    </row>
    <row r="152" spans="1:13" ht="15.6" customHeight="1">
      <c r="A152" s="84" t="s">
        <v>124</v>
      </c>
      <c r="B152" s="205" t="s">
        <v>125</v>
      </c>
      <c r="C152" s="210"/>
      <c r="D152" s="212"/>
    </row>
    <row r="153" spans="1:13" ht="15.6" customHeight="1">
      <c r="A153" s="85" t="s">
        <v>148</v>
      </c>
      <c r="B153" s="90">
        <v>1</v>
      </c>
      <c r="C153" s="210"/>
      <c r="D153" s="212"/>
    </row>
    <row r="154" spans="1:13" ht="15.6" customHeight="1">
      <c r="A154" s="85" t="s">
        <v>226</v>
      </c>
      <c r="B154" s="90">
        <v>1</v>
      </c>
      <c r="C154" s="210"/>
      <c r="D154" s="212"/>
    </row>
    <row r="155" spans="1:13" ht="15.6" customHeight="1">
      <c r="A155" s="85" t="s">
        <v>227</v>
      </c>
      <c r="B155" s="90">
        <v>1</v>
      </c>
      <c r="C155" s="210"/>
      <c r="D155" s="212"/>
    </row>
    <row r="156" spans="1:13" ht="15.6" customHeight="1">
      <c r="A156" s="85" t="s">
        <v>228</v>
      </c>
      <c r="B156" s="90">
        <v>1</v>
      </c>
      <c r="C156" s="210"/>
      <c r="D156" s="212"/>
    </row>
    <row r="157" spans="1:13" ht="15.6" customHeight="1">
      <c r="A157" s="85" t="s">
        <v>229</v>
      </c>
      <c r="B157" s="90">
        <v>1</v>
      </c>
      <c r="C157" s="210"/>
      <c r="D157" s="212"/>
    </row>
    <row r="158" spans="1:13" ht="15.6" customHeight="1">
      <c r="A158" s="85" t="s">
        <v>230</v>
      </c>
      <c r="B158" s="90">
        <v>1</v>
      </c>
      <c r="C158" s="210"/>
      <c r="D158" s="212"/>
    </row>
    <row r="159" spans="1:13" ht="15.6" customHeight="1">
      <c r="A159" s="85" t="s">
        <v>231</v>
      </c>
      <c r="B159" s="90">
        <v>1</v>
      </c>
      <c r="C159" s="210"/>
      <c r="D159" s="212"/>
    </row>
    <row r="160" spans="1:13" ht="15.6" customHeight="1">
      <c r="A160" s="85" t="s">
        <v>232</v>
      </c>
      <c r="B160" s="90">
        <v>1</v>
      </c>
      <c r="C160" s="210"/>
      <c r="D160" s="212"/>
    </row>
    <row r="161" spans="1:13" ht="15.6" customHeight="1">
      <c r="A161" s="85" t="s">
        <v>233</v>
      </c>
      <c r="B161" s="90">
        <v>1</v>
      </c>
      <c r="C161" s="210"/>
      <c r="D161" s="212"/>
    </row>
    <row r="162" spans="1:13" ht="15.6" customHeight="1">
      <c r="A162" s="85" t="s">
        <v>234</v>
      </c>
      <c r="B162" s="90">
        <v>1</v>
      </c>
      <c r="C162" s="210"/>
      <c r="D162" s="212"/>
    </row>
    <row r="163" spans="1:13" ht="15.6" customHeight="1">
      <c r="A163" s="85" t="s">
        <v>235</v>
      </c>
      <c r="B163" s="90">
        <v>1</v>
      </c>
      <c r="C163" s="210"/>
      <c r="D163" s="212"/>
    </row>
    <row r="164" spans="1:13" ht="15.6" customHeight="1">
      <c r="A164" s="85" t="s">
        <v>236</v>
      </c>
      <c r="B164" s="90">
        <v>1</v>
      </c>
      <c r="C164" s="210"/>
      <c r="D164" s="212"/>
    </row>
    <row r="165" spans="1:13" ht="15.6" customHeight="1">
      <c r="A165" s="85" t="s">
        <v>237</v>
      </c>
      <c r="B165" s="90">
        <v>1</v>
      </c>
      <c r="C165" s="210"/>
      <c r="D165" s="212"/>
    </row>
    <row r="166" spans="1:13" ht="15.6" customHeight="1">
      <c r="A166" s="85" t="s">
        <v>238</v>
      </c>
      <c r="B166" s="90">
        <v>1</v>
      </c>
      <c r="C166" s="210"/>
      <c r="D166" s="212"/>
    </row>
    <row r="167" spans="1:13" ht="15.6" customHeight="1">
      <c r="A167" s="85" t="s">
        <v>239</v>
      </c>
      <c r="B167" s="90">
        <v>1</v>
      </c>
      <c r="C167" s="210"/>
      <c r="D167" s="212"/>
    </row>
    <row r="168" spans="1:13" ht="15.6" customHeight="1">
      <c r="A168" s="85" t="s">
        <v>185</v>
      </c>
      <c r="B168" s="90">
        <v>1</v>
      </c>
      <c r="C168" s="210"/>
      <c r="D168" s="212"/>
    </row>
    <row r="169" spans="1:13" ht="15.6" customHeight="1">
      <c r="A169" s="86" t="s">
        <v>146</v>
      </c>
      <c r="B169" s="206">
        <f>SUM(B153:B168)</f>
        <v>16</v>
      </c>
      <c r="C169" s="210"/>
      <c r="D169" s="212"/>
    </row>
    <row r="170" spans="1:13" ht="15.6" customHeight="1">
      <c r="A170" s="83"/>
      <c r="B170" s="90"/>
      <c r="C170" s="210"/>
      <c r="D170" s="212"/>
    </row>
    <row r="171" spans="1:13" ht="15.6" customHeight="1">
      <c r="A171" s="93" t="s">
        <v>240</v>
      </c>
      <c r="B171" s="93"/>
      <c r="C171" s="210"/>
      <c r="D171" s="212"/>
    </row>
    <row r="172" spans="1:13" ht="15.6" customHeight="1">
      <c r="A172" s="84" t="s">
        <v>124</v>
      </c>
      <c r="B172" s="205" t="s">
        <v>125</v>
      </c>
      <c r="C172" s="210"/>
      <c r="D172" s="212"/>
    </row>
    <row r="173" spans="1:13" ht="15.6" customHeight="1">
      <c r="A173" s="85" t="s">
        <v>241</v>
      </c>
      <c r="B173" s="205">
        <v>1</v>
      </c>
      <c r="C173" s="210"/>
      <c r="D173" s="213"/>
      <c r="E173" s="83"/>
      <c r="F173" s="83"/>
      <c r="G173" s="83"/>
      <c r="H173" s="83"/>
      <c r="I173" s="83"/>
      <c r="J173" s="83"/>
      <c r="K173" s="83"/>
      <c r="L173" s="83"/>
      <c r="M173" s="83"/>
    </row>
    <row r="174" spans="1:13" ht="15.6" customHeight="1">
      <c r="A174" s="85" t="s">
        <v>242</v>
      </c>
      <c r="B174" s="90">
        <v>1</v>
      </c>
      <c r="C174" s="210"/>
      <c r="D174" s="212"/>
    </row>
    <row r="175" spans="1:13" ht="15.6" customHeight="1">
      <c r="A175" s="85" t="s">
        <v>243</v>
      </c>
      <c r="B175" s="90">
        <v>2</v>
      </c>
      <c r="C175" s="210"/>
      <c r="D175" s="212"/>
    </row>
    <row r="176" spans="1:13" ht="15.6" customHeight="1">
      <c r="A176" s="85" t="s">
        <v>234</v>
      </c>
      <c r="B176" s="90">
        <v>1</v>
      </c>
      <c r="C176" s="210"/>
      <c r="D176" s="212"/>
    </row>
    <row r="177" spans="1:4" ht="15.6" customHeight="1">
      <c r="A177" s="85" t="s">
        <v>233</v>
      </c>
      <c r="B177" s="90">
        <v>1</v>
      </c>
      <c r="C177" s="210"/>
      <c r="D177" s="212"/>
    </row>
    <row r="178" spans="1:4" ht="15.6" customHeight="1">
      <c r="A178" s="85" t="s">
        <v>244</v>
      </c>
      <c r="B178" s="90">
        <v>1</v>
      </c>
      <c r="C178" s="210"/>
      <c r="D178" s="212"/>
    </row>
    <row r="179" spans="1:4" ht="15.6" customHeight="1">
      <c r="A179" s="85" t="s">
        <v>245</v>
      </c>
      <c r="B179" s="90">
        <v>1</v>
      </c>
      <c r="C179" s="210"/>
      <c r="D179" s="212"/>
    </row>
    <row r="180" spans="1:4" ht="15.6" customHeight="1">
      <c r="A180" s="85" t="s">
        <v>246</v>
      </c>
      <c r="B180" s="90">
        <v>1</v>
      </c>
      <c r="C180" s="210"/>
      <c r="D180" s="212"/>
    </row>
    <row r="181" spans="1:4" ht="15.6" customHeight="1">
      <c r="A181" s="85" t="s">
        <v>173</v>
      </c>
      <c r="B181" s="90">
        <v>1</v>
      </c>
      <c r="C181" s="210"/>
      <c r="D181" s="212"/>
    </row>
    <row r="182" spans="1:4" ht="15.6" customHeight="1">
      <c r="A182" s="85" t="s">
        <v>247</v>
      </c>
      <c r="B182" s="90">
        <v>1</v>
      </c>
      <c r="C182" s="210"/>
      <c r="D182" s="212"/>
    </row>
    <row r="183" spans="1:4" ht="15.6" customHeight="1">
      <c r="A183" s="85" t="s">
        <v>248</v>
      </c>
      <c r="B183" s="90">
        <v>1</v>
      </c>
      <c r="C183" s="210"/>
      <c r="D183" s="212"/>
    </row>
    <row r="184" spans="1:4" ht="15.6" customHeight="1">
      <c r="A184" s="85" t="s">
        <v>249</v>
      </c>
      <c r="B184" s="90">
        <v>1</v>
      </c>
      <c r="C184" s="210"/>
      <c r="D184" s="212"/>
    </row>
    <row r="185" spans="1:4" ht="15.6" customHeight="1">
      <c r="A185" s="85" t="s">
        <v>185</v>
      </c>
      <c r="B185" s="90">
        <v>1</v>
      </c>
      <c r="C185" s="210"/>
      <c r="D185" s="212"/>
    </row>
    <row r="186" spans="1:4" ht="15.6" customHeight="1">
      <c r="A186" s="86" t="s">
        <v>146</v>
      </c>
      <c r="B186" s="206">
        <f>SUM(B173:B185)</f>
        <v>14</v>
      </c>
      <c r="C186" s="210"/>
      <c r="D186" s="212"/>
    </row>
    <row r="187" spans="1:4" ht="15.6" customHeight="1">
      <c r="A187" s="83"/>
      <c r="B187" s="202"/>
      <c r="C187" s="210"/>
      <c r="D187" s="212"/>
    </row>
    <row r="188" spans="1:4" ht="15.6" customHeight="1">
      <c r="A188" s="93" t="s">
        <v>250</v>
      </c>
      <c r="B188" s="93"/>
      <c r="C188" s="210"/>
      <c r="D188" s="212"/>
    </row>
    <row r="189" spans="1:4" ht="15.6" customHeight="1">
      <c r="A189" s="84" t="s">
        <v>124</v>
      </c>
      <c r="B189" s="205" t="s">
        <v>125</v>
      </c>
      <c r="C189" s="210"/>
      <c r="D189" s="212"/>
    </row>
    <row r="190" spans="1:4" ht="15.6" customHeight="1">
      <c r="A190" s="87" t="s">
        <v>251</v>
      </c>
      <c r="B190" s="205">
        <v>1</v>
      </c>
      <c r="C190" s="210"/>
      <c r="D190" s="212"/>
    </row>
    <row r="191" spans="1:4" ht="15.6" customHeight="1">
      <c r="A191" s="87" t="s">
        <v>252</v>
      </c>
      <c r="B191" s="205">
        <v>1</v>
      </c>
      <c r="C191" s="210"/>
      <c r="D191" s="212"/>
    </row>
    <row r="192" spans="1:4" ht="15.6" customHeight="1">
      <c r="A192" s="85" t="s">
        <v>158</v>
      </c>
      <c r="B192" s="91">
        <v>6</v>
      </c>
      <c r="C192" s="210"/>
      <c r="D192" s="212"/>
    </row>
    <row r="193" spans="1:13" ht="15.6" customHeight="1">
      <c r="A193" s="85" t="s">
        <v>148</v>
      </c>
      <c r="B193" s="91">
        <v>1</v>
      </c>
      <c r="C193" s="210"/>
      <c r="D193" s="212"/>
    </row>
    <row r="194" spans="1:13" ht="15.6" customHeight="1">
      <c r="A194" s="85" t="s">
        <v>188</v>
      </c>
      <c r="B194" s="91">
        <v>2</v>
      </c>
      <c r="C194" s="210"/>
      <c r="D194" s="212"/>
    </row>
    <row r="195" spans="1:13" ht="15.6" customHeight="1">
      <c r="A195" s="85" t="s">
        <v>253</v>
      </c>
      <c r="B195" s="91">
        <v>4</v>
      </c>
      <c r="C195" s="210"/>
      <c r="D195" s="212"/>
    </row>
    <row r="196" spans="1:13" ht="15.6" customHeight="1">
      <c r="A196" s="85" t="s">
        <v>171</v>
      </c>
      <c r="B196" s="91">
        <v>1</v>
      </c>
      <c r="C196" s="210"/>
      <c r="D196" s="212"/>
    </row>
    <row r="197" spans="1:13" ht="15.6" customHeight="1">
      <c r="A197" s="85" t="s">
        <v>163</v>
      </c>
      <c r="B197" s="91">
        <v>1</v>
      </c>
      <c r="C197" s="210"/>
      <c r="D197" s="212"/>
    </row>
    <row r="198" spans="1:13" ht="15.6" customHeight="1">
      <c r="A198" s="85" t="s">
        <v>254</v>
      </c>
      <c r="B198" s="91">
        <v>1</v>
      </c>
      <c r="C198" s="210"/>
      <c r="D198" s="212"/>
    </row>
    <row r="199" spans="1:13" ht="15.6" customHeight="1">
      <c r="A199" s="85" t="s">
        <v>255</v>
      </c>
      <c r="B199" s="91">
        <v>1</v>
      </c>
      <c r="C199" s="210"/>
      <c r="D199" s="212"/>
    </row>
    <row r="200" spans="1:13" ht="15.6" customHeight="1">
      <c r="A200" s="85" t="s">
        <v>256</v>
      </c>
      <c r="B200" s="91">
        <v>5</v>
      </c>
      <c r="C200" s="210"/>
      <c r="D200" s="212"/>
    </row>
    <row r="201" spans="1:13" ht="15.6" customHeight="1">
      <c r="A201" s="85" t="s">
        <v>257</v>
      </c>
      <c r="B201" s="91">
        <v>5</v>
      </c>
      <c r="C201" s="210"/>
      <c r="D201" s="212"/>
    </row>
    <row r="202" spans="1:13" ht="15.6" customHeight="1">
      <c r="A202" s="85" t="s">
        <v>258</v>
      </c>
      <c r="B202" s="91">
        <v>2</v>
      </c>
      <c r="C202" s="210"/>
      <c r="D202" s="212"/>
    </row>
    <row r="203" spans="1:13" ht="15.6" customHeight="1">
      <c r="A203" s="85" t="s">
        <v>259</v>
      </c>
      <c r="B203" s="91">
        <v>2</v>
      </c>
      <c r="C203" s="210"/>
      <c r="D203" s="212"/>
    </row>
    <row r="204" spans="1:13" s="83" customFormat="1" ht="15.6" customHeight="1">
      <c r="A204" s="85" t="s">
        <v>260</v>
      </c>
      <c r="B204" s="91">
        <v>1</v>
      </c>
      <c r="C204" s="210"/>
      <c r="D204" s="212"/>
      <c r="E204" s="82"/>
      <c r="F204" s="82"/>
      <c r="G204" s="82"/>
      <c r="H204" s="82"/>
      <c r="I204" s="82"/>
      <c r="J204" s="82"/>
      <c r="K204" s="82"/>
      <c r="L204" s="82"/>
      <c r="M204" s="82"/>
    </row>
    <row r="205" spans="1:13" ht="15.6" customHeight="1">
      <c r="A205" s="85" t="s">
        <v>261</v>
      </c>
      <c r="B205" s="91">
        <v>1</v>
      </c>
      <c r="C205" s="210"/>
      <c r="D205" s="212"/>
    </row>
    <row r="206" spans="1:13" ht="15.6" customHeight="1">
      <c r="A206" s="85" t="s">
        <v>205</v>
      </c>
      <c r="B206" s="91">
        <v>1</v>
      </c>
      <c r="C206" s="210"/>
      <c r="D206" s="212"/>
    </row>
    <row r="207" spans="1:13" ht="15.6" customHeight="1">
      <c r="A207" s="85" t="s">
        <v>262</v>
      </c>
      <c r="B207" s="91">
        <v>1</v>
      </c>
      <c r="C207" s="210"/>
      <c r="D207" s="212"/>
    </row>
    <row r="208" spans="1:13" ht="15.6" customHeight="1">
      <c r="A208" s="85" t="s">
        <v>263</v>
      </c>
      <c r="B208" s="91">
        <v>1</v>
      </c>
      <c r="C208" s="210"/>
      <c r="D208" s="212"/>
    </row>
    <row r="209" spans="1:12" ht="15.6" customHeight="1">
      <c r="A209" s="85" t="s">
        <v>264</v>
      </c>
      <c r="B209" s="91">
        <v>1</v>
      </c>
      <c r="C209" s="210"/>
      <c r="D209" s="212"/>
    </row>
    <row r="210" spans="1:12" ht="15.6" customHeight="1">
      <c r="A210" s="85" t="s">
        <v>185</v>
      </c>
      <c r="B210" s="91">
        <v>1</v>
      </c>
      <c r="C210" s="210"/>
      <c r="D210" s="212"/>
    </row>
    <row r="211" spans="1:12" ht="15.6" customHeight="1">
      <c r="A211" s="86" t="s">
        <v>146</v>
      </c>
      <c r="B211" s="206">
        <v>42</v>
      </c>
      <c r="C211" s="210"/>
      <c r="D211" s="212"/>
    </row>
    <row r="212" spans="1:12" ht="15.6" customHeight="1">
      <c r="A212" s="83"/>
      <c r="B212" s="202"/>
      <c r="C212" s="210"/>
      <c r="D212" s="212"/>
    </row>
    <row r="213" spans="1:12" ht="15.6" customHeight="1">
      <c r="A213" s="93" t="s">
        <v>265</v>
      </c>
      <c r="B213" s="93"/>
      <c r="C213" s="210"/>
      <c r="D213" s="212"/>
      <c r="F213" s="83"/>
      <c r="G213" s="83"/>
      <c r="H213" s="83"/>
      <c r="I213" s="83"/>
      <c r="J213" s="83"/>
      <c r="K213" s="83"/>
      <c r="L213" s="83"/>
    </row>
    <row r="214" spans="1:12" ht="15.6" customHeight="1">
      <c r="A214" s="84" t="s">
        <v>124</v>
      </c>
      <c r="B214" s="205" t="s">
        <v>125</v>
      </c>
      <c r="C214" s="210"/>
      <c r="D214" s="212"/>
    </row>
    <row r="215" spans="1:12" ht="15.6" customHeight="1">
      <c r="A215" s="85" t="s">
        <v>148</v>
      </c>
      <c r="B215" s="205">
        <v>1</v>
      </c>
      <c r="C215" s="210"/>
      <c r="D215" s="212"/>
    </row>
    <row r="216" spans="1:12" ht="15.6" customHeight="1">
      <c r="A216" s="85" t="s">
        <v>266</v>
      </c>
      <c r="B216" s="90">
        <v>1</v>
      </c>
      <c r="C216" s="210"/>
      <c r="D216" s="212"/>
    </row>
    <row r="217" spans="1:12" ht="15.6" customHeight="1">
      <c r="A217" s="85" t="s">
        <v>136</v>
      </c>
      <c r="B217" s="90">
        <v>1</v>
      </c>
      <c r="C217" s="210"/>
      <c r="D217" s="212"/>
    </row>
    <row r="218" spans="1:12" ht="15.6" customHeight="1">
      <c r="A218" s="85" t="s">
        <v>267</v>
      </c>
      <c r="B218" s="90">
        <v>1</v>
      </c>
      <c r="C218" s="210"/>
      <c r="D218" s="212"/>
    </row>
    <row r="219" spans="1:12" ht="15.6" customHeight="1">
      <c r="A219" s="85" t="s">
        <v>194</v>
      </c>
      <c r="B219" s="90">
        <v>1</v>
      </c>
      <c r="C219" s="210"/>
      <c r="D219" s="212"/>
    </row>
    <row r="220" spans="1:12" ht="15.6" customHeight="1">
      <c r="A220" s="85" t="s">
        <v>268</v>
      </c>
      <c r="B220" s="90">
        <v>1</v>
      </c>
      <c r="C220" s="210"/>
      <c r="D220" s="212"/>
    </row>
    <row r="221" spans="1:12" ht="15.6" customHeight="1">
      <c r="A221" s="85" t="s">
        <v>269</v>
      </c>
      <c r="B221" s="90">
        <v>1</v>
      </c>
      <c r="C221" s="210"/>
      <c r="D221" s="212"/>
    </row>
    <row r="222" spans="1:12" ht="15.6" customHeight="1">
      <c r="A222" s="85" t="s">
        <v>270</v>
      </c>
      <c r="B222" s="90">
        <v>1</v>
      </c>
      <c r="C222" s="210"/>
      <c r="D222" s="212"/>
    </row>
    <row r="223" spans="1:12" ht="15.6" customHeight="1">
      <c r="A223" s="85" t="s">
        <v>271</v>
      </c>
      <c r="B223" s="90">
        <v>1</v>
      </c>
      <c r="C223" s="210"/>
      <c r="D223" s="212"/>
    </row>
    <row r="224" spans="1:12" ht="15.6" customHeight="1">
      <c r="A224" s="85" t="s">
        <v>272</v>
      </c>
      <c r="B224" s="90">
        <v>1</v>
      </c>
      <c r="C224" s="210"/>
      <c r="D224" s="212"/>
    </row>
    <row r="225" spans="1:13" ht="15.6" customHeight="1">
      <c r="A225" s="85" t="s">
        <v>185</v>
      </c>
      <c r="B225" s="90">
        <v>1</v>
      </c>
      <c r="C225" s="210"/>
      <c r="D225" s="212"/>
    </row>
    <row r="226" spans="1:13" ht="15.6" customHeight="1">
      <c r="A226" s="88" t="s">
        <v>146</v>
      </c>
      <c r="B226" s="207">
        <v>11</v>
      </c>
      <c r="C226" s="210"/>
      <c r="D226" s="212"/>
    </row>
    <row r="227" spans="1:13" ht="15.6" customHeight="1">
      <c r="A227" s="89"/>
      <c r="B227" s="206"/>
      <c r="C227" s="210"/>
      <c r="D227" s="212"/>
    </row>
    <row r="228" spans="1:13" ht="15.6" customHeight="1">
      <c r="A228" s="93" t="s">
        <v>273</v>
      </c>
      <c r="B228" s="93"/>
      <c r="C228" s="210"/>
      <c r="D228" s="213"/>
      <c r="E228" s="83"/>
      <c r="F228" s="83"/>
      <c r="G228" s="83"/>
      <c r="H228" s="83"/>
    </row>
    <row r="229" spans="1:13" ht="15.6" customHeight="1">
      <c r="A229" s="85" t="s">
        <v>148</v>
      </c>
      <c r="B229" s="90">
        <v>1</v>
      </c>
      <c r="C229" s="210"/>
      <c r="D229" s="213"/>
      <c r="E229" s="83"/>
      <c r="F229" s="83"/>
      <c r="G229" s="83"/>
      <c r="H229" s="83"/>
      <c r="I229" s="83"/>
      <c r="J229" s="83"/>
      <c r="K229" s="83"/>
      <c r="L229" s="83"/>
      <c r="M229" s="83"/>
    </row>
    <row r="230" spans="1:13" ht="15.6" customHeight="1">
      <c r="A230" s="85" t="s">
        <v>274</v>
      </c>
      <c r="B230" s="91">
        <v>3</v>
      </c>
      <c r="C230" s="210"/>
      <c r="D230" s="212"/>
    </row>
    <row r="231" spans="1:13" ht="15.6" customHeight="1">
      <c r="A231" s="85" t="s">
        <v>275</v>
      </c>
      <c r="B231" s="91">
        <v>1</v>
      </c>
      <c r="C231" s="210"/>
      <c r="D231" s="212"/>
    </row>
    <row r="232" spans="1:13" ht="15.6" customHeight="1">
      <c r="A232" s="85" t="s">
        <v>276</v>
      </c>
      <c r="B232" s="91">
        <v>1</v>
      </c>
      <c r="C232" s="210"/>
      <c r="D232" s="212"/>
    </row>
    <row r="233" spans="1:13" ht="15.6" customHeight="1">
      <c r="A233" s="85" t="s">
        <v>277</v>
      </c>
      <c r="B233" s="91">
        <v>1</v>
      </c>
      <c r="C233" s="210"/>
      <c r="D233" s="212"/>
    </row>
    <row r="234" spans="1:13" ht="15.6" customHeight="1">
      <c r="A234" s="85" t="s">
        <v>278</v>
      </c>
      <c r="B234" s="90">
        <v>1</v>
      </c>
      <c r="C234" s="210"/>
      <c r="D234" s="212"/>
    </row>
    <row r="235" spans="1:13" ht="15.6" customHeight="1">
      <c r="A235" s="86" t="s">
        <v>146</v>
      </c>
      <c r="B235" s="206">
        <v>8</v>
      </c>
      <c r="C235" s="210"/>
      <c r="D235" s="212"/>
    </row>
    <row r="236" spans="1:13" ht="15.6" customHeight="1">
      <c r="A236" s="83"/>
      <c r="B236" s="90"/>
      <c r="C236" s="211"/>
      <c r="D236" s="212"/>
    </row>
    <row r="237" spans="1:13" ht="15.6" customHeight="1">
      <c r="A237" s="93" t="s">
        <v>279</v>
      </c>
      <c r="B237" s="93"/>
      <c r="C237" s="210"/>
      <c r="D237" s="214"/>
      <c r="E237" s="89"/>
      <c r="F237" s="89"/>
      <c r="G237" s="89"/>
      <c r="H237" s="89"/>
      <c r="I237" s="89"/>
      <c r="J237" s="89"/>
      <c r="K237" s="89"/>
      <c r="L237" s="89"/>
      <c r="M237" s="89"/>
    </row>
    <row r="238" spans="1:13" ht="15.6" customHeight="1">
      <c r="A238" s="85" t="s">
        <v>280</v>
      </c>
      <c r="B238" s="90">
        <v>25</v>
      </c>
      <c r="C238" s="210"/>
      <c r="D238" s="212"/>
    </row>
    <row r="239" spans="1:13" ht="15.6" customHeight="1">
      <c r="A239" s="85" t="s">
        <v>281</v>
      </c>
      <c r="B239" s="90">
        <v>1</v>
      </c>
      <c r="C239" s="210"/>
      <c r="D239" s="212"/>
    </row>
    <row r="240" spans="1:13" ht="15.6" customHeight="1">
      <c r="A240" s="86" t="s">
        <v>146</v>
      </c>
      <c r="B240" s="206">
        <v>26</v>
      </c>
      <c r="C240" s="215"/>
      <c r="D240" s="212"/>
    </row>
  </sheetData>
  <pageMargins left="0.51181102362204722" right="0.51181102362204722" top="1.1811023622047245" bottom="1.1811023622047245" header="0.78740157480314954" footer="0.78740157480314954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C274"/>
  <sheetViews>
    <sheetView showGridLines="0" topLeftCell="A277" zoomScale="90" zoomScaleNormal="90" workbookViewId="0">
      <selection activeCell="B179" sqref="B179:B193"/>
    </sheetView>
  </sheetViews>
  <sheetFormatPr defaultRowHeight="15.6" customHeight="1"/>
  <cols>
    <col min="1" max="1" width="45.28515625" style="101" customWidth="1"/>
    <col min="2" max="2" width="7.85546875" style="216" customWidth="1"/>
    <col min="3" max="3" width="8.42578125" style="228" customWidth="1"/>
    <col min="4" max="4" width="12.140625" style="102" bestFit="1" customWidth="1"/>
    <col min="5" max="10" width="8.42578125" style="102" customWidth="1"/>
    <col min="11" max="16375" width="8.42578125" style="101" customWidth="1"/>
    <col min="16376" max="16384" width="11.5703125" style="101" customWidth="1"/>
  </cols>
  <sheetData>
    <row r="1" spans="1:4 16376:16383" ht="15.6" customHeight="1">
      <c r="A1" s="100" t="s">
        <v>1403</v>
      </c>
    </row>
    <row r="3" spans="1:4 16376:16383" ht="15.6" customHeight="1">
      <c r="A3" s="114" t="s">
        <v>282</v>
      </c>
      <c r="B3" s="103"/>
      <c r="C3" s="229" t="s">
        <v>1421</v>
      </c>
      <c r="D3" s="222" t="s">
        <v>1422</v>
      </c>
    </row>
    <row r="4" spans="1:4 16376:16383" ht="15.6" customHeight="1">
      <c r="A4" s="104" t="s">
        <v>283</v>
      </c>
      <c r="B4" s="220">
        <v>2</v>
      </c>
      <c r="C4" s="230"/>
      <c r="D4" s="223"/>
    </row>
    <row r="5" spans="1:4 16376:16383" ht="15.6" customHeight="1">
      <c r="A5" s="105" t="s">
        <v>284</v>
      </c>
      <c r="B5" s="220">
        <v>2</v>
      </c>
      <c r="C5" s="230"/>
      <c r="D5" s="223"/>
      <c r="XEV5" s="106"/>
      <c r="XEW5" s="106"/>
      <c r="XEX5" s="106"/>
      <c r="XEY5" s="106"/>
      <c r="XEZ5" s="106"/>
      <c r="XFA5" s="106"/>
      <c r="XFB5" s="106"/>
      <c r="XFC5" s="106"/>
    </row>
    <row r="6" spans="1:4 16376:16383" ht="15.6" customHeight="1">
      <c r="A6" s="105" t="s">
        <v>285</v>
      </c>
      <c r="B6" s="220">
        <v>1</v>
      </c>
      <c r="C6" s="230"/>
      <c r="D6" s="223"/>
    </row>
    <row r="7" spans="1:4 16376:16383" s="106" customFormat="1" ht="15.6" customHeight="1">
      <c r="A7" s="105" t="s">
        <v>286</v>
      </c>
      <c r="B7" s="221">
        <v>1</v>
      </c>
      <c r="C7" s="231"/>
      <c r="D7" s="224"/>
      <c r="XEV7" s="101"/>
      <c r="XEW7" s="101"/>
      <c r="XEX7" s="101"/>
      <c r="XEY7" s="101"/>
      <c r="XEZ7" s="101"/>
      <c r="XFA7" s="101"/>
      <c r="XFB7" s="101"/>
      <c r="XFC7" s="101"/>
    </row>
    <row r="8" spans="1:4 16376:16383" ht="15.6" customHeight="1">
      <c r="A8" s="105" t="s">
        <v>287</v>
      </c>
      <c r="B8" s="220">
        <v>1</v>
      </c>
      <c r="C8" s="230"/>
      <c r="D8" s="223"/>
    </row>
    <row r="9" spans="1:4 16376:16383" ht="15.6" customHeight="1">
      <c r="A9" s="105" t="s">
        <v>288</v>
      </c>
      <c r="B9" s="220">
        <v>1</v>
      </c>
      <c r="C9" s="230"/>
      <c r="D9" s="223"/>
    </row>
    <row r="10" spans="1:4 16376:16383" ht="15.6" customHeight="1">
      <c r="A10" s="105" t="s">
        <v>289</v>
      </c>
      <c r="B10" s="220">
        <v>2</v>
      </c>
      <c r="C10" s="230"/>
      <c r="D10" s="223"/>
    </row>
    <row r="11" spans="1:4 16376:16383" ht="15.6" customHeight="1">
      <c r="A11" s="105" t="s">
        <v>290</v>
      </c>
      <c r="B11" s="220">
        <v>1</v>
      </c>
      <c r="C11" s="230"/>
      <c r="D11" s="223"/>
    </row>
    <row r="12" spans="1:4 16376:16383" ht="15.6" customHeight="1">
      <c r="A12" s="105" t="s">
        <v>291</v>
      </c>
      <c r="B12" s="220">
        <v>2</v>
      </c>
      <c r="C12" s="230"/>
      <c r="D12" s="223"/>
    </row>
    <row r="13" spans="1:4 16376:16383" ht="15.6" customHeight="1">
      <c r="A13" s="105" t="s">
        <v>292</v>
      </c>
      <c r="B13" s="220">
        <v>2</v>
      </c>
      <c r="C13" s="230"/>
      <c r="D13" s="223"/>
    </row>
    <row r="14" spans="1:4 16376:16383" ht="15.6" customHeight="1">
      <c r="A14" s="104" t="s">
        <v>293</v>
      </c>
      <c r="B14" s="220">
        <v>2</v>
      </c>
      <c r="C14" s="230"/>
      <c r="D14" s="223"/>
    </row>
    <row r="15" spans="1:4 16376:16383" ht="15.6" customHeight="1">
      <c r="A15" s="104" t="s">
        <v>294</v>
      </c>
      <c r="B15" s="220">
        <v>1</v>
      </c>
      <c r="C15" s="230"/>
      <c r="D15" s="223"/>
    </row>
    <row r="16" spans="1:4 16376:16383" ht="15.6" customHeight="1">
      <c r="A16" s="104" t="s">
        <v>295</v>
      </c>
      <c r="B16" s="220">
        <v>6</v>
      </c>
      <c r="C16" s="230"/>
      <c r="D16" s="223"/>
    </row>
    <row r="17" spans="1:4" ht="15.6" customHeight="1">
      <c r="A17" s="104" t="s">
        <v>296</v>
      </c>
      <c r="B17" s="220">
        <v>1</v>
      </c>
      <c r="C17" s="230"/>
      <c r="D17" s="223"/>
    </row>
    <row r="18" spans="1:4" ht="15.6" customHeight="1">
      <c r="A18" s="104" t="s">
        <v>297</v>
      </c>
      <c r="B18" s="220">
        <v>1</v>
      </c>
      <c r="C18" s="230"/>
      <c r="D18" s="223"/>
    </row>
    <row r="19" spans="1:4" ht="15.6" customHeight="1">
      <c r="A19" s="104" t="s">
        <v>298</v>
      </c>
      <c r="B19" s="220">
        <v>1</v>
      </c>
      <c r="C19" s="230"/>
      <c r="D19" s="223"/>
    </row>
    <row r="20" spans="1:4" ht="15.6" customHeight="1">
      <c r="A20" s="104" t="s">
        <v>299</v>
      </c>
      <c r="B20" s="220">
        <v>1</v>
      </c>
      <c r="C20" s="230"/>
      <c r="D20" s="223"/>
    </row>
    <row r="21" spans="1:4" ht="15.6" customHeight="1">
      <c r="A21" s="107" t="s">
        <v>300</v>
      </c>
      <c r="B21" s="220">
        <v>3</v>
      </c>
      <c r="C21" s="230"/>
      <c r="D21" s="223"/>
    </row>
    <row r="22" spans="1:4" ht="15.6" customHeight="1">
      <c r="A22" s="105" t="s">
        <v>301</v>
      </c>
      <c r="B22" s="220">
        <v>1</v>
      </c>
      <c r="C22" s="230"/>
      <c r="D22" s="223"/>
    </row>
    <row r="23" spans="1:4" ht="15.6" customHeight="1">
      <c r="A23" s="105" t="s">
        <v>302</v>
      </c>
      <c r="B23" s="220">
        <v>1</v>
      </c>
      <c r="C23" s="230"/>
      <c r="D23" s="223"/>
    </row>
    <row r="24" spans="1:4" ht="15.6" customHeight="1">
      <c r="A24" s="104" t="s">
        <v>303</v>
      </c>
      <c r="B24" s="220">
        <v>1</v>
      </c>
      <c r="C24" s="230"/>
      <c r="D24" s="223"/>
    </row>
    <row r="25" spans="1:4" ht="15.6" customHeight="1">
      <c r="A25" s="104" t="s">
        <v>304</v>
      </c>
      <c r="B25" s="220">
        <v>2</v>
      </c>
      <c r="C25" s="230"/>
      <c r="D25" s="223"/>
    </row>
    <row r="26" spans="1:4" ht="15.6" customHeight="1">
      <c r="A26" s="104" t="s">
        <v>305</v>
      </c>
      <c r="B26" s="220">
        <v>1</v>
      </c>
      <c r="C26" s="230"/>
      <c r="D26" s="223"/>
    </row>
    <row r="27" spans="1:4" ht="15.6" customHeight="1">
      <c r="A27" s="104" t="s">
        <v>306</v>
      </c>
      <c r="B27" s="220">
        <v>1</v>
      </c>
      <c r="C27" s="230"/>
      <c r="D27" s="223"/>
    </row>
    <row r="28" spans="1:4" ht="15.6" customHeight="1">
      <c r="A28" s="104" t="s">
        <v>307</v>
      </c>
      <c r="B28" s="220">
        <v>1</v>
      </c>
      <c r="C28" s="230"/>
      <c r="D28" s="223"/>
    </row>
    <row r="29" spans="1:4" ht="15.6" customHeight="1">
      <c r="A29" s="104" t="s">
        <v>308</v>
      </c>
      <c r="B29" s="220">
        <v>1</v>
      </c>
      <c r="C29" s="230"/>
      <c r="D29" s="223"/>
    </row>
    <row r="30" spans="1:4" ht="15.6" customHeight="1">
      <c r="A30" s="104" t="s">
        <v>309</v>
      </c>
      <c r="B30" s="220">
        <v>1</v>
      </c>
      <c r="C30" s="230"/>
      <c r="D30" s="223"/>
    </row>
    <row r="31" spans="1:4" ht="15.6" customHeight="1">
      <c r="A31" s="104" t="s">
        <v>310</v>
      </c>
      <c r="B31" s="220">
        <v>10</v>
      </c>
      <c r="C31" s="230"/>
      <c r="D31" s="223"/>
    </row>
    <row r="32" spans="1:4" ht="15.6" customHeight="1">
      <c r="A32" s="104" t="s">
        <v>311</v>
      </c>
      <c r="B32" s="220">
        <v>25</v>
      </c>
      <c r="C32" s="230"/>
      <c r="D32" s="223"/>
    </row>
    <row r="33" spans="1:4" ht="15.6" customHeight="1">
      <c r="A33" s="104" t="s">
        <v>312</v>
      </c>
      <c r="B33" s="220">
        <v>6</v>
      </c>
      <c r="C33" s="230"/>
      <c r="D33" s="223"/>
    </row>
    <row r="34" spans="1:4" ht="15.6" customHeight="1">
      <c r="A34" s="104" t="s">
        <v>313</v>
      </c>
      <c r="B34" s="220">
        <v>1</v>
      </c>
      <c r="C34" s="230"/>
      <c r="D34" s="223"/>
    </row>
    <row r="35" spans="1:4" ht="15.6" customHeight="1">
      <c r="A35" s="104" t="s">
        <v>314</v>
      </c>
      <c r="B35" s="220">
        <v>1</v>
      </c>
      <c r="C35" s="230"/>
      <c r="D35" s="223"/>
    </row>
    <row r="36" spans="1:4" ht="15.6" customHeight="1">
      <c r="A36" s="105" t="s">
        <v>315</v>
      </c>
      <c r="B36" s="220">
        <v>1</v>
      </c>
      <c r="C36" s="230"/>
      <c r="D36" s="223"/>
    </row>
    <row r="37" spans="1:4" ht="15.6" customHeight="1">
      <c r="A37" s="105" t="s">
        <v>316</v>
      </c>
      <c r="B37" s="220">
        <v>3</v>
      </c>
      <c r="C37" s="230"/>
      <c r="D37" s="223"/>
    </row>
    <row r="38" spans="1:4" ht="15.6" customHeight="1">
      <c r="A38" s="105" t="s">
        <v>317</v>
      </c>
      <c r="B38" s="220">
        <v>2</v>
      </c>
      <c r="C38" s="230"/>
      <c r="D38" s="223"/>
    </row>
    <row r="39" spans="1:4" ht="15.6" customHeight="1">
      <c r="A39" s="105" t="s">
        <v>318</v>
      </c>
      <c r="B39" s="220">
        <v>1</v>
      </c>
      <c r="C39" s="230"/>
      <c r="D39" s="223"/>
    </row>
    <row r="40" spans="1:4" ht="15.6" customHeight="1">
      <c r="A40" s="105" t="s">
        <v>319</v>
      </c>
      <c r="B40" s="220">
        <v>1</v>
      </c>
      <c r="C40" s="230"/>
      <c r="D40" s="223"/>
    </row>
    <row r="41" spans="1:4" ht="15.6" customHeight="1">
      <c r="A41" s="105" t="s">
        <v>320</v>
      </c>
      <c r="B41" s="220">
        <v>1</v>
      </c>
      <c r="C41" s="230"/>
      <c r="D41" s="223"/>
    </row>
    <row r="42" spans="1:4" ht="15.6" customHeight="1">
      <c r="A42" s="105" t="s">
        <v>321</v>
      </c>
      <c r="B42" s="220">
        <v>1</v>
      </c>
      <c r="C42" s="230"/>
      <c r="D42" s="223"/>
    </row>
    <row r="43" spans="1:4" ht="15.6" customHeight="1">
      <c r="A43" s="105" t="s">
        <v>322</v>
      </c>
      <c r="B43" s="220">
        <v>1</v>
      </c>
      <c r="C43" s="230"/>
      <c r="D43" s="223"/>
    </row>
    <row r="44" spans="1:4" ht="15.6" customHeight="1">
      <c r="A44" s="104" t="s">
        <v>323</v>
      </c>
      <c r="B44" s="220">
        <v>1</v>
      </c>
      <c r="C44" s="230"/>
      <c r="D44" s="223"/>
    </row>
    <row r="45" spans="1:4" ht="15.6" customHeight="1">
      <c r="A45" s="104" t="s">
        <v>324</v>
      </c>
      <c r="B45" s="220">
        <v>1</v>
      </c>
      <c r="C45" s="230"/>
      <c r="D45" s="223"/>
    </row>
    <row r="46" spans="1:4" ht="15.6" customHeight="1">
      <c r="A46" s="105" t="s">
        <v>325</v>
      </c>
      <c r="B46" s="220">
        <v>1</v>
      </c>
      <c r="C46" s="230"/>
      <c r="D46" s="223"/>
    </row>
    <row r="47" spans="1:4" ht="15.6" customHeight="1">
      <c r="A47" s="105" t="s">
        <v>326</v>
      </c>
      <c r="B47" s="220">
        <v>1</v>
      </c>
      <c r="C47" s="230"/>
      <c r="D47" s="223"/>
    </row>
    <row r="48" spans="1:4" ht="15.6" customHeight="1">
      <c r="A48" s="105" t="s">
        <v>327</v>
      </c>
      <c r="B48" s="220">
        <v>1</v>
      </c>
      <c r="C48" s="230"/>
      <c r="D48" s="223"/>
    </row>
    <row r="49" spans="1:4" ht="15.6" customHeight="1">
      <c r="A49" s="105" t="s">
        <v>328</v>
      </c>
      <c r="B49" s="220">
        <v>1</v>
      </c>
      <c r="C49" s="230"/>
      <c r="D49" s="223"/>
    </row>
    <row r="50" spans="1:4" ht="15.6" customHeight="1">
      <c r="A50" s="105" t="s">
        <v>329</v>
      </c>
      <c r="B50" s="220">
        <v>1</v>
      </c>
      <c r="C50" s="230"/>
      <c r="D50" s="223"/>
    </row>
    <row r="51" spans="1:4" ht="15.6" customHeight="1">
      <c r="A51" s="104" t="s">
        <v>330</v>
      </c>
      <c r="B51" s="220">
        <v>1</v>
      </c>
      <c r="C51" s="230"/>
      <c r="D51" s="223"/>
    </row>
    <row r="52" spans="1:4" ht="15.6" customHeight="1">
      <c r="A52" s="104" t="s">
        <v>331</v>
      </c>
      <c r="B52" s="220">
        <v>1</v>
      </c>
      <c r="C52" s="230"/>
      <c r="D52" s="223"/>
    </row>
    <row r="53" spans="1:4" ht="15.6" customHeight="1">
      <c r="A53" s="104" t="s">
        <v>332</v>
      </c>
      <c r="B53" s="220">
        <v>1</v>
      </c>
      <c r="C53" s="230"/>
      <c r="D53" s="223"/>
    </row>
    <row r="54" spans="1:4" ht="15.6" customHeight="1">
      <c r="A54" s="108" t="s">
        <v>146</v>
      </c>
      <c r="B54" s="225">
        <v>95</v>
      </c>
      <c r="C54" s="230"/>
      <c r="D54" s="223"/>
    </row>
    <row r="55" spans="1:4" ht="15.6" customHeight="1">
      <c r="A55" s="110"/>
      <c r="B55" s="217"/>
      <c r="C55" s="230"/>
      <c r="D55" s="223"/>
    </row>
    <row r="56" spans="1:4" ht="15.6" customHeight="1">
      <c r="A56" s="114" t="s">
        <v>333</v>
      </c>
      <c r="B56" s="103"/>
      <c r="C56" s="230"/>
      <c r="D56" s="223"/>
    </row>
    <row r="57" spans="1:4" ht="15.6" customHeight="1">
      <c r="A57" s="104" t="s">
        <v>334</v>
      </c>
      <c r="B57" s="220">
        <v>1</v>
      </c>
      <c r="C57" s="230"/>
      <c r="D57" s="223"/>
    </row>
    <row r="58" spans="1:4" ht="15.6" customHeight="1">
      <c r="A58" s="104" t="s">
        <v>334</v>
      </c>
      <c r="B58" s="220">
        <v>1</v>
      </c>
      <c r="C58" s="230"/>
      <c r="D58" s="223"/>
    </row>
    <row r="59" spans="1:4" ht="15.6" customHeight="1">
      <c r="A59" s="104" t="s">
        <v>335</v>
      </c>
      <c r="B59" s="220">
        <v>1</v>
      </c>
      <c r="C59" s="230"/>
      <c r="D59" s="223"/>
    </row>
    <row r="60" spans="1:4" ht="15.6" customHeight="1">
      <c r="A60" s="104" t="s">
        <v>336</v>
      </c>
      <c r="B60" s="220">
        <v>1</v>
      </c>
      <c r="C60" s="230"/>
      <c r="D60" s="223"/>
    </row>
    <row r="61" spans="1:4" ht="15.6" customHeight="1">
      <c r="A61" s="104" t="s">
        <v>337</v>
      </c>
      <c r="B61" s="220">
        <v>1</v>
      </c>
      <c r="C61" s="230"/>
      <c r="D61" s="223"/>
    </row>
    <row r="62" spans="1:4" ht="15.6" customHeight="1">
      <c r="A62" s="104" t="s">
        <v>338</v>
      </c>
      <c r="B62" s="220">
        <v>1</v>
      </c>
      <c r="C62" s="230"/>
      <c r="D62" s="223"/>
    </row>
    <row r="63" spans="1:4" ht="15.6" customHeight="1">
      <c r="A63" s="104" t="s">
        <v>339</v>
      </c>
      <c r="B63" s="220">
        <v>1</v>
      </c>
      <c r="C63" s="230"/>
      <c r="D63" s="223"/>
    </row>
    <row r="64" spans="1:4" ht="15.6" customHeight="1">
      <c r="A64" s="104" t="s">
        <v>340</v>
      </c>
      <c r="B64" s="220">
        <v>1</v>
      </c>
      <c r="C64" s="230"/>
      <c r="D64" s="223"/>
    </row>
    <row r="65" spans="1:4" ht="15.6" customHeight="1">
      <c r="A65" s="104" t="s">
        <v>341</v>
      </c>
      <c r="B65" s="220">
        <v>1</v>
      </c>
      <c r="C65" s="230"/>
      <c r="D65" s="223"/>
    </row>
    <row r="66" spans="1:4" ht="15.6" customHeight="1">
      <c r="A66" s="104" t="s">
        <v>342</v>
      </c>
      <c r="B66" s="220">
        <v>1</v>
      </c>
      <c r="C66" s="230"/>
      <c r="D66" s="223"/>
    </row>
    <row r="67" spans="1:4" ht="15.6" customHeight="1">
      <c r="A67" s="104" t="s">
        <v>343</v>
      </c>
      <c r="B67" s="220">
        <v>1</v>
      </c>
      <c r="C67" s="230"/>
      <c r="D67" s="223"/>
    </row>
    <row r="68" spans="1:4" ht="15.6" customHeight="1">
      <c r="A68" s="104" t="s">
        <v>344</v>
      </c>
      <c r="B68" s="220">
        <v>1</v>
      </c>
      <c r="C68" s="230"/>
      <c r="D68" s="223"/>
    </row>
    <row r="69" spans="1:4" ht="15.6" customHeight="1">
      <c r="A69" s="104" t="s">
        <v>345</v>
      </c>
      <c r="B69" s="220">
        <v>1</v>
      </c>
      <c r="C69" s="230"/>
      <c r="D69" s="223"/>
    </row>
    <row r="70" spans="1:4" ht="15.6" customHeight="1">
      <c r="A70" s="104" t="s">
        <v>346</v>
      </c>
      <c r="B70" s="220">
        <v>1</v>
      </c>
      <c r="C70" s="230"/>
      <c r="D70" s="223"/>
    </row>
    <row r="71" spans="1:4" ht="15.6" customHeight="1">
      <c r="A71" s="104" t="s">
        <v>347</v>
      </c>
      <c r="B71" s="220">
        <v>1</v>
      </c>
      <c r="C71" s="230"/>
      <c r="D71" s="223"/>
    </row>
    <row r="72" spans="1:4" ht="15.6" customHeight="1">
      <c r="A72" s="104" t="s">
        <v>347</v>
      </c>
      <c r="B72" s="220">
        <v>1</v>
      </c>
      <c r="C72" s="230"/>
      <c r="D72" s="223"/>
    </row>
    <row r="73" spans="1:4" ht="15.6" customHeight="1">
      <c r="A73" s="104" t="s">
        <v>348</v>
      </c>
      <c r="B73" s="220">
        <v>1</v>
      </c>
      <c r="C73" s="230"/>
      <c r="D73" s="223"/>
    </row>
    <row r="74" spans="1:4" ht="15.6" customHeight="1">
      <c r="A74" s="108" t="s">
        <v>349</v>
      </c>
      <c r="B74" s="225">
        <v>17</v>
      </c>
      <c r="C74" s="230"/>
      <c r="D74" s="223"/>
    </row>
    <row r="75" spans="1:4" ht="15.6" customHeight="1">
      <c r="A75" s="109"/>
      <c r="B75" s="217"/>
      <c r="C75" s="230"/>
      <c r="D75" s="223"/>
    </row>
    <row r="76" spans="1:4" ht="15.6" customHeight="1">
      <c r="A76" s="114" t="s">
        <v>350</v>
      </c>
      <c r="B76" s="103"/>
      <c r="C76" s="230"/>
      <c r="D76" s="223"/>
    </row>
    <row r="77" spans="1:4" ht="15.6" customHeight="1">
      <c r="A77" s="104" t="s">
        <v>351</v>
      </c>
      <c r="B77" s="220">
        <v>1</v>
      </c>
      <c r="C77" s="230"/>
      <c r="D77" s="223"/>
    </row>
    <row r="78" spans="1:4" ht="15.6" customHeight="1">
      <c r="A78" s="104" t="s">
        <v>352</v>
      </c>
      <c r="B78" s="220">
        <v>1</v>
      </c>
      <c r="C78" s="230"/>
      <c r="D78" s="223"/>
    </row>
    <row r="79" spans="1:4" ht="15.6" customHeight="1">
      <c r="A79" s="104" t="s">
        <v>353</v>
      </c>
      <c r="B79" s="220">
        <v>4</v>
      </c>
      <c r="C79" s="230"/>
      <c r="D79" s="223"/>
    </row>
    <row r="80" spans="1:4" ht="15.6" customHeight="1">
      <c r="A80" s="104" t="s">
        <v>354</v>
      </c>
      <c r="B80" s="220">
        <v>1</v>
      </c>
      <c r="C80" s="230"/>
      <c r="D80" s="223"/>
    </row>
    <row r="81" spans="1:4" ht="15.6" customHeight="1">
      <c r="A81" s="104" t="s">
        <v>355</v>
      </c>
      <c r="B81" s="220">
        <v>1</v>
      </c>
      <c r="C81" s="230"/>
      <c r="D81" s="223"/>
    </row>
    <row r="82" spans="1:4" ht="15.6" customHeight="1">
      <c r="A82" s="104" t="s">
        <v>356</v>
      </c>
      <c r="B82" s="220">
        <v>9</v>
      </c>
      <c r="C82" s="230"/>
      <c r="D82" s="223"/>
    </row>
    <row r="83" spans="1:4" ht="15.6" customHeight="1">
      <c r="A83" s="104" t="s">
        <v>357</v>
      </c>
      <c r="B83" s="220">
        <v>13</v>
      </c>
      <c r="C83" s="230"/>
      <c r="D83" s="223"/>
    </row>
    <row r="84" spans="1:4" ht="15.6" customHeight="1">
      <c r="A84" s="104" t="s">
        <v>358</v>
      </c>
      <c r="B84" s="220">
        <v>1</v>
      </c>
      <c r="C84" s="230"/>
      <c r="D84" s="223"/>
    </row>
    <row r="85" spans="1:4" ht="15.6" customHeight="1">
      <c r="A85" s="104" t="s">
        <v>359</v>
      </c>
      <c r="B85" s="220">
        <v>1</v>
      </c>
      <c r="C85" s="230"/>
      <c r="D85" s="223"/>
    </row>
    <row r="86" spans="1:4" ht="15.6" customHeight="1">
      <c r="A86" s="104" t="s">
        <v>360</v>
      </c>
      <c r="B86" s="220">
        <v>3</v>
      </c>
      <c r="C86" s="230"/>
      <c r="D86" s="223"/>
    </row>
    <row r="87" spans="1:4" ht="15.6" customHeight="1">
      <c r="A87" s="104" t="s">
        <v>361</v>
      </c>
      <c r="B87" s="220">
        <v>1</v>
      </c>
      <c r="C87" s="230"/>
      <c r="D87" s="223"/>
    </row>
    <row r="88" spans="1:4" ht="15.6" customHeight="1">
      <c r="A88" s="108" t="s">
        <v>146</v>
      </c>
      <c r="B88" s="225">
        <v>36</v>
      </c>
      <c r="C88" s="230"/>
      <c r="D88" s="223"/>
    </row>
    <row r="89" spans="1:4" ht="15.6" customHeight="1">
      <c r="A89" s="110"/>
      <c r="B89" s="217"/>
      <c r="C89" s="230"/>
      <c r="D89" s="223"/>
    </row>
    <row r="90" spans="1:4" ht="15.6" customHeight="1">
      <c r="A90" s="114" t="s">
        <v>362</v>
      </c>
      <c r="B90" s="103"/>
      <c r="C90" s="230"/>
      <c r="D90" s="223"/>
    </row>
    <row r="91" spans="1:4" ht="15.6" customHeight="1">
      <c r="A91" s="104" t="s">
        <v>363</v>
      </c>
      <c r="B91" s="220">
        <v>1</v>
      </c>
      <c r="C91" s="230"/>
      <c r="D91" s="223"/>
    </row>
    <row r="92" spans="1:4" ht="15.6" customHeight="1">
      <c r="A92" s="104" t="s">
        <v>363</v>
      </c>
      <c r="B92" s="220">
        <v>1</v>
      </c>
      <c r="C92" s="230"/>
      <c r="D92" s="223"/>
    </row>
    <row r="93" spans="1:4" ht="15.6" customHeight="1">
      <c r="A93" s="104" t="s">
        <v>363</v>
      </c>
      <c r="B93" s="220">
        <v>1</v>
      </c>
      <c r="C93" s="230"/>
      <c r="D93" s="223"/>
    </row>
    <row r="94" spans="1:4" ht="15.6" customHeight="1">
      <c r="A94" s="104" t="s">
        <v>363</v>
      </c>
      <c r="B94" s="220">
        <v>1</v>
      </c>
      <c r="C94" s="230"/>
      <c r="D94" s="223"/>
    </row>
    <row r="95" spans="1:4" ht="15.6" customHeight="1">
      <c r="A95" s="104" t="s">
        <v>363</v>
      </c>
      <c r="B95" s="220">
        <v>1</v>
      </c>
      <c r="C95" s="230"/>
      <c r="D95" s="223"/>
    </row>
    <row r="96" spans="1:4" ht="15.6" customHeight="1">
      <c r="A96" s="104" t="s">
        <v>363</v>
      </c>
      <c r="B96" s="220">
        <v>1</v>
      </c>
      <c r="C96" s="230"/>
      <c r="D96" s="223"/>
    </row>
    <row r="97" spans="1:4" ht="15.6" customHeight="1">
      <c r="A97" s="104" t="s">
        <v>363</v>
      </c>
      <c r="B97" s="220">
        <v>1</v>
      </c>
      <c r="C97" s="230"/>
      <c r="D97" s="223"/>
    </row>
    <row r="98" spans="1:4" ht="15.6" customHeight="1">
      <c r="A98" s="104" t="s">
        <v>364</v>
      </c>
      <c r="B98" s="220">
        <v>1</v>
      </c>
      <c r="C98" s="230"/>
      <c r="D98" s="223"/>
    </row>
    <row r="99" spans="1:4" ht="15.6" customHeight="1">
      <c r="A99" s="108" t="s">
        <v>365</v>
      </c>
      <c r="B99" s="225">
        <v>8</v>
      </c>
      <c r="C99" s="230"/>
      <c r="D99" s="223"/>
    </row>
    <row r="100" spans="1:4" ht="15.6" customHeight="1">
      <c r="A100" s="110"/>
      <c r="B100" s="217"/>
      <c r="C100" s="230"/>
      <c r="D100" s="223"/>
    </row>
    <row r="101" spans="1:4" ht="15.6" customHeight="1">
      <c r="A101" s="114" t="s">
        <v>366</v>
      </c>
      <c r="B101" s="103"/>
      <c r="C101" s="230"/>
      <c r="D101" s="223"/>
    </row>
    <row r="102" spans="1:4" ht="15.6" customHeight="1">
      <c r="A102" s="104" t="s">
        <v>367</v>
      </c>
      <c r="B102" s="220">
        <v>1</v>
      </c>
      <c r="C102" s="230"/>
      <c r="D102" s="223"/>
    </row>
    <row r="103" spans="1:4" ht="15.6" customHeight="1">
      <c r="A103" s="104" t="s">
        <v>368</v>
      </c>
      <c r="B103" s="220">
        <v>1</v>
      </c>
      <c r="C103" s="230"/>
      <c r="D103" s="223"/>
    </row>
    <row r="104" spans="1:4" ht="15.6" customHeight="1">
      <c r="A104" s="104" t="s">
        <v>369</v>
      </c>
      <c r="B104" s="220">
        <v>1</v>
      </c>
      <c r="C104" s="230"/>
      <c r="D104" s="223"/>
    </row>
    <row r="105" spans="1:4" ht="15.6" customHeight="1">
      <c r="A105" s="104" t="s">
        <v>146</v>
      </c>
      <c r="B105" s="225">
        <v>3</v>
      </c>
      <c r="C105" s="230"/>
      <c r="D105" s="223"/>
    </row>
    <row r="106" spans="1:4" ht="15.6" customHeight="1">
      <c r="A106" s="115"/>
      <c r="B106" s="217"/>
      <c r="C106" s="230"/>
      <c r="D106" s="223"/>
    </row>
    <row r="107" spans="1:4" ht="15.6" customHeight="1">
      <c r="A107" s="114" t="s">
        <v>370</v>
      </c>
      <c r="B107" s="103"/>
      <c r="C107" s="230"/>
      <c r="D107" s="223"/>
    </row>
    <row r="108" spans="1:4" ht="15.6" customHeight="1">
      <c r="A108" s="104" t="s">
        <v>371</v>
      </c>
      <c r="B108" s="220">
        <v>1</v>
      </c>
      <c r="C108" s="230"/>
      <c r="D108" s="223"/>
    </row>
    <row r="109" spans="1:4" ht="15.6" customHeight="1">
      <c r="A109" s="104" t="s">
        <v>372</v>
      </c>
      <c r="B109" s="220">
        <v>1</v>
      </c>
      <c r="C109" s="230"/>
      <c r="D109" s="223"/>
    </row>
    <row r="110" spans="1:4" ht="15.6" customHeight="1">
      <c r="A110" s="104" t="s">
        <v>373</v>
      </c>
      <c r="B110" s="220">
        <v>1</v>
      </c>
      <c r="C110" s="230"/>
      <c r="D110" s="223"/>
    </row>
    <row r="111" spans="1:4" ht="15.6" customHeight="1">
      <c r="A111" s="104" t="s">
        <v>374</v>
      </c>
      <c r="B111" s="220">
        <v>2</v>
      </c>
      <c r="C111" s="230"/>
      <c r="D111" s="223"/>
    </row>
    <row r="112" spans="1:4" ht="15.6" customHeight="1">
      <c r="A112" s="104" t="s">
        <v>375</v>
      </c>
      <c r="B112" s="220">
        <v>1</v>
      </c>
      <c r="C112" s="230"/>
      <c r="D112" s="223"/>
    </row>
    <row r="113" spans="1:4" ht="15.6" customHeight="1">
      <c r="A113" s="104" t="s">
        <v>376</v>
      </c>
      <c r="B113" s="220">
        <v>1</v>
      </c>
      <c r="C113" s="230"/>
      <c r="D113" s="223"/>
    </row>
    <row r="114" spans="1:4" ht="15.6" customHeight="1">
      <c r="A114" s="104" t="s">
        <v>377</v>
      </c>
      <c r="B114" s="220">
        <v>1</v>
      </c>
      <c r="C114" s="230"/>
      <c r="D114" s="223"/>
    </row>
    <row r="115" spans="1:4" ht="15.6" customHeight="1">
      <c r="A115" s="104" t="s">
        <v>378</v>
      </c>
      <c r="B115" s="220">
        <v>1</v>
      </c>
      <c r="C115" s="230"/>
      <c r="D115" s="223"/>
    </row>
    <row r="116" spans="1:4" ht="15.6" customHeight="1">
      <c r="A116" s="104" t="s">
        <v>379</v>
      </c>
      <c r="B116" s="220">
        <v>2</v>
      </c>
      <c r="C116" s="230"/>
      <c r="D116" s="223"/>
    </row>
    <row r="117" spans="1:4" ht="15.6" customHeight="1">
      <c r="A117" s="104" t="s">
        <v>380</v>
      </c>
      <c r="B117" s="220">
        <v>1</v>
      </c>
      <c r="C117" s="230"/>
      <c r="D117" s="223"/>
    </row>
    <row r="118" spans="1:4" ht="15.6" customHeight="1">
      <c r="A118" s="104" t="s">
        <v>381</v>
      </c>
      <c r="B118" s="220">
        <v>1</v>
      </c>
      <c r="C118" s="230"/>
      <c r="D118" s="223"/>
    </row>
    <row r="119" spans="1:4" ht="15.6" customHeight="1">
      <c r="A119" s="104" t="s">
        <v>283</v>
      </c>
      <c r="B119" s="220">
        <v>2</v>
      </c>
      <c r="C119" s="230"/>
      <c r="D119" s="223"/>
    </row>
    <row r="120" spans="1:4" ht="15.6" customHeight="1">
      <c r="A120" s="104" t="s">
        <v>382</v>
      </c>
      <c r="B120" s="220">
        <v>2</v>
      </c>
      <c r="C120" s="230"/>
      <c r="D120" s="223"/>
    </row>
    <row r="121" spans="1:4" ht="15.6" customHeight="1">
      <c r="A121" s="104" t="s">
        <v>285</v>
      </c>
      <c r="B121" s="220">
        <v>1</v>
      </c>
      <c r="C121" s="230"/>
      <c r="D121" s="223"/>
    </row>
    <row r="122" spans="1:4" ht="15.6" customHeight="1">
      <c r="A122" s="104" t="s">
        <v>369</v>
      </c>
      <c r="B122" s="220">
        <v>1</v>
      </c>
      <c r="C122" s="230"/>
      <c r="D122" s="223"/>
    </row>
    <row r="123" spans="1:4" ht="15.6" customHeight="1">
      <c r="A123" s="108" t="s">
        <v>146</v>
      </c>
      <c r="B123" s="225">
        <v>19</v>
      </c>
      <c r="C123" s="230"/>
      <c r="D123" s="223"/>
    </row>
    <row r="124" spans="1:4" ht="15.6" customHeight="1">
      <c r="A124" s="110"/>
      <c r="B124" s="217"/>
      <c r="C124" s="230"/>
      <c r="D124" s="223"/>
    </row>
    <row r="125" spans="1:4" ht="15.6" customHeight="1">
      <c r="A125" s="114" t="s">
        <v>383</v>
      </c>
      <c r="B125" s="103"/>
      <c r="C125" s="230"/>
      <c r="D125" s="223"/>
    </row>
    <row r="126" spans="1:4" ht="15.6" customHeight="1">
      <c r="A126" s="104" t="s">
        <v>384</v>
      </c>
      <c r="B126" s="220">
        <v>1</v>
      </c>
      <c r="C126" s="230"/>
      <c r="D126" s="223"/>
    </row>
    <row r="127" spans="1:4" ht="15.6" customHeight="1">
      <c r="A127" s="104" t="s">
        <v>385</v>
      </c>
      <c r="B127" s="220">
        <v>1</v>
      </c>
      <c r="C127" s="230"/>
      <c r="D127" s="223"/>
    </row>
    <row r="128" spans="1:4" ht="15.6" customHeight="1">
      <c r="A128" s="104" t="s">
        <v>386</v>
      </c>
      <c r="B128" s="220">
        <v>1</v>
      </c>
      <c r="C128" s="230"/>
      <c r="D128" s="223"/>
    </row>
    <row r="129" spans="1:4" ht="15.6" customHeight="1">
      <c r="A129" s="104" t="s">
        <v>387</v>
      </c>
      <c r="B129" s="220">
        <v>1</v>
      </c>
      <c r="C129" s="230"/>
      <c r="D129" s="223"/>
    </row>
    <row r="130" spans="1:4" ht="15.6" customHeight="1">
      <c r="A130" s="104" t="s">
        <v>387</v>
      </c>
      <c r="B130" s="220">
        <v>1</v>
      </c>
      <c r="C130" s="230"/>
      <c r="D130" s="223"/>
    </row>
    <row r="131" spans="1:4" ht="15.6" customHeight="1">
      <c r="A131" s="104" t="s">
        <v>388</v>
      </c>
      <c r="B131" s="220">
        <v>1</v>
      </c>
      <c r="C131" s="230"/>
      <c r="D131" s="223"/>
    </row>
    <row r="132" spans="1:4" ht="15.6" customHeight="1">
      <c r="A132" s="104" t="s">
        <v>389</v>
      </c>
      <c r="B132" s="220">
        <v>1</v>
      </c>
      <c r="C132" s="230"/>
      <c r="D132" s="223"/>
    </row>
    <row r="133" spans="1:4" ht="15.6" customHeight="1">
      <c r="A133" s="104" t="s">
        <v>390</v>
      </c>
      <c r="B133" s="220">
        <v>1</v>
      </c>
      <c r="C133" s="230"/>
      <c r="D133" s="223"/>
    </row>
    <row r="134" spans="1:4" ht="15.6" customHeight="1">
      <c r="A134" s="104" t="s">
        <v>391</v>
      </c>
      <c r="B134" s="220">
        <v>1</v>
      </c>
      <c r="C134" s="230"/>
      <c r="D134" s="223"/>
    </row>
    <row r="135" spans="1:4" ht="15.6" customHeight="1">
      <c r="A135" s="104" t="s">
        <v>392</v>
      </c>
      <c r="B135" s="220">
        <v>1</v>
      </c>
      <c r="C135" s="230"/>
      <c r="D135" s="223"/>
    </row>
    <row r="136" spans="1:4" ht="15.6" customHeight="1">
      <c r="A136" s="104" t="s">
        <v>393</v>
      </c>
      <c r="B136" s="220">
        <v>1</v>
      </c>
      <c r="C136" s="230"/>
      <c r="D136" s="223"/>
    </row>
    <row r="137" spans="1:4" ht="15.6" customHeight="1">
      <c r="A137" s="104" t="s">
        <v>394</v>
      </c>
      <c r="B137" s="220">
        <v>1</v>
      </c>
      <c r="C137" s="230"/>
      <c r="D137" s="223"/>
    </row>
    <row r="138" spans="1:4" ht="15.6" customHeight="1">
      <c r="A138" s="104" t="s">
        <v>395</v>
      </c>
      <c r="B138" s="220">
        <v>1</v>
      </c>
      <c r="C138" s="230"/>
      <c r="D138" s="223"/>
    </row>
    <row r="139" spans="1:4" ht="15.6" customHeight="1">
      <c r="A139" s="104" t="s">
        <v>396</v>
      </c>
      <c r="B139" s="220">
        <v>1</v>
      </c>
      <c r="C139" s="230"/>
      <c r="D139" s="223"/>
    </row>
    <row r="140" spans="1:4" ht="15.6" customHeight="1">
      <c r="A140" s="104" t="s">
        <v>397</v>
      </c>
      <c r="B140" s="220">
        <v>1</v>
      </c>
      <c r="C140" s="230"/>
      <c r="D140" s="223"/>
    </row>
    <row r="141" spans="1:4" ht="15.6" customHeight="1">
      <c r="A141" s="104" t="s">
        <v>398</v>
      </c>
      <c r="B141" s="220">
        <v>1</v>
      </c>
      <c r="C141" s="230"/>
      <c r="D141" s="223"/>
    </row>
    <row r="142" spans="1:4" ht="15.6" customHeight="1">
      <c r="A142" s="104" t="s">
        <v>399</v>
      </c>
      <c r="B142" s="220">
        <v>1</v>
      </c>
      <c r="C142" s="230"/>
      <c r="D142" s="223"/>
    </row>
    <row r="143" spans="1:4" ht="15.6" customHeight="1">
      <c r="A143" s="104" t="s">
        <v>400</v>
      </c>
      <c r="B143" s="220">
        <v>1</v>
      </c>
      <c r="C143" s="230"/>
      <c r="D143" s="223"/>
    </row>
    <row r="144" spans="1:4" ht="15.6" customHeight="1">
      <c r="A144" s="104" t="s">
        <v>401</v>
      </c>
      <c r="B144" s="220">
        <v>1</v>
      </c>
      <c r="C144" s="230"/>
      <c r="D144" s="223"/>
    </row>
    <row r="145" spans="1:4" ht="15.6" customHeight="1">
      <c r="A145" s="104" t="s">
        <v>402</v>
      </c>
      <c r="B145" s="220">
        <v>1</v>
      </c>
      <c r="C145" s="230"/>
      <c r="D145" s="223"/>
    </row>
    <row r="146" spans="1:4" ht="15.6" customHeight="1">
      <c r="A146" s="104" t="s">
        <v>403</v>
      </c>
      <c r="B146" s="220">
        <v>1</v>
      </c>
      <c r="C146" s="230"/>
      <c r="D146" s="223"/>
    </row>
    <row r="147" spans="1:4" ht="15.6" customHeight="1">
      <c r="A147" s="104" t="s">
        <v>404</v>
      </c>
      <c r="B147" s="220">
        <v>1</v>
      </c>
      <c r="C147" s="230"/>
      <c r="D147" s="223"/>
    </row>
    <row r="148" spans="1:4" ht="15.6" customHeight="1">
      <c r="A148" s="104" t="s">
        <v>405</v>
      </c>
      <c r="B148" s="220">
        <v>1</v>
      </c>
      <c r="C148" s="230"/>
      <c r="D148" s="223"/>
    </row>
    <row r="149" spans="1:4" ht="15.6" customHeight="1">
      <c r="A149" s="104" t="s">
        <v>406</v>
      </c>
      <c r="B149" s="220">
        <v>1</v>
      </c>
      <c r="C149" s="230"/>
      <c r="D149" s="223"/>
    </row>
    <row r="150" spans="1:4" ht="15.6" customHeight="1">
      <c r="A150" s="104" t="s">
        <v>407</v>
      </c>
      <c r="B150" s="220">
        <v>1</v>
      </c>
      <c r="C150" s="230"/>
      <c r="D150" s="223"/>
    </row>
    <row r="151" spans="1:4" ht="15.6" customHeight="1">
      <c r="A151" s="104" t="s">
        <v>408</v>
      </c>
      <c r="B151" s="220">
        <v>1</v>
      </c>
      <c r="C151" s="230"/>
      <c r="D151" s="223"/>
    </row>
    <row r="152" spans="1:4" ht="15.6" customHeight="1">
      <c r="A152" s="104" t="s">
        <v>409</v>
      </c>
      <c r="B152" s="220">
        <v>1</v>
      </c>
      <c r="C152" s="230"/>
      <c r="D152" s="223"/>
    </row>
    <row r="153" spans="1:4" ht="15.6" customHeight="1">
      <c r="A153" s="104" t="s">
        <v>410</v>
      </c>
      <c r="B153" s="220">
        <v>1</v>
      </c>
      <c r="C153" s="230"/>
      <c r="D153" s="223"/>
    </row>
    <row r="154" spans="1:4" ht="15.6" customHeight="1">
      <c r="A154" s="104" t="s">
        <v>411</v>
      </c>
      <c r="B154" s="220">
        <v>1</v>
      </c>
      <c r="C154" s="230"/>
      <c r="D154" s="223"/>
    </row>
    <row r="155" spans="1:4" ht="15.6" customHeight="1">
      <c r="A155" s="104" t="s">
        <v>411</v>
      </c>
      <c r="B155" s="220">
        <v>1</v>
      </c>
      <c r="C155" s="230"/>
      <c r="D155" s="223"/>
    </row>
    <row r="156" spans="1:4" ht="15.6" customHeight="1">
      <c r="A156" s="104" t="s">
        <v>412</v>
      </c>
      <c r="B156" s="220">
        <v>1</v>
      </c>
      <c r="C156" s="230"/>
      <c r="D156" s="223"/>
    </row>
    <row r="157" spans="1:4" ht="15.6" customHeight="1">
      <c r="A157" s="104" t="s">
        <v>413</v>
      </c>
      <c r="B157" s="220">
        <v>1</v>
      </c>
      <c r="C157" s="230"/>
      <c r="D157" s="223"/>
    </row>
    <row r="158" spans="1:4" ht="15.6" customHeight="1">
      <c r="A158" s="104" t="s">
        <v>414</v>
      </c>
      <c r="B158" s="220">
        <v>1</v>
      </c>
      <c r="C158" s="230"/>
      <c r="D158" s="223"/>
    </row>
    <row r="159" spans="1:4" ht="15.6" customHeight="1">
      <c r="A159" s="104" t="s">
        <v>415</v>
      </c>
      <c r="B159" s="220">
        <v>1</v>
      </c>
      <c r="C159" s="230"/>
      <c r="D159" s="223"/>
    </row>
    <row r="160" spans="1:4" ht="15.6" customHeight="1">
      <c r="A160" s="104" t="s">
        <v>416</v>
      </c>
      <c r="B160" s="220">
        <v>1</v>
      </c>
      <c r="C160" s="230"/>
      <c r="D160" s="223"/>
    </row>
    <row r="161" spans="1:4" ht="15.6" customHeight="1">
      <c r="A161" s="108" t="s">
        <v>417</v>
      </c>
      <c r="B161" s="220">
        <v>35</v>
      </c>
      <c r="C161" s="230"/>
      <c r="D161" s="223"/>
    </row>
    <row r="162" spans="1:4" ht="15.6" customHeight="1">
      <c r="A162" s="110"/>
      <c r="B162" s="218"/>
      <c r="C162" s="230"/>
      <c r="D162" s="223"/>
    </row>
    <row r="163" spans="1:4" ht="15.6" customHeight="1">
      <c r="A163" s="114" t="s">
        <v>418</v>
      </c>
      <c r="B163" s="103"/>
      <c r="C163" s="230"/>
      <c r="D163" s="223"/>
    </row>
    <row r="164" spans="1:4" ht="15.6" customHeight="1">
      <c r="A164" s="111" t="s">
        <v>419</v>
      </c>
      <c r="B164" s="226">
        <v>1</v>
      </c>
      <c r="C164" s="230"/>
      <c r="D164" s="223"/>
    </row>
    <row r="165" spans="1:4" ht="15.6" customHeight="1">
      <c r="A165" s="111" t="s">
        <v>420</v>
      </c>
      <c r="B165" s="226">
        <v>1</v>
      </c>
      <c r="C165" s="230"/>
      <c r="D165" s="223"/>
    </row>
    <row r="166" spans="1:4" ht="15.6" customHeight="1">
      <c r="A166" s="111" t="s">
        <v>421</v>
      </c>
      <c r="B166" s="226">
        <v>1</v>
      </c>
      <c r="C166" s="230"/>
      <c r="D166" s="223"/>
    </row>
    <row r="167" spans="1:4" ht="15.6" customHeight="1">
      <c r="A167" s="111" t="s">
        <v>422</v>
      </c>
      <c r="B167" s="226">
        <v>1</v>
      </c>
      <c r="C167" s="230"/>
      <c r="D167" s="223"/>
    </row>
    <row r="168" spans="1:4" ht="15.6" customHeight="1">
      <c r="A168" s="111" t="s">
        <v>423</v>
      </c>
      <c r="B168" s="226">
        <v>2</v>
      </c>
      <c r="C168" s="230"/>
      <c r="D168" s="223"/>
    </row>
    <row r="169" spans="1:4" ht="15.6" customHeight="1">
      <c r="A169" s="111" t="s">
        <v>424</v>
      </c>
      <c r="B169" s="226">
        <v>2</v>
      </c>
      <c r="C169" s="230"/>
      <c r="D169" s="223"/>
    </row>
    <row r="170" spans="1:4" ht="15.6" customHeight="1">
      <c r="A170" s="111" t="s">
        <v>425</v>
      </c>
      <c r="B170" s="226">
        <v>1</v>
      </c>
      <c r="C170" s="230"/>
      <c r="D170" s="223"/>
    </row>
    <row r="171" spans="1:4" ht="15.6" customHeight="1">
      <c r="A171" s="111" t="s">
        <v>426</v>
      </c>
      <c r="B171" s="226">
        <v>1</v>
      </c>
      <c r="C171" s="230"/>
      <c r="D171" s="223"/>
    </row>
    <row r="172" spans="1:4" ht="15.6" customHeight="1">
      <c r="A172" s="111" t="s">
        <v>427</v>
      </c>
      <c r="B172" s="226">
        <v>2</v>
      </c>
      <c r="C172" s="230"/>
      <c r="D172" s="223"/>
    </row>
    <row r="173" spans="1:4" ht="15.6" customHeight="1">
      <c r="A173" s="111" t="s">
        <v>428</v>
      </c>
      <c r="B173" s="226">
        <v>1</v>
      </c>
      <c r="C173" s="230"/>
      <c r="D173" s="223"/>
    </row>
    <row r="174" spans="1:4" ht="15.6" customHeight="1">
      <c r="A174" s="111" t="s">
        <v>429</v>
      </c>
      <c r="B174" s="226">
        <v>1</v>
      </c>
      <c r="C174" s="230"/>
      <c r="D174" s="223"/>
    </row>
    <row r="175" spans="1:4" ht="15.6" customHeight="1">
      <c r="A175" s="111" t="s">
        <v>430</v>
      </c>
      <c r="B175" s="226">
        <v>1</v>
      </c>
      <c r="C175" s="230"/>
      <c r="D175" s="223"/>
    </row>
    <row r="176" spans="1:4" ht="15.6" customHeight="1">
      <c r="A176" s="112" t="s">
        <v>146</v>
      </c>
      <c r="B176" s="227">
        <v>15</v>
      </c>
      <c r="C176" s="230"/>
      <c r="D176" s="223"/>
    </row>
    <row r="177" spans="1:5" ht="15.6" customHeight="1">
      <c r="A177" s="113"/>
      <c r="B177" s="219"/>
      <c r="C177" s="230"/>
      <c r="D177" s="223"/>
    </row>
    <row r="178" spans="1:5" ht="15.6" customHeight="1">
      <c r="A178" s="114" t="s">
        <v>431</v>
      </c>
      <c r="B178" s="103"/>
      <c r="C178" s="230"/>
      <c r="D178" s="223"/>
    </row>
    <row r="179" spans="1:5" ht="15.6" customHeight="1">
      <c r="A179" s="126" t="s">
        <v>432</v>
      </c>
      <c r="B179" s="271">
        <v>1</v>
      </c>
      <c r="C179" s="318"/>
      <c r="D179" s="319"/>
      <c r="E179" s="321" t="s">
        <v>1424</v>
      </c>
    </row>
    <row r="180" spans="1:5" ht="15.6" customHeight="1">
      <c r="A180" s="126" t="s">
        <v>433</v>
      </c>
      <c r="B180" s="271">
        <v>1</v>
      </c>
      <c r="C180" s="318"/>
      <c r="D180" s="319"/>
    </row>
    <row r="181" spans="1:5" ht="15.6" customHeight="1">
      <c r="A181" s="126" t="s">
        <v>434</v>
      </c>
      <c r="B181" s="271">
        <v>1</v>
      </c>
      <c r="C181" s="318"/>
      <c r="D181" s="319"/>
    </row>
    <row r="182" spans="1:5" ht="15.6" customHeight="1">
      <c r="A182" s="126" t="s">
        <v>435</v>
      </c>
      <c r="B182" s="271">
        <v>1</v>
      </c>
      <c r="C182" s="318"/>
      <c r="D182" s="319"/>
    </row>
    <row r="183" spans="1:5" ht="15.6" customHeight="1">
      <c r="A183" s="126" t="s">
        <v>435</v>
      </c>
      <c r="B183" s="271">
        <v>1</v>
      </c>
      <c r="C183" s="318"/>
      <c r="D183" s="319"/>
    </row>
    <row r="184" spans="1:5" ht="15.6" customHeight="1">
      <c r="A184" s="126" t="s">
        <v>435</v>
      </c>
      <c r="B184" s="271">
        <v>1</v>
      </c>
      <c r="C184" s="318"/>
      <c r="D184" s="319"/>
    </row>
    <row r="185" spans="1:5" ht="15.6" customHeight="1">
      <c r="A185" s="126" t="s">
        <v>436</v>
      </c>
      <c r="B185" s="271">
        <v>1</v>
      </c>
      <c r="C185" s="318"/>
      <c r="D185" s="319"/>
    </row>
    <row r="186" spans="1:5" ht="15.6" customHeight="1">
      <c r="A186" s="126" t="s">
        <v>437</v>
      </c>
      <c r="B186" s="271">
        <v>1</v>
      </c>
      <c r="C186" s="318"/>
      <c r="D186" s="319"/>
    </row>
    <row r="187" spans="1:5" ht="15.6" customHeight="1">
      <c r="A187" s="126" t="s">
        <v>438</v>
      </c>
      <c r="B187" s="271">
        <v>1</v>
      </c>
      <c r="C187" s="318"/>
      <c r="D187" s="319"/>
    </row>
    <row r="188" spans="1:5" ht="15.6" customHeight="1">
      <c r="A188" s="126" t="s">
        <v>439</v>
      </c>
      <c r="B188" s="271">
        <v>1</v>
      </c>
      <c r="C188" s="318"/>
      <c r="D188" s="319"/>
    </row>
    <row r="189" spans="1:5" ht="15.6" customHeight="1">
      <c r="A189" s="126" t="s">
        <v>440</v>
      </c>
      <c r="B189" s="271">
        <v>1</v>
      </c>
      <c r="C189" s="318"/>
      <c r="D189" s="319"/>
    </row>
    <row r="190" spans="1:5" ht="15.6" customHeight="1">
      <c r="A190" s="126" t="s">
        <v>440</v>
      </c>
      <c r="B190" s="271">
        <v>1</v>
      </c>
      <c r="C190" s="318"/>
      <c r="D190" s="319"/>
    </row>
    <row r="191" spans="1:5" ht="15.6" customHeight="1">
      <c r="A191" s="126" t="s">
        <v>441</v>
      </c>
      <c r="B191" s="271">
        <v>1</v>
      </c>
      <c r="C191" s="318"/>
      <c r="D191" s="319"/>
    </row>
    <row r="192" spans="1:5" ht="15.6" customHeight="1">
      <c r="A192" s="126" t="s">
        <v>442</v>
      </c>
      <c r="B192" s="271">
        <v>1</v>
      </c>
      <c r="C192" s="318"/>
      <c r="D192" s="319"/>
    </row>
    <row r="193" spans="1:4" ht="15.6" customHeight="1">
      <c r="A193" s="126" t="s">
        <v>443</v>
      </c>
      <c r="B193" s="271">
        <v>1</v>
      </c>
      <c r="C193" s="318"/>
      <c r="D193" s="319"/>
    </row>
    <row r="194" spans="1:4" ht="15.6" customHeight="1">
      <c r="A194" s="320" t="s">
        <v>444</v>
      </c>
      <c r="B194" s="271">
        <v>15</v>
      </c>
      <c r="C194" s="318"/>
      <c r="D194" s="319"/>
    </row>
    <row r="195" spans="1:4" ht="15.6" customHeight="1">
      <c r="A195" s="110"/>
      <c r="B195" s="218"/>
      <c r="C195" s="230"/>
      <c r="D195" s="223"/>
    </row>
    <row r="196" spans="1:4" ht="15.6" customHeight="1">
      <c r="A196" s="114" t="s">
        <v>445</v>
      </c>
      <c r="B196" s="103"/>
      <c r="C196" s="230"/>
      <c r="D196" s="223"/>
    </row>
    <row r="197" spans="1:4" ht="15.6" customHeight="1">
      <c r="A197" s="104" t="s">
        <v>446</v>
      </c>
      <c r="B197" s="220">
        <v>10</v>
      </c>
      <c r="C197" s="230"/>
      <c r="D197" s="223"/>
    </row>
    <row r="198" spans="1:4" ht="15.6" customHeight="1">
      <c r="A198" s="104" t="s">
        <v>447</v>
      </c>
      <c r="B198" s="220">
        <v>10</v>
      </c>
      <c r="C198" s="230"/>
      <c r="D198" s="223"/>
    </row>
    <row r="199" spans="1:4" ht="15.6" customHeight="1">
      <c r="A199" s="104" t="s">
        <v>448</v>
      </c>
      <c r="B199" s="220">
        <v>15</v>
      </c>
      <c r="C199" s="230"/>
      <c r="D199" s="223"/>
    </row>
    <row r="200" spans="1:4" ht="15.6" customHeight="1">
      <c r="A200" s="104" t="s">
        <v>449</v>
      </c>
      <c r="B200" s="220">
        <v>1</v>
      </c>
      <c r="C200" s="230"/>
      <c r="D200" s="223"/>
    </row>
    <row r="201" spans="1:4" ht="15.6" customHeight="1">
      <c r="A201" s="104" t="s">
        <v>450</v>
      </c>
      <c r="B201" s="220">
        <v>4</v>
      </c>
      <c r="C201" s="230"/>
      <c r="D201" s="223"/>
    </row>
    <row r="202" spans="1:4" ht="15.6" customHeight="1">
      <c r="A202" s="104" t="s">
        <v>451</v>
      </c>
      <c r="B202" s="220">
        <v>2</v>
      </c>
      <c r="C202" s="230"/>
      <c r="D202" s="223"/>
    </row>
    <row r="203" spans="1:4" ht="15.6" customHeight="1">
      <c r="A203" s="104" t="s">
        <v>452</v>
      </c>
      <c r="B203" s="220">
        <v>1</v>
      </c>
      <c r="C203" s="230"/>
      <c r="D203" s="223"/>
    </row>
    <row r="204" spans="1:4" ht="15.6" customHeight="1">
      <c r="A204" s="104" t="s">
        <v>453</v>
      </c>
      <c r="B204" s="220">
        <v>2</v>
      </c>
      <c r="C204" s="230"/>
      <c r="D204" s="223"/>
    </row>
    <row r="205" spans="1:4" ht="15.6" customHeight="1">
      <c r="A205" s="104" t="s">
        <v>454</v>
      </c>
      <c r="B205" s="220">
        <v>1</v>
      </c>
      <c r="C205" s="230"/>
      <c r="D205" s="223"/>
    </row>
    <row r="206" spans="1:4" ht="15.6" customHeight="1">
      <c r="A206" s="104" t="s">
        <v>455</v>
      </c>
      <c r="B206" s="220">
        <v>1</v>
      </c>
      <c r="C206" s="230"/>
      <c r="D206" s="223"/>
    </row>
    <row r="207" spans="1:4" ht="15.6" customHeight="1">
      <c r="A207" s="107" t="s">
        <v>456</v>
      </c>
      <c r="B207" s="220">
        <v>2</v>
      </c>
      <c r="C207" s="230"/>
      <c r="D207" s="223"/>
    </row>
    <row r="208" spans="1:4" ht="15.6" customHeight="1">
      <c r="A208" s="107" t="s">
        <v>457</v>
      </c>
      <c r="B208" s="220">
        <v>1</v>
      </c>
      <c r="C208" s="230"/>
      <c r="D208" s="223"/>
    </row>
    <row r="209" spans="1:4" ht="15.6" customHeight="1">
      <c r="A209" s="107" t="s">
        <v>458</v>
      </c>
      <c r="B209" s="220">
        <v>1</v>
      </c>
      <c r="C209" s="230"/>
      <c r="D209" s="223"/>
    </row>
    <row r="210" spans="1:4" ht="15.6" customHeight="1">
      <c r="A210" s="107" t="s">
        <v>459</v>
      </c>
      <c r="B210" s="220">
        <v>1</v>
      </c>
      <c r="C210" s="230"/>
      <c r="D210" s="223"/>
    </row>
    <row r="211" spans="1:4" ht="15.6" customHeight="1">
      <c r="A211" s="104" t="s">
        <v>460</v>
      </c>
      <c r="B211" s="220">
        <v>1</v>
      </c>
      <c r="C211" s="230"/>
      <c r="D211" s="223"/>
    </row>
    <row r="212" spans="1:4" ht="15.6" customHeight="1">
      <c r="A212" s="104" t="s">
        <v>461</v>
      </c>
      <c r="B212" s="220">
        <v>1</v>
      </c>
      <c r="C212" s="230"/>
      <c r="D212" s="223"/>
    </row>
    <row r="213" spans="1:4" ht="15.6" customHeight="1">
      <c r="A213" s="104" t="s">
        <v>462</v>
      </c>
      <c r="B213" s="220">
        <v>1</v>
      </c>
      <c r="C213" s="230"/>
      <c r="D213" s="223"/>
    </row>
    <row r="214" spans="1:4" ht="15.6" customHeight="1">
      <c r="A214" s="104" t="s">
        <v>463</v>
      </c>
      <c r="B214" s="220">
        <v>1</v>
      </c>
      <c r="C214" s="230"/>
      <c r="D214" s="223"/>
    </row>
    <row r="215" spans="1:4" ht="15.6" customHeight="1">
      <c r="A215" s="104" t="s">
        <v>464</v>
      </c>
      <c r="B215" s="220">
        <v>1</v>
      </c>
      <c r="C215" s="230"/>
      <c r="D215" s="223"/>
    </row>
    <row r="216" spans="1:4" ht="15.6" customHeight="1">
      <c r="A216" s="104" t="s">
        <v>465</v>
      </c>
      <c r="B216" s="220">
        <v>1</v>
      </c>
      <c r="C216" s="230"/>
      <c r="D216" s="223"/>
    </row>
    <row r="217" spans="1:4" ht="15.6" customHeight="1">
      <c r="A217" s="104" t="s">
        <v>298</v>
      </c>
      <c r="B217" s="220">
        <v>1</v>
      </c>
      <c r="C217" s="230"/>
      <c r="D217" s="223"/>
    </row>
    <row r="218" spans="1:4" ht="15.6" customHeight="1">
      <c r="A218" s="104" t="s">
        <v>299</v>
      </c>
      <c r="B218" s="220">
        <v>1</v>
      </c>
      <c r="C218" s="230"/>
      <c r="D218" s="223"/>
    </row>
    <row r="219" spans="1:4" ht="15.6" customHeight="1">
      <c r="A219" s="104" t="s">
        <v>466</v>
      </c>
      <c r="B219" s="220">
        <v>1</v>
      </c>
      <c r="C219" s="230"/>
      <c r="D219" s="223"/>
    </row>
    <row r="220" spans="1:4" ht="15.6" customHeight="1">
      <c r="A220" s="104" t="s">
        <v>467</v>
      </c>
      <c r="B220" s="220">
        <v>4</v>
      </c>
      <c r="C220" s="230"/>
      <c r="D220" s="223"/>
    </row>
    <row r="221" spans="1:4" ht="15.6" customHeight="1">
      <c r="A221" s="104" t="s">
        <v>468</v>
      </c>
      <c r="B221" s="220">
        <v>2</v>
      </c>
      <c r="C221" s="230"/>
      <c r="D221" s="223"/>
    </row>
    <row r="222" spans="1:4" ht="15.6" customHeight="1">
      <c r="A222" s="104" t="s">
        <v>469</v>
      </c>
      <c r="B222" s="220">
        <v>1</v>
      </c>
      <c r="C222" s="230"/>
      <c r="D222" s="223"/>
    </row>
    <row r="223" spans="1:4" ht="15.6" customHeight="1">
      <c r="A223" s="104" t="s">
        <v>470</v>
      </c>
      <c r="B223" s="220">
        <v>1</v>
      </c>
      <c r="C223" s="230"/>
      <c r="D223" s="223"/>
    </row>
    <row r="224" spans="1:4" ht="15.6" customHeight="1">
      <c r="A224" s="104" t="s">
        <v>471</v>
      </c>
      <c r="B224" s="220">
        <v>1</v>
      </c>
      <c r="C224" s="230"/>
      <c r="D224" s="223"/>
    </row>
    <row r="225" spans="1:4" ht="15.6" customHeight="1">
      <c r="A225" s="104" t="s">
        <v>472</v>
      </c>
      <c r="B225" s="220">
        <v>1</v>
      </c>
      <c r="C225" s="230"/>
      <c r="D225" s="223"/>
    </row>
    <row r="226" spans="1:4" ht="15.6" customHeight="1">
      <c r="A226" s="104" t="s">
        <v>473</v>
      </c>
      <c r="B226" s="220">
        <v>1</v>
      </c>
      <c r="C226" s="230"/>
      <c r="D226" s="223"/>
    </row>
    <row r="227" spans="1:4" ht="15.6" customHeight="1">
      <c r="A227" s="104" t="s">
        <v>474</v>
      </c>
      <c r="B227" s="220">
        <v>2</v>
      </c>
      <c r="C227" s="230"/>
      <c r="D227" s="223"/>
    </row>
    <row r="228" spans="1:4" ht="15.6" customHeight="1">
      <c r="A228" s="104" t="s">
        <v>475</v>
      </c>
      <c r="B228" s="220">
        <v>2</v>
      </c>
      <c r="C228" s="230"/>
      <c r="D228" s="223"/>
    </row>
    <row r="229" spans="1:4" ht="15.6" customHeight="1">
      <c r="A229" s="104" t="s">
        <v>476</v>
      </c>
      <c r="B229" s="220">
        <v>1</v>
      </c>
      <c r="C229" s="230"/>
      <c r="D229" s="223"/>
    </row>
    <row r="230" spans="1:4" ht="15.6" customHeight="1">
      <c r="A230" s="104" t="s">
        <v>477</v>
      </c>
      <c r="B230" s="220">
        <v>1</v>
      </c>
      <c r="C230" s="230"/>
      <c r="D230" s="223"/>
    </row>
    <row r="231" spans="1:4" ht="15.6" customHeight="1">
      <c r="A231" s="104" t="s">
        <v>478</v>
      </c>
      <c r="B231" s="220">
        <v>2</v>
      </c>
      <c r="C231" s="230"/>
      <c r="D231" s="223"/>
    </row>
    <row r="232" spans="1:4" ht="15.6" customHeight="1">
      <c r="A232" s="104" t="s">
        <v>479</v>
      </c>
      <c r="B232" s="220">
        <v>1</v>
      </c>
      <c r="C232" s="230"/>
      <c r="D232" s="223"/>
    </row>
    <row r="233" spans="1:4" ht="15.6" customHeight="1">
      <c r="A233" s="104" t="s">
        <v>480</v>
      </c>
      <c r="B233" s="220">
        <v>1</v>
      </c>
      <c r="C233" s="230"/>
      <c r="D233" s="223"/>
    </row>
    <row r="234" spans="1:4" ht="15.6" customHeight="1">
      <c r="A234" s="104" t="s">
        <v>306</v>
      </c>
      <c r="B234" s="220">
        <v>1</v>
      </c>
      <c r="C234" s="230"/>
      <c r="D234" s="223"/>
    </row>
    <row r="235" spans="1:4" ht="15.6" customHeight="1">
      <c r="A235" s="104" t="s">
        <v>481</v>
      </c>
      <c r="B235" s="220">
        <v>4</v>
      </c>
      <c r="C235" s="230"/>
      <c r="D235" s="223"/>
    </row>
    <row r="236" spans="1:4" ht="15.6" customHeight="1">
      <c r="A236" s="104" t="s">
        <v>323</v>
      </c>
      <c r="B236" s="220">
        <v>1</v>
      </c>
      <c r="C236" s="230"/>
      <c r="D236" s="223"/>
    </row>
    <row r="237" spans="1:4" ht="15.6" customHeight="1">
      <c r="A237" s="104" t="s">
        <v>482</v>
      </c>
      <c r="B237" s="220">
        <v>1</v>
      </c>
      <c r="C237" s="230"/>
      <c r="D237" s="223"/>
    </row>
    <row r="238" spans="1:4" ht="15.6" customHeight="1">
      <c r="A238" s="104" t="s">
        <v>483</v>
      </c>
      <c r="B238" s="220">
        <v>1</v>
      </c>
      <c r="C238" s="230"/>
      <c r="D238" s="223"/>
    </row>
    <row r="239" spans="1:4" ht="15.6" customHeight="1">
      <c r="A239" s="104" t="s">
        <v>318</v>
      </c>
      <c r="B239" s="220">
        <v>1</v>
      </c>
      <c r="C239" s="230"/>
      <c r="D239" s="223"/>
    </row>
    <row r="240" spans="1:4" ht="15.6" customHeight="1">
      <c r="A240" s="104" t="s">
        <v>484</v>
      </c>
      <c r="B240" s="220">
        <v>1</v>
      </c>
      <c r="C240" s="230"/>
      <c r="D240" s="223"/>
    </row>
    <row r="241" spans="1:4" ht="15.6" customHeight="1">
      <c r="A241" s="104" t="s">
        <v>485</v>
      </c>
      <c r="B241" s="220">
        <v>1</v>
      </c>
      <c r="C241" s="230"/>
      <c r="D241" s="223"/>
    </row>
    <row r="242" spans="1:4" ht="15.6" customHeight="1">
      <c r="A242" s="104" t="s">
        <v>486</v>
      </c>
      <c r="B242" s="220">
        <v>1</v>
      </c>
      <c r="C242" s="230"/>
      <c r="D242" s="223"/>
    </row>
    <row r="243" spans="1:4" ht="15.6" customHeight="1">
      <c r="A243" s="104" t="s">
        <v>487</v>
      </c>
      <c r="B243" s="220">
        <v>1</v>
      </c>
      <c r="C243" s="230"/>
      <c r="D243" s="223"/>
    </row>
    <row r="244" spans="1:4" ht="15.6" customHeight="1">
      <c r="A244" s="104" t="s">
        <v>488</v>
      </c>
      <c r="B244" s="220">
        <v>1</v>
      </c>
      <c r="C244" s="230"/>
      <c r="D244" s="223"/>
    </row>
    <row r="245" spans="1:4" ht="15.6" customHeight="1">
      <c r="A245" s="104" t="s">
        <v>489</v>
      </c>
      <c r="B245" s="220">
        <v>2</v>
      </c>
      <c r="C245" s="230"/>
      <c r="D245" s="223"/>
    </row>
    <row r="246" spans="1:4" ht="15.6" customHeight="1">
      <c r="A246" s="104" t="s">
        <v>490</v>
      </c>
      <c r="B246" s="220">
        <v>3</v>
      </c>
      <c r="C246" s="230"/>
      <c r="D246" s="223"/>
    </row>
    <row r="247" spans="1:4" ht="15.6" customHeight="1">
      <c r="A247" s="104" t="s">
        <v>491</v>
      </c>
      <c r="B247" s="220">
        <v>1</v>
      </c>
      <c r="C247" s="230"/>
      <c r="D247" s="223"/>
    </row>
    <row r="248" spans="1:4" ht="15.6" customHeight="1">
      <c r="A248" s="104" t="s">
        <v>492</v>
      </c>
      <c r="B248" s="220">
        <v>4</v>
      </c>
      <c r="C248" s="230"/>
      <c r="D248" s="223"/>
    </row>
    <row r="249" spans="1:4" ht="15.6" customHeight="1">
      <c r="A249" s="104" t="s">
        <v>493</v>
      </c>
      <c r="B249" s="220">
        <v>1</v>
      </c>
      <c r="C249" s="230"/>
      <c r="D249" s="223"/>
    </row>
    <row r="250" spans="1:4" ht="15.6" customHeight="1">
      <c r="A250" s="104" t="s">
        <v>494</v>
      </c>
      <c r="B250" s="220">
        <v>2</v>
      </c>
      <c r="C250" s="230"/>
      <c r="D250" s="223"/>
    </row>
    <row r="251" spans="1:4" ht="15.6" customHeight="1">
      <c r="A251" s="104" t="s">
        <v>495</v>
      </c>
      <c r="B251" s="220">
        <v>1</v>
      </c>
      <c r="C251" s="230"/>
      <c r="D251" s="223"/>
    </row>
    <row r="252" spans="1:4" ht="15.6" customHeight="1">
      <c r="A252" s="104" t="s">
        <v>496</v>
      </c>
      <c r="B252" s="220">
        <v>2</v>
      </c>
      <c r="C252" s="230"/>
      <c r="D252" s="223"/>
    </row>
    <row r="253" spans="1:4" ht="15.6" customHeight="1">
      <c r="A253" s="105" t="s">
        <v>497</v>
      </c>
      <c r="B253" s="220">
        <v>1</v>
      </c>
      <c r="C253" s="230"/>
      <c r="D253" s="223"/>
    </row>
    <row r="254" spans="1:4" ht="15.6" customHeight="1">
      <c r="A254" s="105" t="s">
        <v>498</v>
      </c>
      <c r="B254" s="220">
        <v>1</v>
      </c>
      <c r="C254" s="230"/>
      <c r="D254" s="223"/>
    </row>
    <row r="255" spans="1:4" ht="15.6" customHeight="1">
      <c r="A255" s="105" t="s">
        <v>499</v>
      </c>
      <c r="B255" s="220">
        <v>1</v>
      </c>
      <c r="C255" s="230"/>
      <c r="D255" s="223"/>
    </row>
    <row r="256" spans="1:4" ht="15.6" customHeight="1">
      <c r="A256" s="104" t="s">
        <v>500</v>
      </c>
      <c r="B256" s="220">
        <v>2</v>
      </c>
      <c r="C256" s="230"/>
      <c r="D256" s="223"/>
    </row>
    <row r="257" spans="1:4" ht="15.6" customHeight="1">
      <c r="A257" s="104" t="s">
        <v>1404</v>
      </c>
      <c r="B257" s="220">
        <v>2</v>
      </c>
      <c r="C257" s="230"/>
      <c r="D257" s="223"/>
    </row>
    <row r="258" spans="1:4" ht="15.6" customHeight="1">
      <c r="A258" s="104" t="s">
        <v>501</v>
      </c>
      <c r="B258" s="220">
        <v>1</v>
      </c>
      <c r="C258" s="230"/>
      <c r="D258" s="223"/>
    </row>
    <row r="259" spans="1:4" ht="15.6" customHeight="1">
      <c r="A259" s="104" t="s">
        <v>502</v>
      </c>
      <c r="B259" s="220">
        <v>1</v>
      </c>
      <c r="C259" s="230"/>
      <c r="D259" s="223"/>
    </row>
    <row r="260" spans="1:4" ht="15.6" customHeight="1">
      <c r="A260" s="104" t="s">
        <v>503</v>
      </c>
      <c r="B260" s="220">
        <v>1</v>
      </c>
      <c r="C260" s="230"/>
      <c r="D260" s="223"/>
    </row>
    <row r="261" spans="1:4" ht="15.6" customHeight="1">
      <c r="A261" s="104" t="s">
        <v>504</v>
      </c>
      <c r="B261" s="220">
        <v>1</v>
      </c>
      <c r="C261" s="230"/>
      <c r="D261" s="223"/>
    </row>
    <row r="262" spans="1:4" ht="15.6" customHeight="1">
      <c r="A262" s="104" t="s">
        <v>505</v>
      </c>
      <c r="B262" s="220">
        <v>2</v>
      </c>
      <c r="C262" s="230"/>
      <c r="D262" s="223"/>
    </row>
    <row r="263" spans="1:4" ht="15.6" customHeight="1">
      <c r="A263" s="104" t="s">
        <v>506</v>
      </c>
      <c r="B263" s="220">
        <v>3</v>
      </c>
      <c r="C263" s="230"/>
      <c r="D263" s="223"/>
    </row>
    <row r="264" spans="1:4" ht="15.6" customHeight="1">
      <c r="A264" s="104" t="s">
        <v>507</v>
      </c>
      <c r="B264" s="220">
        <v>2</v>
      </c>
      <c r="C264" s="230"/>
      <c r="D264" s="223"/>
    </row>
    <row r="265" spans="1:4" ht="15.6" customHeight="1">
      <c r="A265" s="104" t="s">
        <v>508</v>
      </c>
      <c r="B265" s="220">
        <v>2</v>
      </c>
      <c r="C265" s="230"/>
      <c r="D265" s="223"/>
    </row>
    <row r="266" spans="1:4" ht="15.6" customHeight="1">
      <c r="A266" s="104" t="s">
        <v>509</v>
      </c>
      <c r="B266" s="220">
        <v>2</v>
      </c>
      <c r="C266" s="230"/>
      <c r="D266" s="223"/>
    </row>
    <row r="267" spans="1:4" ht="15.6" customHeight="1">
      <c r="A267" s="104" t="s">
        <v>510</v>
      </c>
      <c r="B267" s="220">
        <v>1</v>
      </c>
      <c r="C267" s="230"/>
      <c r="D267" s="223"/>
    </row>
    <row r="268" spans="1:4" ht="15.6" customHeight="1">
      <c r="A268" s="104" t="s">
        <v>511</v>
      </c>
      <c r="B268" s="220">
        <v>2</v>
      </c>
      <c r="C268" s="230"/>
      <c r="D268" s="223"/>
    </row>
    <row r="269" spans="1:4" ht="15.6" customHeight="1">
      <c r="A269" s="104" t="s">
        <v>512</v>
      </c>
      <c r="B269" s="220">
        <v>2</v>
      </c>
      <c r="C269" s="230"/>
      <c r="D269" s="223"/>
    </row>
    <row r="270" spans="1:4" ht="15.6" customHeight="1">
      <c r="A270" s="104" t="s">
        <v>513</v>
      </c>
      <c r="B270" s="220">
        <v>2</v>
      </c>
      <c r="C270" s="230"/>
      <c r="D270" s="223"/>
    </row>
    <row r="271" spans="1:4" ht="15.6" customHeight="1">
      <c r="A271" s="104" t="s">
        <v>514</v>
      </c>
      <c r="B271" s="220">
        <v>1</v>
      </c>
      <c r="C271" s="230"/>
      <c r="D271" s="223"/>
    </row>
    <row r="272" spans="1:4" ht="15.6" customHeight="1">
      <c r="A272" s="104" t="s">
        <v>515</v>
      </c>
      <c r="B272" s="220">
        <v>1</v>
      </c>
      <c r="C272" s="230"/>
      <c r="D272" s="223"/>
    </row>
    <row r="273" spans="1:4" ht="15.6" customHeight="1">
      <c r="A273" s="104" t="s">
        <v>516</v>
      </c>
      <c r="B273" s="220">
        <v>1</v>
      </c>
      <c r="C273" s="230"/>
      <c r="D273" s="223"/>
    </row>
    <row r="274" spans="1:4" ht="15.6" customHeight="1">
      <c r="A274" s="108" t="s">
        <v>146</v>
      </c>
      <c r="B274" s="225">
        <v>144</v>
      </c>
      <c r="C274" s="230"/>
      <c r="D274" s="223"/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7"/>
  <sheetViews>
    <sheetView showGridLines="0" tabSelected="1" topLeftCell="A268" workbookViewId="0">
      <selection activeCell="B274" sqref="B274:B282"/>
    </sheetView>
  </sheetViews>
  <sheetFormatPr defaultColWidth="8" defaultRowHeight="15.75" customHeight="1"/>
  <cols>
    <col min="1" max="1" width="58.42578125" style="95" customWidth="1"/>
    <col min="2" max="2" width="8" style="232" customWidth="1"/>
    <col min="3" max="3" width="10.42578125" style="239" customWidth="1"/>
    <col min="4" max="4" width="12.140625" style="232" bestFit="1" customWidth="1"/>
    <col min="5" max="5" width="46.5703125" style="95" customWidth="1"/>
    <col min="6" max="6" width="8" style="95" customWidth="1"/>
    <col min="7" max="16384" width="8" style="95"/>
  </cols>
  <sheetData>
    <row r="1" spans="1:4" ht="15.75" customHeight="1">
      <c r="A1" s="94" t="s">
        <v>1405</v>
      </c>
    </row>
    <row r="3" spans="1:4" ht="15.75" customHeight="1">
      <c r="A3" s="114" t="s">
        <v>1406</v>
      </c>
      <c r="B3" s="114" t="s">
        <v>517</v>
      </c>
      <c r="C3" s="240" t="s">
        <v>1421</v>
      </c>
      <c r="D3" s="237" t="s">
        <v>1422</v>
      </c>
    </row>
    <row r="4" spans="1:4" ht="15.75" customHeight="1">
      <c r="A4" s="96" t="s">
        <v>478</v>
      </c>
      <c r="B4" s="233">
        <v>2</v>
      </c>
      <c r="C4" s="241"/>
      <c r="D4" s="238"/>
    </row>
    <row r="5" spans="1:4" ht="15.75" customHeight="1">
      <c r="A5" s="96" t="s">
        <v>518</v>
      </c>
      <c r="B5" s="233">
        <v>1</v>
      </c>
      <c r="C5" s="241"/>
      <c r="D5" s="238"/>
    </row>
    <row r="6" spans="1:4" ht="15.75" customHeight="1">
      <c r="A6" s="96" t="s">
        <v>519</v>
      </c>
      <c r="B6" s="233">
        <v>1</v>
      </c>
      <c r="C6" s="241"/>
      <c r="D6" s="238"/>
    </row>
    <row r="7" spans="1:4" ht="15.75" customHeight="1">
      <c r="A7" s="96" t="s">
        <v>520</v>
      </c>
      <c r="B7" s="233">
        <v>1</v>
      </c>
      <c r="C7" s="241"/>
      <c r="D7" s="238"/>
    </row>
    <row r="8" spans="1:4" ht="15.75" customHeight="1">
      <c r="A8" s="96" t="s">
        <v>326</v>
      </c>
      <c r="B8" s="233">
        <v>1</v>
      </c>
      <c r="C8" s="241"/>
      <c r="D8" s="238"/>
    </row>
    <row r="9" spans="1:4" ht="15.75" customHeight="1">
      <c r="A9" s="96" t="s">
        <v>325</v>
      </c>
      <c r="B9" s="233">
        <v>1</v>
      </c>
      <c r="C9" s="241"/>
      <c r="D9" s="238"/>
    </row>
    <row r="10" spans="1:4" ht="15.75" customHeight="1">
      <c r="A10" s="96" t="s">
        <v>521</v>
      </c>
      <c r="B10" s="233">
        <v>1</v>
      </c>
      <c r="C10" s="241"/>
      <c r="D10" s="238"/>
    </row>
    <row r="11" spans="1:4" ht="15.75" customHeight="1">
      <c r="A11" s="96" t="s">
        <v>522</v>
      </c>
      <c r="B11" s="233">
        <v>1</v>
      </c>
      <c r="C11" s="241"/>
      <c r="D11" s="238"/>
    </row>
    <row r="12" spans="1:4" ht="15.75" customHeight="1">
      <c r="A12" s="96" t="s">
        <v>482</v>
      </c>
      <c r="B12" s="233">
        <v>1</v>
      </c>
      <c r="C12" s="241"/>
      <c r="D12" s="238"/>
    </row>
    <row r="13" spans="1:4" ht="15.75" customHeight="1">
      <c r="A13" s="96" t="s">
        <v>297</v>
      </c>
      <c r="B13" s="233">
        <v>1</v>
      </c>
      <c r="C13" s="241"/>
      <c r="D13" s="238"/>
    </row>
    <row r="14" spans="1:4" ht="15.75" customHeight="1">
      <c r="A14" s="96" t="s">
        <v>298</v>
      </c>
      <c r="B14" s="233">
        <v>1</v>
      </c>
      <c r="C14" s="241"/>
      <c r="D14" s="238"/>
    </row>
    <row r="15" spans="1:4" ht="15.75" customHeight="1">
      <c r="A15" s="96" t="s">
        <v>323</v>
      </c>
      <c r="B15" s="233">
        <v>1</v>
      </c>
      <c r="C15" s="241"/>
      <c r="D15" s="238"/>
    </row>
    <row r="16" spans="1:4" ht="15.75" customHeight="1">
      <c r="A16" s="96" t="s">
        <v>523</v>
      </c>
      <c r="B16" s="233">
        <v>1</v>
      </c>
      <c r="C16" s="241"/>
      <c r="D16" s="238"/>
    </row>
    <row r="17" spans="1:4" ht="15.6" customHeight="1">
      <c r="A17" s="96" t="s">
        <v>524</v>
      </c>
      <c r="B17" s="233">
        <v>1</v>
      </c>
      <c r="C17" s="241"/>
      <c r="D17" s="238"/>
    </row>
    <row r="18" spans="1:4" ht="15.75" customHeight="1">
      <c r="A18" s="96" t="s">
        <v>525</v>
      </c>
      <c r="B18" s="233">
        <v>1</v>
      </c>
      <c r="C18" s="241"/>
      <c r="D18" s="238"/>
    </row>
    <row r="19" spans="1:4" ht="15.75" customHeight="1">
      <c r="A19" s="96" t="s">
        <v>526</v>
      </c>
      <c r="B19" s="233">
        <v>2</v>
      </c>
      <c r="C19" s="241"/>
      <c r="D19" s="238"/>
    </row>
    <row r="20" spans="1:4" ht="15.75" customHeight="1">
      <c r="A20" s="96" t="s">
        <v>527</v>
      </c>
      <c r="B20" s="233">
        <v>2</v>
      </c>
      <c r="C20" s="241"/>
      <c r="D20" s="238"/>
    </row>
    <row r="21" spans="1:4" ht="15.75" customHeight="1">
      <c r="A21" s="96" t="s">
        <v>528</v>
      </c>
      <c r="B21" s="233">
        <v>2</v>
      </c>
      <c r="C21" s="241"/>
      <c r="D21" s="238"/>
    </row>
    <row r="22" spans="1:4" ht="15.75" customHeight="1">
      <c r="A22" s="96" t="s">
        <v>529</v>
      </c>
      <c r="B22" s="233">
        <v>1</v>
      </c>
      <c r="C22" s="241"/>
      <c r="D22" s="238"/>
    </row>
    <row r="23" spans="1:4" ht="15.75" customHeight="1">
      <c r="A23" s="96" t="s">
        <v>530</v>
      </c>
      <c r="B23" s="233">
        <v>4</v>
      </c>
      <c r="C23" s="241"/>
      <c r="D23" s="238"/>
    </row>
    <row r="24" spans="1:4" ht="15.75" customHeight="1">
      <c r="A24" s="96" t="s">
        <v>531</v>
      </c>
      <c r="B24" s="233">
        <v>6</v>
      </c>
      <c r="C24" s="241"/>
      <c r="D24" s="238"/>
    </row>
    <row r="25" spans="1:4" ht="15.75" customHeight="1">
      <c r="A25" s="96" t="s">
        <v>532</v>
      </c>
      <c r="B25" s="233">
        <v>4</v>
      </c>
      <c r="C25" s="241"/>
      <c r="D25" s="238"/>
    </row>
    <row r="26" spans="1:4" ht="15.75" customHeight="1">
      <c r="A26" s="96" t="s">
        <v>533</v>
      </c>
      <c r="B26" s="233">
        <v>3</v>
      </c>
      <c r="C26" s="241"/>
      <c r="D26" s="238"/>
    </row>
    <row r="27" spans="1:4" ht="15.75" customHeight="1">
      <c r="A27" s="96" t="s">
        <v>310</v>
      </c>
      <c r="B27" s="233">
        <v>8</v>
      </c>
      <c r="C27" s="241"/>
      <c r="D27" s="238"/>
    </row>
    <row r="28" spans="1:4" ht="15.75" customHeight="1">
      <c r="A28" s="96" t="s">
        <v>534</v>
      </c>
      <c r="B28" s="233">
        <v>1</v>
      </c>
      <c r="C28" s="241"/>
      <c r="D28" s="238"/>
    </row>
    <row r="29" spans="1:4" ht="15.75" customHeight="1">
      <c r="A29" s="96" t="s">
        <v>535</v>
      </c>
      <c r="B29" s="233">
        <v>1</v>
      </c>
      <c r="C29" s="241"/>
      <c r="D29" s="238"/>
    </row>
    <row r="30" spans="1:4" ht="15.75" customHeight="1">
      <c r="A30" s="96" t="s">
        <v>536</v>
      </c>
      <c r="B30" s="233">
        <v>1</v>
      </c>
      <c r="C30" s="241"/>
      <c r="D30" s="238"/>
    </row>
    <row r="31" spans="1:4" ht="15.75" customHeight="1">
      <c r="A31" s="98" t="s">
        <v>146</v>
      </c>
      <c r="B31" s="234">
        <v>51</v>
      </c>
      <c r="C31" s="241"/>
      <c r="D31" s="238"/>
    </row>
    <row r="32" spans="1:4" ht="15.75" customHeight="1">
      <c r="A32" s="99"/>
      <c r="B32" s="128"/>
      <c r="C32" s="241"/>
      <c r="D32" s="238"/>
    </row>
    <row r="33" spans="1:4" ht="15.75" customHeight="1">
      <c r="A33" s="114" t="s">
        <v>1407</v>
      </c>
      <c r="B33" s="114" t="s">
        <v>517</v>
      </c>
      <c r="C33" s="242" t="s">
        <v>537</v>
      </c>
      <c r="D33" s="238"/>
    </row>
    <row r="34" spans="1:4" ht="15.75" customHeight="1">
      <c r="A34" s="96" t="s">
        <v>323</v>
      </c>
      <c r="B34" s="233">
        <v>1</v>
      </c>
      <c r="C34" s="241"/>
      <c r="D34" s="238"/>
    </row>
    <row r="35" spans="1:4" ht="15.75" customHeight="1">
      <c r="A35" s="118" t="s">
        <v>538</v>
      </c>
      <c r="B35" s="235">
        <v>2</v>
      </c>
      <c r="C35" s="241"/>
      <c r="D35" s="238"/>
    </row>
    <row r="36" spans="1:4" ht="15.75" customHeight="1">
      <c r="A36" s="96" t="s">
        <v>518</v>
      </c>
      <c r="B36" s="233">
        <v>2</v>
      </c>
      <c r="C36" s="241"/>
      <c r="D36" s="238"/>
    </row>
    <row r="37" spans="1:4" ht="15.75" customHeight="1">
      <c r="A37" s="96" t="s">
        <v>519</v>
      </c>
      <c r="B37" s="233">
        <v>1</v>
      </c>
      <c r="C37" s="241"/>
      <c r="D37" s="238"/>
    </row>
    <row r="38" spans="1:4" ht="15.75" customHeight="1">
      <c r="A38" s="96" t="s">
        <v>520</v>
      </c>
      <c r="B38" s="233">
        <v>1</v>
      </c>
      <c r="C38" s="241"/>
      <c r="D38" s="238"/>
    </row>
    <row r="39" spans="1:4" ht="15.75" customHeight="1">
      <c r="A39" s="96" t="s">
        <v>326</v>
      </c>
      <c r="B39" s="233">
        <v>1</v>
      </c>
      <c r="C39" s="241"/>
      <c r="D39" s="238"/>
    </row>
    <row r="40" spans="1:4" ht="15.75" customHeight="1">
      <c r="A40" s="96" t="s">
        <v>325</v>
      </c>
      <c r="B40" s="233">
        <v>1</v>
      </c>
      <c r="C40" s="241"/>
      <c r="D40" s="238"/>
    </row>
    <row r="41" spans="1:4" ht="15.75" customHeight="1">
      <c r="A41" s="96" t="s">
        <v>521</v>
      </c>
      <c r="B41" s="233">
        <v>1</v>
      </c>
      <c r="C41" s="241"/>
      <c r="D41" s="238"/>
    </row>
    <row r="42" spans="1:4" ht="15.75" customHeight="1">
      <c r="A42" s="96" t="s">
        <v>539</v>
      </c>
      <c r="B42" s="233">
        <v>1</v>
      </c>
      <c r="C42" s="241"/>
      <c r="D42" s="238"/>
    </row>
    <row r="43" spans="1:4" ht="15.75" customHeight="1">
      <c r="A43" s="96" t="s">
        <v>297</v>
      </c>
      <c r="B43" s="233">
        <v>1</v>
      </c>
      <c r="C43" s="241"/>
      <c r="D43" s="238"/>
    </row>
    <row r="44" spans="1:4" ht="15.75" customHeight="1">
      <c r="A44" s="96" t="s">
        <v>298</v>
      </c>
      <c r="B44" s="233">
        <v>1</v>
      </c>
      <c r="C44" s="241"/>
      <c r="D44" s="238"/>
    </row>
    <row r="45" spans="1:4" ht="15.75" customHeight="1">
      <c r="A45" s="96" t="s">
        <v>523</v>
      </c>
      <c r="B45" s="233">
        <v>1</v>
      </c>
      <c r="C45" s="241"/>
      <c r="D45" s="238"/>
    </row>
    <row r="46" spans="1:4" ht="15.75" customHeight="1">
      <c r="A46" s="96" t="s">
        <v>540</v>
      </c>
      <c r="B46" s="233">
        <v>1</v>
      </c>
      <c r="C46" s="241"/>
      <c r="D46" s="238"/>
    </row>
    <row r="47" spans="1:4" ht="15.75" customHeight="1">
      <c r="A47" s="96" t="s">
        <v>541</v>
      </c>
      <c r="B47" s="233">
        <v>1</v>
      </c>
      <c r="C47" s="241"/>
      <c r="D47" s="238"/>
    </row>
    <row r="48" spans="1:4" ht="15.75" customHeight="1">
      <c r="A48" s="96" t="s">
        <v>542</v>
      </c>
      <c r="B48" s="233">
        <v>2</v>
      </c>
      <c r="C48" s="241"/>
      <c r="D48" s="238"/>
    </row>
    <row r="49" spans="1:4" ht="15.75" customHeight="1">
      <c r="A49" s="96" t="s">
        <v>482</v>
      </c>
      <c r="B49" s="233">
        <v>1</v>
      </c>
      <c r="C49" s="241"/>
      <c r="D49" s="238"/>
    </row>
    <row r="50" spans="1:4" ht="15.75" customHeight="1">
      <c r="A50" s="96" t="s">
        <v>543</v>
      </c>
      <c r="B50" s="233">
        <v>2</v>
      </c>
      <c r="C50" s="241"/>
      <c r="D50" s="238"/>
    </row>
    <row r="51" spans="1:4" ht="15.75" customHeight="1">
      <c r="A51" s="96" t="s">
        <v>544</v>
      </c>
      <c r="B51" s="233">
        <v>2</v>
      </c>
      <c r="C51" s="241"/>
      <c r="D51" s="238"/>
    </row>
    <row r="52" spans="1:4" ht="15.75" customHeight="1">
      <c r="A52" s="96" t="s">
        <v>471</v>
      </c>
      <c r="B52" s="233">
        <v>1</v>
      </c>
      <c r="C52" s="241"/>
      <c r="D52" s="238"/>
    </row>
    <row r="53" spans="1:4" ht="15.75" customHeight="1">
      <c r="A53" s="96" t="s">
        <v>535</v>
      </c>
      <c r="B53" s="233">
        <v>1</v>
      </c>
      <c r="C53" s="241"/>
      <c r="D53" s="238"/>
    </row>
    <row r="54" spans="1:4" ht="15.75" customHeight="1">
      <c r="A54" s="96" t="s">
        <v>545</v>
      </c>
      <c r="B54" s="233">
        <v>2</v>
      </c>
      <c r="C54" s="241"/>
      <c r="D54" s="238"/>
    </row>
    <row r="55" spans="1:4" ht="15.75" customHeight="1">
      <c r="A55" s="96" t="s">
        <v>546</v>
      </c>
      <c r="B55" s="233">
        <v>8</v>
      </c>
      <c r="C55" s="241"/>
      <c r="D55" s="238"/>
    </row>
    <row r="56" spans="1:4" ht="15.75" customHeight="1">
      <c r="A56" s="96" t="s">
        <v>547</v>
      </c>
      <c r="B56" s="233">
        <v>4</v>
      </c>
      <c r="C56" s="241"/>
      <c r="D56" s="238"/>
    </row>
    <row r="57" spans="1:4" ht="15.75" customHeight="1">
      <c r="A57" s="96" t="s">
        <v>548</v>
      </c>
      <c r="B57" s="233">
        <v>4</v>
      </c>
      <c r="C57" s="241"/>
      <c r="D57" s="238"/>
    </row>
    <row r="58" spans="1:4" ht="15.75" customHeight="1">
      <c r="A58" s="96" t="s">
        <v>549</v>
      </c>
      <c r="B58" s="233">
        <v>4</v>
      </c>
      <c r="C58" s="241"/>
      <c r="D58" s="238"/>
    </row>
    <row r="59" spans="1:4" ht="15.75" customHeight="1">
      <c r="A59" s="96" t="s">
        <v>312</v>
      </c>
      <c r="B59" s="233">
        <v>4</v>
      </c>
      <c r="C59" s="241"/>
      <c r="D59" s="238"/>
    </row>
    <row r="60" spans="1:4" ht="15.75" customHeight="1">
      <c r="A60" s="96" t="s">
        <v>550</v>
      </c>
      <c r="B60" s="233">
        <v>1</v>
      </c>
      <c r="C60" s="241"/>
      <c r="D60" s="238"/>
    </row>
    <row r="61" spans="1:4" ht="15.75" customHeight="1">
      <c r="A61" s="96" t="s">
        <v>551</v>
      </c>
      <c r="B61" s="233">
        <v>1</v>
      </c>
      <c r="C61" s="241"/>
      <c r="D61" s="238"/>
    </row>
    <row r="62" spans="1:4" ht="15.75" customHeight="1">
      <c r="A62" s="98" t="s">
        <v>146</v>
      </c>
      <c r="B62" s="234">
        <v>52</v>
      </c>
      <c r="C62" s="241"/>
      <c r="D62" s="238"/>
    </row>
    <row r="63" spans="1:4" ht="15.75" customHeight="1">
      <c r="A63" s="99"/>
      <c r="B63" s="234"/>
      <c r="C63" s="241"/>
      <c r="D63" s="238"/>
    </row>
    <row r="64" spans="1:4" ht="15.75" customHeight="1">
      <c r="A64" s="98"/>
      <c r="B64" s="234"/>
      <c r="C64" s="241"/>
      <c r="D64" s="238"/>
    </row>
    <row r="65" spans="1:4" ht="15.75" customHeight="1">
      <c r="A65" s="99"/>
      <c r="B65" s="128"/>
      <c r="C65" s="241"/>
      <c r="D65" s="238"/>
    </row>
    <row r="66" spans="1:4" ht="15.75" customHeight="1">
      <c r="A66" s="114" t="s">
        <v>1408</v>
      </c>
      <c r="B66" s="114" t="s">
        <v>517</v>
      </c>
      <c r="C66" s="241"/>
      <c r="D66" s="238"/>
    </row>
    <row r="67" spans="1:4" ht="15.75" customHeight="1">
      <c r="A67" s="96" t="s">
        <v>482</v>
      </c>
      <c r="B67" s="233">
        <v>1</v>
      </c>
      <c r="C67" s="241"/>
      <c r="D67" s="238"/>
    </row>
    <row r="68" spans="1:4" ht="15.75" customHeight="1">
      <c r="A68" s="96" t="s">
        <v>559</v>
      </c>
      <c r="B68" s="233">
        <v>2</v>
      </c>
      <c r="C68" s="241"/>
      <c r="D68" s="238"/>
    </row>
    <row r="69" spans="1:4" ht="15.75" customHeight="1">
      <c r="A69" s="96" t="s">
        <v>560</v>
      </c>
      <c r="B69" s="233">
        <v>8</v>
      </c>
      <c r="C69" s="241"/>
      <c r="D69" s="238"/>
    </row>
    <row r="70" spans="1:4" ht="15.75" customHeight="1">
      <c r="A70" s="96" t="s">
        <v>561</v>
      </c>
      <c r="B70" s="233">
        <v>1</v>
      </c>
      <c r="C70" s="241"/>
      <c r="D70" s="238"/>
    </row>
    <row r="71" spans="1:4" ht="15.75" customHeight="1">
      <c r="A71" s="120" t="s">
        <v>562</v>
      </c>
      <c r="B71" s="233">
        <v>2</v>
      </c>
      <c r="C71" s="241"/>
      <c r="D71" s="238"/>
    </row>
    <row r="72" spans="1:4" ht="15.75" customHeight="1">
      <c r="A72" s="96" t="s">
        <v>563</v>
      </c>
      <c r="B72" s="233">
        <v>1</v>
      </c>
      <c r="C72" s="241"/>
      <c r="D72" s="238"/>
    </row>
    <row r="73" spans="1:4" ht="15.75" customHeight="1">
      <c r="A73" s="96" t="s">
        <v>564</v>
      </c>
      <c r="B73" s="233">
        <v>1</v>
      </c>
      <c r="C73" s="241"/>
      <c r="D73" s="238"/>
    </row>
    <row r="74" spans="1:4" ht="15.75" customHeight="1">
      <c r="A74" s="96" t="s">
        <v>552</v>
      </c>
      <c r="B74" s="233">
        <v>1</v>
      </c>
      <c r="C74" s="241"/>
      <c r="D74" s="238"/>
    </row>
    <row r="75" spans="1:4" ht="15.75" customHeight="1">
      <c r="A75" s="96" t="s">
        <v>565</v>
      </c>
      <c r="B75" s="233">
        <v>1</v>
      </c>
      <c r="C75" s="241"/>
      <c r="D75" s="238"/>
    </row>
    <row r="76" spans="1:4" ht="15.75" customHeight="1">
      <c r="A76" s="96" t="s">
        <v>566</v>
      </c>
      <c r="B76" s="233">
        <v>1</v>
      </c>
      <c r="C76" s="241"/>
      <c r="D76" s="238"/>
    </row>
    <row r="77" spans="1:4" ht="15.75" customHeight="1">
      <c r="A77" s="96" t="s">
        <v>567</v>
      </c>
      <c r="B77" s="233">
        <v>2</v>
      </c>
      <c r="C77" s="241"/>
      <c r="D77" s="238"/>
    </row>
    <row r="78" spans="1:4" ht="15.75" customHeight="1">
      <c r="A78" s="96" t="s">
        <v>568</v>
      </c>
      <c r="B78" s="233">
        <v>1</v>
      </c>
      <c r="C78" s="241"/>
      <c r="D78" s="238"/>
    </row>
    <row r="79" spans="1:4" ht="15.75" customHeight="1">
      <c r="A79" s="96" t="s">
        <v>569</v>
      </c>
      <c r="B79" s="233">
        <v>1</v>
      </c>
      <c r="C79" s="241"/>
      <c r="D79" s="238"/>
    </row>
    <row r="80" spans="1:4" ht="15.75" customHeight="1">
      <c r="A80" s="96" t="s">
        <v>570</v>
      </c>
      <c r="B80" s="233">
        <v>1</v>
      </c>
      <c r="C80" s="241"/>
      <c r="D80" s="238"/>
    </row>
    <row r="81" spans="1:5" ht="15.75" customHeight="1">
      <c r="A81" s="96" t="s">
        <v>571</v>
      </c>
      <c r="B81" s="233">
        <v>1</v>
      </c>
      <c r="C81" s="241"/>
      <c r="D81" s="238"/>
    </row>
    <row r="82" spans="1:5" ht="15.75" customHeight="1">
      <c r="A82" s="96" t="s">
        <v>323</v>
      </c>
      <c r="B82" s="233">
        <v>1</v>
      </c>
      <c r="C82" s="241"/>
      <c r="D82" s="238"/>
    </row>
    <row r="83" spans="1:5" ht="15.75" customHeight="1">
      <c r="A83" s="96" t="s">
        <v>572</v>
      </c>
      <c r="B83" s="233">
        <v>3</v>
      </c>
      <c r="C83" s="241"/>
      <c r="D83" s="238"/>
    </row>
    <row r="84" spans="1:5" ht="15.75" customHeight="1">
      <c r="A84" s="96" t="s">
        <v>573</v>
      </c>
      <c r="B84" s="233">
        <v>2</v>
      </c>
      <c r="C84" s="241"/>
      <c r="D84" s="238"/>
    </row>
    <row r="85" spans="1:5" ht="15.75" customHeight="1">
      <c r="A85" s="96" t="s">
        <v>574</v>
      </c>
      <c r="B85" s="233">
        <v>2</v>
      </c>
      <c r="C85" s="241"/>
      <c r="D85" s="238"/>
    </row>
    <row r="86" spans="1:5" ht="15.75" customHeight="1">
      <c r="A86" s="96" t="s">
        <v>575</v>
      </c>
      <c r="B86" s="233">
        <v>2</v>
      </c>
      <c r="C86" s="241"/>
      <c r="D86" s="238"/>
    </row>
    <row r="87" spans="1:5" ht="15.75" customHeight="1">
      <c r="A87" s="120" t="s">
        <v>576</v>
      </c>
      <c r="B87" s="233">
        <v>3</v>
      </c>
      <c r="C87" s="241"/>
      <c r="D87" s="238"/>
    </row>
    <row r="88" spans="1:5" ht="15.75" customHeight="1">
      <c r="A88" s="96" t="s">
        <v>577</v>
      </c>
      <c r="B88" s="233">
        <v>6</v>
      </c>
      <c r="C88" s="241"/>
      <c r="D88" s="238"/>
    </row>
    <row r="89" spans="1:5" ht="15.75" customHeight="1">
      <c r="A89" s="120" t="s">
        <v>578</v>
      </c>
      <c r="B89" s="233">
        <v>1</v>
      </c>
      <c r="C89" s="241"/>
      <c r="D89" s="238"/>
    </row>
    <row r="90" spans="1:5" ht="15.75" customHeight="1">
      <c r="A90" s="96" t="s">
        <v>551</v>
      </c>
      <c r="B90" s="233">
        <v>1</v>
      </c>
      <c r="C90" s="241"/>
      <c r="D90" s="238"/>
    </row>
    <row r="91" spans="1:5" s="73" customFormat="1" ht="15.75" customHeight="1">
      <c r="A91" s="98" t="s">
        <v>146</v>
      </c>
      <c r="B91" s="234">
        <v>46</v>
      </c>
      <c r="C91" s="241"/>
      <c r="D91" s="238"/>
      <c r="E91" s="95"/>
    </row>
    <row r="92" spans="1:5" s="73" customFormat="1" ht="15.75" customHeight="1">
      <c r="A92" s="98"/>
      <c r="B92" s="234"/>
      <c r="C92" s="241"/>
      <c r="D92" s="238"/>
      <c r="E92" s="95"/>
    </row>
    <row r="93" spans="1:5" s="73" customFormat="1" ht="15.75" customHeight="1">
      <c r="A93" s="114" t="s">
        <v>1409</v>
      </c>
      <c r="B93" s="114" t="s">
        <v>517</v>
      </c>
      <c r="C93" s="241"/>
      <c r="D93" s="238"/>
      <c r="E93" s="95"/>
    </row>
    <row r="94" spans="1:5" s="73" customFormat="1" ht="15.75" customHeight="1">
      <c r="A94" s="96" t="s">
        <v>579</v>
      </c>
      <c r="B94" s="233">
        <v>2</v>
      </c>
      <c r="C94" s="241"/>
      <c r="D94" s="238"/>
      <c r="E94" s="95"/>
    </row>
    <row r="95" spans="1:5" s="73" customFormat="1" ht="15.75" customHeight="1">
      <c r="A95" s="96" t="s">
        <v>580</v>
      </c>
      <c r="B95" s="233">
        <v>1</v>
      </c>
      <c r="C95" s="241"/>
      <c r="D95" s="238"/>
      <c r="E95" s="95"/>
    </row>
    <row r="96" spans="1:5" s="73" customFormat="1" ht="15.75" customHeight="1">
      <c r="A96" s="96" t="s">
        <v>581</v>
      </c>
      <c r="B96" s="233">
        <v>3</v>
      </c>
      <c r="C96" s="241"/>
      <c r="D96" s="238"/>
      <c r="E96" s="95"/>
    </row>
    <row r="97" spans="1:5" s="73" customFormat="1" ht="15.75" customHeight="1">
      <c r="A97" s="96" t="s">
        <v>582</v>
      </c>
      <c r="B97" s="233">
        <v>2</v>
      </c>
      <c r="C97" s="241"/>
      <c r="D97" s="238"/>
      <c r="E97" s="95"/>
    </row>
    <row r="98" spans="1:5" s="73" customFormat="1" ht="15.75" customHeight="1">
      <c r="A98" s="96" t="s">
        <v>583</v>
      </c>
      <c r="B98" s="233">
        <v>1</v>
      </c>
      <c r="C98" s="241"/>
      <c r="D98" s="238"/>
      <c r="E98" s="95"/>
    </row>
    <row r="99" spans="1:5" s="73" customFormat="1" ht="15.75" customHeight="1">
      <c r="A99" s="96" t="s">
        <v>584</v>
      </c>
      <c r="B99" s="233">
        <v>1</v>
      </c>
      <c r="C99" s="241"/>
      <c r="D99" s="238"/>
      <c r="E99" s="95"/>
    </row>
    <row r="100" spans="1:5" s="73" customFormat="1" ht="15.75" customHeight="1">
      <c r="A100" s="96" t="s">
        <v>585</v>
      </c>
      <c r="B100" s="233">
        <v>1</v>
      </c>
      <c r="C100" s="241"/>
      <c r="D100" s="238"/>
      <c r="E100" s="95"/>
    </row>
    <row r="101" spans="1:5" s="73" customFormat="1" ht="15.75" customHeight="1">
      <c r="A101" s="96" t="s">
        <v>586</v>
      </c>
      <c r="B101" s="233">
        <v>3</v>
      </c>
      <c r="C101" s="241"/>
      <c r="D101" s="238"/>
      <c r="E101" s="95"/>
    </row>
    <row r="102" spans="1:5" s="73" customFormat="1" ht="15.75" customHeight="1">
      <c r="A102" s="96" t="s">
        <v>587</v>
      </c>
      <c r="B102" s="233">
        <v>4</v>
      </c>
      <c r="C102" s="241"/>
      <c r="D102" s="238"/>
      <c r="E102" s="95"/>
    </row>
    <row r="103" spans="1:5" s="73" customFormat="1" ht="15.75" customHeight="1">
      <c r="A103" s="96" t="s">
        <v>588</v>
      </c>
      <c r="B103" s="233">
        <v>1</v>
      </c>
      <c r="C103" s="241"/>
      <c r="D103" s="238"/>
      <c r="E103" s="95"/>
    </row>
    <row r="104" spans="1:5" s="73" customFormat="1" ht="15.75" customHeight="1">
      <c r="A104" s="96" t="s">
        <v>589</v>
      </c>
      <c r="B104" s="233">
        <v>9</v>
      </c>
      <c r="C104" s="241"/>
      <c r="D104" s="238"/>
      <c r="E104" s="95"/>
    </row>
    <row r="105" spans="1:5" s="73" customFormat="1" ht="15.75" customHeight="1">
      <c r="A105" s="96" t="s">
        <v>590</v>
      </c>
      <c r="B105" s="233">
        <v>6</v>
      </c>
      <c r="C105" s="241"/>
      <c r="D105" s="238"/>
      <c r="E105" s="95"/>
    </row>
    <row r="106" spans="1:5" s="73" customFormat="1" ht="15.75" customHeight="1">
      <c r="A106" s="96" t="s">
        <v>591</v>
      </c>
      <c r="B106" s="233">
        <v>1</v>
      </c>
      <c r="C106" s="241"/>
      <c r="D106" s="238"/>
      <c r="E106" s="95"/>
    </row>
    <row r="107" spans="1:5" s="73" customFormat="1" ht="15.75" customHeight="1">
      <c r="A107" s="96" t="s">
        <v>592</v>
      </c>
      <c r="B107" s="233">
        <v>3</v>
      </c>
      <c r="C107" s="241"/>
      <c r="D107" s="238"/>
      <c r="E107" s="95"/>
    </row>
    <row r="108" spans="1:5" s="73" customFormat="1" ht="15.75" customHeight="1">
      <c r="A108" s="96" t="s">
        <v>593</v>
      </c>
      <c r="B108" s="233">
        <v>1</v>
      </c>
      <c r="C108" s="241"/>
      <c r="D108" s="236"/>
    </row>
    <row r="109" spans="1:5" s="73" customFormat="1" ht="15.75" customHeight="1">
      <c r="A109" s="96" t="s">
        <v>594</v>
      </c>
      <c r="B109" s="233">
        <v>2</v>
      </c>
      <c r="C109" s="241"/>
      <c r="D109" s="236"/>
    </row>
    <row r="110" spans="1:5" s="73" customFormat="1" ht="15.75" customHeight="1">
      <c r="A110" s="96" t="s">
        <v>595</v>
      </c>
      <c r="B110" s="233">
        <v>2</v>
      </c>
      <c r="C110" s="241"/>
      <c r="D110" s="236"/>
    </row>
    <row r="111" spans="1:5" s="73" customFormat="1" ht="15.75" customHeight="1">
      <c r="A111" s="96" t="s">
        <v>596</v>
      </c>
      <c r="B111" s="233">
        <v>2</v>
      </c>
      <c r="C111" s="241"/>
      <c r="D111" s="236"/>
    </row>
    <row r="112" spans="1:5" s="73" customFormat="1" ht="15.75" customHeight="1">
      <c r="A112" s="96" t="s">
        <v>597</v>
      </c>
      <c r="B112" s="233">
        <v>2</v>
      </c>
      <c r="C112" s="241"/>
      <c r="D112" s="236"/>
    </row>
    <row r="113" spans="1:5" ht="15.75" customHeight="1">
      <c r="A113" s="96" t="s">
        <v>551</v>
      </c>
      <c r="B113" s="233">
        <v>1</v>
      </c>
      <c r="C113" s="241"/>
      <c r="D113" s="236"/>
      <c r="E113" s="73"/>
    </row>
    <row r="114" spans="1:5" ht="15.75" customHeight="1">
      <c r="A114" s="98" t="s">
        <v>146</v>
      </c>
      <c r="B114" s="234">
        <v>48</v>
      </c>
      <c r="C114" s="241"/>
      <c r="D114" s="236"/>
      <c r="E114" s="73"/>
    </row>
    <row r="115" spans="1:5" ht="15.75" customHeight="1">
      <c r="A115" s="99"/>
      <c r="B115" s="128"/>
      <c r="C115" s="241"/>
      <c r="D115" s="236"/>
      <c r="E115" s="73"/>
    </row>
    <row r="116" spans="1:5" ht="15.75" customHeight="1">
      <c r="A116" s="114" t="s">
        <v>1410</v>
      </c>
      <c r="B116" s="114" t="s">
        <v>517</v>
      </c>
      <c r="C116" s="240"/>
      <c r="D116" s="236"/>
      <c r="E116" s="73"/>
    </row>
    <row r="117" spans="1:5" ht="15.75" customHeight="1">
      <c r="A117" s="96" t="s">
        <v>598</v>
      </c>
      <c r="B117" s="233">
        <v>1</v>
      </c>
      <c r="C117" s="240"/>
      <c r="D117" s="236"/>
      <c r="E117" s="73"/>
    </row>
    <row r="118" spans="1:5" ht="15.75" customHeight="1">
      <c r="A118" s="96" t="s">
        <v>599</v>
      </c>
      <c r="B118" s="233">
        <v>1</v>
      </c>
      <c r="C118" s="240"/>
      <c r="D118" s="236"/>
      <c r="E118" s="73"/>
    </row>
    <row r="119" spans="1:5" s="73" customFormat="1" ht="15.75" customHeight="1">
      <c r="A119" s="96" t="s">
        <v>600</v>
      </c>
      <c r="B119" s="233">
        <v>1</v>
      </c>
      <c r="C119" s="240"/>
      <c r="D119" s="236"/>
    </row>
    <row r="120" spans="1:5" s="73" customFormat="1" ht="15.75" customHeight="1">
      <c r="A120" s="96" t="s">
        <v>601</v>
      </c>
      <c r="B120" s="233">
        <v>1</v>
      </c>
      <c r="C120" s="240"/>
      <c r="D120" s="236"/>
    </row>
    <row r="121" spans="1:5" s="73" customFormat="1" ht="15.75" customHeight="1">
      <c r="A121" s="96" t="s">
        <v>602</v>
      </c>
      <c r="B121" s="233">
        <v>1</v>
      </c>
      <c r="C121" s="240"/>
      <c r="D121" s="236"/>
    </row>
    <row r="122" spans="1:5" s="73" customFormat="1" ht="15.75" customHeight="1">
      <c r="A122" s="96" t="s">
        <v>603</v>
      </c>
      <c r="B122" s="233">
        <v>1</v>
      </c>
      <c r="C122" s="240"/>
      <c r="D122" s="236"/>
    </row>
    <row r="123" spans="1:5" s="73" customFormat="1" ht="15.75" customHeight="1">
      <c r="A123" s="96" t="s">
        <v>604</v>
      </c>
      <c r="B123" s="233">
        <v>1</v>
      </c>
      <c r="C123" s="240"/>
      <c r="D123" s="236"/>
    </row>
    <row r="124" spans="1:5" s="73" customFormat="1" ht="15.75" customHeight="1">
      <c r="A124" s="96" t="s">
        <v>605</v>
      </c>
      <c r="B124" s="233">
        <v>1</v>
      </c>
      <c r="C124" s="240"/>
      <c r="D124" s="236"/>
    </row>
    <row r="125" spans="1:5" ht="15.75" customHeight="1">
      <c r="A125" s="96" t="s">
        <v>606</v>
      </c>
      <c r="B125" s="233">
        <v>1</v>
      </c>
      <c r="C125" s="240"/>
      <c r="D125" s="236"/>
      <c r="E125" s="73"/>
    </row>
    <row r="126" spans="1:5" ht="15.75" customHeight="1">
      <c r="A126" s="96" t="s">
        <v>607</v>
      </c>
      <c r="B126" s="233">
        <v>2</v>
      </c>
      <c r="C126" s="240"/>
      <c r="D126" s="236"/>
      <c r="E126" s="73"/>
    </row>
    <row r="127" spans="1:5" ht="15.75" customHeight="1">
      <c r="A127" s="96" t="s">
        <v>608</v>
      </c>
      <c r="B127" s="233">
        <v>2</v>
      </c>
      <c r="C127" s="240"/>
      <c r="D127" s="236"/>
      <c r="E127" s="73"/>
    </row>
    <row r="128" spans="1:5" ht="15.75" customHeight="1">
      <c r="A128" s="96" t="s">
        <v>63</v>
      </c>
      <c r="B128" s="233">
        <v>1</v>
      </c>
      <c r="C128" s="240"/>
      <c r="D128" s="236"/>
      <c r="E128" s="73"/>
    </row>
    <row r="129" spans="1:5" ht="15.75" customHeight="1">
      <c r="A129" s="96" t="s">
        <v>609</v>
      </c>
      <c r="B129" s="233">
        <v>1</v>
      </c>
      <c r="C129" s="240"/>
      <c r="D129" s="236"/>
      <c r="E129" s="73"/>
    </row>
    <row r="130" spans="1:5" ht="15.75" customHeight="1">
      <c r="A130" s="96" t="s">
        <v>610</v>
      </c>
      <c r="B130" s="233">
        <v>2</v>
      </c>
      <c r="C130" s="240"/>
      <c r="D130" s="236"/>
      <c r="E130" s="73"/>
    </row>
    <row r="131" spans="1:5" ht="15.75" customHeight="1">
      <c r="A131" s="96" t="s">
        <v>611</v>
      </c>
      <c r="B131" s="233">
        <v>1</v>
      </c>
      <c r="C131" s="240"/>
      <c r="D131" s="236"/>
      <c r="E131" s="73"/>
    </row>
    <row r="132" spans="1:5" ht="15.75" customHeight="1">
      <c r="A132" s="96" t="s">
        <v>612</v>
      </c>
      <c r="B132" s="233">
        <v>2</v>
      </c>
      <c r="C132" s="240"/>
      <c r="D132" s="236"/>
      <c r="E132" s="73"/>
    </row>
    <row r="133" spans="1:5" ht="15.75" customHeight="1">
      <c r="A133" s="96" t="s">
        <v>613</v>
      </c>
      <c r="B133" s="233">
        <v>1</v>
      </c>
      <c r="C133" s="240"/>
      <c r="D133" s="236"/>
      <c r="E133" s="73"/>
    </row>
    <row r="134" spans="1:5" ht="15.75" customHeight="1">
      <c r="A134" s="96" t="s">
        <v>614</v>
      </c>
      <c r="B134" s="233">
        <v>1</v>
      </c>
      <c r="C134" s="240"/>
      <c r="D134" s="236"/>
      <c r="E134" s="73"/>
    </row>
    <row r="135" spans="1:5" ht="15.75" customHeight="1">
      <c r="A135" s="96" t="s">
        <v>551</v>
      </c>
      <c r="B135" s="233">
        <v>1</v>
      </c>
      <c r="C135" s="240"/>
      <c r="D135" s="236"/>
      <c r="E135" s="73"/>
    </row>
    <row r="136" spans="1:5" ht="15.75" customHeight="1">
      <c r="A136" s="98" t="s">
        <v>146</v>
      </c>
      <c r="B136" s="234">
        <v>23</v>
      </c>
      <c r="C136" s="240"/>
      <c r="D136" s="236"/>
      <c r="E136" s="73"/>
    </row>
    <row r="137" spans="1:5" ht="15.75" customHeight="1">
      <c r="A137" s="99"/>
      <c r="B137" s="128"/>
      <c r="C137" s="240"/>
      <c r="D137" s="236"/>
      <c r="E137" s="73"/>
    </row>
    <row r="138" spans="1:5" ht="15.75" customHeight="1">
      <c r="A138" s="114" t="s">
        <v>1411</v>
      </c>
      <c r="B138" s="114" t="s">
        <v>517</v>
      </c>
      <c r="C138" s="241"/>
      <c r="D138" s="236"/>
      <c r="E138" s="73"/>
    </row>
    <row r="139" spans="1:5" ht="15.75" customHeight="1">
      <c r="A139" s="96" t="s">
        <v>615</v>
      </c>
      <c r="B139" s="233">
        <v>6</v>
      </c>
      <c r="C139" s="241"/>
      <c r="D139" s="236"/>
      <c r="E139" s="73"/>
    </row>
    <row r="140" spans="1:5" ht="15.75" customHeight="1">
      <c r="A140" s="96" t="s">
        <v>616</v>
      </c>
      <c r="B140" s="233">
        <v>1</v>
      </c>
      <c r="C140" s="241"/>
      <c r="D140" s="236"/>
      <c r="E140" s="73"/>
    </row>
    <row r="141" spans="1:5" ht="15.75" customHeight="1">
      <c r="A141" s="96" t="s">
        <v>551</v>
      </c>
      <c r="B141" s="233">
        <v>1</v>
      </c>
      <c r="C141" s="241"/>
      <c r="D141" s="236"/>
      <c r="E141" s="73"/>
    </row>
    <row r="142" spans="1:5" ht="15.75" customHeight="1">
      <c r="A142" s="98" t="s">
        <v>146</v>
      </c>
      <c r="B142" s="234">
        <v>8</v>
      </c>
      <c r="C142" s="241"/>
      <c r="D142" s="238"/>
    </row>
    <row r="143" spans="1:5" ht="15.75" customHeight="1">
      <c r="A143" s="99"/>
      <c r="B143" s="128"/>
      <c r="C143" s="241"/>
      <c r="D143" s="238"/>
    </row>
    <row r="144" spans="1:5" ht="15.75" customHeight="1">
      <c r="A144" s="114" t="s">
        <v>1412</v>
      </c>
      <c r="B144" s="114" t="s">
        <v>517</v>
      </c>
      <c r="C144" s="240"/>
      <c r="D144" s="236"/>
      <c r="E144" s="73"/>
    </row>
    <row r="145" spans="1:5" ht="15.75" customHeight="1">
      <c r="A145" s="96" t="s">
        <v>617</v>
      </c>
      <c r="B145" s="233">
        <v>3</v>
      </c>
      <c r="C145" s="240"/>
      <c r="D145" s="236"/>
      <c r="E145" s="73"/>
    </row>
    <row r="146" spans="1:5" ht="15.75" customHeight="1">
      <c r="A146" s="96" t="s">
        <v>618</v>
      </c>
      <c r="B146" s="233">
        <v>2</v>
      </c>
      <c r="C146" s="240"/>
      <c r="D146" s="236"/>
      <c r="E146" s="73"/>
    </row>
    <row r="147" spans="1:5" ht="15.75" customHeight="1">
      <c r="A147" s="96" t="s">
        <v>551</v>
      </c>
      <c r="B147" s="233">
        <v>1</v>
      </c>
      <c r="C147" s="240"/>
      <c r="D147" s="236"/>
      <c r="E147" s="73"/>
    </row>
    <row r="148" spans="1:5" ht="15.75" customHeight="1">
      <c r="A148" s="98" t="s">
        <v>146</v>
      </c>
      <c r="B148" s="234">
        <v>6</v>
      </c>
      <c r="C148" s="240"/>
      <c r="D148" s="236"/>
      <c r="E148" s="73"/>
    </row>
    <row r="149" spans="1:5" ht="15.75" customHeight="1">
      <c r="A149" s="99"/>
      <c r="B149" s="128"/>
      <c r="C149" s="240"/>
      <c r="D149" s="236"/>
      <c r="E149" s="73"/>
    </row>
    <row r="150" spans="1:5" ht="15.75" customHeight="1">
      <c r="A150" s="114" t="s">
        <v>1413</v>
      </c>
      <c r="B150" s="114" t="s">
        <v>517</v>
      </c>
      <c r="C150" s="241"/>
      <c r="D150" s="238"/>
    </row>
    <row r="151" spans="1:5" ht="15.75" customHeight="1">
      <c r="A151" s="96" t="s">
        <v>619</v>
      </c>
      <c r="B151" s="233">
        <v>1</v>
      </c>
      <c r="C151" s="241"/>
      <c r="D151" s="238"/>
    </row>
    <row r="152" spans="1:5" ht="15.75" customHeight="1">
      <c r="A152" s="96" t="s">
        <v>620</v>
      </c>
      <c r="B152" s="233">
        <v>2</v>
      </c>
      <c r="C152" s="241"/>
      <c r="D152" s="238"/>
    </row>
    <row r="153" spans="1:5" ht="15.75" customHeight="1">
      <c r="A153" s="96" t="s">
        <v>310</v>
      </c>
      <c r="B153" s="233">
        <v>10</v>
      </c>
      <c r="C153" s="241"/>
      <c r="D153" s="238"/>
    </row>
    <row r="154" spans="1:5" ht="15.75" customHeight="1">
      <c r="A154" s="96" t="s">
        <v>557</v>
      </c>
      <c r="B154" s="233">
        <v>6</v>
      </c>
      <c r="C154" s="241"/>
      <c r="D154" s="238"/>
    </row>
    <row r="155" spans="1:5" ht="15.75" customHeight="1">
      <c r="A155" s="96" t="s">
        <v>621</v>
      </c>
      <c r="B155" s="233">
        <v>2</v>
      </c>
      <c r="C155" s="241"/>
      <c r="D155" s="238"/>
    </row>
    <row r="156" spans="1:5" ht="15.75" customHeight="1">
      <c r="A156" s="96" t="s">
        <v>622</v>
      </c>
      <c r="B156" s="233">
        <v>2</v>
      </c>
      <c r="C156" s="241"/>
      <c r="D156" s="238"/>
    </row>
    <row r="157" spans="1:5" ht="15.75" customHeight="1">
      <c r="A157" s="96" t="s">
        <v>623</v>
      </c>
      <c r="B157" s="233">
        <v>1</v>
      </c>
      <c r="C157" s="241"/>
      <c r="D157" s="238"/>
    </row>
    <row r="158" spans="1:5" ht="15.75" customHeight="1">
      <c r="A158" s="96" t="s">
        <v>624</v>
      </c>
      <c r="B158" s="233">
        <v>4</v>
      </c>
      <c r="C158" s="241"/>
      <c r="D158" s="238"/>
    </row>
    <row r="159" spans="1:5" ht="15.75" customHeight="1">
      <c r="A159" s="96" t="s">
        <v>558</v>
      </c>
      <c r="B159" s="233">
        <v>1</v>
      </c>
      <c r="C159" s="241"/>
      <c r="D159" s="238"/>
    </row>
    <row r="160" spans="1:5" ht="15.75" customHeight="1">
      <c r="A160" s="96" t="s">
        <v>625</v>
      </c>
      <c r="B160" s="233">
        <v>1</v>
      </c>
      <c r="C160" s="241"/>
      <c r="D160" s="238"/>
    </row>
    <row r="161" spans="1:4" ht="15.75" customHeight="1">
      <c r="A161" s="96" t="s">
        <v>325</v>
      </c>
      <c r="B161" s="233">
        <v>1</v>
      </c>
      <c r="C161" s="241"/>
      <c r="D161" s="238"/>
    </row>
    <row r="162" spans="1:4" ht="15.75" customHeight="1">
      <c r="A162" s="96" t="s">
        <v>626</v>
      </c>
      <c r="B162" s="233">
        <v>1</v>
      </c>
      <c r="C162" s="241"/>
      <c r="D162" s="238"/>
    </row>
    <row r="163" spans="1:4" ht="15.75" customHeight="1">
      <c r="A163" s="96" t="s">
        <v>627</v>
      </c>
      <c r="B163" s="233">
        <v>1</v>
      </c>
      <c r="C163" s="241"/>
      <c r="D163" s="238"/>
    </row>
    <row r="164" spans="1:4" ht="15.75" customHeight="1">
      <c r="A164" s="96" t="s">
        <v>628</v>
      </c>
      <c r="B164" s="233">
        <v>5</v>
      </c>
      <c r="C164" s="241"/>
      <c r="D164" s="238"/>
    </row>
    <row r="165" spans="1:4" ht="15.75" customHeight="1">
      <c r="A165" s="96" t="s">
        <v>629</v>
      </c>
      <c r="B165" s="233">
        <v>2</v>
      </c>
      <c r="C165" s="241"/>
      <c r="D165" s="238"/>
    </row>
    <row r="166" spans="1:4" ht="15.75" customHeight="1">
      <c r="A166" s="96" t="s">
        <v>630</v>
      </c>
      <c r="B166" s="233">
        <v>1</v>
      </c>
      <c r="C166" s="241"/>
      <c r="D166" s="238"/>
    </row>
    <row r="167" spans="1:4" ht="15.75" customHeight="1">
      <c r="A167" s="96" t="s">
        <v>631</v>
      </c>
      <c r="B167" s="233">
        <v>1</v>
      </c>
      <c r="C167" s="241"/>
      <c r="D167" s="238"/>
    </row>
    <row r="168" spans="1:4" ht="15.75" customHeight="1">
      <c r="A168" s="96" t="s">
        <v>632</v>
      </c>
      <c r="B168" s="233">
        <v>1</v>
      </c>
      <c r="C168" s="241"/>
      <c r="D168" s="238"/>
    </row>
    <row r="169" spans="1:4" ht="15.75" customHeight="1">
      <c r="A169" s="96" t="s">
        <v>633</v>
      </c>
      <c r="B169" s="233">
        <v>1</v>
      </c>
      <c r="C169" s="241"/>
      <c r="D169" s="238"/>
    </row>
    <row r="170" spans="1:4" ht="15.75" customHeight="1">
      <c r="A170" s="96" t="s">
        <v>634</v>
      </c>
      <c r="B170" s="233">
        <v>2</v>
      </c>
      <c r="C170" s="241"/>
      <c r="D170" s="238"/>
    </row>
    <row r="171" spans="1:4" ht="15.75" customHeight="1">
      <c r="A171" s="96" t="s">
        <v>635</v>
      </c>
      <c r="B171" s="233">
        <v>1</v>
      </c>
      <c r="C171" s="241"/>
      <c r="D171" s="238"/>
    </row>
    <row r="172" spans="1:4" ht="15.75" customHeight="1">
      <c r="A172" s="96" t="s">
        <v>636</v>
      </c>
      <c r="B172" s="233">
        <v>1</v>
      </c>
      <c r="C172" s="241"/>
      <c r="D172" s="238"/>
    </row>
    <row r="173" spans="1:4" ht="15.75" customHeight="1">
      <c r="A173" s="96" t="s">
        <v>637</v>
      </c>
      <c r="B173" s="233">
        <v>1</v>
      </c>
      <c r="C173" s="241"/>
      <c r="D173" s="238"/>
    </row>
    <row r="174" spans="1:4" ht="15.75" customHeight="1">
      <c r="A174" s="96" t="s">
        <v>297</v>
      </c>
      <c r="B174" s="233">
        <v>1</v>
      </c>
      <c r="C174" s="241"/>
      <c r="D174" s="238"/>
    </row>
    <row r="175" spans="1:4" ht="15.75" customHeight="1">
      <c r="A175" s="96" t="s">
        <v>298</v>
      </c>
      <c r="B175" s="233">
        <v>1</v>
      </c>
      <c r="C175" s="241"/>
      <c r="D175" s="238"/>
    </row>
    <row r="176" spans="1:4" ht="15.75" customHeight="1">
      <c r="A176" s="96" t="s">
        <v>323</v>
      </c>
      <c r="B176" s="233">
        <v>1</v>
      </c>
      <c r="C176" s="241"/>
      <c r="D176" s="238"/>
    </row>
    <row r="177" spans="1:4" ht="15.75" customHeight="1">
      <c r="A177" s="96" t="s">
        <v>482</v>
      </c>
      <c r="B177" s="233">
        <v>1</v>
      </c>
      <c r="C177" s="241"/>
      <c r="D177" s="238"/>
    </row>
    <row r="178" spans="1:4" ht="15.75" customHeight="1">
      <c r="A178" s="96" t="s">
        <v>638</v>
      </c>
      <c r="B178" s="233">
        <v>1</v>
      </c>
      <c r="C178" s="241"/>
      <c r="D178" s="238"/>
    </row>
    <row r="179" spans="1:4" ht="15.75" customHeight="1">
      <c r="A179" s="96" t="s">
        <v>551</v>
      </c>
      <c r="B179" s="233">
        <v>1</v>
      </c>
      <c r="C179" s="241"/>
      <c r="D179" s="238"/>
    </row>
    <row r="180" spans="1:4" ht="15.75" customHeight="1">
      <c r="A180" s="98" t="s">
        <v>146</v>
      </c>
      <c r="B180" s="234">
        <v>56</v>
      </c>
      <c r="C180" s="241"/>
      <c r="D180" s="238"/>
    </row>
    <row r="181" spans="1:4" ht="15.75" customHeight="1">
      <c r="A181" s="99"/>
      <c r="B181" s="128"/>
      <c r="C181" s="241"/>
      <c r="D181" s="238"/>
    </row>
    <row r="182" spans="1:4" ht="15.75" customHeight="1">
      <c r="A182" s="114" t="s">
        <v>639</v>
      </c>
      <c r="B182" s="114" t="s">
        <v>517</v>
      </c>
      <c r="C182" s="241"/>
      <c r="D182" s="238"/>
    </row>
    <row r="183" spans="1:4" ht="15.75" customHeight="1">
      <c r="A183" s="96" t="s">
        <v>640</v>
      </c>
      <c r="B183" s="233">
        <v>2</v>
      </c>
      <c r="C183" s="241"/>
      <c r="D183" s="238"/>
    </row>
    <row r="184" spans="1:4" ht="15.75" customHeight="1">
      <c r="A184" s="96" t="s">
        <v>641</v>
      </c>
      <c r="B184" s="233">
        <v>1</v>
      </c>
      <c r="C184" s="241"/>
      <c r="D184" s="238"/>
    </row>
    <row r="185" spans="1:4" ht="15.75" customHeight="1">
      <c r="A185" s="96" t="s">
        <v>642</v>
      </c>
      <c r="B185" s="233">
        <v>1</v>
      </c>
      <c r="C185" s="241"/>
      <c r="D185" s="238"/>
    </row>
    <row r="186" spans="1:4" ht="15.75" customHeight="1">
      <c r="A186" s="96" t="s">
        <v>643</v>
      </c>
      <c r="B186" s="233">
        <v>1</v>
      </c>
      <c r="C186" s="241"/>
      <c r="D186" s="238"/>
    </row>
    <row r="187" spans="1:4" ht="15.75" customHeight="1">
      <c r="A187" s="96" t="s">
        <v>644</v>
      </c>
      <c r="B187" s="233">
        <v>1</v>
      </c>
      <c r="C187" s="241"/>
      <c r="D187" s="238"/>
    </row>
    <row r="188" spans="1:4" ht="15.75" customHeight="1">
      <c r="A188" s="96" t="s">
        <v>645</v>
      </c>
      <c r="B188" s="233">
        <v>2</v>
      </c>
      <c r="C188" s="241"/>
      <c r="D188" s="238"/>
    </row>
    <row r="189" spans="1:4" ht="15.75" customHeight="1">
      <c r="A189" s="96" t="s">
        <v>646</v>
      </c>
      <c r="B189" s="233">
        <v>1</v>
      </c>
      <c r="C189" s="241"/>
      <c r="D189" s="238"/>
    </row>
    <row r="190" spans="1:4" ht="15.75" customHeight="1">
      <c r="A190" s="96" t="s">
        <v>647</v>
      </c>
      <c r="B190" s="233">
        <v>7</v>
      </c>
      <c r="C190" s="241"/>
      <c r="D190" s="238"/>
    </row>
    <row r="191" spans="1:4" ht="15.75" customHeight="1">
      <c r="A191" s="96" t="s">
        <v>648</v>
      </c>
      <c r="B191" s="233">
        <v>1</v>
      </c>
      <c r="C191" s="241"/>
      <c r="D191" s="238"/>
    </row>
    <row r="192" spans="1:4" ht="15.75" customHeight="1">
      <c r="A192" s="96" t="s">
        <v>649</v>
      </c>
      <c r="B192" s="233">
        <v>4</v>
      </c>
      <c r="C192" s="241"/>
      <c r="D192" s="238"/>
    </row>
    <row r="193" spans="1:4" ht="15.75" customHeight="1">
      <c r="A193" s="96" t="s">
        <v>650</v>
      </c>
      <c r="B193" s="233">
        <v>2</v>
      </c>
      <c r="C193" s="241"/>
      <c r="D193" s="238"/>
    </row>
    <row r="194" spans="1:4" ht="15.75" customHeight="1">
      <c r="A194" s="96" t="s">
        <v>651</v>
      </c>
      <c r="B194" s="233">
        <v>2</v>
      </c>
      <c r="C194" s="241"/>
      <c r="D194" s="238"/>
    </row>
    <row r="195" spans="1:4" ht="15.75" customHeight="1">
      <c r="A195" s="96" t="s">
        <v>652</v>
      </c>
      <c r="B195" s="233">
        <v>1</v>
      </c>
      <c r="C195" s="241"/>
      <c r="D195" s="238"/>
    </row>
    <row r="196" spans="1:4" ht="15.75" customHeight="1">
      <c r="A196" s="96" t="s">
        <v>653</v>
      </c>
      <c r="B196" s="233">
        <v>2</v>
      </c>
      <c r="C196" s="241"/>
      <c r="D196" s="238"/>
    </row>
    <row r="197" spans="1:4" ht="15.75" customHeight="1">
      <c r="A197" s="96" t="s">
        <v>654</v>
      </c>
      <c r="B197" s="233">
        <v>1</v>
      </c>
      <c r="C197" s="241"/>
      <c r="D197" s="238"/>
    </row>
    <row r="198" spans="1:4" ht="15.75" customHeight="1">
      <c r="A198" s="96" t="s">
        <v>414</v>
      </c>
      <c r="B198" s="233">
        <v>1</v>
      </c>
      <c r="C198" s="241"/>
      <c r="D198" s="238"/>
    </row>
    <row r="199" spans="1:4" ht="15.75" customHeight="1">
      <c r="A199" s="96" t="s">
        <v>655</v>
      </c>
      <c r="B199" s="233">
        <v>1</v>
      </c>
      <c r="C199" s="241"/>
      <c r="D199" s="238"/>
    </row>
    <row r="200" spans="1:4" ht="15.75" customHeight="1">
      <c r="A200" s="98" t="s">
        <v>146</v>
      </c>
      <c r="B200" s="234">
        <v>31</v>
      </c>
      <c r="C200" s="241"/>
      <c r="D200" s="238"/>
    </row>
    <row r="201" spans="1:4" ht="15.75" customHeight="1">
      <c r="A201" s="98"/>
      <c r="B201" s="234"/>
      <c r="C201" s="241"/>
      <c r="D201" s="238"/>
    </row>
    <row r="202" spans="1:4" ht="15.75" customHeight="1">
      <c r="A202" s="114" t="s">
        <v>1414</v>
      </c>
      <c r="B202" s="114" t="s">
        <v>517</v>
      </c>
      <c r="C202" s="241"/>
      <c r="D202" s="238"/>
    </row>
    <row r="203" spans="1:4" ht="15.75" customHeight="1">
      <c r="A203" s="96" t="s">
        <v>482</v>
      </c>
      <c r="B203" s="233">
        <v>1</v>
      </c>
      <c r="C203" s="241"/>
      <c r="D203" s="238"/>
    </row>
    <row r="204" spans="1:4" ht="15.75" customHeight="1">
      <c r="A204" s="96" t="s">
        <v>616</v>
      </c>
      <c r="B204" s="233">
        <v>1</v>
      </c>
      <c r="C204" s="241"/>
      <c r="D204" s="238"/>
    </row>
    <row r="205" spans="1:4" ht="15.75" customHeight="1">
      <c r="A205" s="96" t="s">
        <v>585</v>
      </c>
      <c r="B205" s="233">
        <v>1</v>
      </c>
      <c r="C205" s="241"/>
      <c r="D205" s="238"/>
    </row>
    <row r="206" spans="1:4" ht="15.75" customHeight="1">
      <c r="A206" s="96" t="s">
        <v>580</v>
      </c>
      <c r="B206" s="233">
        <v>1</v>
      </c>
      <c r="C206" s="241"/>
      <c r="D206" s="238"/>
    </row>
    <row r="207" spans="1:4" ht="15.75" customHeight="1">
      <c r="A207" s="96" t="s">
        <v>656</v>
      </c>
      <c r="B207" s="233">
        <v>1</v>
      </c>
      <c r="C207" s="241"/>
      <c r="D207" s="238"/>
    </row>
    <row r="208" spans="1:4" ht="15.75" customHeight="1">
      <c r="A208" s="96" t="s">
        <v>657</v>
      </c>
      <c r="B208" s="233">
        <v>1</v>
      </c>
      <c r="C208" s="241"/>
      <c r="D208" s="238"/>
    </row>
    <row r="209" spans="1:4" ht="15.75" customHeight="1">
      <c r="A209" s="96" t="s">
        <v>658</v>
      </c>
      <c r="B209" s="233">
        <v>7</v>
      </c>
      <c r="C209" s="241"/>
      <c r="D209" s="238"/>
    </row>
    <row r="210" spans="1:4" ht="15.75" customHeight="1">
      <c r="A210" s="96" t="s">
        <v>659</v>
      </c>
      <c r="B210" s="233">
        <v>2</v>
      </c>
      <c r="C210" s="241"/>
      <c r="D210" s="238"/>
    </row>
    <row r="211" spans="1:4" ht="15.75" customHeight="1">
      <c r="A211" s="96" t="s">
        <v>660</v>
      </c>
      <c r="B211" s="233">
        <v>1</v>
      </c>
      <c r="C211" s="241"/>
      <c r="D211" s="238"/>
    </row>
    <row r="212" spans="1:4" ht="15.75" customHeight="1">
      <c r="A212" s="96" t="s">
        <v>661</v>
      </c>
      <c r="B212" s="233">
        <v>1</v>
      </c>
      <c r="C212" s="241"/>
      <c r="D212" s="238"/>
    </row>
    <row r="213" spans="1:4" ht="15.75" customHeight="1">
      <c r="A213" s="96" t="s">
        <v>284</v>
      </c>
      <c r="B213" s="233">
        <v>2</v>
      </c>
      <c r="C213" s="241"/>
      <c r="D213" s="238"/>
    </row>
    <row r="214" spans="1:4" ht="15.75" customHeight="1">
      <c r="A214" s="96" t="s">
        <v>662</v>
      </c>
      <c r="B214" s="233">
        <v>3</v>
      </c>
      <c r="C214" s="241"/>
      <c r="D214" s="238"/>
    </row>
    <row r="215" spans="1:4" ht="15.75" customHeight="1">
      <c r="A215" s="96" t="s">
        <v>663</v>
      </c>
      <c r="B215" s="233">
        <v>2</v>
      </c>
      <c r="C215" s="241"/>
      <c r="D215" s="238"/>
    </row>
    <row r="216" spans="1:4" ht="15.75" customHeight="1">
      <c r="A216" s="96" t="s">
        <v>664</v>
      </c>
      <c r="B216" s="233">
        <v>2</v>
      </c>
      <c r="C216" s="241"/>
      <c r="D216" s="238"/>
    </row>
    <row r="217" spans="1:4" ht="15.75" customHeight="1">
      <c r="A217" s="96" t="s">
        <v>665</v>
      </c>
      <c r="B217" s="233">
        <v>3</v>
      </c>
      <c r="C217" s="241"/>
      <c r="D217" s="238"/>
    </row>
    <row r="218" spans="1:4" ht="15.75" customHeight="1">
      <c r="A218" s="96" t="s">
        <v>666</v>
      </c>
      <c r="B218" s="233">
        <v>2</v>
      </c>
      <c r="C218" s="241"/>
      <c r="D218" s="238"/>
    </row>
    <row r="219" spans="1:4" ht="15.75" customHeight="1">
      <c r="A219" s="96" t="s">
        <v>667</v>
      </c>
      <c r="B219" s="233">
        <v>2</v>
      </c>
      <c r="C219" s="241"/>
      <c r="D219" s="238"/>
    </row>
    <row r="220" spans="1:4" ht="15.75" customHeight="1">
      <c r="A220" s="96" t="s">
        <v>668</v>
      </c>
      <c r="B220" s="233">
        <v>6</v>
      </c>
      <c r="C220" s="241"/>
      <c r="D220" s="238"/>
    </row>
    <row r="221" spans="1:4" ht="15.75" customHeight="1">
      <c r="A221" s="96" t="s">
        <v>669</v>
      </c>
      <c r="B221" s="233">
        <v>2</v>
      </c>
      <c r="C221" s="241"/>
      <c r="D221" s="238"/>
    </row>
    <row r="222" spans="1:4" ht="15.75" customHeight="1">
      <c r="A222" s="96" t="s">
        <v>670</v>
      </c>
      <c r="B222" s="233">
        <v>2</v>
      </c>
      <c r="C222" s="241"/>
      <c r="D222" s="238"/>
    </row>
    <row r="223" spans="1:4" ht="15.75" customHeight="1">
      <c r="A223" s="96" t="s">
        <v>558</v>
      </c>
      <c r="B223" s="233">
        <v>1</v>
      </c>
      <c r="C223" s="241"/>
      <c r="D223" s="238"/>
    </row>
    <row r="224" spans="1:4" ht="15.75" customHeight="1">
      <c r="A224" s="96" t="s">
        <v>671</v>
      </c>
      <c r="B224" s="233">
        <v>4</v>
      </c>
      <c r="C224" s="241"/>
      <c r="D224" s="238"/>
    </row>
    <row r="225" spans="1:5" ht="15.75" customHeight="1">
      <c r="A225" s="96" t="s">
        <v>672</v>
      </c>
      <c r="B225" s="233">
        <v>2</v>
      </c>
      <c r="C225" s="241"/>
      <c r="D225" s="238"/>
    </row>
    <row r="226" spans="1:5" ht="15.75" customHeight="1">
      <c r="A226" s="96" t="s">
        <v>673</v>
      </c>
      <c r="B226" s="233">
        <v>2</v>
      </c>
      <c r="C226" s="241"/>
      <c r="D226" s="238"/>
    </row>
    <row r="227" spans="1:5" ht="15.75" customHeight="1">
      <c r="A227" s="96" t="s">
        <v>674</v>
      </c>
      <c r="B227" s="233">
        <v>1</v>
      </c>
      <c r="C227" s="241"/>
      <c r="D227" s="238"/>
    </row>
    <row r="228" spans="1:5" ht="15.75" customHeight="1">
      <c r="A228" s="96" t="s">
        <v>675</v>
      </c>
      <c r="B228" s="233">
        <v>1</v>
      </c>
      <c r="C228" s="241"/>
      <c r="D228" s="238"/>
    </row>
    <row r="229" spans="1:5" ht="15.75" customHeight="1">
      <c r="A229" s="96" t="s">
        <v>676</v>
      </c>
      <c r="B229" s="233">
        <v>2</v>
      </c>
      <c r="C229" s="241"/>
      <c r="D229" s="238"/>
    </row>
    <row r="230" spans="1:5" ht="15.75" customHeight="1">
      <c r="A230" s="96" t="s">
        <v>677</v>
      </c>
      <c r="B230" s="233">
        <v>1</v>
      </c>
      <c r="C230" s="241"/>
      <c r="D230" s="238"/>
    </row>
    <row r="231" spans="1:5" ht="15.75" customHeight="1">
      <c r="A231" s="96" t="s">
        <v>678</v>
      </c>
      <c r="B231" s="233">
        <v>1</v>
      </c>
      <c r="C231" s="241"/>
      <c r="D231" s="238"/>
    </row>
    <row r="232" spans="1:5" ht="15.75" customHeight="1">
      <c r="A232" s="96" t="s">
        <v>679</v>
      </c>
      <c r="B232" s="233">
        <v>8</v>
      </c>
      <c r="C232" s="241"/>
      <c r="D232" s="238"/>
    </row>
    <row r="233" spans="1:5" ht="15.75" customHeight="1">
      <c r="A233" s="96" t="s">
        <v>680</v>
      </c>
      <c r="B233" s="233">
        <v>1</v>
      </c>
      <c r="C233" s="241"/>
      <c r="D233" s="238"/>
    </row>
    <row r="234" spans="1:5" ht="15.75" customHeight="1">
      <c r="A234" s="96" t="s">
        <v>681</v>
      </c>
      <c r="B234" s="233">
        <v>1</v>
      </c>
      <c r="C234" s="241"/>
      <c r="D234" s="238"/>
    </row>
    <row r="235" spans="1:5" ht="15.75" customHeight="1">
      <c r="A235" s="96" t="s">
        <v>655</v>
      </c>
      <c r="B235" s="233">
        <v>1</v>
      </c>
      <c r="C235" s="241"/>
      <c r="D235" s="238"/>
    </row>
    <row r="236" spans="1:5" ht="15.75" customHeight="1">
      <c r="A236" s="98" t="s">
        <v>146</v>
      </c>
      <c r="B236" s="234">
        <v>69</v>
      </c>
      <c r="C236" s="241"/>
      <c r="D236" s="238"/>
    </row>
    <row r="237" spans="1:5" ht="15.75" customHeight="1">
      <c r="A237" s="99"/>
      <c r="B237" s="128"/>
      <c r="C237" s="241"/>
      <c r="D237" s="238"/>
    </row>
    <row r="238" spans="1:5" ht="15.75" customHeight="1">
      <c r="A238" s="114" t="s">
        <v>682</v>
      </c>
      <c r="B238" s="114" t="s">
        <v>517</v>
      </c>
      <c r="C238" s="241"/>
      <c r="D238" s="238"/>
    </row>
    <row r="239" spans="1:5" ht="15.75" customHeight="1">
      <c r="A239" s="126" t="s">
        <v>683</v>
      </c>
      <c r="B239" s="233">
        <v>1</v>
      </c>
      <c r="C239" s="241"/>
      <c r="D239" s="238"/>
      <c r="E239" s="321" t="s">
        <v>1424</v>
      </c>
    </row>
    <row r="240" spans="1:5" ht="15.75" customHeight="1">
      <c r="A240" s="126" t="s">
        <v>684</v>
      </c>
      <c r="B240" s="233">
        <v>1</v>
      </c>
      <c r="C240" s="241"/>
      <c r="D240" s="238"/>
    </row>
    <row r="241" spans="1:4" ht="15.75" customHeight="1">
      <c r="A241" s="126" t="s">
        <v>685</v>
      </c>
      <c r="B241" s="233">
        <v>1</v>
      </c>
      <c r="C241" s="241"/>
      <c r="D241" s="238"/>
    </row>
    <row r="242" spans="1:4" ht="15.75" customHeight="1">
      <c r="A242" s="126" t="s">
        <v>686</v>
      </c>
      <c r="B242" s="233">
        <v>1</v>
      </c>
      <c r="C242" s="241"/>
      <c r="D242" s="238"/>
    </row>
    <row r="243" spans="1:4" ht="15.75" customHeight="1">
      <c r="A243" s="126" t="s">
        <v>687</v>
      </c>
      <c r="B243" s="233">
        <v>1</v>
      </c>
      <c r="C243" s="241"/>
      <c r="D243" s="238"/>
    </row>
    <row r="244" spans="1:4" ht="15.75" customHeight="1">
      <c r="A244" s="126" t="s">
        <v>688</v>
      </c>
      <c r="B244" s="233">
        <v>1</v>
      </c>
      <c r="C244" s="241"/>
      <c r="D244" s="238"/>
    </row>
    <row r="245" spans="1:4" ht="15.75" customHeight="1">
      <c r="A245" s="126" t="s">
        <v>688</v>
      </c>
      <c r="B245" s="233">
        <v>1</v>
      </c>
      <c r="C245" s="241"/>
      <c r="D245" s="238"/>
    </row>
    <row r="246" spans="1:4" ht="15.75" customHeight="1">
      <c r="A246" s="126" t="s">
        <v>689</v>
      </c>
      <c r="B246" s="233">
        <v>1</v>
      </c>
      <c r="C246" s="241"/>
      <c r="D246" s="238"/>
    </row>
    <row r="247" spans="1:4" ht="15.75" customHeight="1">
      <c r="A247" s="126" t="s">
        <v>690</v>
      </c>
      <c r="B247" s="233">
        <v>1</v>
      </c>
      <c r="C247" s="241"/>
      <c r="D247" s="238"/>
    </row>
    <row r="248" spans="1:4" ht="15.75" customHeight="1">
      <c r="A248" s="126" t="s">
        <v>691</v>
      </c>
      <c r="B248" s="233">
        <v>1</v>
      </c>
      <c r="C248" s="241"/>
      <c r="D248" s="238"/>
    </row>
    <row r="249" spans="1:4" ht="15.75" customHeight="1">
      <c r="A249" s="126" t="s">
        <v>692</v>
      </c>
      <c r="B249" s="233">
        <v>1</v>
      </c>
      <c r="C249" s="241"/>
      <c r="D249" s="238"/>
    </row>
    <row r="250" spans="1:4" ht="15.75" customHeight="1">
      <c r="A250" s="126" t="s">
        <v>693</v>
      </c>
      <c r="B250" s="233">
        <v>1</v>
      </c>
      <c r="C250" s="241"/>
      <c r="D250" s="238"/>
    </row>
    <row r="251" spans="1:4" ht="15.75" customHeight="1">
      <c r="A251" s="126" t="s">
        <v>694</v>
      </c>
      <c r="B251" s="233">
        <v>1</v>
      </c>
      <c r="C251" s="241"/>
      <c r="D251" s="238"/>
    </row>
    <row r="252" spans="1:4" ht="15.75" customHeight="1">
      <c r="A252" s="126" t="s">
        <v>695</v>
      </c>
      <c r="B252" s="233">
        <v>1</v>
      </c>
      <c r="C252" s="241"/>
      <c r="D252" s="238"/>
    </row>
    <row r="253" spans="1:4" ht="15.75" customHeight="1">
      <c r="A253" s="126" t="s">
        <v>696</v>
      </c>
      <c r="B253" s="233">
        <v>1</v>
      </c>
      <c r="C253" s="241"/>
      <c r="D253" s="238"/>
    </row>
    <row r="254" spans="1:4" ht="15.75" customHeight="1">
      <c r="A254" s="126" t="s">
        <v>697</v>
      </c>
      <c r="B254" s="233">
        <v>1</v>
      </c>
      <c r="C254" s="241"/>
      <c r="D254" s="238"/>
    </row>
    <row r="255" spans="1:4" ht="15.75" customHeight="1">
      <c r="A255" s="126" t="s">
        <v>698</v>
      </c>
      <c r="B255" s="233">
        <v>1</v>
      </c>
      <c r="C255" s="241"/>
      <c r="D255" s="238"/>
    </row>
    <row r="256" spans="1:4" ht="15.75" customHeight="1">
      <c r="A256" s="98" t="s">
        <v>146</v>
      </c>
      <c r="B256" s="234">
        <v>17</v>
      </c>
      <c r="C256" s="241"/>
      <c r="D256" s="238"/>
    </row>
    <row r="257" spans="1:4" ht="15.75" customHeight="1">
      <c r="A257" s="121"/>
      <c r="B257" s="123"/>
      <c r="C257" s="241"/>
      <c r="D257" s="238"/>
    </row>
    <row r="258" spans="1:4" ht="15.75" customHeight="1">
      <c r="A258" s="114" t="s">
        <v>699</v>
      </c>
      <c r="B258" s="114" t="s">
        <v>517</v>
      </c>
      <c r="C258" s="241"/>
      <c r="D258" s="238"/>
    </row>
    <row r="259" spans="1:4" ht="15.75" customHeight="1">
      <c r="A259" s="96" t="s">
        <v>700</v>
      </c>
      <c r="B259" s="233">
        <v>1</v>
      </c>
      <c r="C259" s="241"/>
      <c r="D259" s="238"/>
    </row>
    <row r="260" spans="1:4" ht="15.75" customHeight="1">
      <c r="A260" s="96" t="s">
        <v>701</v>
      </c>
      <c r="B260" s="233">
        <v>1</v>
      </c>
      <c r="C260" s="241"/>
      <c r="D260" s="238"/>
    </row>
    <row r="261" spans="1:4" ht="15.75" customHeight="1">
      <c r="A261" s="96" t="s">
        <v>702</v>
      </c>
      <c r="B261" s="233">
        <v>1</v>
      </c>
      <c r="C261" s="241"/>
      <c r="D261" s="238"/>
    </row>
    <row r="262" spans="1:4" ht="15.75" customHeight="1">
      <c r="A262" s="96" t="s">
        <v>703</v>
      </c>
      <c r="B262" s="233">
        <v>1</v>
      </c>
      <c r="C262" s="241"/>
      <c r="D262" s="238"/>
    </row>
    <row r="263" spans="1:4" ht="15.75" customHeight="1">
      <c r="A263" s="96" t="s">
        <v>704</v>
      </c>
      <c r="B263" s="233">
        <v>1</v>
      </c>
      <c r="C263" s="241"/>
      <c r="D263" s="238"/>
    </row>
    <row r="264" spans="1:4" ht="15.75" customHeight="1">
      <c r="A264" s="96" t="s">
        <v>705</v>
      </c>
      <c r="B264" s="233">
        <v>1</v>
      </c>
      <c r="C264" s="241"/>
      <c r="D264" s="238"/>
    </row>
    <row r="265" spans="1:4" ht="15.75" customHeight="1">
      <c r="A265" s="96" t="s">
        <v>706</v>
      </c>
      <c r="B265" s="233">
        <v>1</v>
      </c>
      <c r="C265" s="241"/>
      <c r="D265" s="238"/>
    </row>
    <row r="266" spans="1:4" ht="15.75" customHeight="1">
      <c r="A266" s="96" t="s">
        <v>707</v>
      </c>
      <c r="B266" s="233">
        <v>1</v>
      </c>
      <c r="C266" s="241"/>
      <c r="D266" s="238"/>
    </row>
    <row r="267" spans="1:4" ht="15.75" customHeight="1">
      <c r="A267" s="96" t="s">
        <v>708</v>
      </c>
      <c r="B267" s="233">
        <v>1</v>
      </c>
      <c r="C267" s="241"/>
      <c r="D267" s="238"/>
    </row>
    <row r="268" spans="1:4" ht="15.75" customHeight="1">
      <c r="A268" s="96" t="s">
        <v>706</v>
      </c>
      <c r="B268" s="233">
        <v>1</v>
      </c>
      <c r="C268" s="241"/>
      <c r="D268" s="238"/>
    </row>
    <row r="269" spans="1:4" ht="15.75" customHeight="1">
      <c r="A269" s="96" t="s">
        <v>706</v>
      </c>
      <c r="B269" s="233">
        <v>1</v>
      </c>
      <c r="C269" s="241"/>
      <c r="D269" s="238"/>
    </row>
    <row r="270" spans="1:4" ht="15.75" customHeight="1">
      <c r="A270" s="96" t="s">
        <v>709</v>
      </c>
      <c r="B270" s="233">
        <v>1</v>
      </c>
      <c r="C270" s="241"/>
      <c r="D270" s="238"/>
    </row>
    <row r="271" spans="1:4" ht="15.75" customHeight="1">
      <c r="A271" s="98" t="s">
        <v>146</v>
      </c>
      <c r="B271" s="234">
        <v>12</v>
      </c>
      <c r="C271" s="241"/>
      <c r="D271" s="238"/>
    </row>
    <row r="272" spans="1:4" ht="15.75" customHeight="1">
      <c r="A272" s="99"/>
      <c r="B272" s="128"/>
      <c r="C272" s="241"/>
      <c r="D272" s="238"/>
    </row>
    <row r="273" spans="1:5" ht="15.75" customHeight="1">
      <c r="A273" s="114" t="s">
        <v>710</v>
      </c>
      <c r="B273" s="114" t="s">
        <v>517</v>
      </c>
      <c r="C273" s="241"/>
      <c r="D273" s="238"/>
    </row>
    <row r="274" spans="1:5" ht="15.75" customHeight="1">
      <c r="A274" s="126" t="s">
        <v>711</v>
      </c>
      <c r="B274" s="233">
        <v>1</v>
      </c>
      <c r="C274" s="241"/>
      <c r="D274" s="238"/>
      <c r="E274" s="321" t="s">
        <v>1424</v>
      </c>
    </row>
    <row r="275" spans="1:5" ht="15.75" customHeight="1">
      <c r="A275" s="126" t="s">
        <v>712</v>
      </c>
      <c r="B275" s="233">
        <v>1</v>
      </c>
      <c r="C275" s="241"/>
      <c r="D275" s="238"/>
    </row>
    <row r="276" spans="1:5" ht="15.75" customHeight="1">
      <c r="A276" s="126" t="s">
        <v>691</v>
      </c>
      <c r="B276" s="233">
        <v>1</v>
      </c>
      <c r="C276" s="241"/>
      <c r="D276" s="238"/>
    </row>
    <row r="277" spans="1:5" ht="15.75" customHeight="1">
      <c r="A277" s="126" t="s">
        <v>713</v>
      </c>
      <c r="B277" s="233">
        <v>1</v>
      </c>
      <c r="C277" s="241"/>
      <c r="D277" s="238"/>
    </row>
    <row r="278" spans="1:5" ht="15.75" customHeight="1">
      <c r="A278" s="126" t="s">
        <v>714</v>
      </c>
      <c r="B278" s="233">
        <v>1</v>
      </c>
      <c r="C278" s="241"/>
      <c r="D278" s="238"/>
    </row>
    <row r="279" spans="1:5" ht="15.75" customHeight="1">
      <c r="A279" s="126" t="s">
        <v>715</v>
      </c>
      <c r="B279" s="233">
        <v>1</v>
      </c>
      <c r="C279" s="241"/>
      <c r="D279" s="238"/>
    </row>
    <row r="280" spans="1:5" ht="15.75" customHeight="1">
      <c r="A280" s="126" t="s">
        <v>716</v>
      </c>
      <c r="B280" s="233">
        <v>1</v>
      </c>
      <c r="C280" s="241"/>
      <c r="D280" s="238"/>
    </row>
    <row r="281" spans="1:5" ht="15.75" customHeight="1">
      <c r="A281" s="126" t="s">
        <v>716</v>
      </c>
      <c r="B281" s="233">
        <v>1</v>
      </c>
      <c r="C281" s="241"/>
      <c r="D281" s="238"/>
    </row>
    <row r="282" spans="1:5" ht="15.75" customHeight="1">
      <c r="A282" s="126" t="s">
        <v>717</v>
      </c>
      <c r="B282" s="233">
        <v>1</v>
      </c>
      <c r="C282" s="241"/>
      <c r="D282" s="238"/>
    </row>
    <row r="283" spans="1:5" ht="15.75" customHeight="1">
      <c r="A283" s="98" t="s">
        <v>146</v>
      </c>
      <c r="B283" s="234">
        <v>9</v>
      </c>
      <c r="C283" s="241"/>
      <c r="D283" s="238"/>
    </row>
    <row r="284" spans="1:5" ht="15.75" customHeight="1">
      <c r="A284" s="98"/>
      <c r="B284" s="234"/>
      <c r="C284" s="241"/>
      <c r="D284" s="238"/>
    </row>
    <row r="285" spans="1:5" ht="15.75" customHeight="1">
      <c r="A285" s="114" t="s">
        <v>52</v>
      </c>
      <c r="B285" s="114" t="s">
        <v>517</v>
      </c>
      <c r="C285" s="241"/>
      <c r="D285" s="238"/>
    </row>
    <row r="286" spans="1:5" ht="15.75" customHeight="1">
      <c r="A286" s="96" t="s">
        <v>718</v>
      </c>
      <c r="B286" s="233">
        <v>2</v>
      </c>
      <c r="C286" s="241"/>
      <c r="D286" s="238"/>
    </row>
    <row r="287" spans="1:5" ht="15.75" customHeight="1">
      <c r="A287" s="96" t="s">
        <v>719</v>
      </c>
      <c r="B287" s="233">
        <v>1</v>
      </c>
      <c r="C287" s="241"/>
      <c r="D287" s="238"/>
    </row>
    <row r="288" spans="1:5" ht="15.75" customHeight="1">
      <c r="A288" s="96" t="s">
        <v>720</v>
      </c>
      <c r="B288" s="233">
        <v>1</v>
      </c>
      <c r="C288" s="241"/>
      <c r="D288" s="238"/>
    </row>
    <row r="289" spans="1:4" ht="15.75" customHeight="1">
      <c r="A289" s="96" t="s">
        <v>721</v>
      </c>
      <c r="B289" s="233">
        <v>1</v>
      </c>
      <c r="C289" s="241"/>
      <c r="D289" s="238"/>
    </row>
    <row r="290" spans="1:4" ht="15.75" customHeight="1">
      <c r="A290" s="96" t="s">
        <v>556</v>
      </c>
      <c r="B290" s="233">
        <v>1</v>
      </c>
      <c r="C290" s="241"/>
      <c r="D290" s="238"/>
    </row>
    <row r="291" spans="1:4" ht="15.75" customHeight="1">
      <c r="A291" s="96" t="s">
        <v>722</v>
      </c>
      <c r="B291" s="233">
        <v>2</v>
      </c>
      <c r="C291" s="241"/>
      <c r="D291" s="238"/>
    </row>
    <row r="292" spans="1:4" ht="15.75" customHeight="1">
      <c r="A292" s="96" t="s">
        <v>723</v>
      </c>
      <c r="B292" s="233">
        <v>6</v>
      </c>
      <c r="C292" s="241"/>
      <c r="D292" s="238"/>
    </row>
    <row r="293" spans="1:4" ht="15.75" customHeight="1">
      <c r="A293" s="96" t="s">
        <v>724</v>
      </c>
      <c r="B293" s="233">
        <v>1</v>
      </c>
      <c r="C293" s="241"/>
      <c r="D293" s="238"/>
    </row>
    <row r="294" spans="1:4" ht="15.75" customHeight="1">
      <c r="A294" s="96" t="s">
        <v>725</v>
      </c>
      <c r="B294" s="233">
        <v>1</v>
      </c>
      <c r="C294" s="241"/>
      <c r="D294" s="238"/>
    </row>
    <row r="295" spans="1:4" ht="15.75" customHeight="1">
      <c r="A295" s="96" t="s">
        <v>726</v>
      </c>
      <c r="B295" s="233">
        <v>1</v>
      </c>
      <c r="C295" s="241"/>
      <c r="D295" s="238"/>
    </row>
    <row r="296" spans="1:4" ht="15.75" customHeight="1">
      <c r="A296" s="96" t="s">
        <v>727</v>
      </c>
      <c r="B296" s="233">
        <v>3</v>
      </c>
      <c r="C296" s="241"/>
      <c r="D296" s="238"/>
    </row>
    <row r="297" spans="1:4" ht="15.75" customHeight="1">
      <c r="A297" s="96" t="s">
        <v>728</v>
      </c>
      <c r="B297" s="233">
        <v>3</v>
      </c>
      <c r="C297" s="241"/>
      <c r="D297" s="238"/>
    </row>
    <row r="298" spans="1:4" ht="15.75" customHeight="1">
      <c r="A298" s="96" t="s">
        <v>729</v>
      </c>
      <c r="B298" s="233">
        <v>2</v>
      </c>
      <c r="C298" s="241"/>
      <c r="D298" s="238"/>
    </row>
    <row r="299" spans="1:4" ht="15.75" customHeight="1">
      <c r="A299" s="96" t="s">
        <v>730</v>
      </c>
      <c r="B299" s="233">
        <v>1</v>
      </c>
      <c r="C299" s="241"/>
      <c r="D299" s="238"/>
    </row>
    <row r="300" spans="1:4" ht="15.75" customHeight="1">
      <c r="A300" s="96" t="s">
        <v>731</v>
      </c>
      <c r="B300" s="233">
        <v>1</v>
      </c>
      <c r="C300" s="241"/>
      <c r="D300" s="238"/>
    </row>
    <row r="301" spans="1:4" ht="15.75" customHeight="1">
      <c r="A301" s="96" t="s">
        <v>732</v>
      </c>
      <c r="B301" s="233">
        <v>1</v>
      </c>
      <c r="C301" s="241"/>
      <c r="D301" s="238"/>
    </row>
    <row r="302" spans="1:4" ht="15.75" customHeight="1">
      <c r="A302" s="96" t="s">
        <v>733</v>
      </c>
      <c r="B302" s="233">
        <v>1</v>
      </c>
      <c r="C302" s="241"/>
      <c r="D302" s="238"/>
    </row>
    <row r="303" spans="1:4" ht="15.75" customHeight="1">
      <c r="A303" s="96" t="s">
        <v>734</v>
      </c>
      <c r="B303" s="233">
        <v>1</v>
      </c>
      <c r="C303" s="241"/>
      <c r="D303" s="238"/>
    </row>
    <row r="304" spans="1:4" ht="15.75" customHeight="1">
      <c r="A304" s="96" t="s">
        <v>735</v>
      </c>
      <c r="B304" s="233">
        <v>1</v>
      </c>
      <c r="C304" s="241"/>
      <c r="D304" s="238"/>
    </row>
    <row r="305" spans="1:4" ht="15.75" customHeight="1">
      <c r="A305" s="96" t="s">
        <v>736</v>
      </c>
      <c r="B305" s="233">
        <v>1</v>
      </c>
      <c r="C305" s="241"/>
      <c r="D305" s="238"/>
    </row>
    <row r="306" spans="1:4" ht="15.75" customHeight="1">
      <c r="A306" s="96" t="s">
        <v>737</v>
      </c>
      <c r="B306" s="233">
        <v>1</v>
      </c>
      <c r="C306" s="241"/>
      <c r="D306" s="238"/>
    </row>
    <row r="307" spans="1:4" ht="15.75" customHeight="1">
      <c r="A307" s="98" t="s">
        <v>146</v>
      </c>
      <c r="B307" s="234">
        <v>33</v>
      </c>
      <c r="C307" s="241"/>
      <c r="D307" s="238"/>
    </row>
  </sheetData>
  <pageMargins left="0.51181102362204722" right="0.51181102362204722" top="1.1811023622047245" bottom="1.1811023622047245" header="0.78740157480314954" footer="0.78740157480314954"/>
  <pageSetup paperSize="0" fitToWidth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5"/>
  <sheetViews>
    <sheetView topLeftCell="A113" workbookViewId="0">
      <selection activeCell="B13" sqref="B13"/>
    </sheetView>
  </sheetViews>
  <sheetFormatPr defaultColWidth="8" defaultRowHeight="9.75" customHeight="1"/>
  <cols>
    <col min="1" max="1" width="15.140625" style="28" customWidth="1"/>
    <col min="2" max="2" width="50.28515625" style="28" customWidth="1"/>
    <col min="3" max="3" width="8" style="28" customWidth="1"/>
    <col min="4" max="4" width="8" style="28"/>
    <col min="5" max="5" width="15.140625" style="28" bestFit="1" customWidth="1"/>
    <col min="6" max="16384" width="8" style="28"/>
  </cols>
  <sheetData>
    <row r="1" spans="1:5" ht="14.25" customHeight="1">
      <c r="A1" s="114" t="s">
        <v>22</v>
      </c>
      <c r="B1" s="114" t="s">
        <v>738</v>
      </c>
      <c r="C1" s="248" t="s">
        <v>517</v>
      </c>
      <c r="D1" s="250" t="s">
        <v>1421</v>
      </c>
      <c r="E1" s="249" t="s">
        <v>1422</v>
      </c>
    </row>
    <row r="2" spans="1:5" ht="14.25" customHeight="1">
      <c r="A2" s="29"/>
      <c r="B2" s="244" t="s">
        <v>740</v>
      </c>
      <c r="C2" s="248">
        <v>8</v>
      </c>
      <c r="D2" s="250"/>
      <c r="E2" s="249"/>
    </row>
    <row r="3" spans="1:5" ht="14.25" customHeight="1">
      <c r="A3" s="29"/>
      <c r="B3" s="244" t="s">
        <v>741</v>
      </c>
      <c r="C3" s="248">
        <v>4</v>
      </c>
      <c r="D3" s="250"/>
      <c r="E3" s="249"/>
    </row>
    <row r="4" spans="1:5" ht="14.25" customHeight="1">
      <c r="A4" s="29"/>
      <c r="B4" s="244" t="s">
        <v>742</v>
      </c>
      <c r="C4" s="248">
        <v>4</v>
      </c>
      <c r="D4" s="250"/>
      <c r="E4" s="249"/>
    </row>
    <row r="5" spans="1:5" ht="14.25" customHeight="1">
      <c r="A5" s="29"/>
      <c r="B5" s="244" t="s">
        <v>743</v>
      </c>
      <c r="C5" s="248">
        <v>4</v>
      </c>
      <c r="D5" s="250"/>
      <c r="E5" s="249"/>
    </row>
    <row r="6" spans="1:5" ht="14.25" customHeight="1">
      <c r="A6" s="29"/>
      <c r="B6" s="244" t="s">
        <v>744</v>
      </c>
      <c r="C6" s="248">
        <v>4</v>
      </c>
      <c r="D6" s="250"/>
      <c r="E6" s="249"/>
    </row>
    <row r="7" spans="1:5" ht="14.25" customHeight="1">
      <c r="A7" s="29"/>
      <c r="B7" s="244" t="s">
        <v>745</v>
      </c>
      <c r="C7" s="248">
        <v>4</v>
      </c>
      <c r="D7" s="250"/>
      <c r="E7" s="249"/>
    </row>
    <row r="8" spans="1:5" ht="14.25" customHeight="1">
      <c r="A8" s="29"/>
      <c r="B8" s="244" t="s">
        <v>746</v>
      </c>
      <c r="C8" s="248">
        <v>4</v>
      </c>
      <c r="D8" s="250"/>
      <c r="E8" s="249"/>
    </row>
    <row r="9" spans="1:5" ht="14.25" customHeight="1">
      <c r="A9" s="29"/>
      <c r="B9" s="244" t="s">
        <v>747</v>
      </c>
      <c r="C9" s="248">
        <v>16</v>
      </c>
      <c r="D9" s="250"/>
      <c r="E9" s="249"/>
    </row>
    <row r="10" spans="1:5" ht="14.25" customHeight="1">
      <c r="A10" s="29"/>
      <c r="B10" s="244" t="s">
        <v>748</v>
      </c>
      <c r="C10" s="248">
        <v>16</v>
      </c>
      <c r="D10" s="250"/>
      <c r="E10" s="249"/>
    </row>
    <row r="11" spans="1:5" ht="14.25" customHeight="1">
      <c r="A11" s="29"/>
      <c r="B11" s="245" t="s">
        <v>749</v>
      </c>
      <c r="C11" s="248">
        <v>4</v>
      </c>
      <c r="D11" s="250"/>
      <c r="E11" s="249"/>
    </row>
    <row r="12" spans="1:5" ht="14.25" customHeight="1">
      <c r="A12" s="29"/>
      <c r="B12" s="245" t="s">
        <v>750</v>
      </c>
      <c r="C12" s="248">
        <v>4</v>
      </c>
      <c r="D12" s="250"/>
      <c r="E12" s="249"/>
    </row>
    <row r="13" spans="1:5" ht="14.25" customHeight="1">
      <c r="A13" s="29"/>
      <c r="B13" s="244" t="s">
        <v>751</v>
      </c>
      <c r="C13" s="248">
        <v>4</v>
      </c>
      <c r="D13" s="250"/>
      <c r="E13" s="249"/>
    </row>
    <row r="14" spans="1:5" ht="14.25" customHeight="1">
      <c r="A14" s="29"/>
      <c r="B14" s="244" t="s">
        <v>752</v>
      </c>
      <c r="C14" s="248">
        <v>4</v>
      </c>
      <c r="D14" s="250"/>
      <c r="E14" s="249"/>
    </row>
    <row r="15" spans="1:5" ht="14.25" customHeight="1">
      <c r="A15" s="29"/>
      <c r="B15" s="244" t="s">
        <v>753</v>
      </c>
      <c r="C15" s="248">
        <v>4</v>
      </c>
      <c r="D15" s="250"/>
      <c r="E15" s="249"/>
    </row>
    <row r="16" spans="1:5" ht="14.25" customHeight="1">
      <c r="A16" s="29"/>
      <c r="B16" s="244" t="s">
        <v>754</v>
      </c>
      <c r="C16" s="248">
        <v>4</v>
      </c>
      <c r="D16" s="250"/>
      <c r="E16" s="249"/>
    </row>
    <row r="17" spans="1:5" ht="14.25" customHeight="1">
      <c r="A17" s="29"/>
      <c r="B17" s="244" t="s">
        <v>755</v>
      </c>
      <c r="C17" s="248">
        <v>4</v>
      </c>
      <c r="D17" s="250"/>
      <c r="E17" s="249"/>
    </row>
    <row r="18" spans="1:5" ht="14.25" customHeight="1">
      <c r="A18" s="29"/>
      <c r="B18" s="244" t="s">
        <v>756</v>
      </c>
      <c r="C18" s="248">
        <v>4</v>
      </c>
      <c r="D18" s="250"/>
      <c r="E18" s="249"/>
    </row>
    <row r="19" spans="1:5" ht="14.25" customHeight="1">
      <c r="A19" s="29"/>
      <c r="B19" s="245" t="s">
        <v>757</v>
      </c>
      <c r="C19" s="248">
        <v>8</v>
      </c>
      <c r="D19" s="250"/>
      <c r="E19" s="249"/>
    </row>
    <row r="20" spans="1:5" ht="14.25" customHeight="1">
      <c r="A20" s="29"/>
      <c r="B20" s="245" t="s">
        <v>758</v>
      </c>
      <c r="C20" s="248">
        <v>4</v>
      </c>
      <c r="D20" s="250"/>
      <c r="E20" s="249"/>
    </row>
    <row r="21" spans="1:5" ht="14.25" customHeight="1">
      <c r="A21" s="29"/>
      <c r="B21" s="245" t="s">
        <v>759</v>
      </c>
      <c r="C21" s="248">
        <v>4</v>
      </c>
      <c r="D21" s="250"/>
      <c r="E21" s="249"/>
    </row>
    <row r="22" spans="1:5" ht="14.25" customHeight="1">
      <c r="A22" s="29"/>
      <c r="B22" s="245" t="s">
        <v>760</v>
      </c>
      <c r="C22" s="248">
        <v>4</v>
      </c>
      <c r="D22" s="250"/>
      <c r="E22" s="249"/>
    </row>
    <row r="23" spans="1:5" ht="14.25" customHeight="1">
      <c r="A23" s="29"/>
      <c r="B23" s="245" t="s">
        <v>761</v>
      </c>
      <c r="C23" s="248">
        <v>8</v>
      </c>
      <c r="D23" s="250"/>
      <c r="E23" s="249"/>
    </row>
    <row r="24" spans="1:5" ht="14.25" customHeight="1">
      <c r="A24" s="29"/>
      <c r="B24" s="244" t="s">
        <v>762</v>
      </c>
      <c r="C24" s="248">
        <v>32</v>
      </c>
      <c r="D24" s="250"/>
      <c r="E24" s="249"/>
    </row>
    <row r="25" spans="1:5" ht="14.25" customHeight="1">
      <c r="A25" s="29"/>
      <c r="B25" s="244" t="s">
        <v>763</v>
      </c>
      <c r="C25" s="248">
        <v>8</v>
      </c>
      <c r="D25" s="250"/>
      <c r="E25" s="249"/>
    </row>
    <row r="26" spans="1:5" ht="14.25" customHeight="1">
      <c r="A26" s="29"/>
      <c r="B26" s="244" t="s">
        <v>764</v>
      </c>
      <c r="C26" s="248">
        <v>4</v>
      </c>
      <c r="D26" s="250"/>
      <c r="E26" s="249"/>
    </row>
    <row r="27" spans="1:5" ht="14.25" customHeight="1">
      <c r="A27" s="29"/>
      <c r="B27" s="244" t="s">
        <v>531</v>
      </c>
      <c r="C27" s="248">
        <v>16</v>
      </c>
      <c r="D27" s="250"/>
      <c r="E27" s="249"/>
    </row>
    <row r="28" spans="1:5" ht="14.25" customHeight="1">
      <c r="A28" s="29"/>
      <c r="B28" s="244" t="s">
        <v>547</v>
      </c>
      <c r="C28" s="248">
        <v>32</v>
      </c>
      <c r="D28" s="250"/>
      <c r="E28" s="249"/>
    </row>
    <row r="29" spans="1:5" ht="14.25" customHeight="1">
      <c r="A29" s="29"/>
      <c r="B29" s="244" t="s">
        <v>532</v>
      </c>
      <c r="C29" s="248">
        <v>16</v>
      </c>
      <c r="D29" s="250"/>
      <c r="E29" s="249"/>
    </row>
    <row r="30" spans="1:5" ht="14.25" customHeight="1">
      <c r="A30" s="29"/>
      <c r="B30" s="244" t="s">
        <v>765</v>
      </c>
      <c r="C30" s="248">
        <v>32</v>
      </c>
      <c r="D30" s="250"/>
      <c r="E30" s="249"/>
    </row>
    <row r="31" spans="1:5" ht="14.25" customHeight="1">
      <c r="A31" s="29"/>
      <c r="B31" s="244" t="s">
        <v>766</v>
      </c>
      <c r="C31" s="248">
        <v>16</v>
      </c>
      <c r="D31" s="250"/>
      <c r="E31" s="249"/>
    </row>
    <row r="32" spans="1:5" ht="14.25" customHeight="1">
      <c r="A32" s="29"/>
      <c r="B32" s="244" t="s">
        <v>767</v>
      </c>
      <c r="C32" s="248">
        <v>8</v>
      </c>
      <c r="D32" s="250"/>
      <c r="E32" s="249"/>
    </row>
    <row r="33" spans="1:5" ht="14.25" customHeight="1">
      <c r="A33" s="29"/>
      <c r="B33" s="244" t="s">
        <v>768</v>
      </c>
      <c r="C33" s="248">
        <v>16</v>
      </c>
      <c r="D33" s="250"/>
      <c r="E33" s="249"/>
    </row>
    <row r="34" spans="1:5" ht="14.25" customHeight="1">
      <c r="A34" s="29"/>
      <c r="B34" s="244" t="s">
        <v>769</v>
      </c>
      <c r="C34" s="248">
        <v>12</v>
      </c>
      <c r="D34" s="250"/>
      <c r="E34" s="249"/>
    </row>
    <row r="35" spans="1:5" ht="14.25" customHeight="1">
      <c r="A35" s="29"/>
      <c r="B35" s="244" t="s">
        <v>770</v>
      </c>
      <c r="C35" s="248">
        <v>8</v>
      </c>
      <c r="D35" s="250"/>
      <c r="E35" s="249"/>
    </row>
    <row r="36" spans="1:5" ht="14.25" customHeight="1">
      <c r="A36" s="29"/>
      <c r="B36" s="244" t="s">
        <v>771</v>
      </c>
      <c r="C36" s="248">
        <v>8</v>
      </c>
      <c r="D36" s="250"/>
      <c r="E36" s="249"/>
    </row>
    <row r="37" spans="1:5" ht="14.25" customHeight="1">
      <c r="A37" s="29"/>
      <c r="B37" s="244" t="s">
        <v>772</v>
      </c>
      <c r="C37" s="248">
        <v>4</v>
      </c>
      <c r="D37" s="250"/>
      <c r="E37" s="249"/>
    </row>
    <row r="38" spans="1:5" ht="14.25" customHeight="1">
      <c r="A38" s="29"/>
      <c r="B38" s="244" t="s">
        <v>773</v>
      </c>
      <c r="C38" s="248">
        <v>4</v>
      </c>
      <c r="D38" s="250"/>
      <c r="E38" s="249"/>
    </row>
    <row r="39" spans="1:5" ht="14.25" customHeight="1">
      <c r="A39" s="29"/>
      <c r="B39" s="244" t="s">
        <v>774</v>
      </c>
      <c r="C39" s="248">
        <v>4</v>
      </c>
      <c r="D39" s="250"/>
      <c r="E39" s="249"/>
    </row>
    <row r="40" spans="1:5" ht="14.25" customHeight="1">
      <c r="A40" s="29"/>
      <c r="B40" s="244" t="s">
        <v>775</v>
      </c>
      <c r="C40" s="248">
        <v>4</v>
      </c>
      <c r="D40" s="250"/>
      <c r="E40" s="249"/>
    </row>
    <row r="41" spans="1:5" ht="14.25" customHeight="1">
      <c r="A41" s="29"/>
      <c r="B41" s="244" t="s">
        <v>776</v>
      </c>
      <c r="C41" s="248">
        <v>4</v>
      </c>
      <c r="D41" s="250"/>
      <c r="E41" s="249"/>
    </row>
    <row r="42" spans="1:5" ht="14.25" customHeight="1">
      <c r="A42" s="29"/>
      <c r="B42" s="244" t="s">
        <v>777</v>
      </c>
      <c r="C42" s="248">
        <v>4</v>
      </c>
      <c r="D42" s="250"/>
      <c r="E42" s="249"/>
    </row>
    <row r="43" spans="1:5" ht="14.25" customHeight="1">
      <c r="A43" s="29"/>
      <c r="B43" s="244" t="s">
        <v>778</v>
      </c>
      <c r="C43" s="248">
        <v>4</v>
      </c>
      <c r="D43" s="250"/>
      <c r="E43" s="249"/>
    </row>
    <row r="44" spans="1:5" ht="14.25" customHeight="1">
      <c r="A44" s="29"/>
      <c r="B44" s="244" t="s">
        <v>779</v>
      </c>
      <c r="C44" s="248">
        <v>4</v>
      </c>
      <c r="D44" s="250"/>
      <c r="E44" s="249"/>
    </row>
    <row r="45" spans="1:5" ht="14.25" customHeight="1">
      <c r="A45" s="29"/>
      <c r="B45" s="244" t="s">
        <v>780</v>
      </c>
      <c r="C45" s="248">
        <v>4</v>
      </c>
      <c r="D45" s="250"/>
      <c r="E45" s="249"/>
    </row>
    <row r="46" spans="1:5" ht="14.25" customHeight="1">
      <c r="A46" s="29"/>
      <c r="B46" s="244" t="s">
        <v>482</v>
      </c>
      <c r="C46" s="248">
        <v>4</v>
      </c>
      <c r="D46" s="250"/>
      <c r="E46" s="249"/>
    </row>
    <row r="47" spans="1:5" ht="14.25" customHeight="1">
      <c r="A47" s="29"/>
      <c r="B47" s="244" t="s">
        <v>781</v>
      </c>
      <c r="C47" s="248">
        <v>4</v>
      </c>
      <c r="D47" s="250"/>
      <c r="E47" s="249"/>
    </row>
    <row r="48" spans="1:5" ht="14.25" customHeight="1">
      <c r="A48" s="29"/>
      <c r="B48" s="244" t="s">
        <v>782</v>
      </c>
      <c r="C48" s="248">
        <v>4</v>
      </c>
      <c r="D48" s="250"/>
      <c r="E48" s="249"/>
    </row>
    <row r="49" spans="1:5" ht="14.25" customHeight="1">
      <c r="A49" s="29"/>
      <c r="B49" s="244" t="s">
        <v>783</v>
      </c>
      <c r="C49" s="248">
        <v>4</v>
      </c>
      <c r="D49" s="250"/>
      <c r="E49" s="249"/>
    </row>
    <row r="50" spans="1:5" ht="14.25" customHeight="1">
      <c r="A50" s="27"/>
      <c r="B50" s="246" t="s">
        <v>146</v>
      </c>
      <c r="C50" s="248">
        <v>384</v>
      </c>
      <c r="D50" s="250"/>
      <c r="E50" s="249"/>
    </row>
    <row r="51" spans="1:5" ht="14.25" customHeight="1">
      <c r="A51" s="30"/>
      <c r="B51" s="247"/>
      <c r="C51" s="248"/>
      <c r="D51" s="250"/>
      <c r="E51" s="249"/>
    </row>
    <row r="52" spans="1:5" ht="14.25" customHeight="1">
      <c r="A52" s="30"/>
      <c r="B52" s="247"/>
      <c r="C52" s="248"/>
      <c r="D52" s="250"/>
      <c r="E52" s="249"/>
    </row>
    <row r="53" spans="1:5" ht="14.25" customHeight="1">
      <c r="C53" s="248"/>
      <c r="D53" s="250"/>
      <c r="E53" s="249"/>
    </row>
    <row r="54" spans="1:5" ht="14.25" customHeight="1">
      <c r="A54" s="114" t="s">
        <v>22</v>
      </c>
      <c r="B54" s="114" t="s">
        <v>793</v>
      </c>
      <c r="C54" s="248" t="s">
        <v>739</v>
      </c>
      <c r="D54" s="250"/>
      <c r="E54" s="249"/>
    </row>
    <row r="55" spans="1:5" ht="14.25" customHeight="1">
      <c r="A55" s="31"/>
      <c r="B55" s="244" t="s">
        <v>740</v>
      </c>
      <c r="C55" s="248">
        <v>4</v>
      </c>
      <c r="D55" s="250"/>
      <c r="E55" s="249"/>
    </row>
    <row r="56" spans="1:5" ht="14.25" customHeight="1">
      <c r="A56" s="31"/>
      <c r="B56" s="245" t="s">
        <v>297</v>
      </c>
      <c r="C56" s="248">
        <v>4</v>
      </c>
      <c r="D56" s="250"/>
      <c r="E56" s="249"/>
    </row>
    <row r="57" spans="1:5" ht="14.25" customHeight="1">
      <c r="A57" s="31"/>
      <c r="B57" s="245" t="s">
        <v>298</v>
      </c>
      <c r="C57" s="248">
        <v>4</v>
      </c>
      <c r="D57" s="250"/>
      <c r="E57" s="249"/>
    </row>
    <row r="58" spans="1:5" ht="14.25" customHeight="1">
      <c r="A58" s="29"/>
      <c r="B58" s="245" t="s">
        <v>284</v>
      </c>
      <c r="C58" s="248">
        <v>8</v>
      </c>
      <c r="D58" s="250"/>
      <c r="E58" s="249"/>
    </row>
    <row r="59" spans="1:5" ht="14.25" customHeight="1">
      <c r="A59" s="29"/>
      <c r="B59" s="245" t="s">
        <v>794</v>
      </c>
      <c r="C59" s="248">
        <v>4</v>
      </c>
      <c r="D59" s="250"/>
      <c r="E59" s="249"/>
    </row>
    <row r="60" spans="1:5" ht="14.25" customHeight="1">
      <c r="A60" s="29"/>
      <c r="B60" s="245" t="s">
        <v>795</v>
      </c>
      <c r="C60" s="248">
        <v>4</v>
      </c>
      <c r="D60" s="250"/>
      <c r="E60" s="249"/>
    </row>
    <row r="61" spans="1:5" ht="14.25" customHeight="1">
      <c r="A61" s="29"/>
      <c r="B61" s="245" t="s">
        <v>796</v>
      </c>
      <c r="C61" s="248">
        <v>4</v>
      </c>
      <c r="D61" s="250"/>
      <c r="E61" s="249"/>
    </row>
    <row r="62" spans="1:5" ht="14.25" customHeight="1">
      <c r="A62" s="29"/>
      <c r="B62" s="245" t="s">
        <v>797</v>
      </c>
      <c r="C62" s="248">
        <v>4</v>
      </c>
      <c r="D62" s="250"/>
      <c r="E62" s="249"/>
    </row>
    <row r="63" spans="1:5" ht="14.25" customHeight="1">
      <c r="A63" s="29"/>
      <c r="B63" s="245" t="s">
        <v>798</v>
      </c>
      <c r="C63" s="248">
        <v>4</v>
      </c>
      <c r="D63" s="250"/>
      <c r="E63" s="249"/>
    </row>
    <row r="64" spans="1:5" ht="14.25" customHeight="1">
      <c r="A64" s="29"/>
      <c r="B64" s="245" t="s">
        <v>799</v>
      </c>
      <c r="C64" s="248">
        <v>4</v>
      </c>
      <c r="D64" s="250"/>
      <c r="E64" s="249"/>
    </row>
    <row r="65" spans="1:5" ht="14.25" customHeight="1">
      <c r="A65" s="29"/>
      <c r="B65" s="245" t="s">
        <v>800</v>
      </c>
      <c r="C65" s="248">
        <v>4</v>
      </c>
      <c r="D65" s="250"/>
      <c r="E65" s="249"/>
    </row>
    <row r="66" spans="1:5" ht="14.25" customHeight="1">
      <c r="A66" s="29"/>
      <c r="B66" s="245" t="s">
        <v>310</v>
      </c>
      <c r="C66" s="248">
        <v>20</v>
      </c>
      <c r="D66" s="250"/>
      <c r="E66" s="249"/>
    </row>
    <row r="67" spans="1:5" ht="14.25" customHeight="1">
      <c r="A67" s="29"/>
      <c r="B67" s="245" t="s">
        <v>545</v>
      </c>
      <c r="C67" s="248">
        <v>12</v>
      </c>
      <c r="D67" s="250"/>
      <c r="E67" s="249"/>
    </row>
    <row r="68" spans="1:5" ht="14.25" customHeight="1">
      <c r="A68" s="29"/>
      <c r="B68" s="245" t="s">
        <v>547</v>
      </c>
      <c r="C68" s="248">
        <v>8</v>
      </c>
      <c r="D68" s="250"/>
      <c r="E68" s="249"/>
    </row>
    <row r="69" spans="1:5" ht="14.25" customHeight="1">
      <c r="A69" s="29"/>
      <c r="B69" s="245" t="s">
        <v>557</v>
      </c>
      <c r="C69" s="248">
        <v>16</v>
      </c>
      <c r="D69" s="250"/>
      <c r="E69" s="249"/>
    </row>
    <row r="70" spans="1:5" ht="14.25" customHeight="1">
      <c r="A70" s="31"/>
      <c r="B70" s="245" t="s">
        <v>309</v>
      </c>
      <c r="C70" s="248">
        <v>4</v>
      </c>
      <c r="D70" s="250"/>
      <c r="E70" s="249"/>
    </row>
    <row r="71" spans="1:5" ht="14.25" customHeight="1">
      <c r="A71" s="29"/>
      <c r="B71" s="245" t="s">
        <v>482</v>
      </c>
      <c r="C71" s="248">
        <v>4</v>
      </c>
      <c r="D71" s="250"/>
      <c r="E71" s="249"/>
    </row>
    <row r="72" spans="1:5" ht="14.25" customHeight="1">
      <c r="A72" s="31"/>
      <c r="B72" s="245" t="s">
        <v>554</v>
      </c>
      <c r="C72" s="248">
        <v>4</v>
      </c>
      <c r="D72" s="250"/>
      <c r="E72" s="249"/>
    </row>
    <row r="73" spans="1:5" ht="14.25" customHeight="1">
      <c r="A73" s="31"/>
      <c r="B73" s="245" t="s">
        <v>801</v>
      </c>
      <c r="C73" s="248">
        <v>4</v>
      </c>
      <c r="D73" s="250"/>
      <c r="E73" s="249"/>
    </row>
    <row r="74" spans="1:5" ht="14.25" customHeight="1">
      <c r="A74" s="31"/>
      <c r="B74" s="245" t="s">
        <v>540</v>
      </c>
      <c r="C74" s="248">
        <v>4</v>
      </c>
      <c r="D74" s="250"/>
      <c r="E74" s="249"/>
    </row>
    <row r="75" spans="1:5" ht="14.25" customHeight="1">
      <c r="A75" s="31"/>
      <c r="B75" s="245" t="s">
        <v>787</v>
      </c>
      <c r="C75" s="248">
        <v>4</v>
      </c>
      <c r="D75" s="250"/>
      <c r="E75" s="249"/>
    </row>
    <row r="76" spans="1:5" ht="14.25" customHeight="1">
      <c r="A76" s="31"/>
      <c r="B76" s="245" t="s">
        <v>802</v>
      </c>
      <c r="C76" s="248">
        <v>4</v>
      </c>
      <c r="D76" s="250"/>
      <c r="E76" s="249"/>
    </row>
    <row r="77" spans="1:5" ht="14.25" customHeight="1">
      <c r="A77" s="31"/>
      <c r="B77" s="245" t="s">
        <v>803</v>
      </c>
      <c r="C77" s="248">
        <v>4</v>
      </c>
      <c r="D77" s="250"/>
      <c r="E77" s="249"/>
    </row>
    <row r="78" spans="1:5" ht="14.25" customHeight="1">
      <c r="A78" s="31"/>
      <c r="B78" s="245" t="s">
        <v>783</v>
      </c>
      <c r="C78" s="248">
        <v>4</v>
      </c>
      <c r="D78" s="250"/>
      <c r="E78" s="249"/>
    </row>
    <row r="79" spans="1:5" ht="14.25" customHeight="1">
      <c r="A79" s="27"/>
      <c r="B79" s="246" t="s">
        <v>146</v>
      </c>
      <c r="C79" s="248">
        <v>140</v>
      </c>
      <c r="D79" s="250"/>
      <c r="E79" s="249"/>
    </row>
    <row r="80" spans="1:5" ht="14.25" customHeight="1">
      <c r="C80" s="248"/>
      <c r="D80" s="250"/>
      <c r="E80" s="249"/>
    </row>
    <row r="81" spans="1:5" ht="14.25" customHeight="1">
      <c r="A81" s="114" t="s">
        <v>22</v>
      </c>
      <c r="B81" s="114" t="s">
        <v>804</v>
      </c>
      <c r="C81" s="248" t="s">
        <v>739</v>
      </c>
      <c r="D81" s="250"/>
      <c r="E81" s="249"/>
    </row>
    <row r="82" spans="1:5" ht="14.25" customHeight="1">
      <c r="A82" s="29"/>
      <c r="B82" s="245" t="s">
        <v>478</v>
      </c>
      <c r="C82" s="248">
        <v>2</v>
      </c>
      <c r="D82" s="250"/>
      <c r="E82" s="249"/>
    </row>
    <row r="83" spans="1:5" ht="14.25" customHeight="1">
      <c r="A83" s="29"/>
      <c r="B83" s="245" t="s">
        <v>790</v>
      </c>
      <c r="C83" s="248">
        <v>1</v>
      </c>
      <c r="D83" s="250"/>
      <c r="E83" s="249"/>
    </row>
    <row r="84" spans="1:5" ht="14.25" customHeight="1">
      <c r="A84" s="29"/>
      <c r="B84" s="245" t="s">
        <v>805</v>
      </c>
      <c r="C84" s="248">
        <v>1</v>
      </c>
      <c r="D84" s="250"/>
      <c r="E84" s="249"/>
    </row>
    <row r="85" spans="1:5" ht="14.25" customHeight="1">
      <c r="A85" s="29"/>
      <c r="B85" s="245" t="s">
        <v>750</v>
      </c>
      <c r="C85" s="248">
        <v>1</v>
      </c>
      <c r="D85" s="250"/>
      <c r="E85" s="249"/>
    </row>
    <row r="86" spans="1:5" ht="14.25" customHeight="1">
      <c r="A86" s="29"/>
      <c r="B86" s="245" t="s">
        <v>806</v>
      </c>
      <c r="C86" s="248">
        <v>1</v>
      </c>
      <c r="D86" s="250"/>
      <c r="E86" s="249"/>
    </row>
    <row r="87" spans="1:5" ht="14.25" customHeight="1">
      <c r="A87" s="29"/>
      <c r="B87" s="245" t="s">
        <v>312</v>
      </c>
      <c r="C87" s="248">
        <v>2</v>
      </c>
      <c r="D87" s="250"/>
      <c r="E87" s="249"/>
    </row>
    <row r="88" spans="1:5" ht="14.25" customHeight="1">
      <c r="A88" s="29"/>
      <c r="B88" s="245" t="s">
        <v>532</v>
      </c>
      <c r="C88" s="248">
        <v>4</v>
      </c>
      <c r="D88" s="250"/>
      <c r="E88" s="249"/>
    </row>
    <row r="89" spans="1:5" ht="14.25" customHeight="1">
      <c r="A89" s="29"/>
      <c r="B89" s="245" t="s">
        <v>547</v>
      </c>
      <c r="C89" s="248">
        <v>10</v>
      </c>
      <c r="D89" s="250"/>
      <c r="E89" s="249"/>
    </row>
    <row r="90" spans="1:5" ht="14.25" customHeight="1">
      <c r="A90" s="29"/>
      <c r="B90" s="245" t="s">
        <v>531</v>
      </c>
      <c r="C90" s="248">
        <v>4</v>
      </c>
      <c r="D90" s="250"/>
      <c r="E90" s="249"/>
    </row>
    <row r="91" spans="1:5" ht="14.25" customHeight="1">
      <c r="A91" s="29"/>
      <c r="B91" s="245" t="s">
        <v>807</v>
      </c>
      <c r="C91" s="248">
        <v>4</v>
      </c>
      <c r="D91" s="250"/>
      <c r="E91" s="249"/>
    </row>
    <row r="92" spans="1:5" ht="14.25" customHeight="1">
      <c r="A92" s="29"/>
      <c r="B92" s="245" t="s">
        <v>594</v>
      </c>
      <c r="C92" s="248">
        <v>2</v>
      </c>
      <c r="D92" s="250"/>
      <c r="E92" s="249"/>
    </row>
    <row r="93" spans="1:5" ht="14.25" customHeight="1">
      <c r="A93" s="29"/>
      <c r="B93" s="245" t="s">
        <v>808</v>
      </c>
      <c r="C93" s="248">
        <v>2</v>
      </c>
      <c r="D93" s="250"/>
      <c r="E93" s="249"/>
    </row>
    <row r="94" spans="1:5" ht="14.25" customHeight="1">
      <c r="A94" s="29"/>
      <c r="B94" s="245" t="s">
        <v>809</v>
      </c>
      <c r="C94" s="248">
        <v>3</v>
      </c>
      <c r="D94" s="250"/>
      <c r="E94" s="249"/>
    </row>
    <row r="95" spans="1:5" ht="14.25" customHeight="1">
      <c r="A95" s="29"/>
      <c r="B95" s="245" t="s">
        <v>810</v>
      </c>
      <c r="C95" s="248">
        <v>4</v>
      </c>
      <c r="D95" s="250"/>
      <c r="E95" s="249"/>
    </row>
    <row r="96" spans="1:5" ht="14.25" customHeight="1">
      <c r="A96" s="29"/>
      <c r="B96" s="245" t="s">
        <v>811</v>
      </c>
      <c r="C96" s="248">
        <v>1</v>
      </c>
      <c r="D96" s="250"/>
      <c r="E96" s="249"/>
    </row>
    <row r="97" spans="1:5" ht="14.25" customHeight="1">
      <c r="A97" s="29"/>
      <c r="B97" s="245" t="s">
        <v>812</v>
      </c>
      <c r="C97" s="248">
        <v>1</v>
      </c>
      <c r="D97" s="250"/>
      <c r="E97" s="249"/>
    </row>
    <row r="98" spans="1:5" ht="14.25" customHeight="1">
      <c r="A98" s="29"/>
      <c r="B98" s="245" t="s">
        <v>813</v>
      </c>
      <c r="C98" s="248">
        <v>2</v>
      </c>
      <c r="D98" s="250"/>
      <c r="E98" s="249"/>
    </row>
    <row r="99" spans="1:5" ht="14.25" customHeight="1">
      <c r="A99" s="29"/>
      <c r="B99" s="245" t="s">
        <v>814</v>
      </c>
      <c r="C99" s="248">
        <v>4</v>
      </c>
      <c r="D99" s="250"/>
      <c r="E99" s="249"/>
    </row>
    <row r="100" spans="1:5" ht="14.25" customHeight="1">
      <c r="A100" s="29"/>
      <c r="B100" s="245" t="s">
        <v>815</v>
      </c>
      <c r="C100" s="248">
        <v>4</v>
      </c>
      <c r="D100" s="250"/>
      <c r="E100" s="249"/>
    </row>
    <row r="101" spans="1:5" ht="14.25" customHeight="1">
      <c r="A101" s="29"/>
      <c r="B101" s="245" t="s">
        <v>816</v>
      </c>
      <c r="C101" s="248">
        <v>2</v>
      </c>
      <c r="D101" s="250"/>
      <c r="E101" s="249"/>
    </row>
    <row r="102" spans="1:5" ht="14.25" customHeight="1">
      <c r="A102" s="29"/>
      <c r="B102" s="245" t="s">
        <v>817</v>
      </c>
      <c r="C102" s="248">
        <v>3</v>
      </c>
      <c r="D102" s="250"/>
      <c r="E102" s="249"/>
    </row>
    <row r="103" spans="1:5" ht="14.25" customHeight="1">
      <c r="A103" s="29"/>
      <c r="B103" s="245" t="s">
        <v>818</v>
      </c>
      <c r="C103" s="248">
        <v>6</v>
      </c>
      <c r="D103" s="250"/>
      <c r="E103" s="249"/>
    </row>
    <row r="104" spans="1:5" ht="14.25" customHeight="1">
      <c r="A104" s="29"/>
      <c r="B104" s="245" t="s">
        <v>788</v>
      </c>
      <c r="C104" s="248">
        <v>1</v>
      </c>
      <c r="D104" s="250"/>
      <c r="E104" s="249"/>
    </row>
    <row r="105" spans="1:5" ht="14.25" customHeight="1">
      <c r="A105" s="29"/>
      <c r="B105" s="245" t="s">
        <v>819</v>
      </c>
      <c r="C105" s="248">
        <v>1</v>
      </c>
      <c r="D105" s="250"/>
      <c r="E105" s="249"/>
    </row>
    <row r="106" spans="1:5" ht="14.25" customHeight="1">
      <c r="A106" s="29"/>
      <c r="B106" s="245" t="s">
        <v>820</v>
      </c>
      <c r="C106" s="248">
        <v>1</v>
      </c>
      <c r="D106" s="250"/>
      <c r="E106" s="249"/>
    </row>
    <row r="107" spans="1:5" ht="14.25" customHeight="1">
      <c r="A107" s="29"/>
      <c r="B107" s="245" t="s">
        <v>821</v>
      </c>
      <c r="C107" s="248">
        <v>6</v>
      </c>
      <c r="D107" s="250"/>
      <c r="E107" s="249"/>
    </row>
    <row r="108" spans="1:5" ht="14.25" customHeight="1">
      <c r="A108" s="29"/>
      <c r="B108" s="245" t="s">
        <v>822</v>
      </c>
      <c r="C108" s="248">
        <v>1</v>
      </c>
      <c r="D108" s="250"/>
      <c r="E108" s="249"/>
    </row>
    <row r="109" spans="1:5" ht="14.25" customHeight="1">
      <c r="A109" s="29"/>
      <c r="B109" s="245" t="s">
        <v>823</v>
      </c>
      <c r="C109" s="248">
        <v>1</v>
      </c>
      <c r="D109" s="250"/>
      <c r="E109" s="249"/>
    </row>
    <row r="110" spans="1:5" ht="14.25" customHeight="1">
      <c r="A110" s="29"/>
      <c r="B110" s="245" t="s">
        <v>824</v>
      </c>
      <c r="C110" s="248">
        <v>2</v>
      </c>
      <c r="D110" s="250"/>
      <c r="E110" s="249"/>
    </row>
    <row r="111" spans="1:5" ht="14.25" customHeight="1">
      <c r="A111" s="29"/>
      <c r="B111" s="245" t="s">
        <v>825</v>
      </c>
      <c r="C111" s="248">
        <v>2</v>
      </c>
      <c r="D111" s="250"/>
      <c r="E111" s="249"/>
    </row>
    <row r="112" spans="1:5" ht="14.25" customHeight="1">
      <c r="A112" s="29"/>
      <c r="B112" s="245" t="s">
        <v>826</v>
      </c>
      <c r="C112" s="248">
        <v>2</v>
      </c>
      <c r="D112" s="250"/>
      <c r="E112" s="249"/>
    </row>
    <row r="113" spans="1:5" ht="14.25" customHeight="1">
      <c r="A113" s="29"/>
      <c r="B113" s="245" t="s">
        <v>786</v>
      </c>
      <c r="C113" s="248">
        <v>1</v>
      </c>
      <c r="D113" s="250"/>
      <c r="E113" s="249"/>
    </row>
    <row r="114" spans="1:5" ht="14.25" customHeight="1">
      <c r="A114" s="29"/>
      <c r="B114" s="245" t="s">
        <v>297</v>
      </c>
      <c r="C114" s="248">
        <v>1</v>
      </c>
      <c r="D114" s="250"/>
      <c r="E114" s="249"/>
    </row>
    <row r="115" spans="1:5" ht="14.25" customHeight="1">
      <c r="A115" s="29"/>
      <c r="B115" s="245" t="s">
        <v>298</v>
      </c>
      <c r="C115" s="248">
        <v>1</v>
      </c>
      <c r="D115" s="250"/>
      <c r="E115" s="249"/>
    </row>
    <row r="116" spans="1:5" ht="14.25" customHeight="1">
      <c r="A116" s="29"/>
      <c r="B116" s="245" t="s">
        <v>827</v>
      </c>
      <c r="C116" s="248">
        <v>2</v>
      </c>
      <c r="D116" s="250"/>
      <c r="E116" s="249"/>
    </row>
    <row r="117" spans="1:5" ht="14.25" customHeight="1">
      <c r="A117" s="29"/>
      <c r="B117" s="245" t="s">
        <v>523</v>
      </c>
      <c r="C117" s="248">
        <v>1</v>
      </c>
      <c r="D117" s="250"/>
      <c r="E117" s="249"/>
    </row>
    <row r="118" spans="1:5" ht="14.25" customHeight="1">
      <c r="A118" s="29"/>
      <c r="B118" s="245" t="s">
        <v>801</v>
      </c>
      <c r="C118" s="248">
        <v>1</v>
      </c>
      <c r="D118" s="250"/>
      <c r="E118" s="249"/>
    </row>
    <row r="119" spans="1:5" ht="14.25" customHeight="1">
      <c r="A119" s="29"/>
      <c r="B119" s="245" t="s">
        <v>780</v>
      </c>
      <c r="C119" s="248">
        <v>1</v>
      </c>
      <c r="D119" s="250"/>
      <c r="E119" s="249"/>
    </row>
    <row r="120" spans="1:5" ht="14.25" customHeight="1">
      <c r="A120" s="29"/>
      <c r="B120" s="245" t="s">
        <v>778</v>
      </c>
      <c r="C120" s="248">
        <v>1</v>
      </c>
      <c r="D120" s="250"/>
      <c r="E120" s="249"/>
    </row>
    <row r="121" spans="1:5" ht="14.25" customHeight="1">
      <c r="A121" s="29"/>
      <c r="B121" s="245" t="s">
        <v>525</v>
      </c>
      <c r="C121" s="248">
        <v>1</v>
      </c>
      <c r="D121" s="250"/>
      <c r="E121" s="249"/>
    </row>
    <row r="122" spans="1:5" ht="14.25" customHeight="1">
      <c r="A122" s="29"/>
      <c r="B122" s="245" t="s">
        <v>828</v>
      </c>
      <c r="C122" s="248">
        <v>3</v>
      </c>
      <c r="D122" s="250"/>
      <c r="E122" s="249"/>
    </row>
    <row r="123" spans="1:5" ht="14.25" customHeight="1">
      <c r="A123" s="29"/>
      <c r="B123" s="245" t="s">
        <v>829</v>
      </c>
      <c r="C123" s="248">
        <v>1</v>
      </c>
      <c r="D123" s="250"/>
      <c r="E123" s="249"/>
    </row>
    <row r="124" spans="1:5" ht="14.25" customHeight="1">
      <c r="A124" s="29"/>
      <c r="B124" s="245" t="s">
        <v>482</v>
      </c>
      <c r="C124" s="248">
        <v>1</v>
      </c>
      <c r="D124" s="250"/>
      <c r="E124" s="249"/>
    </row>
    <row r="125" spans="1:5" ht="14.25" customHeight="1">
      <c r="A125" s="29"/>
      <c r="B125" s="245" t="s">
        <v>361</v>
      </c>
      <c r="C125" s="248">
        <v>1</v>
      </c>
      <c r="D125" s="250"/>
      <c r="E125" s="249"/>
    </row>
    <row r="126" spans="1:5" ht="14.25" customHeight="1">
      <c r="A126" s="27"/>
      <c r="B126" s="246" t="s">
        <v>146</v>
      </c>
      <c r="C126" s="248">
        <v>97</v>
      </c>
      <c r="D126" s="250"/>
      <c r="E126" s="249"/>
    </row>
    <row r="127" spans="1:5" ht="14.25" customHeight="1"/>
    <row r="128" spans="1:5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94"/>
  <sheetViews>
    <sheetView topLeftCell="A85" zoomScale="80" zoomScaleNormal="80" workbookViewId="0">
      <selection activeCell="A61" sqref="A61"/>
    </sheetView>
  </sheetViews>
  <sheetFormatPr defaultColWidth="8" defaultRowHeight="18.600000000000001" customHeight="1"/>
  <cols>
    <col min="1" max="1" width="47.28515625" style="72" customWidth="1"/>
    <col min="2" max="2" width="11" style="255" customWidth="1"/>
    <col min="3" max="3" width="19.5703125" style="72" customWidth="1"/>
    <col min="4" max="16384" width="8" style="72"/>
  </cols>
  <sheetData>
    <row r="1" spans="1:3" ht="18.600000000000001" customHeight="1">
      <c r="A1" s="114" t="s">
        <v>830</v>
      </c>
      <c r="B1" s="253" t="s">
        <v>1421</v>
      </c>
      <c r="C1" s="251" t="s">
        <v>1422</v>
      </c>
    </row>
    <row r="2" spans="1:3" ht="18.600000000000001" customHeight="1">
      <c r="A2" s="260" t="s">
        <v>831</v>
      </c>
      <c r="B2" s="254"/>
      <c r="C2" s="252"/>
    </row>
    <row r="3" spans="1:3" ht="18.600000000000001" customHeight="1">
      <c r="A3" s="260" t="s">
        <v>832</v>
      </c>
      <c r="B3" s="254"/>
      <c r="C3" s="252"/>
    </row>
    <row r="4" spans="1:3" ht="18.600000000000001" customHeight="1">
      <c r="A4" s="260" t="s">
        <v>833</v>
      </c>
      <c r="B4" s="254"/>
      <c r="C4" s="252"/>
    </row>
    <row r="5" spans="1:3" ht="18.600000000000001" customHeight="1">
      <c r="A5" s="260" t="s">
        <v>834</v>
      </c>
      <c r="B5" s="254"/>
      <c r="C5" s="252"/>
    </row>
    <row r="6" spans="1:3" ht="18.600000000000001" customHeight="1">
      <c r="A6" s="260" t="s">
        <v>835</v>
      </c>
      <c r="B6" s="254"/>
      <c r="C6" s="252"/>
    </row>
    <row r="7" spans="1:3" ht="18.600000000000001" customHeight="1">
      <c r="A7" s="260" t="s">
        <v>836</v>
      </c>
      <c r="B7" s="254"/>
      <c r="C7" s="252"/>
    </row>
    <row r="8" spans="1:3" ht="18.600000000000001" customHeight="1">
      <c r="A8" s="260" t="s">
        <v>837</v>
      </c>
      <c r="B8" s="254"/>
      <c r="C8" s="252"/>
    </row>
    <row r="9" spans="1:3" ht="18.600000000000001" customHeight="1">
      <c r="A9" s="260" t="s">
        <v>838</v>
      </c>
      <c r="B9" s="254"/>
      <c r="C9" s="252"/>
    </row>
    <row r="10" spans="1:3" ht="18.600000000000001" customHeight="1">
      <c r="A10" s="260" t="s">
        <v>839</v>
      </c>
      <c r="B10" s="254"/>
      <c r="C10" s="252"/>
    </row>
    <row r="11" spans="1:3" ht="18.600000000000001" customHeight="1">
      <c r="A11" s="316" t="s">
        <v>840</v>
      </c>
      <c r="B11" s="254"/>
      <c r="C11" s="252"/>
    </row>
    <row r="12" spans="1:3" ht="18.600000000000001" customHeight="1">
      <c r="A12" s="260" t="s">
        <v>841</v>
      </c>
      <c r="B12" s="254"/>
      <c r="C12" s="252"/>
    </row>
    <row r="13" spans="1:3" ht="18.600000000000001" customHeight="1">
      <c r="A13" s="260" t="s">
        <v>842</v>
      </c>
      <c r="B13" s="254"/>
      <c r="C13" s="252"/>
    </row>
    <row r="14" spans="1:3" ht="18.600000000000001" customHeight="1">
      <c r="A14" s="260" t="s">
        <v>843</v>
      </c>
      <c r="B14" s="254"/>
      <c r="C14" s="252"/>
    </row>
    <row r="15" spans="1:3" ht="18.600000000000001" customHeight="1">
      <c r="A15" s="260" t="s">
        <v>844</v>
      </c>
      <c r="B15" s="254"/>
      <c r="C15" s="252"/>
    </row>
    <row r="16" spans="1:3" ht="18.600000000000001" customHeight="1">
      <c r="A16" s="317"/>
      <c r="B16" s="254"/>
      <c r="C16" s="252"/>
    </row>
    <row r="17" spans="1:3" ht="18.600000000000001" customHeight="1">
      <c r="A17" s="283" t="s">
        <v>1359</v>
      </c>
      <c r="B17" s="254"/>
      <c r="C17" s="252"/>
    </row>
    <row r="18" spans="1:3" ht="18.600000000000001" customHeight="1">
      <c r="A18" s="317" t="s">
        <v>1329</v>
      </c>
      <c r="B18" s="254"/>
      <c r="C18" s="252"/>
    </row>
    <row r="19" spans="1:3" ht="18.600000000000001" customHeight="1">
      <c r="A19" s="317" t="s">
        <v>1330</v>
      </c>
      <c r="B19" s="254"/>
      <c r="C19" s="252"/>
    </row>
    <row r="20" spans="1:3" ht="18.600000000000001" customHeight="1">
      <c r="A20" s="317" t="s">
        <v>1331</v>
      </c>
      <c r="B20" s="254"/>
      <c r="C20" s="252"/>
    </row>
    <row r="21" spans="1:3" ht="18.600000000000001" customHeight="1">
      <c r="A21" s="317" t="s">
        <v>1332</v>
      </c>
      <c r="B21" s="254"/>
      <c r="C21" s="252"/>
    </row>
    <row r="22" spans="1:3" ht="18.600000000000001" customHeight="1">
      <c r="A22" s="317" t="s">
        <v>1333</v>
      </c>
      <c r="B22" s="254"/>
      <c r="C22" s="252"/>
    </row>
    <row r="23" spans="1:3" ht="18.600000000000001" customHeight="1">
      <c r="A23" s="317" t="s">
        <v>1334</v>
      </c>
      <c r="B23" s="254"/>
      <c r="C23" s="252"/>
    </row>
    <row r="24" spans="1:3" ht="18.600000000000001" customHeight="1">
      <c r="A24" s="317" t="s">
        <v>1335</v>
      </c>
      <c r="B24" s="254"/>
      <c r="C24" s="252"/>
    </row>
    <row r="25" spans="1:3" ht="18.600000000000001" customHeight="1">
      <c r="A25" s="317" t="s">
        <v>1336</v>
      </c>
      <c r="B25" s="254"/>
      <c r="C25" s="252"/>
    </row>
    <row r="26" spans="1:3" ht="18.600000000000001" customHeight="1">
      <c r="A26" s="317" t="s">
        <v>1337</v>
      </c>
      <c r="B26" s="254"/>
      <c r="C26" s="252"/>
    </row>
    <row r="27" spans="1:3" ht="18.600000000000001" customHeight="1">
      <c r="A27" s="317" t="s">
        <v>1338</v>
      </c>
      <c r="B27" s="254"/>
      <c r="C27" s="252"/>
    </row>
    <row r="28" spans="1:3" ht="18.600000000000001" customHeight="1">
      <c r="A28" s="317" t="s">
        <v>1339</v>
      </c>
      <c r="B28" s="254"/>
      <c r="C28" s="252"/>
    </row>
    <row r="29" spans="1:3" ht="18.600000000000001" customHeight="1">
      <c r="A29" s="317" t="s">
        <v>1340</v>
      </c>
      <c r="B29" s="254"/>
      <c r="C29" s="252"/>
    </row>
    <row r="30" spans="1:3" ht="18.600000000000001" customHeight="1">
      <c r="A30" s="317" t="s">
        <v>1341</v>
      </c>
      <c r="B30" s="254"/>
      <c r="C30" s="252"/>
    </row>
    <row r="31" spans="1:3" ht="18.600000000000001" customHeight="1">
      <c r="A31" s="317" t="s">
        <v>1342</v>
      </c>
      <c r="B31" s="254"/>
      <c r="C31" s="252"/>
    </row>
    <row r="32" spans="1:3" ht="18.600000000000001" customHeight="1">
      <c r="A32" s="317" t="s">
        <v>1343</v>
      </c>
      <c r="B32" s="254"/>
      <c r="C32" s="252"/>
    </row>
    <row r="33" spans="1:3" ht="18.600000000000001" customHeight="1">
      <c r="A33" s="317" t="s">
        <v>1344</v>
      </c>
      <c r="B33" s="254"/>
      <c r="C33" s="252"/>
    </row>
    <row r="34" spans="1:3" ht="18.600000000000001" customHeight="1">
      <c r="A34" s="317" t="s">
        <v>1345</v>
      </c>
      <c r="B34" s="254"/>
      <c r="C34" s="252"/>
    </row>
    <row r="35" spans="1:3" ht="18.600000000000001" customHeight="1">
      <c r="A35" s="317" t="s">
        <v>1346</v>
      </c>
      <c r="B35" s="254"/>
      <c r="C35" s="252"/>
    </row>
    <row r="36" spans="1:3" ht="18.600000000000001" customHeight="1">
      <c r="A36" s="317" t="s">
        <v>1347</v>
      </c>
      <c r="B36" s="254"/>
      <c r="C36" s="252"/>
    </row>
    <row r="37" spans="1:3" ht="18.600000000000001" customHeight="1">
      <c r="A37" s="317" t="s">
        <v>1348</v>
      </c>
      <c r="B37" s="254"/>
      <c r="C37" s="252"/>
    </row>
    <row r="38" spans="1:3" ht="18.600000000000001" customHeight="1">
      <c r="A38" s="317" t="s">
        <v>1349</v>
      </c>
      <c r="B38" s="254"/>
      <c r="C38" s="252"/>
    </row>
    <row r="39" spans="1:3" ht="18.600000000000001" customHeight="1">
      <c r="A39" s="317" t="s">
        <v>1350</v>
      </c>
      <c r="B39" s="254"/>
      <c r="C39" s="252"/>
    </row>
    <row r="40" spans="1:3" ht="18.600000000000001" customHeight="1">
      <c r="A40" s="317" t="s">
        <v>1351</v>
      </c>
      <c r="B40" s="254"/>
      <c r="C40" s="252"/>
    </row>
    <row r="41" spans="1:3" ht="18.600000000000001" customHeight="1">
      <c r="A41" s="317" t="s">
        <v>1352</v>
      </c>
      <c r="B41" s="254"/>
      <c r="C41" s="252"/>
    </row>
    <row r="42" spans="1:3" ht="18.600000000000001" customHeight="1">
      <c r="A42" s="317" t="s">
        <v>1353</v>
      </c>
      <c r="B42" s="254"/>
      <c r="C42" s="252"/>
    </row>
    <row r="43" spans="1:3" ht="18.600000000000001" customHeight="1">
      <c r="A43" s="317" t="s">
        <v>1354</v>
      </c>
      <c r="B43" s="254"/>
      <c r="C43" s="252"/>
    </row>
    <row r="44" spans="1:3" ht="18.600000000000001" customHeight="1">
      <c r="A44" s="317" t="s">
        <v>1355</v>
      </c>
      <c r="B44" s="254"/>
      <c r="C44" s="252"/>
    </row>
    <row r="45" spans="1:3" ht="18.600000000000001" customHeight="1">
      <c r="A45" s="317" t="s">
        <v>1356</v>
      </c>
      <c r="B45" s="254"/>
      <c r="C45" s="252"/>
    </row>
    <row r="46" spans="1:3" ht="18.600000000000001" customHeight="1">
      <c r="A46" s="317" t="s">
        <v>1357</v>
      </c>
      <c r="B46" s="254"/>
      <c r="C46" s="252"/>
    </row>
    <row r="47" spans="1:3" ht="18.600000000000001" customHeight="1">
      <c r="A47" s="317" t="s">
        <v>1358</v>
      </c>
      <c r="B47" s="254"/>
      <c r="C47" s="252"/>
    </row>
    <row r="48" spans="1:3" ht="18.600000000000001" customHeight="1">
      <c r="A48" s="317" t="s">
        <v>845</v>
      </c>
      <c r="B48" s="254"/>
      <c r="C48" s="252"/>
    </row>
    <row r="49" spans="1:3" ht="18.600000000000001" customHeight="1">
      <c r="A49" s="317"/>
      <c r="B49" s="254"/>
      <c r="C49" s="252"/>
    </row>
    <row r="50" spans="1:3" ht="18.600000000000001" customHeight="1">
      <c r="A50" s="283" t="s">
        <v>1360</v>
      </c>
      <c r="B50" s="254"/>
      <c r="C50" s="252"/>
    </row>
    <row r="51" spans="1:3" ht="18.600000000000001" customHeight="1">
      <c r="A51" s="252" t="s">
        <v>1361</v>
      </c>
      <c r="B51" s="254"/>
      <c r="C51" s="252"/>
    </row>
    <row r="52" spans="1:3" ht="18.600000000000001" customHeight="1">
      <c r="A52" s="252" t="s">
        <v>1362</v>
      </c>
      <c r="B52" s="254"/>
      <c r="C52" s="252"/>
    </row>
    <row r="53" spans="1:3" ht="18.600000000000001" customHeight="1">
      <c r="A53" s="252" t="s">
        <v>1363</v>
      </c>
      <c r="B53" s="254"/>
      <c r="C53" s="252"/>
    </row>
    <row r="54" spans="1:3" ht="18.600000000000001" customHeight="1">
      <c r="A54" s="252" t="s">
        <v>1364</v>
      </c>
      <c r="B54" s="254"/>
      <c r="C54" s="252"/>
    </row>
    <row r="55" spans="1:3" ht="18.600000000000001" customHeight="1">
      <c r="A55" s="252" t="s">
        <v>1365</v>
      </c>
      <c r="B55" s="254"/>
      <c r="C55" s="252"/>
    </row>
    <row r="56" spans="1:3" ht="18.600000000000001" customHeight="1">
      <c r="A56" s="252" t="s">
        <v>1366</v>
      </c>
      <c r="B56" s="254"/>
      <c r="C56" s="252"/>
    </row>
    <row r="57" spans="1:3" ht="18.600000000000001" customHeight="1">
      <c r="A57" s="252" t="s">
        <v>1367</v>
      </c>
      <c r="B57" s="254"/>
      <c r="C57" s="252"/>
    </row>
    <row r="58" spans="1:3" ht="18.600000000000001" customHeight="1">
      <c r="A58" s="252" t="s">
        <v>1368</v>
      </c>
      <c r="B58" s="254"/>
      <c r="C58" s="252"/>
    </row>
    <row r="59" spans="1:3" ht="18.600000000000001" customHeight="1">
      <c r="A59" s="252" t="s">
        <v>845</v>
      </c>
      <c r="B59" s="254"/>
      <c r="C59" s="252"/>
    </row>
    <row r="60" spans="1:3" ht="18.600000000000001" customHeight="1">
      <c r="A60" s="252"/>
      <c r="B60" s="254"/>
      <c r="C60" s="252"/>
    </row>
    <row r="61" spans="1:3" ht="18.600000000000001" customHeight="1">
      <c r="A61" s="283" t="s">
        <v>1369</v>
      </c>
      <c r="B61" s="254"/>
      <c r="C61" s="252"/>
    </row>
    <row r="62" spans="1:3" ht="18.600000000000001" customHeight="1">
      <c r="A62" s="252" t="s">
        <v>1370</v>
      </c>
      <c r="B62" s="254"/>
      <c r="C62" s="252"/>
    </row>
    <row r="63" spans="1:3" ht="18.600000000000001" customHeight="1">
      <c r="A63" s="252" t="s">
        <v>1371</v>
      </c>
      <c r="B63" s="254"/>
      <c r="C63" s="252"/>
    </row>
    <row r="64" spans="1:3" ht="18.600000000000001" customHeight="1">
      <c r="A64" s="252" t="s">
        <v>1372</v>
      </c>
      <c r="B64" s="254"/>
      <c r="C64" s="252"/>
    </row>
    <row r="65" spans="1:3" ht="18.600000000000001" customHeight="1">
      <c r="A65" s="252" t="s">
        <v>1373</v>
      </c>
      <c r="B65" s="254"/>
      <c r="C65" s="252"/>
    </row>
    <row r="66" spans="1:3" ht="18.600000000000001" customHeight="1">
      <c r="A66" s="252" t="s">
        <v>1374</v>
      </c>
      <c r="B66" s="254"/>
      <c r="C66" s="252"/>
    </row>
    <row r="67" spans="1:3" ht="18.600000000000001" customHeight="1">
      <c r="A67" s="252" t="s">
        <v>1375</v>
      </c>
      <c r="B67" s="254"/>
      <c r="C67" s="252"/>
    </row>
    <row r="68" spans="1:3" ht="18.600000000000001" customHeight="1">
      <c r="A68" s="252" t="s">
        <v>1376</v>
      </c>
      <c r="B68" s="254"/>
      <c r="C68" s="252"/>
    </row>
    <row r="69" spans="1:3" ht="18.600000000000001" customHeight="1">
      <c r="A69" s="252" t="s">
        <v>1377</v>
      </c>
      <c r="B69" s="254"/>
      <c r="C69" s="252"/>
    </row>
    <row r="70" spans="1:3" ht="18.600000000000001" customHeight="1">
      <c r="A70" s="252" t="s">
        <v>1378</v>
      </c>
      <c r="B70" s="254"/>
      <c r="C70" s="252"/>
    </row>
    <row r="71" spans="1:3" ht="18.600000000000001" customHeight="1">
      <c r="A71" s="252" t="s">
        <v>1379</v>
      </c>
      <c r="B71" s="254"/>
      <c r="C71" s="252"/>
    </row>
    <row r="72" spans="1:3" ht="18.600000000000001" customHeight="1">
      <c r="A72" s="252" t="s">
        <v>1380</v>
      </c>
      <c r="B72" s="254"/>
      <c r="C72" s="252"/>
    </row>
    <row r="73" spans="1:3" ht="18.600000000000001" customHeight="1">
      <c r="A73" s="252" t="s">
        <v>1381</v>
      </c>
      <c r="B73" s="254"/>
      <c r="C73" s="252"/>
    </row>
    <row r="74" spans="1:3" ht="18.600000000000001" customHeight="1">
      <c r="A74" s="252" t="s">
        <v>1382</v>
      </c>
      <c r="B74" s="254"/>
      <c r="C74" s="252"/>
    </row>
    <row r="75" spans="1:3" ht="18.600000000000001" customHeight="1">
      <c r="A75" s="252" t="s">
        <v>1383</v>
      </c>
      <c r="B75" s="254"/>
      <c r="C75" s="252"/>
    </row>
    <row r="76" spans="1:3" ht="18.600000000000001" customHeight="1">
      <c r="A76" s="252" t="s">
        <v>1384</v>
      </c>
      <c r="B76" s="254"/>
      <c r="C76" s="252"/>
    </row>
    <row r="77" spans="1:3" ht="18.600000000000001" customHeight="1">
      <c r="A77" s="252" t="s">
        <v>1385</v>
      </c>
      <c r="B77" s="254"/>
      <c r="C77" s="252"/>
    </row>
    <row r="78" spans="1:3" ht="18.600000000000001" customHeight="1">
      <c r="A78" s="252" t="s">
        <v>1386</v>
      </c>
      <c r="B78" s="254"/>
      <c r="C78" s="252"/>
    </row>
    <row r="79" spans="1:3" ht="18.600000000000001" customHeight="1">
      <c r="A79" s="252" t="s">
        <v>1387</v>
      </c>
      <c r="B79" s="254"/>
      <c r="C79" s="252"/>
    </row>
    <row r="80" spans="1:3" ht="18.600000000000001" customHeight="1">
      <c r="A80" s="252"/>
      <c r="B80" s="254"/>
      <c r="C80" s="252"/>
    </row>
    <row r="81" spans="1:3" ht="18.600000000000001" customHeight="1">
      <c r="A81" s="283" t="s">
        <v>1388</v>
      </c>
      <c r="B81" s="254"/>
      <c r="C81" s="252"/>
    </row>
    <row r="82" spans="1:3" ht="18.600000000000001" customHeight="1">
      <c r="A82" s="252" t="s">
        <v>1389</v>
      </c>
      <c r="B82" s="254"/>
      <c r="C82" s="252"/>
    </row>
    <row r="83" spans="1:3" ht="18.600000000000001" customHeight="1">
      <c r="A83" s="252" t="s">
        <v>1390</v>
      </c>
      <c r="B83" s="254"/>
      <c r="C83" s="252"/>
    </row>
    <row r="84" spans="1:3" ht="18.600000000000001" customHeight="1">
      <c r="A84" s="252" t="s">
        <v>1391</v>
      </c>
      <c r="B84" s="254"/>
      <c r="C84" s="252"/>
    </row>
    <row r="85" spans="1:3" ht="18.600000000000001" customHeight="1">
      <c r="A85" s="252" t="s">
        <v>1392</v>
      </c>
      <c r="B85" s="254"/>
      <c r="C85" s="252"/>
    </row>
    <row r="86" spans="1:3" ht="18.600000000000001" customHeight="1">
      <c r="A86" s="252" t="s">
        <v>1393</v>
      </c>
      <c r="B86" s="254"/>
      <c r="C86" s="252"/>
    </row>
    <row r="87" spans="1:3" ht="18.600000000000001" customHeight="1">
      <c r="A87" s="252" t="s">
        <v>1394</v>
      </c>
      <c r="B87" s="254"/>
      <c r="C87" s="252"/>
    </row>
    <row r="88" spans="1:3" ht="18.600000000000001" customHeight="1">
      <c r="A88" s="252" t="s">
        <v>1395</v>
      </c>
      <c r="B88" s="254"/>
      <c r="C88" s="252"/>
    </row>
    <row r="89" spans="1:3" ht="18.600000000000001" customHeight="1">
      <c r="A89" s="252" t="s">
        <v>1396</v>
      </c>
      <c r="B89" s="254"/>
      <c r="C89" s="252"/>
    </row>
    <row r="90" spans="1:3" ht="18.600000000000001" customHeight="1">
      <c r="A90" s="252" t="s">
        <v>1397</v>
      </c>
      <c r="B90" s="254"/>
      <c r="C90" s="252"/>
    </row>
    <row r="91" spans="1:3" ht="18.600000000000001" customHeight="1">
      <c r="A91" s="252" t="s">
        <v>1398</v>
      </c>
      <c r="B91" s="254"/>
      <c r="C91" s="252"/>
    </row>
    <row r="92" spans="1:3" ht="18.600000000000001" customHeight="1">
      <c r="A92" s="252" t="s">
        <v>1399</v>
      </c>
      <c r="B92" s="254"/>
      <c r="C92" s="252"/>
    </row>
    <row r="93" spans="1:3" ht="18.600000000000001" customHeight="1">
      <c r="A93" s="252" t="s">
        <v>1400</v>
      </c>
      <c r="B93" s="254"/>
      <c r="C93" s="252"/>
    </row>
    <row r="94" spans="1:3" ht="18.600000000000001" customHeight="1">
      <c r="A94" s="252" t="s">
        <v>1401</v>
      </c>
      <c r="B94" s="254"/>
      <c r="C94" s="252"/>
    </row>
    <row r="150" spans="1:1" ht="18.600000000000001" customHeight="1">
      <c r="A150" s="74"/>
    </row>
    <row r="151" spans="1:1" ht="18.600000000000001" customHeight="1">
      <c r="A151" s="75"/>
    </row>
    <row r="152" spans="1:1" ht="18.600000000000001" customHeight="1">
      <c r="A152" s="76"/>
    </row>
    <row r="153" spans="1:1" ht="18.600000000000001" customHeight="1">
      <c r="A153" s="76"/>
    </row>
    <row r="154" spans="1:1" ht="18.600000000000001" customHeight="1">
      <c r="A154" s="76"/>
    </row>
    <row r="155" spans="1:1" ht="18.600000000000001" customHeight="1">
      <c r="A155" s="76"/>
    </row>
    <row r="156" spans="1:1" ht="18.600000000000001" customHeight="1">
      <c r="A156" s="76"/>
    </row>
    <row r="157" spans="1:1" ht="18.600000000000001" customHeight="1">
      <c r="A157" s="76"/>
    </row>
    <row r="158" spans="1:1" ht="18.600000000000001" customHeight="1">
      <c r="A158" s="76"/>
    </row>
    <row r="159" spans="1:1" ht="18.600000000000001" customHeight="1">
      <c r="A159" s="76"/>
    </row>
    <row r="160" spans="1:1" ht="18.600000000000001" customHeight="1">
      <c r="A160" s="76"/>
    </row>
    <row r="161" spans="1:1" ht="18.600000000000001" customHeight="1">
      <c r="A161" s="76"/>
    </row>
    <row r="162" spans="1:1" ht="18.600000000000001" customHeight="1">
      <c r="A162" s="76"/>
    </row>
    <row r="163" spans="1:1" ht="18.600000000000001" customHeight="1">
      <c r="A163" s="76"/>
    </row>
    <row r="164" spans="1:1" ht="18.600000000000001" customHeight="1">
      <c r="A164" s="76"/>
    </row>
    <row r="165" spans="1:1" ht="18.600000000000001" customHeight="1">
      <c r="A165" s="76"/>
    </row>
    <row r="166" spans="1:1" ht="18.600000000000001" customHeight="1">
      <c r="A166" s="76"/>
    </row>
    <row r="167" spans="1:1" ht="18.600000000000001" customHeight="1">
      <c r="A167" s="76"/>
    </row>
    <row r="168" spans="1:1" ht="18.600000000000001" customHeight="1">
      <c r="A168" s="76"/>
    </row>
    <row r="169" spans="1:1" ht="18.600000000000001" customHeight="1">
      <c r="A169" s="76"/>
    </row>
    <row r="170" spans="1:1" ht="18.600000000000001" customHeight="1">
      <c r="A170" s="76"/>
    </row>
    <row r="171" spans="1:1" ht="18.600000000000001" customHeight="1">
      <c r="A171" s="76"/>
    </row>
    <row r="172" spans="1:1" ht="18.600000000000001" customHeight="1">
      <c r="A172" s="76"/>
    </row>
    <row r="173" spans="1:1" ht="18.600000000000001" customHeight="1">
      <c r="A173" s="76"/>
    </row>
    <row r="174" spans="1:1" ht="18.600000000000001" customHeight="1">
      <c r="A174" s="76"/>
    </row>
    <row r="175" spans="1:1" ht="18.600000000000001" customHeight="1">
      <c r="A175" s="76"/>
    </row>
    <row r="176" spans="1:1" ht="18.600000000000001" customHeight="1">
      <c r="A176" s="76"/>
    </row>
    <row r="177" spans="1:1" ht="18.600000000000001" customHeight="1">
      <c r="A177" s="76"/>
    </row>
    <row r="178" spans="1:1" ht="18.600000000000001" customHeight="1">
      <c r="A178" s="76"/>
    </row>
    <row r="179" spans="1:1" ht="18.600000000000001" customHeight="1">
      <c r="A179" s="76"/>
    </row>
    <row r="180" spans="1:1" ht="18.600000000000001" customHeight="1">
      <c r="A180" s="76"/>
    </row>
    <row r="181" spans="1:1" ht="18.600000000000001" customHeight="1">
      <c r="A181" s="76"/>
    </row>
    <row r="182" spans="1:1" ht="18.600000000000001" customHeight="1">
      <c r="A182" s="76"/>
    </row>
    <row r="183" spans="1:1" ht="18.600000000000001" customHeight="1">
      <c r="A183" s="76"/>
    </row>
    <row r="184" spans="1:1" ht="18.600000000000001" customHeight="1">
      <c r="A184" s="76"/>
    </row>
    <row r="185" spans="1:1" ht="18.600000000000001" customHeight="1">
      <c r="A185" s="76"/>
    </row>
    <row r="186" spans="1:1" ht="18.600000000000001" customHeight="1">
      <c r="A186" s="76"/>
    </row>
    <row r="187" spans="1:1" ht="18.600000000000001" customHeight="1">
      <c r="A187" s="76"/>
    </row>
    <row r="188" spans="1:1" ht="18.600000000000001" customHeight="1">
      <c r="A188" s="76"/>
    </row>
    <row r="189" spans="1:1" ht="18.600000000000001" customHeight="1">
      <c r="A189" s="76"/>
    </row>
    <row r="190" spans="1:1" ht="18.600000000000001" customHeight="1">
      <c r="A190" s="76"/>
    </row>
    <row r="191" spans="1:1" ht="18.600000000000001" customHeight="1">
      <c r="A191" s="76"/>
    </row>
    <row r="192" spans="1:1" ht="18.600000000000001" customHeight="1">
      <c r="A192" s="76"/>
    </row>
    <row r="193" spans="1:1" ht="18.600000000000001" customHeight="1">
      <c r="A193" s="76"/>
    </row>
    <row r="194" spans="1:1" ht="18.600000000000001" customHeight="1">
      <c r="A194" s="76"/>
    </row>
    <row r="195" spans="1:1" ht="18.600000000000001" customHeight="1">
      <c r="A195" s="76"/>
    </row>
    <row r="196" spans="1:1" ht="18.600000000000001" customHeight="1">
      <c r="A196" s="76"/>
    </row>
    <row r="197" spans="1:1" ht="18.600000000000001" customHeight="1">
      <c r="A197" s="76"/>
    </row>
    <row r="198" spans="1:1" ht="18.600000000000001" customHeight="1">
      <c r="A198" s="76"/>
    </row>
    <row r="199" spans="1:1" ht="18.600000000000001" customHeight="1">
      <c r="A199" s="76"/>
    </row>
    <row r="200" spans="1:1" ht="18.600000000000001" customHeight="1">
      <c r="A200" s="76"/>
    </row>
    <row r="201" spans="1:1" ht="18.600000000000001" customHeight="1">
      <c r="A201" s="76"/>
    </row>
    <row r="202" spans="1:1" ht="18.600000000000001" customHeight="1">
      <c r="A202" s="77"/>
    </row>
    <row r="203" spans="1:1" ht="18.600000000000001" customHeight="1">
      <c r="A203" s="75"/>
    </row>
    <row r="204" spans="1:1" ht="18.600000000000001" customHeight="1">
      <c r="A204" s="76"/>
    </row>
    <row r="205" spans="1:1" ht="18.600000000000001" customHeight="1">
      <c r="A205" s="76"/>
    </row>
    <row r="206" spans="1:1" ht="18.600000000000001" customHeight="1">
      <c r="A206" s="76"/>
    </row>
    <row r="207" spans="1:1" ht="18.600000000000001" customHeight="1">
      <c r="A207" s="76"/>
    </row>
    <row r="208" spans="1:1" ht="18.600000000000001" customHeight="1">
      <c r="A208" s="76"/>
    </row>
    <row r="209" spans="1:1" ht="18.600000000000001" customHeight="1">
      <c r="A209" s="76"/>
    </row>
    <row r="210" spans="1:1" ht="18.600000000000001" customHeight="1">
      <c r="A210" s="76"/>
    </row>
    <row r="211" spans="1:1" ht="18.600000000000001" customHeight="1">
      <c r="A211" s="76"/>
    </row>
    <row r="212" spans="1:1" ht="18.600000000000001" customHeight="1">
      <c r="A212" s="76"/>
    </row>
    <row r="213" spans="1:1" ht="18.600000000000001" customHeight="1">
      <c r="A213" s="76"/>
    </row>
    <row r="214" spans="1:1" ht="18.600000000000001" customHeight="1">
      <c r="A214" s="76"/>
    </row>
    <row r="215" spans="1:1" ht="18.600000000000001" customHeight="1">
      <c r="A215" s="76"/>
    </row>
    <row r="216" spans="1:1" ht="18.600000000000001" customHeight="1">
      <c r="A216" s="76"/>
    </row>
    <row r="217" spans="1:1" ht="18.600000000000001" customHeight="1">
      <c r="A217" s="76"/>
    </row>
    <row r="218" spans="1:1" ht="18.600000000000001" customHeight="1">
      <c r="A218" s="76"/>
    </row>
    <row r="219" spans="1:1" ht="18.600000000000001" customHeight="1">
      <c r="A219" s="76"/>
    </row>
    <row r="220" spans="1:1" ht="18.600000000000001" customHeight="1">
      <c r="A220" s="76"/>
    </row>
    <row r="221" spans="1:1" ht="18.600000000000001" customHeight="1">
      <c r="A221" s="76"/>
    </row>
    <row r="222" spans="1:1" ht="18.600000000000001" customHeight="1">
      <c r="A222" s="76"/>
    </row>
    <row r="223" spans="1:1" ht="18.600000000000001" customHeight="1">
      <c r="A223" s="76"/>
    </row>
    <row r="224" spans="1:1" ht="18.600000000000001" customHeight="1">
      <c r="A224" s="76"/>
    </row>
    <row r="225" spans="1:1" ht="18.600000000000001" customHeight="1">
      <c r="A225" s="76"/>
    </row>
    <row r="226" spans="1:1" ht="18.600000000000001" customHeight="1">
      <c r="A226" s="76"/>
    </row>
    <row r="227" spans="1:1" ht="18.600000000000001" customHeight="1">
      <c r="A227" s="76"/>
    </row>
    <row r="228" spans="1:1" ht="18.600000000000001" customHeight="1">
      <c r="A228" s="76"/>
    </row>
    <row r="229" spans="1:1" ht="18.600000000000001" customHeight="1">
      <c r="A229" s="76"/>
    </row>
    <row r="230" spans="1:1" ht="18.600000000000001" customHeight="1">
      <c r="A230" s="76"/>
    </row>
    <row r="231" spans="1:1" ht="18.600000000000001" customHeight="1">
      <c r="A231" s="76"/>
    </row>
    <row r="232" spans="1:1" ht="18.600000000000001" customHeight="1">
      <c r="A232" s="76"/>
    </row>
    <row r="233" spans="1:1" ht="18.600000000000001" customHeight="1">
      <c r="A233" s="76"/>
    </row>
    <row r="234" spans="1:1" ht="18.600000000000001" customHeight="1">
      <c r="A234" s="76"/>
    </row>
    <row r="235" spans="1:1" ht="18.600000000000001" customHeight="1">
      <c r="A235" s="76"/>
    </row>
    <row r="236" spans="1:1" ht="18.600000000000001" customHeight="1">
      <c r="A236" s="76"/>
    </row>
    <row r="237" spans="1:1" ht="18.600000000000001" customHeight="1">
      <c r="A237" s="76"/>
    </row>
    <row r="238" spans="1:1" ht="18.600000000000001" customHeight="1">
      <c r="A238" s="76"/>
    </row>
    <row r="239" spans="1:1" ht="18.600000000000001" customHeight="1">
      <c r="A239" s="77"/>
    </row>
    <row r="240" spans="1:1" ht="18.600000000000001" customHeight="1">
      <c r="A240" s="75"/>
    </row>
    <row r="241" spans="1:1" ht="18.600000000000001" customHeight="1">
      <c r="A241" s="76"/>
    </row>
    <row r="242" spans="1:1" ht="18.600000000000001" customHeight="1">
      <c r="A242" s="76"/>
    </row>
    <row r="243" spans="1:1" ht="18.600000000000001" customHeight="1">
      <c r="A243" s="76"/>
    </row>
    <row r="244" spans="1:1" ht="18.600000000000001" customHeight="1">
      <c r="A244" s="76"/>
    </row>
    <row r="245" spans="1:1" ht="18.600000000000001" customHeight="1">
      <c r="A245" s="76"/>
    </row>
    <row r="246" spans="1:1" ht="18.600000000000001" customHeight="1">
      <c r="A246" s="76"/>
    </row>
    <row r="247" spans="1:1" ht="18.600000000000001" customHeight="1">
      <c r="A247" s="76"/>
    </row>
    <row r="248" spans="1:1" ht="18.600000000000001" customHeight="1">
      <c r="A248" s="76"/>
    </row>
    <row r="249" spans="1:1" ht="18.600000000000001" customHeight="1">
      <c r="A249" s="76"/>
    </row>
    <row r="250" spans="1:1" ht="18.600000000000001" customHeight="1">
      <c r="A250" s="76"/>
    </row>
    <row r="251" spans="1:1" ht="18.600000000000001" customHeight="1">
      <c r="A251" s="76"/>
    </row>
    <row r="252" spans="1:1" ht="18.600000000000001" customHeight="1">
      <c r="A252" s="76"/>
    </row>
    <row r="253" spans="1:1" ht="18.600000000000001" customHeight="1">
      <c r="A253" s="76"/>
    </row>
    <row r="254" spans="1:1" ht="18.600000000000001" customHeight="1">
      <c r="A254" s="76"/>
    </row>
    <row r="255" spans="1:1" ht="18.600000000000001" customHeight="1">
      <c r="A255" s="76"/>
    </row>
    <row r="256" spans="1:1" ht="18.600000000000001" customHeight="1">
      <c r="A256" s="76"/>
    </row>
    <row r="257" spans="1:1" ht="18.600000000000001" customHeight="1">
      <c r="A257" s="76"/>
    </row>
    <row r="258" spans="1:1" ht="18.600000000000001" customHeight="1">
      <c r="A258" s="76"/>
    </row>
    <row r="259" spans="1:1" ht="18.600000000000001" customHeight="1">
      <c r="A259" s="76"/>
    </row>
    <row r="260" spans="1:1" ht="18.600000000000001" customHeight="1">
      <c r="A260" s="76"/>
    </row>
    <row r="261" spans="1:1" ht="18.600000000000001" customHeight="1">
      <c r="A261" s="76"/>
    </row>
    <row r="262" spans="1:1" ht="18.600000000000001" customHeight="1">
      <c r="A262" s="76"/>
    </row>
    <row r="263" spans="1:1" ht="18.600000000000001" customHeight="1">
      <c r="A263" s="77"/>
    </row>
    <row r="264" spans="1:1" ht="18.600000000000001" customHeight="1">
      <c r="A264" s="75"/>
    </row>
    <row r="265" spans="1:1" ht="18.600000000000001" customHeight="1">
      <c r="A265" s="76"/>
    </row>
    <row r="266" spans="1:1" ht="18.600000000000001" customHeight="1">
      <c r="A266" s="76"/>
    </row>
    <row r="267" spans="1:1" ht="18.600000000000001" customHeight="1">
      <c r="A267" s="76"/>
    </row>
    <row r="268" spans="1:1" ht="18.600000000000001" customHeight="1">
      <c r="A268" s="76"/>
    </row>
    <row r="269" spans="1:1" ht="18.600000000000001" customHeight="1">
      <c r="A269" s="76"/>
    </row>
    <row r="270" spans="1:1" ht="18.600000000000001" customHeight="1">
      <c r="A270" s="76"/>
    </row>
    <row r="271" spans="1:1" ht="18.600000000000001" customHeight="1">
      <c r="A271" s="76"/>
    </row>
    <row r="272" spans="1:1" ht="18.600000000000001" customHeight="1">
      <c r="A272" s="76"/>
    </row>
    <row r="273" spans="1:1" ht="18.600000000000001" customHeight="1">
      <c r="A273" s="76"/>
    </row>
    <row r="274" spans="1:1" ht="18.600000000000001" customHeight="1">
      <c r="A274" s="76"/>
    </row>
    <row r="275" spans="1:1" ht="18.600000000000001" customHeight="1">
      <c r="A275" s="76"/>
    </row>
    <row r="276" spans="1:1" ht="18.600000000000001" customHeight="1">
      <c r="A276" s="76"/>
    </row>
    <row r="277" spans="1:1" ht="18.600000000000001" customHeight="1">
      <c r="A277" s="76"/>
    </row>
    <row r="278" spans="1:1" ht="18.600000000000001" customHeight="1">
      <c r="A278" s="76"/>
    </row>
    <row r="279" spans="1:1" ht="18.600000000000001" customHeight="1">
      <c r="A279" s="76"/>
    </row>
    <row r="280" spans="1:1" ht="18.600000000000001" customHeight="1">
      <c r="A280" s="76"/>
    </row>
    <row r="281" spans="1:1" ht="18.600000000000001" customHeight="1">
      <c r="A281" s="76"/>
    </row>
    <row r="282" spans="1:1" ht="18.600000000000001" customHeight="1">
      <c r="A282" s="76"/>
    </row>
    <row r="283" spans="1:1" ht="18.600000000000001" customHeight="1">
      <c r="A283" s="76"/>
    </row>
    <row r="284" spans="1:1" ht="18.600000000000001" customHeight="1">
      <c r="A284" s="76"/>
    </row>
    <row r="285" spans="1:1" ht="18.600000000000001" customHeight="1">
      <c r="A285" s="76"/>
    </row>
    <row r="286" spans="1:1" ht="18.600000000000001" customHeight="1">
      <c r="A286" s="76"/>
    </row>
    <row r="287" spans="1:1" ht="18.600000000000001" customHeight="1">
      <c r="A287" s="76"/>
    </row>
    <row r="288" spans="1:1" ht="18.600000000000001" customHeight="1">
      <c r="A288" s="77"/>
    </row>
    <row r="289" spans="1:1" ht="18.600000000000001" customHeight="1">
      <c r="A289" s="75"/>
    </row>
    <row r="290" spans="1:1" ht="18.600000000000001" customHeight="1">
      <c r="A290" s="76"/>
    </row>
    <row r="291" spans="1:1" ht="18.600000000000001" customHeight="1">
      <c r="A291" s="76"/>
    </row>
    <row r="292" spans="1:1" ht="18.600000000000001" customHeight="1">
      <c r="A292" s="74"/>
    </row>
    <row r="293" spans="1:1" ht="18.600000000000001" customHeight="1">
      <c r="A293" s="75"/>
    </row>
    <row r="294" spans="1:1" ht="18.600000000000001" customHeight="1">
      <c r="A294" s="76"/>
    </row>
    <row r="295" spans="1:1" ht="18.600000000000001" customHeight="1">
      <c r="A295" s="76"/>
    </row>
    <row r="296" spans="1:1" ht="18.600000000000001" customHeight="1">
      <c r="A296" s="76"/>
    </row>
    <row r="297" spans="1:1" ht="18.600000000000001" customHeight="1">
      <c r="A297" s="77"/>
    </row>
    <row r="298" spans="1:1" ht="18.600000000000001" customHeight="1">
      <c r="A298" s="75"/>
    </row>
    <row r="299" spans="1:1" ht="18.600000000000001" customHeight="1">
      <c r="A299" s="76"/>
    </row>
    <row r="300" spans="1:1" ht="18.600000000000001" customHeight="1">
      <c r="A300" s="76"/>
    </row>
    <row r="301" spans="1:1" ht="18.600000000000001" customHeight="1">
      <c r="A301" s="76"/>
    </row>
    <row r="302" spans="1:1" ht="18.600000000000001" customHeight="1">
      <c r="A302" s="76"/>
    </row>
    <row r="303" spans="1:1" ht="18.600000000000001" customHeight="1">
      <c r="A303" s="76"/>
    </row>
    <row r="304" spans="1:1" ht="18.600000000000001" customHeight="1">
      <c r="A304" s="76"/>
    </row>
    <row r="305" spans="1:1" ht="18.600000000000001" customHeight="1">
      <c r="A305" s="76"/>
    </row>
    <row r="306" spans="1:1" ht="18.600000000000001" customHeight="1">
      <c r="A306" s="74"/>
    </row>
    <row r="307" spans="1:1" ht="18.600000000000001" customHeight="1">
      <c r="A307" s="75"/>
    </row>
    <row r="308" spans="1:1" ht="18.600000000000001" customHeight="1">
      <c r="A308" s="76"/>
    </row>
    <row r="309" spans="1:1" ht="18.600000000000001" customHeight="1">
      <c r="A309" s="76"/>
    </row>
    <row r="310" spans="1:1" ht="18.600000000000001" customHeight="1">
      <c r="A310" s="76"/>
    </row>
    <row r="311" spans="1:1" ht="18.600000000000001" customHeight="1">
      <c r="A311" s="76"/>
    </row>
    <row r="312" spans="1:1" ht="18.600000000000001" customHeight="1">
      <c r="A312" s="76"/>
    </row>
    <row r="313" spans="1:1" ht="18.600000000000001" customHeight="1">
      <c r="A313" s="76"/>
    </row>
    <row r="314" spans="1:1" ht="18.600000000000001" customHeight="1">
      <c r="A314" s="77"/>
    </row>
    <row r="315" spans="1:1" ht="18.600000000000001" customHeight="1">
      <c r="A315" s="75"/>
    </row>
    <row r="316" spans="1:1" ht="18.600000000000001" customHeight="1">
      <c r="A316" s="76"/>
    </row>
    <row r="317" spans="1:1" ht="18.600000000000001" customHeight="1">
      <c r="A317" s="76"/>
    </row>
    <row r="318" spans="1:1" ht="18.600000000000001" customHeight="1">
      <c r="A318" s="76"/>
    </row>
    <row r="319" spans="1:1" ht="18.600000000000001" customHeight="1">
      <c r="A319" s="76"/>
    </row>
    <row r="320" spans="1:1" ht="18.600000000000001" customHeight="1">
      <c r="A320" s="76"/>
    </row>
    <row r="321" spans="1:1" ht="18.600000000000001" customHeight="1">
      <c r="A321" s="76"/>
    </row>
    <row r="322" spans="1:1" ht="18.600000000000001" customHeight="1">
      <c r="A322" s="76"/>
    </row>
    <row r="323" spans="1:1" ht="18.600000000000001" customHeight="1">
      <c r="A323" s="76"/>
    </row>
    <row r="324" spans="1:1" ht="18.600000000000001" customHeight="1">
      <c r="A324" s="76"/>
    </row>
    <row r="325" spans="1:1" ht="18.600000000000001" customHeight="1">
      <c r="A325" s="76"/>
    </row>
    <row r="326" spans="1:1" ht="18.600000000000001" customHeight="1">
      <c r="A326" s="76"/>
    </row>
    <row r="327" spans="1:1" ht="18.600000000000001" customHeight="1">
      <c r="A327" s="77"/>
    </row>
    <row r="328" spans="1:1" ht="18.600000000000001" customHeight="1">
      <c r="A328" s="75"/>
    </row>
    <row r="329" spans="1:1" ht="18.600000000000001" customHeight="1">
      <c r="A329" s="76"/>
    </row>
    <row r="330" spans="1:1" ht="18.600000000000001" customHeight="1">
      <c r="A330" s="76"/>
    </row>
    <row r="331" spans="1:1" ht="18.600000000000001" customHeight="1">
      <c r="A331" s="76"/>
    </row>
    <row r="332" spans="1:1" ht="18.600000000000001" customHeight="1">
      <c r="A332" s="76"/>
    </row>
    <row r="333" spans="1:1" ht="18.600000000000001" customHeight="1">
      <c r="A333" s="76"/>
    </row>
    <row r="334" spans="1:1" ht="18.600000000000001" customHeight="1">
      <c r="A334" s="76"/>
    </row>
    <row r="335" spans="1:1" ht="18.600000000000001" customHeight="1">
      <c r="A335" s="76"/>
    </row>
    <row r="336" spans="1:1" ht="18.600000000000001" customHeight="1">
      <c r="A336" s="76"/>
    </row>
    <row r="337" spans="1:1" ht="18.600000000000001" customHeight="1">
      <c r="A337" s="76"/>
    </row>
    <row r="338" spans="1:1" ht="18.600000000000001" customHeight="1">
      <c r="A338" s="76"/>
    </row>
    <row r="339" spans="1:1" ht="18.600000000000001" customHeight="1">
      <c r="A339" s="76"/>
    </row>
    <row r="340" spans="1:1" ht="18.600000000000001" customHeight="1">
      <c r="A340" s="76"/>
    </row>
    <row r="341" spans="1:1" ht="18.600000000000001" customHeight="1">
      <c r="A341" s="76"/>
    </row>
    <row r="342" spans="1:1" ht="18.600000000000001" customHeight="1">
      <c r="A342" s="76"/>
    </row>
    <row r="343" spans="1:1" ht="18.600000000000001" customHeight="1">
      <c r="A343" s="76"/>
    </row>
    <row r="344" spans="1:1" ht="18.600000000000001" customHeight="1">
      <c r="A344" s="76"/>
    </row>
    <row r="345" spans="1:1" ht="18.600000000000001" customHeight="1">
      <c r="A345" s="76"/>
    </row>
    <row r="346" spans="1:1" ht="18.600000000000001" customHeight="1">
      <c r="A346" s="76"/>
    </row>
    <row r="347" spans="1:1" ht="18.600000000000001" customHeight="1">
      <c r="A347" s="76"/>
    </row>
    <row r="348" spans="1:1" ht="18.600000000000001" customHeight="1">
      <c r="A348" s="74"/>
    </row>
    <row r="349" spans="1:1" ht="18.600000000000001" customHeight="1">
      <c r="A349" s="75"/>
    </row>
    <row r="350" spans="1:1" ht="18.600000000000001" customHeight="1">
      <c r="A350" s="76"/>
    </row>
    <row r="351" spans="1:1" ht="18.600000000000001" customHeight="1">
      <c r="A351" s="76"/>
    </row>
    <row r="352" spans="1:1" ht="18.600000000000001" customHeight="1">
      <c r="A352" s="76"/>
    </row>
    <row r="353" spans="1:1" ht="18.600000000000001" customHeight="1">
      <c r="A353" s="76"/>
    </row>
    <row r="354" spans="1:1" ht="18.600000000000001" customHeight="1">
      <c r="A354" s="76"/>
    </row>
    <row r="355" spans="1:1" ht="18.600000000000001" customHeight="1">
      <c r="A355" s="76"/>
    </row>
    <row r="356" spans="1:1" ht="18.600000000000001" customHeight="1">
      <c r="A356" s="76"/>
    </row>
    <row r="357" spans="1:1" ht="18.600000000000001" customHeight="1">
      <c r="A357" s="76"/>
    </row>
    <row r="358" spans="1:1" ht="18.600000000000001" customHeight="1">
      <c r="A358" s="76"/>
    </row>
    <row r="359" spans="1:1" ht="18.600000000000001" customHeight="1">
      <c r="A359" s="76"/>
    </row>
    <row r="360" spans="1:1" ht="18.600000000000001" customHeight="1">
      <c r="A360" s="76"/>
    </row>
    <row r="361" spans="1:1" ht="18.600000000000001" customHeight="1">
      <c r="A361" s="76"/>
    </row>
    <row r="362" spans="1:1" ht="18.600000000000001" customHeight="1">
      <c r="A362" s="76"/>
    </row>
    <row r="363" spans="1:1" ht="18.600000000000001" customHeight="1">
      <c r="A363" s="76"/>
    </row>
    <row r="364" spans="1:1" ht="18.600000000000001" customHeight="1">
      <c r="A364" s="76"/>
    </row>
    <row r="365" spans="1:1" ht="18.600000000000001" customHeight="1">
      <c r="A365" s="76"/>
    </row>
    <row r="366" spans="1:1" ht="18.600000000000001" customHeight="1">
      <c r="A366" s="76"/>
    </row>
    <row r="367" spans="1:1" ht="18.600000000000001" customHeight="1">
      <c r="A367" s="76"/>
    </row>
    <row r="368" spans="1:1" ht="18.600000000000001" customHeight="1">
      <c r="A368" s="76"/>
    </row>
    <row r="369" spans="1:1" ht="18.600000000000001" customHeight="1">
      <c r="A369" s="76"/>
    </row>
    <row r="370" spans="1:1" ht="18.600000000000001" customHeight="1">
      <c r="A370" s="76"/>
    </row>
    <row r="371" spans="1:1" ht="18.600000000000001" customHeight="1">
      <c r="A371" s="76"/>
    </row>
    <row r="372" spans="1:1" ht="18.600000000000001" customHeight="1">
      <c r="A372" s="76"/>
    </row>
    <row r="373" spans="1:1" ht="18.600000000000001" customHeight="1">
      <c r="A373" s="76"/>
    </row>
    <row r="374" spans="1:1" ht="18.600000000000001" customHeight="1">
      <c r="A374" s="76"/>
    </row>
    <row r="375" spans="1:1" ht="18.600000000000001" customHeight="1">
      <c r="A375" s="76"/>
    </row>
    <row r="376" spans="1:1" ht="18.600000000000001" customHeight="1">
      <c r="A376" s="76"/>
    </row>
    <row r="377" spans="1:1" ht="18.600000000000001" customHeight="1">
      <c r="A377" s="76"/>
    </row>
    <row r="378" spans="1:1" ht="18.600000000000001" customHeight="1">
      <c r="A378" s="76"/>
    </row>
    <row r="379" spans="1:1" ht="18.600000000000001" customHeight="1">
      <c r="A379" s="76"/>
    </row>
    <row r="380" spans="1:1" ht="18.600000000000001" customHeight="1">
      <c r="A380" s="76"/>
    </row>
    <row r="381" spans="1:1" ht="18.600000000000001" customHeight="1">
      <c r="A381" s="74"/>
    </row>
    <row r="382" spans="1:1" ht="18.600000000000001" customHeight="1">
      <c r="A382" s="75"/>
    </row>
    <row r="383" spans="1:1" ht="18.600000000000001" customHeight="1">
      <c r="A383" s="76"/>
    </row>
    <row r="384" spans="1:1" ht="18.600000000000001" customHeight="1">
      <c r="A384" s="76"/>
    </row>
    <row r="385" spans="1:1" ht="18.600000000000001" customHeight="1">
      <c r="A385" s="76"/>
    </row>
    <row r="386" spans="1:1" ht="18.600000000000001" customHeight="1">
      <c r="A386" s="76"/>
    </row>
    <row r="387" spans="1:1" ht="18.600000000000001" customHeight="1">
      <c r="A387" s="76"/>
    </row>
    <row r="388" spans="1:1" ht="18.600000000000001" customHeight="1">
      <c r="A388" s="76"/>
    </row>
    <row r="389" spans="1:1" ht="18.600000000000001" customHeight="1">
      <c r="A389" s="76"/>
    </row>
    <row r="390" spans="1:1" ht="18.600000000000001" customHeight="1">
      <c r="A390" s="76"/>
    </row>
    <row r="391" spans="1:1" ht="18.600000000000001" customHeight="1">
      <c r="A391" s="76"/>
    </row>
    <row r="392" spans="1:1" ht="18.600000000000001" customHeight="1">
      <c r="A392" s="76"/>
    </row>
    <row r="393" spans="1:1" ht="18.600000000000001" customHeight="1">
      <c r="A393" s="76"/>
    </row>
    <row r="394" spans="1:1" ht="18.600000000000001" customHeight="1">
      <c r="A394" s="76"/>
    </row>
    <row r="395" spans="1:1" ht="18.600000000000001" customHeight="1">
      <c r="A395" s="76"/>
    </row>
    <row r="396" spans="1:1" ht="18.600000000000001" customHeight="1">
      <c r="A396" s="76"/>
    </row>
    <row r="397" spans="1:1" ht="18.600000000000001" customHeight="1">
      <c r="A397" s="76"/>
    </row>
    <row r="398" spans="1:1" ht="18.600000000000001" customHeight="1">
      <c r="A398" s="76"/>
    </row>
    <row r="399" spans="1:1" ht="18.600000000000001" customHeight="1">
      <c r="A399" s="76"/>
    </row>
    <row r="400" spans="1:1" ht="18.600000000000001" customHeight="1">
      <c r="A400" s="76"/>
    </row>
    <row r="401" spans="1:1" ht="18.600000000000001" customHeight="1">
      <c r="A401" s="76"/>
    </row>
    <row r="402" spans="1:1" ht="18.600000000000001" customHeight="1">
      <c r="A402" s="76"/>
    </row>
    <row r="403" spans="1:1" ht="18.600000000000001" customHeight="1">
      <c r="A403" s="76"/>
    </row>
    <row r="404" spans="1:1" ht="18.600000000000001" customHeight="1">
      <c r="A404" s="76"/>
    </row>
    <row r="405" spans="1:1" ht="18.600000000000001" customHeight="1">
      <c r="A405" s="76"/>
    </row>
    <row r="406" spans="1:1" ht="18.600000000000001" customHeight="1">
      <c r="A406" s="76"/>
    </row>
    <row r="407" spans="1:1" ht="18.600000000000001" customHeight="1">
      <c r="A407" s="76"/>
    </row>
    <row r="408" spans="1:1" ht="18.600000000000001" customHeight="1">
      <c r="A408" s="76"/>
    </row>
    <row r="409" spans="1:1" ht="18.600000000000001" customHeight="1">
      <c r="A409" s="76"/>
    </row>
    <row r="410" spans="1:1" ht="18.600000000000001" customHeight="1">
      <c r="A410" s="76"/>
    </row>
    <row r="411" spans="1:1" ht="18.600000000000001" customHeight="1">
      <c r="A411" s="76"/>
    </row>
    <row r="412" spans="1:1" ht="18.600000000000001" customHeight="1">
      <c r="A412" s="76"/>
    </row>
    <row r="413" spans="1:1" ht="18.600000000000001" customHeight="1">
      <c r="A413" s="76"/>
    </row>
    <row r="414" spans="1:1" ht="18.600000000000001" customHeight="1">
      <c r="A414" s="77"/>
    </row>
    <row r="415" spans="1:1" ht="18.600000000000001" customHeight="1">
      <c r="A415" s="74"/>
    </row>
    <row r="470" spans="1:1" ht="18.600000000000001" customHeight="1">
      <c r="A470" s="74"/>
    </row>
    <row r="824" spans="1:1" ht="18.600000000000001" customHeight="1">
      <c r="A824" s="75"/>
    </row>
    <row r="825" spans="1:1" ht="18.600000000000001" customHeight="1">
      <c r="A825" s="76"/>
    </row>
    <row r="826" spans="1:1" ht="18.600000000000001" customHeight="1">
      <c r="A826" s="76"/>
    </row>
    <row r="827" spans="1:1" ht="18.600000000000001" customHeight="1">
      <c r="A827" s="76"/>
    </row>
    <row r="828" spans="1:1" ht="18.600000000000001" customHeight="1">
      <c r="A828" s="76"/>
    </row>
    <row r="829" spans="1:1" ht="18.600000000000001" customHeight="1">
      <c r="A829" s="76"/>
    </row>
    <row r="830" spans="1:1" ht="18.600000000000001" customHeight="1">
      <c r="A830" s="76"/>
    </row>
    <row r="831" spans="1:1" ht="18.600000000000001" customHeight="1">
      <c r="A831" s="76"/>
    </row>
    <row r="832" spans="1:1" ht="18.600000000000001" customHeight="1">
      <c r="A832" s="76"/>
    </row>
    <row r="833" spans="1:1" ht="18.600000000000001" customHeight="1">
      <c r="A833" s="76"/>
    </row>
    <row r="834" spans="1:1" ht="18.600000000000001" customHeight="1">
      <c r="A834" s="76"/>
    </row>
    <row r="835" spans="1:1" ht="18.600000000000001" customHeight="1">
      <c r="A835" s="76"/>
    </row>
    <row r="836" spans="1:1" ht="18.600000000000001" customHeight="1">
      <c r="A836" s="76"/>
    </row>
    <row r="837" spans="1:1" ht="18.600000000000001" customHeight="1">
      <c r="A837" s="76"/>
    </row>
    <row r="838" spans="1:1" ht="18.600000000000001" customHeight="1">
      <c r="A838" s="76"/>
    </row>
    <row r="839" spans="1:1" ht="18.600000000000001" customHeight="1">
      <c r="A839" s="76"/>
    </row>
    <row r="840" spans="1:1" ht="18.600000000000001" customHeight="1">
      <c r="A840" s="76"/>
    </row>
    <row r="841" spans="1:1" ht="18.600000000000001" customHeight="1">
      <c r="A841" s="76"/>
    </row>
    <row r="842" spans="1:1" ht="18.600000000000001" customHeight="1">
      <c r="A842" s="76"/>
    </row>
    <row r="843" spans="1:1" ht="18.600000000000001" customHeight="1">
      <c r="A843" s="76"/>
    </row>
    <row r="844" spans="1:1" ht="18.600000000000001" customHeight="1">
      <c r="A844" s="76"/>
    </row>
    <row r="845" spans="1:1" ht="18.600000000000001" customHeight="1">
      <c r="A845" s="76"/>
    </row>
    <row r="846" spans="1:1" ht="18.600000000000001" customHeight="1">
      <c r="A846" s="76"/>
    </row>
    <row r="847" spans="1:1" ht="18.600000000000001" customHeight="1">
      <c r="A847" s="76"/>
    </row>
    <row r="848" spans="1:1" ht="18.600000000000001" customHeight="1">
      <c r="A848" s="76"/>
    </row>
    <row r="849" spans="1:1" ht="18.600000000000001" customHeight="1">
      <c r="A849" s="76"/>
    </row>
    <row r="850" spans="1:1" ht="18.600000000000001" customHeight="1">
      <c r="A850" s="76"/>
    </row>
    <row r="851" spans="1:1" ht="18.600000000000001" customHeight="1">
      <c r="A851" s="76"/>
    </row>
    <row r="852" spans="1:1" ht="18.600000000000001" customHeight="1">
      <c r="A852" s="76"/>
    </row>
    <row r="853" spans="1:1" ht="18.600000000000001" customHeight="1">
      <c r="A853" s="76"/>
    </row>
    <row r="854" spans="1:1" ht="18.600000000000001" customHeight="1">
      <c r="A854" s="76"/>
    </row>
    <row r="855" spans="1:1" ht="18.600000000000001" customHeight="1">
      <c r="A855" s="76"/>
    </row>
    <row r="856" spans="1:1" ht="18.600000000000001" customHeight="1">
      <c r="A856" s="76"/>
    </row>
    <row r="857" spans="1:1" ht="18.600000000000001" customHeight="1">
      <c r="A857" s="76"/>
    </row>
    <row r="858" spans="1:1" ht="18.600000000000001" customHeight="1">
      <c r="A858" s="76"/>
    </row>
    <row r="859" spans="1:1" ht="18.600000000000001" customHeight="1">
      <c r="A859" s="76"/>
    </row>
    <row r="860" spans="1:1" ht="18.600000000000001" customHeight="1">
      <c r="A860" s="76"/>
    </row>
    <row r="861" spans="1:1" ht="18.600000000000001" customHeight="1">
      <c r="A861" s="76"/>
    </row>
    <row r="862" spans="1:1" ht="18.600000000000001" customHeight="1">
      <c r="A862" s="76"/>
    </row>
    <row r="863" spans="1:1" ht="18.600000000000001" customHeight="1">
      <c r="A863" s="76"/>
    </row>
    <row r="864" spans="1:1" ht="18.600000000000001" customHeight="1">
      <c r="A864" s="76"/>
    </row>
    <row r="865" spans="1:1" ht="18.600000000000001" customHeight="1">
      <c r="A865" s="76"/>
    </row>
    <row r="866" spans="1:1" ht="18.600000000000001" customHeight="1">
      <c r="A866" s="76"/>
    </row>
    <row r="867" spans="1:1" ht="18.600000000000001" customHeight="1">
      <c r="A867" s="76"/>
    </row>
    <row r="868" spans="1:1" ht="18.600000000000001" customHeight="1">
      <c r="A868" s="76"/>
    </row>
    <row r="869" spans="1:1" ht="18.600000000000001" customHeight="1">
      <c r="A869" s="76"/>
    </row>
    <row r="870" spans="1:1" ht="18.600000000000001" customHeight="1">
      <c r="A870" s="76"/>
    </row>
    <row r="871" spans="1:1" ht="18.600000000000001" customHeight="1">
      <c r="A871" s="76"/>
    </row>
    <row r="872" spans="1:1" ht="18.600000000000001" customHeight="1">
      <c r="A872" s="76"/>
    </row>
    <row r="873" spans="1:1" ht="18.600000000000001" customHeight="1">
      <c r="A873" s="76"/>
    </row>
    <row r="874" spans="1:1" ht="18.600000000000001" customHeight="1">
      <c r="A874" s="76"/>
    </row>
    <row r="875" spans="1:1" ht="18.600000000000001" customHeight="1">
      <c r="A875" s="76"/>
    </row>
    <row r="876" spans="1:1" ht="18.600000000000001" customHeight="1">
      <c r="A876" s="76"/>
    </row>
    <row r="877" spans="1:1" ht="18.600000000000001" customHeight="1">
      <c r="A877" s="76"/>
    </row>
    <row r="878" spans="1:1" ht="18.600000000000001" customHeight="1">
      <c r="A878" s="76"/>
    </row>
    <row r="879" spans="1:1" ht="18.600000000000001" customHeight="1">
      <c r="A879" s="77"/>
    </row>
    <row r="880" spans="1:1" ht="18.600000000000001" customHeight="1">
      <c r="A880" s="75"/>
    </row>
    <row r="881" spans="1:1" ht="18.600000000000001" customHeight="1">
      <c r="A881" s="76"/>
    </row>
    <row r="882" spans="1:1" ht="18.600000000000001" customHeight="1">
      <c r="A882" s="76"/>
    </row>
    <row r="883" spans="1:1" ht="18.600000000000001" customHeight="1">
      <c r="A883" s="76"/>
    </row>
    <row r="884" spans="1:1" ht="18.600000000000001" customHeight="1">
      <c r="A884" s="76"/>
    </row>
    <row r="885" spans="1:1" ht="18.600000000000001" customHeight="1">
      <c r="A885" s="76"/>
    </row>
    <row r="886" spans="1:1" ht="18.600000000000001" customHeight="1">
      <c r="A886" s="76"/>
    </row>
    <row r="887" spans="1:1" ht="18.600000000000001" customHeight="1">
      <c r="A887" s="74"/>
    </row>
    <row r="888" spans="1:1" ht="18.600000000000001" customHeight="1">
      <c r="A888" s="75"/>
    </row>
    <row r="889" spans="1:1" ht="18.600000000000001" customHeight="1">
      <c r="A889" s="77"/>
    </row>
    <row r="890" spans="1:1" ht="18.600000000000001" customHeight="1">
      <c r="A890" s="76"/>
    </row>
    <row r="891" spans="1:1" ht="18.600000000000001" customHeight="1">
      <c r="A891" s="74"/>
    </row>
    <row r="892" spans="1:1" ht="18.600000000000001" customHeight="1">
      <c r="A892" s="75"/>
    </row>
    <row r="893" spans="1:1" ht="18.600000000000001" customHeight="1">
      <c r="A893" s="76"/>
    </row>
    <row r="894" spans="1:1" ht="18.600000000000001" customHeight="1">
      <c r="A894" s="76"/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4"/>
  <sheetViews>
    <sheetView zoomScale="70" zoomScaleNormal="70" workbookViewId="0">
      <selection activeCell="B23" sqref="B23"/>
    </sheetView>
  </sheetViews>
  <sheetFormatPr defaultColWidth="8" defaultRowHeight="20.25" customHeight="1"/>
  <cols>
    <col min="1" max="1" width="28.140625" style="95" customWidth="1"/>
    <col min="2" max="2" width="68.42578125" style="95" customWidth="1"/>
    <col min="3" max="3" width="7.85546875" style="232" customWidth="1"/>
    <col min="4" max="4" width="13.140625" style="269" customWidth="1"/>
    <col min="5" max="5" width="21.140625" style="95" customWidth="1"/>
    <col min="6" max="13" width="8" style="95" customWidth="1"/>
    <col min="14" max="16384" width="8" style="95"/>
  </cols>
  <sheetData>
    <row r="1" spans="1:8" ht="20.25" customHeight="1">
      <c r="A1" s="114" t="s">
        <v>26</v>
      </c>
      <c r="B1" s="114" t="s">
        <v>858</v>
      </c>
      <c r="C1" s="114" t="s">
        <v>517</v>
      </c>
      <c r="D1" s="263" t="s">
        <v>1423</v>
      </c>
      <c r="E1" s="257" t="s">
        <v>1422</v>
      </c>
      <c r="F1" s="150"/>
      <c r="G1" s="150"/>
      <c r="H1" s="150"/>
    </row>
    <row r="2" spans="1:8" ht="20.25" customHeight="1">
      <c r="A2" s="73"/>
      <c r="B2" s="73" t="s">
        <v>859</v>
      </c>
      <c r="C2" s="243">
        <v>6</v>
      </c>
      <c r="D2" s="264"/>
      <c r="E2" s="258"/>
      <c r="F2" s="150"/>
      <c r="G2" s="150"/>
      <c r="H2" s="150"/>
    </row>
    <row r="3" spans="1:8" ht="20.25" customHeight="1">
      <c r="A3" s="73"/>
      <c r="B3" s="73" t="s">
        <v>860</v>
      </c>
      <c r="C3" s="243">
        <v>12</v>
      </c>
      <c r="D3" s="264"/>
      <c r="E3" s="258"/>
      <c r="F3" s="150"/>
      <c r="G3" s="150"/>
      <c r="H3" s="150"/>
    </row>
    <row r="4" spans="1:8" ht="20.25" customHeight="1">
      <c r="A4" s="116"/>
      <c r="B4" s="121" t="s">
        <v>546</v>
      </c>
      <c r="C4" s="243">
        <v>36</v>
      </c>
      <c r="D4" s="264"/>
      <c r="E4" s="258"/>
      <c r="F4" s="150"/>
      <c r="G4" s="150"/>
      <c r="H4" s="150"/>
    </row>
    <row r="5" spans="1:8" ht="20.25" customHeight="1">
      <c r="A5" s="116"/>
      <c r="B5" s="121" t="s">
        <v>788</v>
      </c>
      <c r="C5" s="243">
        <v>12</v>
      </c>
      <c r="D5" s="264"/>
      <c r="E5" s="258"/>
      <c r="F5" s="150"/>
      <c r="G5" s="150"/>
      <c r="H5" s="150"/>
    </row>
    <row r="6" spans="1:8" ht="20.25" customHeight="1">
      <c r="A6" s="116"/>
      <c r="B6" s="121" t="s">
        <v>548</v>
      </c>
      <c r="C6" s="243">
        <v>36</v>
      </c>
      <c r="D6" s="264"/>
      <c r="E6" s="258"/>
      <c r="F6" s="150"/>
      <c r="G6" s="150"/>
      <c r="H6" s="150"/>
    </row>
    <row r="7" spans="1:8" ht="20.25" customHeight="1">
      <c r="A7" s="116"/>
      <c r="B7" s="121" t="s">
        <v>792</v>
      </c>
      <c r="C7" s="243">
        <v>18</v>
      </c>
      <c r="D7" s="264"/>
      <c r="E7" s="258"/>
      <c r="F7" s="150"/>
      <c r="G7" s="150"/>
      <c r="H7" s="150"/>
    </row>
    <row r="8" spans="1:8" ht="20.25" customHeight="1">
      <c r="A8" s="116"/>
      <c r="B8" s="121" t="s">
        <v>547</v>
      </c>
      <c r="C8" s="243">
        <v>30</v>
      </c>
      <c r="D8" s="264"/>
      <c r="E8" s="258"/>
      <c r="F8" s="150"/>
      <c r="G8" s="150"/>
      <c r="H8" s="150"/>
    </row>
    <row r="9" spans="1:8" ht="20.25" customHeight="1">
      <c r="A9" s="116"/>
      <c r="B9" s="121" t="s">
        <v>861</v>
      </c>
      <c r="C9" s="243">
        <v>6</v>
      </c>
      <c r="D9" s="264"/>
      <c r="E9" s="258"/>
      <c r="F9" s="150"/>
      <c r="G9" s="150"/>
      <c r="H9" s="150"/>
    </row>
    <row r="10" spans="1:8" ht="20.25" customHeight="1">
      <c r="A10" s="116"/>
      <c r="B10" s="121" t="s">
        <v>785</v>
      </c>
      <c r="C10" s="243">
        <v>6</v>
      </c>
      <c r="D10" s="264"/>
      <c r="E10" s="258"/>
      <c r="F10" s="150"/>
      <c r="G10" s="150"/>
      <c r="H10" s="150"/>
    </row>
    <row r="11" spans="1:8" ht="20.25" customHeight="1">
      <c r="A11" s="116"/>
      <c r="B11" s="121" t="s">
        <v>862</v>
      </c>
      <c r="C11" s="243">
        <v>6</v>
      </c>
      <c r="D11" s="264"/>
      <c r="E11" s="258"/>
      <c r="F11" s="150"/>
      <c r="G11" s="150"/>
      <c r="H11" s="150"/>
    </row>
    <row r="12" spans="1:8" ht="20.25" customHeight="1">
      <c r="A12" s="116"/>
      <c r="B12" s="121" t="s">
        <v>863</v>
      </c>
      <c r="C12" s="243">
        <v>6</v>
      </c>
      <c r="D12" s="264"/>
      <c r="E12" s="258"/>
      <c r="F12" s="150"/>
      <c r="G12" s="150"/>
      <c r="H12" s="150"/>
    </row>
    <row r="13" spans="1:8" ht="20.25" customHeight="1">
      <c r="A13" s="116"/>
      <c r="B13" s="121" t="s">
        <v>750</v>
      </c>
      <c r="C13" s="243">
        <v>6</v>
      </c>
      <c r="D13" s="264"/>
      <c r="E13" s="258"/>
      <c r="F13" s="150"/>
      <c r="G13" s="150"/>
      <c r="H13" s="150"/>
    </row>
    <row r="14" spans="1:8" ht="20.25" customHeight="1">
      <c r="A14" s="116"/>
      <c r="B14" s="121" t="s">
        <v>864</v>
      </c>
      <c r="C14" s="243">
        <v>6</v>
      </c>
      <c r="D14" s="264"/>
      <c r="E14" s="258"/>
      <c r="F14" s="150"/>
      <c r="G14" s="150"/>
      <c r="H14" s="150"/>
    </row>
    <row r="15" spans="1:8" ht="20.25" customHeight="1">
      <c r="A15" s="116"/>
      <c r="B15" s="121" t="s">
        <v>524</v>
      </c>
      <c r="C15" s="243">
        <v>6</v>
      </c>
      <c r="D15" s="264"/>
      <c r="E15" s="258"/>
      <c r="F15" s="150"/>
      <c r="G15" s="150"/>
      <c r="H15" s="150"/>
    </row>
    <row r="16" spans="1:8" ht="20.25" customHeight="1">
      <c r="A16" s="116"/>
      <c r="B16" s="121" t="s">
        <v>847</v>
      </c>
      <c r="C16" s="243">
        <v>6</v>
      </c>
      <c r="D16" s="264"/>
      <c r="E16" s="258"/>
      <c r="F16" s="150"/>
      <c r="G16" s="150"/>
      <c r="H16" s="150"/>
    </row>
    <row r="17" spans="1:12" ht="20.25" customHeight="1">
      <c r="A17" s="116"/>
      <c r="B17" s="121" t="s">
        <v>846</v>
      </c>
      <c r="C17" s="243">
        <v>6</v>
      </c>
      <c r="D17" s="264"/>
      <c r="E17" s="258"/>
      <c r="F17" s="150"/>
      <c r="G17" s="150"/>
      <c r="H17" s="150"/>
    </row>
    <row r="18" spans="1:12" ht="20.25" customHeight="1">
      <c r="A18" s="73"/>
      <c r="B18" s="73" t="s">
        <v>865</v>
      </c>
      <c r="C18" s="243">
        <v>6</v>
      </c>
      <c r="D18" s="264"/>
      <c r="E18" s="258"/>
      <c r="F18" s="150"/>
      <c r="G18" s="150"/>
      <c r="H18" s="150"/>
    </row>
    <row r="19" spans="1:12" ht="20.25" customHeight="1">
      <c r="A19" s="124"/>
      <c r="B19" s="125" t="s">
        <v>866</v>
      </c>
      <c r="C19" s="124"/>
      <c r="D19" s="264"/>
      <c r="E19" s="258"/>
      <c r="F19" s="150"/>
      <c r="G19" s="150"/>
      <c r="H19" s="150"/>
    </row>
    <row r="20" spans="1:12" ht="20.25" customHeight="1">
      <c r="A20" s="150"/>
      <c r="B20" s="150"/>
      <c r="C20" s="256"/>
      <c r="D20" s="264"/>
      <c r="E20" s="258"/>
      <c r="F20" s="150"/>
      <c r="G20" s="150"/>
      <c r="H20" s="150"/>
    </row>
    <row r="21" spans="1:12" ht="20.25" customHeight="1">
      <c r="A21" s="114" t="s">
        <v>867</v>
      </c>
      <c r="B21" s="114" t="s">
        <v>868</v>
      </c>
      <c r="C21" s="114" t="s">
        <v>517</v>
      </c>
      <c r="D21" s="265"/>
      <c r="E21" s="259"/>
      <c r="F21" s="151"/>
      <c r="G21" s="151"/>
      <c r="H21" s="151"/>
    </row>
    <row r="22" spans="1:12" ht="20.25" customHeight="1">
      <c r="A22" s="152"/>
      <c r="B22" s="121" t="s">
        <v>325</v>
      </c>
      <c r="C22" s="123">
        <v>1</v>
      </c>
      <c r="D22" s="264"/>
      <c r="E22" s="258"/>
      <c r="F22" s="150"/>
      <c r="G22" s="150"/>
      <c r="H22" s="150"/>
    </row>
    <row r="23" spans="1:12" ht="20.25" customHeight="1">
      <c r="A23" s="152"/>
      <c r="B23" s="121" t="s">
        <v>869</v>
      </c>
      <c r="C23" s="123">
        <v>1</v>
      </c>
      <c r="D23" s="265"/>
      <c r="E23" s="259"/>
      <c r="F23" s="151"/>
      <c r="G23" s="151"/>
      <c r="H23" s="150"/>
      <c r="I23" s="150"/>
      <c r="J23" s="153"/>
      <c r="K23" s="153"/>
      <c r="L23" s="153"/>
    </row>
    <row r="24" spans="1:12" ht="20.25" customHeight="1">
      <c r="A24" s="152"/>
      <c r="B24" s="121" t="s">
        <v>585</v>
      </c>
      <c r="C24" s="123">
        <v>1</v>
      </c>
      <c r="D24" s="266"/>
      <c r="E24" s="260"/>
      <c r="F24" s="73"/>
      <c r="G24" s="73"/>
      <c r="H24" s="150"/>
      <c r="I24" s="150"/>
    </row>
    <row r="25" spans="1:12" ht="20.25" customHeight="1">
      <c r="A25" s="152"/>
      <c r="B25" s="121" t="s">
        <v>870</v>
      </c>
      <c r="C25" s="123">
        <v>2</v>
      </c>
      <c r="D25" s="264"/>
      <c r="E25" s="258"/>
      <c r="F25" s="150"/>
      <c r="G25" s="150"/>
      <c r="H25" s="150"/>
    </row>
    <row r="26" spans="1:12" ht="20.25" customHeight="1">
      <c r="A26" s="152"/>
      <c r="B26" s="121" t="s">
        <v>871</v>
      </c>
      <c r="C26" s="123">
        <v>1</v>
      </c>
      <c r="D26" s="264"/>
      <c r="E26" s="258"/>
      <c r="F26" s="150"/>
      <c r="G26" s="150"/>
      <c r="H26" s="150"/>
    </row>
    <row r="27" spans="1:12" ht="20.25" customHeight="1">
      <c r="A27" s="152"/>
      <c r="B27" s="121" t="s">
        <v>872</v>
      </c>
      <c r="C27" s="123">
        <v>1</v>
      </c>
      <c r="D27" s="264"/>
      <c r="E27" s="258"/>
      <c r="F27" s="150"/>
      <c r="G27" s="150"/>
      <c r="H27" s="150"/>
    </row>
    <row r="28" spans="1:12" ht="20.25" customHeight="1">
      <c r="A28" s="152"/>
      <c r="B28" s="121" t="s">
        <v>873</v>
      </c>
      <c r="C28" s="123">
        <v>2</v>
      </c>
      <c r="D28" s="264"/>
      <c r="E28" s="258"/>
      <c r="F28" s="150"/>
      <c r="G28" s="150"/>
      <c r="H28" s="150"/>
    </row>
    <row r="29" spans="1:12" ht="20.25" customHeight="1">
      <c r="A29" s="152"/>
      <c r="B29" s="121" t="s">
        <v>783</v>
      </c>
      <c r="C29" s="123">
        <v>1</v>
      </c>
      <c r="D29" s="264"/>
      <c r="E29" s="258"/>
      <c r="F29" s="150"/>
      <c r="G29" s="150"/>
      <c r="H29" s="150"/>
    </row>
    <row r="30" spans="1:12" ht="20.25" customHeight="1">
      <c r="A30" s="152"/>
      <c r="B30" s="99" t="s">
        <v>146</v>
      </c>
      <c r="C30" s="128">
        <v>9</v>
      </c>
      <c r="D30" s="264"/>
      <c r="E30" s="258"/>
      <c r="F30" s="150"/>
      <c r="G30" s="150"/>
      <c r="H30" s="150"/>
    </row>
    <row r="31" spans="1:12" ht="20.25" customHeight="1">
      <c r="A31" s="154"/>
      <c r="B31" s="99"/>
      <c r="C31" s="128"/>
      <c r="D31" s="264"/>
      <c r="E31" s="258"/>
      <c r="F31" s="150"/>
      <c r="G31" s="150"/>
      <c r="H31" s="150"/>
    </row>
    <row r="32" spans="1:12" ht="20.25" customHeight="1">
      <c r="A32" s="114" t="s">
        <v>867</v>
      </c>
      <c r="B32" s="114" t="s">
        <v>874</v>
      </c>
      <c r="C32" s="114" t="s">
        <v>517</v>
      </c>
      <c r="D32" s="264"/>
      <c r="E32" s="258"/>
      <c r="F32" s="150"/>
      <c r="G32" s="150"/>
      <c r="H32" s="150"/>
    </row>
    <row r="33" spans="1:8" ht="20.25" customHeight="1">
      <c r="A33" s="116"/>
      <c r="B33" s="121" t="s">
        <v>875</v>
      </c>
      <c r="C33" s="123">
        <v>2</v>
      </c>
      <c r="D33" s="264"/>
      <c r="E33" s="258"/>
      <c r="F33" s="150"/>
      <c r="G33" s="150"/>
      <c r="H33" s="150"/>
    </row>
    <row r="34" spans="1:8" ht="20.25" customHeight="1">
      <c r="A34" s="116"/>
      <c r="B34" s="121" t="s">
        <v>876</v>
      </c>
      <c r="C34" s="123">
        <v>1</v>
      </c>
      <c r="D34" s="265"/>
      <c r="E34" s="259"/>
      <c r="F34" s="150"/>
      <c r="G34" s="150"/>
      <c r="H34" s="150"/>
    </row>
    <row r="35" spans="1:8" ht="20.25" customHeight="1">
      <c r="A35" s="116"/>
      <c r="B35" s="121" t="s">
        <v>877</v>
      </c>
      <c r="C35" s="123">
        <v>1</v>
      </c>
      <c r="D35" s="265"/>
      <c r="E35" s="259"/>
      <c r="F35" s="150"/>
      <c r="G35" s="150"/>
      <c r="H35" s="150"/>
    </row>
    <row r="36" spans="1:8" ht="20.25" customHeight="1">
      <c r="A36" s="116"/>
      <c r="B36" s="155" t="s">
        <v>878</v>
      </c>
      <c r="C36" s="123">
        <v>1</v>
      </c>
      <c r="D36" s="265"/>
      <c r="E36" s="259"/>
      <c r="F36" s="150"/>
      <c r="G36" s="150"/>
      <c r="H36" s="150"/>
    </row>
    <row r="37" spans="1:8" ht="20.25" customHeight="1">
      <c r="A37" s="116"/>
      <c r="B37" s="155" t="s">
        <v>879</v>
      </c>
      <c r="C37" s="123">
        <v>1</v>
      </c>
      <c r="D37" s="265"/>
      <c r="E37" s="259"/>
      <c r="F37" s="150"/>
      <c r="G37" s="150"/>
      <c r="H37" s="150"/>
    </row>
    <row r="38" spans="1:8" ht="20.25" customHeight="1">
      <c r="A38" s="116"/>
      <c r="B38" s="121" t="s">
        <v>880</v>
      </c>
      <c r="C38" s="123">
        <v>1</v>
      </c>
      <c r="D38" s="265"/>
      <c r="E38" s="259"/>
      <c r="F38" s="150"/>
      <c r="G38" s="150"/>
      <c r="H38" s="150"/>
    </row>
    <row r="39" spans="1:8" ht="20.25" customHeight="1">
      <c r="A39" s="116"/>
      <c r="B39" s="121" t="s">
        <v>546</v>
      </c>
      <c r="C39" s="123">
        <v>6</v>
      </c>
      <c r="D39" s="265"/>
      <c r="E39" s="259"/>
      <c r="F39" s="150"/>
      <c r="G39" s="150"/>
      <c r="H39" s="150"/>
    </row>
    <row r="40" spans="1:8" ht="20.25" customHeight="1">
      <c r="A40" s="116"/>
      <c r="B40" s="121" t="s">
        <v>788</v>
      </c>
      <c r="C40" s="123">
        <v>1</v>
      </c>
      <c r="D40" s="265"/>
      <c r="E40" s="259"/>
      <c r="F40" s="150"/>
      <c r="G40" s="150"/>
      <c r="H40" s="150"/>
    </row>
    <row r="41" spans="1:8" ht="20.25" customHeight="1">
      <c r="A41" s="116"/>
      <c r="B41" s="121" t="s">
        <v>881</v>
      </c>
      <c r="C41" s="123">
        <v>4</v>
      </c>
      <c r="D41" s="265"/>
      <c r="E41" s="259"/>
      <c r="F41" s="150"/>
      <c r="G41" s="150"/>
      <c r="H41" s="150"/>
    </row>
    <row r="42" spans="1:8" ht="20.25" customHeight="1">
      <c r="A42" s="116"/>
      <c r="B42" s="155" t="s">
        <v>882</v>
      </c>
      <c r="C42" s="123">
        <v>3</v>
      </c>
      <c r="D42" s="265"/>
      <c r="E42" s="259"/>
      <c r="F42" s="150"/>
      <c r="G42" s="150"/>
      <c r="H42" s="150"/>
    </row>
    <row r="43" spans="1:8" ht="20.25" customHeight="1">
      <c r="A43" s="116"/>
      <c r="B43" s="155" t="s">
        <v>883</v>
      </c>
      <c r="C43" s="123">
        <v>2</v>
      </c>
      <c r="D43" s="265"/>
      <c r="E43" s="259"/>
      <c r="F43" s="150"/>
      <c r="G43" s="150"/>
      <c r="H43" s="150"/>
    </row>
    <row r="44" spans="1:8" ht="20.25" customHeight="1">
      <c r="A44" s="116"/>
      <c r="B44" s="155" t="s">
        <v>884</v>
      </c>
      <c r="C44" s="123">
        <v>1</v>
      </c>
      <c r="D44" s="265"/>
      <c r="E44" s="259"/>
      <c r="F44" s="150"/>
      <c r="G44" s="150"/>
      <c r="H44" s="150"/>
    </row>
    <row r="45" spans="1:8" ht="20.25" customHeight="1">
      <c r="A45" s="116"/>
      <c r="B45" s="121" t="s">
        <v>792</v>
      </c>
      <c r="C45" s="123">
        <v>4</v>
      </c>
      <c r="D45" s="265"/>
      <c r="E45" s="259"/>
      <c r="F45" s="150"/>
      <c r="G45" s="150"/>
      <c r="H45" s="150"/>
    </row>
    <row r="46" spans="1:8" ht="20.25" customHeight="1">
      <c r="A46" s="116"/>
      <c r="B46" s="121" t="s">
        <v>548</v>
      </c>
      <c r="C46" s="123">
        <v>6</v>
      </c>
      <c r="D46" s="265"/>
      <c r="E46" s="259"/>
      <c r="F46" s="150"/>
      <c r="G46" s="150"/>
      <c r="H46" s="150"/>
    </row>
    <row r="47" spans="1:8" ht="20.25" customHeight="1">
      <c r="A47" s="116"/>
      <c r="B47" s="121" t="s">
        <v>531</v>
      </c>
      <c r="C47" s="123">
        <v>4</v>
      </c>
      <c r="D47" s="265"/>
      <c r="E47" s="259"/>
      <c r="F47" s="150"/>
      <c r="G47" s="150"/>
      <c r="H47" s="150"/>
    </row>
    <row r="48" spans="1:8" ht="20.25" customHeight="1">
      <c r="A48" s="116"/>
      <c r="B48" s="155" t="s">
        <v>547</v>
      </c>
      <c r="C48" s="123">
        <v>4</v>
      </c>
      <c r="D48" s="265"/>
      <c r="E48" s="259"/>
      <c r="F48" s="73"/>
      <c r="G48" s="150"/>
      <c r="H48" s="150"/>
    </row>
    <row r="49" spans="1:8" ht="20.25" customHeight="1">
      <c r="A49" s="116"/>
      <c r="B49" s="121" t="s">
        <v>312</v>
      </c>
      <c r="C49" s="123">
        <v>4</v>
      </c>
      <c r="D49" s="265"/>
      <c r="E49" s="259"/>
      <c r="F49" s="73"/>
      <c r="G49" s="150"/>
      <c r="H49" s="150"/>
    </row>
    <row r="50" spans="1:8" ht="20.25" customHeight="1">
      <c r="A50" s="116"/>
      <c r="B50" s="155" t="s">
        <v>885</v>
      </c>
      <c r="C50" s="123">
        <v>2</v>
      </c>
      <c r="D50" s="265"/>
      <c r="E50" s="259"/>
      <c r="F50" s="73"/>
      <c r="G50" s="150"/>
      <c r="H50" s="150"/>
    </row>
    <row r="51" spans="1:8" ht="20.25" customHeight="1">
      <c r="A51" s="116"/>
      <c r="B51" s="155" t="s">
        <v>886</v>
      </c>
      <c r="C51" s="123">
        <v>2</v>
      </c>
      <c r="D51" s="265"/>
      <c r="E51" s="259"/>
      <c r="F51" s="73"/>
      <c r="G51" s="150"/>
      <c r="H51" s="150"/>
    </row>
    <row r="52" spans="1:8" ht="20.25" customHeight="1">
      <c r="A52" s="116"/>
      <c r="B52" s="121" t="s">
        <v>785</v>
      </c>
      <c r="C52" s="123">
        <v>1</v>
      </c>
      <c r="D52" s="265"/>
      <c r="E52" s="259"/>
      <c r="F52" s="73"/>
      <c r="G52" s="150"/>
      <c r="H52" s="150"/>
    </row>
    <row r="53" spans="1:8" ht="20.25" customHeight="1">
      <c r="A53" s="116"/>
      <c r="B53" s="121" t="s">
        <v>887</v>
      </c>
      <c r="C53" s="123">
        <v>1</v>
      </c>
      <c r="D53" s="265"/>
      <c r="E53" s="259"/>
      <c r="F53" s="73"/>
      <c r="G53" s="150"/>
      <c r="H53" s="150"/>
    </row>
    <row r="54" spans="1:8" ht="20.25" customHeight="1">
      <c r="A54" s="116"/>
      <c r="B54" s="121" t="s">
        <v>888</v>
      </c>
      <c r="C54" s="123">
        <v>1</v>
      </c>
      <c r="D54" s="265"/>
      <c r="E54" s="259"/>
      <c r="F54" s="73"/>
      <c r="G54" s="150"/>
      <c r="H54" s="150"/>
    </row>
    <row r="55" spans="1:8" ht="20.25" customHeight="1">
      <c r="A55" s="116"/>
      <c r="B55" s="155" t="s">
        <v>889</v>
      </c>
      <c r="C55" s="123">
        <v>1</v>
      </c>
      <c r="D55" s="265"/>
      <c r="E55" s="259"/>
      <c r="F55" s="73"/>
      <c r="G55" s="150"/>
      <c r="H55" s="150"/>
    </row>
    <row r="56" spans="1:8" ht="20.25" customHeight="1">
      <c r="A56" s="116"/>
      <c r="B56" s="155" t="s">
        <v>890</v>
      </c>
      <c r="C56" s="123">
        <v>1</v>
      </c>
      <c r="D56" s="265"/>
      <c r="E56" s="259"/>
      <c r="F56" s="73"/>
      <c r="G56" s="150"/>
      <c r="H56" s="150"/>
    </row>
    <row r="57" spans="1:8" ht="20.25" customHeight="1">
      <c r="A57" s="116"/>
      <c r="B57" s="155" t="s">
        <v>891</v>
      </c>
      <c r="C57" s="123">
        <v>1</v>
      </c>
      <c r="D57" s="265"/>
      <c r="E57" s="259"/>
      <c r="F57" s="73"/>
      <c r="G57" s="150"/>
      <c r="H57" s="150"/>
    </row>
    <row r="58" spans="1:8" ht="20.25" customHeight="1">
      <c r="A58" s="116"/>
      <c r="B58" s="121" t="s">
        <v>892</v>
      </c>
      <c r="C58" s="123">
        <v>2</v>
      </c>
      <c r="D58" s="265"/>
      <c r="E58" s="259"/>
      <c r="F58" s="73"/>
      <c r="G58" s="150"/>
      <c r="H58" s="150"/>
    </row>
    <row r="59" spans="1:8" ht="20.25" customHeight="1">
      <c r="A59" s="116"/>
      <c r="B59" s="121" t="s">
        <v>893</v>
      </c>
      <c r="C59" s="123">
        <v>2</v>
      </c>
      <c r="D59" s="265"/>
      <c r="E59" s="259"/>
      <c r="F59" s="73"/>
      <c r="G59" s="150"/>
      <c r="H59" s="150"/>
    </row>
    <row r="60" spans="1:8" ht="20.25" customHeight="1">
      <c r="A60" s="116"/>
      <c r="B60" s="121" t="s">
        <v>894</v>
      </c>
      <c r="C60" s="123">
        <v>1</v>
      </c>
      <c r="D60" s="265"/>
      <c r="E60" s="259"/>
      <c r="F60" s="73"/>
      <c r="G60" s="150"/>
      <c r="H60" s="150"/>
    </row>
    <row r="61" spans="1:8" ht="20.25" customHeight="1">
      <c r="A61" s="116"/>
      <c r="B61" s="121" t="s">
        <v>895</v>
      </c>
      <c r="C61" s="123">
        <v>1</v>
      </c>
      <c r="D61" s="265"/>
      <c r="E61" s="259"/>
      <c r="F61" s="150"/>
      <c r="G61" s="150"/>
      <c r="H61" s="150"/>
    </row>
    <row r="62" spans="1:8" ht="20.25" customHeight="1">
      <c r="A62" s="116"/>
      <c r="B62" s="121" t="s">
        <v>863</v>
      </c>
      <c r="C62" s="123">
        <v>1</v>
      </c>
      <c r="D62" s="265"/>
      <c r="E62" s="259"/>
      <c r="F62" s="150"/>
      <c r="G62" s="150"/>
      <c r="H62" s="150"/>
    </row>
    <row r="63" spans="1:8" ht="20.25" customHeight="1">
      <c r="A63" s="116"/>
      <c r="B63" s="121" t="s">
        <v>750</v>
      </c>
      <c r="C63" s="123">
        <v>1</v>
      </c>
      <c r="D63" s="265"/>
      <c r="E63" s="259"/>
      <c r="F63" s="150"/>
      <c r="G63" s="150"/>
      <c r="H63" s="150"/>
    </row>
    <row r="64" spans="1:8" ht="20.25" customHeight="1">
      <c r="A64" s="116"/>
      <c r="B64" s="121" t="s">
        <v>864</v>
      </c>
      <c r="C64" s="123">
        <v>1</v>
      </c>
      <c r="D64" s="265"/>
      <c r="E64" s="259"/>
      <c r="F64" s="150"/>
      <c r="G64" s="150"/>
      <c r="H64" s="150"/>
    </row>
    <row r="65" spans="1:8" ht="20.25" customHeight="1">
      <c r="A65" s="116"/>
      <c r="B65" s="121" t="s">
        <v>896</v>
      </c>
      <c r="C65" s="123">
        <v>1</v>
      </c>
      <c r="D65" s="265"/>
      <c r="E65" s="259"/>
      <c r="F65" s="150"/>
      <c r="G65" s="150"/>
      <c r="H65" s="150"/>
    </row>
    <row r="66" spans="1:8" ht="20.25" customHeight="1">
      <c r="A66" s="116"/>
      <c r="B66" s="121" t="s">
        <v>897</v>
      </c>
      <c r="C66" s="123">
        <v>1</v>
      </c>
      <c r="D66" s="265"/>
      <c r="E66" s="259"/>
      <c r="F66" s="150"/>
      <c r="G66" s="150"/>
      <c r="H66" s="150"/>
    </row>
    <row r="67" spans="1:8" ht="20.25" customHeight="1">
      <c r="A67" s="116"/>
      <c r="B67" s="121" t="s">
        <v>898</v>
      </c>
      <c r="C67" s="123">
        <v>1</v>
      </c>
      <c r="D67" s="265"/>
      <c r="E67" s="259"/>
      <c r="F67" s="150"/>
      <c r="G67" s="150"/>
      <c r="H67" s="150"/>
    </row>
    <row r="68" spans="1:8" ht="20.25" customHeight="1">
      <c r="A68" s="116"/>
      <c r="B68" s="121" t="s">
        <v>540</v>
      </c>
      <c r="C68" s="123">
        <v>1</v>
      </c>
      <c r="D68" s="265"/>
      <c r="E68" s="259"/>
      <c r="F68" s="150"/>
      <c r="G68" s="150"/>
      <c r="H68" s="150"/>
    </row>
    <row r="69" spans="1:8" ht="20.25" customHeight="1">
      <c r="A69" s="116"/>
      <c r="B69" s="121" t="s">
        <v>899</v>
      </c>
      <c r="C69" s="123">
        <v>1</v>
      </c>
      <c r="D69" s="267"/>
      <c r="E69" s="261"/>
      <c r="F69" s="150"/>
      <c r="G69" s="150"/>
      <c r="H69" s="150"/>
    </row>
    <row r="70" spans="1:8" ht="20.25" customHeight="1">
      <c r="A70" s="116"/>
      <c r="B70" s="121" t="s">
        <v>900</v>
      </c>
      <c r="C70" s="123">
        <v>1</v>
      </c>
      <c r="D70" s="267"/>
      <c r="E70" s="261"/>
      <c r="F70" s="150"/>
      <c r="G70" s="150"/>
      <c r="H70" s="150"/>
    </row>
    <row r="71" spans="1:8" ht="20.25" customHeight="1">
      <c r="A71" s="116"/>
      <c r="B71" s="155" t="s">
        <v>900</v>
      </c>
      <c r="C71" s="123">
        <v>1</v>
      </c>
      <c r="D71" s="267"/>
      <c r="E71" s="261"/>
      <c r="F71" s="150"/>
      <c r="G71" s="150"/>
      <c r="H71" s="150"/>
    </row>
    <row r="72" spans="1:8" ht="20.25" customHeight="1">
      <c r="A72" s="116"/>
      <c r="B72" s="121" t="s">
        <v>778</v>
      </c>
      <c r="C72" s="123">
        <v>1</v>
      </c>
      <c r="D72" s="267"/>
      <c r="E72" s="261"/>
      <c r="F72" s="150"/>
      <c r="G72" s="150"/>
      <c r="H72" s="150"/>
    </row>
    <row r="73" spans="1:8" ht="20.25" customHeight="1">
      <c r="A73" s="116"/>
      <c r="B73" s="121" t="s">
        <v>554</v>
      </c>
      <c r="C73" s="123">
        <v>1</v>
      </c>
      <c r="D73" s="267"/>
      <c r="E73" s="261"/>
      <c r="F73" s="150"/>
      <c r="G73" s="150"/>
      <c r="H73" s="150"/>
    </row>
    <row r="74" spans="1:8" ht="20.25" customHeight="1">
      <c r="A74" s="116"/>
      <c r="B74" s="121" t="s">
        <v>780</v>
      </c>
      <c r="C74" s="123">
        <v>1</v>
      </c>
      <c r="D74" s="267"/>
      <c r="E74" s="261"/>
      <c r="F74" s="150"/>
      <c r="G74" s="150"/>
      <c r="H74" s="150"/>
    </row>
    <row r="75" spans="1:8" ht="20.25" customHeight="1">
      <c r="A75" s="116"/>
      <c r="B75" s="121" t="s">
        <v>801</v>
      </c>
      <c r="C75" s="123">
        <v>1</v>
      </c>
      <c r="D75" s="265"/>
      <c r="E75" s="259"/>
      <c r="F75" s="150"/>
      <c r="G75" s="150"/>
      <c r="H75" s="150"/>
    </row>
    <row r="76" spans="1:8" ht="20.25" customHeight="1">
      <c r="A76" s="116"/>
      <c r="B76" s="121" t="s">
        <v>901</v>
      </c>
      <c r="C76" s="123">
        <v>1</v>
      </c>
      <c r="D76" s="265"/>
      <c r="E76" s="259"/>
      <c r="F76" s="150"/>
      <c r="G76" s="150"/>
      <c r="H76" s="150"/>
    </row>
    <row r="77" spans="1:8" ht="20.25" customHeight="1">
      <c r="A77" s="116"/>
      <c r="B77" s="121" t="s">
        <v>902</v>
      </c>
      <c r="C77" s="123">
        <v>1</v>
      </c>
      <c r="D77" s="267"/>
      <c r="E77" s="259"/>
      <c r="F77" s="150"/>
      <c r="G77" s="150"/>
      <c r="H77" s="150"/>
    </row>
    <row r="78" spans="1:8" ht="20.25" customHeight="1">
      <c r="A78" s="116"/>
      <c r="B78" s="121" t="s">
        <v>903</v>
      </c>
      <c r="C78" s="123">
        <v>1</v>
      </c>
      <c r="D78" s="265"/>
      <c r="E78" s="259"/>
      <c r="F78" s="150"/>
      <c r="G78" s="150"/>
      <c r="H78" s="150"/>
    </row>
    <row r="79" spans="1:8" ht="20.25" customHeight="1">
      <c r="A79" s="116"/>
      <c r="B79" s="121" t="s">
        <v>904</v>
      </c>
      <c r="C79" s="123">
        <v>1</v>
      </c>
      <c r="D79" s="265"/>
      <c r="E79" s="259"/>
      <c r="F79" s="150"/>
      <c r="G79" s="150"/>
      <c r="H79" s="150"/>
    </row>
    <row r="80" spans="1:8" ht="20.25" customHeight="1">
      <c r="A80" s="116"/>
      <c r="B80" s="121" t="s">
        <v>905</v>
      </c>
      <c r="C80" s="123">
        <v>1</v>
      </c>
      <c r="D80" s="265"/>
      <c r="E80" s="259"/>
      <c r="F80" s="150"/>
      <c r="G80" s="150"/>
      <c r="H80" s="150"/>
    </row>
    <row r="81" spans="1:8" ht="20.25" customHeight="1">
      <c r="A81" s="116"/>
      <c r="B81" s="121" t="s">
        <v>906</v>
      </c>
      <c r="C81" s="123">
        <v>1</v>
      </c>
      <c r="D81" s="265"/>
      <c r="E81" s="259"/>
      <c r="F81" s="150"/>
      <c r="G81" s="150"/>
      <c r="H81" s="150"/>
    </row>
    <row r="82" spans="1:8" ht="20.25" customHeight="1">
      <c r="A82" s="116"/>
      <c r="B82" s="121" t="s">
        <v>903</v>
      </c>
      <c r="C82" s="123">
        <v>1</v>
      </c>
      <c r="D82" s="265"/>
      <c r="E82" s="259"/>
      <c r="F82" s="150"/>
      <c r="G82" s="150"/>
      <c r="H82" s="150"/>
    </row>
    <row r="83" spans="1:8" ht="20.25" customHeight="1">
      <c r="A83" s="116"/>
      <c r="B83" s="121" t="s">
        <v>907</v>
      </c>
      <c r="C83" s="123">
        <v>1</v>
      </c>
      <c r="D83" s="265"/>
      <c r="E83" s="259"/>
      <c r="F83" s="150"/>
      <c r="G83" s="150"/>
      <c r="H83" s="150"/>
    </row>
    <row r="84" spans="1:8" ht="20.25" customHeight="1">
      <c r="A84" s="116"/>
      <c r="B84" s="155" t="s">
        <v>908</v>
      </c>
      <c r="C84" s="123">
        <v>1</v>
      </c>
      <c r="D84" s="265"/>
      <c r="E84" s="259"/>
      <c r="F84" s="150"/>
      <c r="G84" s="150"/>
      <c r="H84" s="150"/>
    </row>
    <row r="85" spans="1:8" ht="20.25" customHeight="1">
      <c r="A85" s="116"/>
      <c r="B85" s="121" t="s">
        <v>298</v>
      </c>
      <c r="C85" s="123">
        <v>1</v>
      </c>
      <c r="D85" s="265"/>
      <c r="E85" s="259"/>
      <c r="F85" s="150"/>
      <c r="G85" s="150"/>
      <c r="H85" s="150"/>
    </row>
    <row r="86" spans="1:8" ht="20.25" customHeight="1">
      <c r="A86" s="116"/>
      <c r="B86" s="121" t="s">
        <v>909</v>
      </c>
      <c r="C86" s="123">
        <v>1</v>
      </c>
      <c r="D86" s="265"/>
      <c r="E86" s="259"/>
      <c r="F86" s="150"/>
      <c r="G86" s="150"/>
      <c r="H86" s="150"/>
    </row>
    <row r="87" spans="1:8" ht="20.25" customHeight="1">
      <c r="A87" s="116"/>
      <c r="B87" s="121" t="s">
        <v>910</v>
      </c>
      <c r="C87" s="123">
        <v>1</v>
      </c>
      <c r="D87" s="265"/>
      <c r="E87" s="259"/>
      <c r="F87" s="150"/>
      <c r="G87" s="150"/>
      <c r="H87" s="150"/>
    </row>
    <row r="88" spans="1:8" ht="20.25" customHeight="1">
      <c r="A88" s="116"/>
      <c r="B88" s="121" t="s">
        <v>911</v>
      </c>
      <c r="C88" s="123">
        <v>3</v>
      </c>
      <c r="D88" s="265"/>
      <c r="E88" s="259"/>
      <c r="F88" s="150"/>
      <c r="G88" s="150"/>
      <c r="H88" s="150"/>
    </row>
    <row r="89" spans="1:8" ht="20.25" customHeight="1">
      <c r="A89" s="116"/>
      <c r="B89" s="121" t="s">
        <v>912</v>
      </c>
      <c r="C89" s="123">
        <v>3</v>
      </c>
      <c r="D89" s="265"/>
      <c r="E89" s="259"/>
      <c r="F89" s="150"/>
      <c r="G89" s="150"/>
      <c r="H89" s="150"/>
    </row>
    <row r="90" spans="1:8" ht="20.25" customHeight="1">
      <c r="A90" s="116"/>
      <c r="B90" s="121" t="s">
        <v>913</v>
      </c>
      <c r="C90" s="123">
        <v>1</v>
      </c>
      <c r="D90" s="265"/>
      <c r="E90" s="259"/>
      <c r="F90" s="150"/>
      <c r="G90" s="150"/>
      <c r="H90" s="150"/>
    </row>
    <row r="91" spans="1:8" ht="20.25" customHeight="1">
      <c r="A91" s="116"/>
      <c r="B91" s="121" t="s">
        <v>914</v>
      </c>
      <c r="C91" s="123">
        <v>1</v>
      </c>
      <c r="D91" s="265"/>
      <c r="E91" s="259"/>
      <c r="F91" s="150"/>
      <c r="G91" s="150"/>
      <c r="H91" s="150"/>
    </row>
    <row r="92" spans="1:8" ht="20.25" customHeight="1">
      <c r="A92" s="116"/>
      <c r="B92" s="121" t="s">
        <v>915</v>
      </c>
      <c r="C92" s="123">
        <v>1</v>
      </c>
      <c r="D92" s="265"/>
      <c r="E92" s="259"/>
      <c r="F92" s="150"/>
      <c r="G92" s="150"/>
      <c r="H92" s="150"/>
    </row>
    <row r="93" spans="1:8" ht="20.25" customHeight="1">
      <c r="A93" s="116"/>
      <c r="B93" s="121" t="s">
        <v>916</v>
      </c>
      <c r="C93" s="123">
        <v>3</v>
      </c>
      <c r="D93" s="265"/>
      <c r="E93" s="259"/>
      <c r="F93" s="150"/>
      <c r="G93" s="150"/>
      <c r="H93" s="150"/>
    </row>
    <row r="94" spans="1:8" ht="20.25" customHeight="1">
      <c r="A94" s="116"/>
      <c r="B94" s="121" t="s">
        <v>917</v>
      </c>
      <c r="C94" s="123">
        <v>1</v>
      </c>
      <c r="D94" s="265"/>
      <c r="E94" s="259"/>
      <c r="F94" s="150"/>
      <c r="G94" s="150"/>
      <c r="H94" s="150"/>
    </row>
    <row r="95" spans="1:8" ht="20.25" customHeight="1">
      <c r="A95" s="116"/>
      <c r="B95" s="121" t="s">
        <v>918</v>
      </c>
      <c r="C95" s="123">
        <v>1</v>
      </c>
      <c r="D95" s="265"/>
      <c r="E95" s="259"/>
      <c r="F95" s="150"/>
      <c r="G95" s="150"/>
      <c r="H95" s="150"/>
    </row>
    <row r="96" spans="1:8" ht="20.25" customHeight="1">
      <c r="A96" s="116"/>
      <c r="B96" s="121" t="s">
        <v>523</v>
      </c>
      <c r="C96" s="123">
        <v>1</v>
      </c>
      <c r="D96" s="265"/>
      <c r="E96" s="259"/>
      <c r="F96" s="150"/>
      <c r="G96" s="150"/>
      <c r="H96" s="150"/>
    </row>
    <row r="97" spans="1:8" ht="20.25" customHeight="1">
      <c r="A97" s="116"/>
      <c r="B97" s="121" t="s">
        <v>482</v>
      </c>
      <c r="C97" s="123">
        <v>1</v>
      </c>
      <c r="D97" s="265"/>
      <c r="E97" s="259"/>
      <c r="F97" s="150"/>
      <c r="G97" s="150"/>
      <c r="H97" s="150"/>
    </row>
    <row r="98" spans="1:8" ht="20.25" customHeight="1">
      <c r="A98" s="116"/>
      <c r="B98" s="121" t="s">
        <v>828</v>
      </c>
      <c r="C98" s="123">
        <v>3</v>
      </c>
      <c r="D98" s="265"/>
      <c r="E98" s="259"/>
      <c r="F98" s="150"/>
      <c r="G98" s="150"/>
      <c r="H98" s="150"/>
    </row>
    <row r="99" spans="1:8" ht="20.25" customHeight="1">
      <c r="A99" s="116"/>
      <c r="B99" s="121" t="s">
        <v>783</v>
      </c>
      <c r="C99" s="123">
        <v>1</v>
      </c>
      <c r="D99" s="265"/>
      <c r="E99" s="259"/>
      <c r="F99" s="150"/>
      <c r="G99" s="150"/>
      <c r="H99" s="150"/>
    </row>
    <row r="100" spans="1:8" ht="20.25" customHeight="1">
      <c r="A100" s="117"/>
      <c r="B100" s="99" t="s">
        <v>146</v>
      </c>
      <c r="C100" s="128">
        <v>103</v>
      </c>
      <c r="D100" s="265"/>
      <c r="E100" s="259"/>
      <c r="F100" s="150"/>
      <c r="G100" s="150"/>
      <c r="H100" s="150"/>
    </row>
    <row r="101" spans="1:8" ht="20.25" customHeight="1">
      <c r="B101" s="73"/>
      <c r="D101" s="268"/>
      <c r="E101" s="262"/>
    </row>
    <row r="102" spans="1:8" ht="30" customHeight="1">
      <c r="A102" s="114" t="s">
        <v>867</v>
      </c>
      <c r="B102" s="114" t="s">
        <v>1417</v>
      </c>
      <c r="C102" s="114" t="s">
        <v>517</v>
      </c>
      <c r="D102" s="268"/>
      <c r="E102" s="262"/>
    </row>
    <row r="103" spans="1:8" ht="20.25" customHeight="1">
      <c r="A103" s="95" t="s">
        <v>1418</v>
      </c>
      <c r="B103" s="156" t="s">
        <v>1416</v>
      </c>
      <c r="C103" s="232" t="s">
        <v>1418</v>
      </c>
      <c r="D103" s="268"/>
      <c r="E103" s="262"/>
    </row>
    <row r="104" spans="1:8" ht="20.25" customHeight="1">
      <c r="B104" s="73"/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22"/>
  <sheetViews>
    <sheetView showGridLines="0" zoomScale="85" zoomScaleNormal="85" workbookViewId="0">
      <selection activeCell="B160" sqref="B160"/>
    </sheetView>
  </sheetViews>
  <sheetFormatPr defaultColWidth="8" defaultRowHeight="16.5" customHeight="1"/>
  <cols>
    <col min="1" max="1" width="20.140625" style="129" bestFit="1" customWidth="1"/>
    <col min="2" max="2" width="49.7109375" style="129" customWidth="1"/>
    <col min="3" max="3" width="8" style="122" customWidth="1"/>
    <col min="4" max="4" width="11" style="278" customWidth="1"/>
    <col min="5" max="5" width="12.42578125" style="129" bestFit="1" customWidth="1"/>
    <col min="6" max="13" width="8" style="129" customWidth="1"/>
    <col min="14" max="16384" width="8" style="129"/>
  </cols>
  <sheetData>
    <row r="1" spans="1:12" ht="16.5" customHeight="1">
      <c r="A1" s="114" t="s">
        <v>919</v>
      </c>
      <c r="B1" s="114" t="s">
        <v>920</v>
      </c>
      <c r="C1" s="114"/>
      <c r="D1" s="240" t="s">
        <v>1421</v>
      </c>
      <c r="E1" s="236" t="s">
        <v>1422</v>
      </c>
      <c r="F1" s="73"/>
      <c r="G1" s="73"/>
      <c r="H1" s="73"/>
      <c r="I1" s="73"/>
      <c r="J1" s="73"/>
      <c r="K1" s="73"/>
      <c r="L1" s="73"/>
    </row>
    <row r="2" spans="1:12" ht="16.5" customHeight="1">
      <c r="A2" s="130"/>
      <c r="B2" s="96" t="s">
        <v>921</v>
      </c>
      <c r="C2" s="233">
        <v>2</v>
      </c>
      <c r="D2" s="275"/>
      <c r="E2" s="272"/>
    </row>
    <row r="3" spans="1:12" ht="16.5" customHeight="1">
      <c r="A3" s="130"/>
      <c r="B3" s="96" t="s">
        <v>1415</v>
      </c>
      <c r="C3" s="233">
        <v>2</v>
      </c>
      <c r="D3" s="266"/>
      <c r="E3" s="260"/>
      <c r="F3" s="73"/>
      <c r="G3" s="73"/>
      <c r="H3" s="73"/>
      <c r="I3" s="73"/>
      <c r="J3" s="73"/>
      <c r="K3" s="73"/>
      <c r="L3" s="73"/>
    </row>
    <row r="4" spans="1:12" ht="16.5" customHeight="1">
      <c r="A4" s="130"/>
      <c r="B4" s="96" t="s">
        <v>922</v>
      </c>
      <c r="C4" s="233">
        <v>2</v>
      </c>
      <c r="D4" s="275"/>
      <c r="E4" s="272"/>
    </row>
    <row r="5" spans="1:12" ht="16.5" customHeight="1">
      <c r="A5" s="130"/>
      <c r="B5" s="96" t="s">
        <v>923</v>
      </c>
      <c r="C5" s="233">
        <v>2</v>
      </c>
      <c r="D5" s="276"/>
      <c r="E5" s="273"/>
      <c r="F5" s="131"/>
      <c r="G5" s="131"/>
      <c r="H5" s="131"/>
      <c r="I5" s="131"/>
      <c r="J5" s="131"/>
      <c r="K5" s="131"/>
    </row>
    <row r="6" spans="1:12" ht="16.5" customHeight="1">
      <c r="A6" s="130"/>
      <c r="B6" s="96" t="s">
        <v>924</v>
      </c>
      <c r="C6" s="233">
        <v>1</v>
      </c>
      <c r="D6" s="276"/>
      <c r="E6" s="273"/>
      <c r="F6" s="131"/>
      <c r="G6" s="131"/>
      <c r="H6" s="131"/>
      <c r="I6" s="131"/>
      <c r="J6" s="131"/>
      <c r="K6" s="131"/>
    </row>
    <row r="7" spans="1:12" ht="16.5" customHeight="1">
      <c r="A7" s="130"/>
      <c r="B7" s="96" t="s">
        <v>925</v>
      </c>
      <c r="C7" s="233">
        <v>1</v>
      </c>
      <c r="D7" s="276"/>
      <c r="E7" s="273"/>
      <c r="F7" s="131"/>
      <c r="G7" s="131"/>
      <c r="H7" s="131"/>
      <c r="I7" s="131"/>
      <c r="J7" s="131"/>
      <c r="K7" s="131"/>
    </row>
    <row r="8" spans="1:12" ht="16.5" customHeight="1">
      <c r="A8" s="130"/>
      <c r="B8" s="96" t="s">
        <v>926</v>
      </c>
      <c r="C8" s="233">
        <v>1</v>
      </c>
      <c r="D8" s="276"/>
      <c r="E8" s="273"/>
      <c r="F8" s="131"/>
      <c r="G8" s="131"/>
      <c r="H8" s="131"/>
      <c r="I8" s="131"/>
      <c r="J8" s="131"/>
      <c r="K8" s="131"/>
    </row>
    <row r="9" spans="1:12" ht="16.5" customHeight="1">
      <c r="A9" s="130"/>
      <c r="B9" s="96" t="s">
        <v>927</v>
      </c>
      <c r="C9" s="233">
        <v>4</v>
      </c>
      <c r="D9" s="276"/>
      <c r="E9" s="273"/>
      <c r="F9" s="131"/>
      <c r="G9" s="131"/>
      <c r="H9" s="131"/>
      <c r="I9" s="131"/>
      <c r="J9" s="131"/>
      <c r="K9" s="131"/>
    </row>
    <row r="10" spans="1:12" ht="16.5" customHeight="1">
      <c r="A10" s="130"/>
      <c r="B10" s="96" t="s">
        <v>928</v>
      </c>
      <c r="C10" s="233">
        <v>6</v>
      </c>
      <c r="D10" s="276"/>
      <c r="E10" s="273"/>
      <c r="F10" s="131"/>
      <c r="G10" s="131"/>
      <c r="H10" s="131"/>
      <c r="I10" s="131"/>
      <c r="J10" s="131"/>
      <c r="K10" s="131"/>
    </row>
    <row r="11" spans="1:12" ht="16.5" customHeight="1">
      <c r="A11" s="130"/>
      <c r="B11" s="96" t="s">
        <v>929</v>
      </c>
      <c r="C11" s="233">
        <v>2</v>
      </c>
      <c r="D11" s="276"/>
      <c r="E11" s="273"/>
      <c r="F11" s="131"/>
      <c r="G11" s="131"/>
      <c r="H11" s="131"/>
      <c r="I11" s="131"/>
      <c r="J11" s="131"/>
      <c r="K11" s="131"/>
    </row>
    <row r="12" spans="1:12" ht="16.5" customHeight="1">
      <c r="A12" s="130"/>
      <c r="B12" s="96" t="s">
        <v>759</v>
      </c>
      <c r="C12" s="233">
        <v>1</v>
      </c>
      <c r="D12" s="276"/>
      <c r="E12" s="273"/>
      <c r="F12" s="131"/>
      <c r="G12" s="131"/>
      <c r="H12" s="131"/>
      <c r="I12" s="131"/>
      <c r="J12" s="131"/>
      <c r="K12" s="131"/>
    </row>
    <row r="13" spans="1:12" ht="16.5" customHeight="1">
      <c r="A13" s="130"/>
      <c r="B13" s="96" t="s">
        <v>930</v>
      </c>
      <c r="C13" s="233">
        <v>2</v>
      </c>
      <c r="D13" s="276"/>
      <c r="E13" s="273"/>
      <c r="F13" s="131"/>
      <c r="G13" s="131"/>
      <c r="H13" s="131"/>
      <c r="I13" s="131"/>
      <c r="J13" s="131"/>
      <c r="K13" s="131"/>
    </row>
    <row r="14" spans="1:12" ht="16.5" customHeight="1">
      <c r="A14" s="132"/>
      <c r="B14" s="96" t="s">
        <v>931</v>
      </c>
      <c r="C14" s="233">
        <v>2</v>
      </c>
      <c r="D14" s="276"/>
      <c r="E14" s="273"/>
      <c r="F14" s="131"/>
      <c r="G14" s="131"/>
      <c r="H14" s="131"/>
      <c r="I14" s="131"/>
      <c r="J14" s="131"/>
      <c r="K14" s="131"/>
    </row>
    <row r="15" spans="1:12" ht="16.5" customHeight="1">
      <c r="A15" s="132"/>
      <c r="B15" s="96" t="s">
        <v>932</v>
      </c>
      <c r="C15" s="233">
        <v>3</v>
      </c>
      <c r="D15" s="276"/>
      <c r="E15" s="273"/>
      <c r="F15" s="131"/>
      <c r="G15" s="131"/>
      <c r="H15" s="131"/>
      <c r="I15" s="131"/>
      <c r="J15" s="131"/>
      <c r="K15" s="131"/>
    </row>
    <row r="16" spans="1:12" ht="16.5" customHeight="1">
      <c r="A16" s="132"/>
      <c r="B16" s="96" t="s">
        <v>933</v>
      </c>
      <c r="C16" s="233">
        <v>2</v>
      </c>
      <c r="D16" s="276"/>
      <c r="E16" s="273"/>
      <c r="F16" s="131"/>
      <c r="G16" s="131"/>
      <c r="H16" s="131"/>
      <c r="I16" s="131"/>
      <c r="J16" s="131"/>
      <c r="K16" s="131"/>
    </row>
    <row r="17" spans="1:11" ht="16.5" customHeight="1">
      <c r="A17" s="132"/>
      <c r="B17" s="96" t="s">
        <v>934</v>
      </c>
      <c r="C17" s="233">
        <v>4</v>
      </c>
      <c r="D17" s="276"/>
      <c r="E17" s="273"/>
      <c r="F17" s="131"/>
      <c r="G17" s="131"/>
      <c r="H17" s="131"/>
      <c r="I17" s="131"/>
      <c r="J17" s="131"/>
      <c r="K17" s="131"/>
    </row>
    <row r="18" spans="1:11" ht="16.5" customHeight="1">
      <c r="A18" s="132"/>
      <c r="B18" s="96" t="s">
        <v>935</v>
      </c>
      <c r="C18" s="233">
        <v>8</v>
      </c>
      <c r="D18" s="276"/>
      <c r="E18" s="273"/>
      <c r="F18" s="131"/>
      <c r="G18" s="131"/>
      <c r="H18" s="131"/>
      <c r="I18" s="131"/>
      <c r="J18" s="131"/>
      <c r="K18" s="131"/>
    </row>
    <row r="19" spans="1:11" ht="16.5" customHeight="1">
      <c r="A19" s="132"/>
      <c r="B19" s="96" t="s">
        <v>936</v>
      </c>
      <c r="C19" s="233">
        <v>4</v>
      </c>
      <c r="D19" s="276"/>
      <c r="E19" s="273"/>
      <c r="F19" s="131"/>
      <c r="G19" s="131"/>
      <c r="H19" s="131"/>
      <c r="I19" s="131"/>
      <c r="J19" s="131"/>
      <c r="K19" s="131"/>
    </row>
    <row r="20" spans="1:11" ht="16.5" customHeight="1">
      <c r="A20" s="132"/>
      <c r="B20" s="96" t="s">
        <v>937</v>
      </c>
      <c r="C20" s="233">
        <v>4</v>
      </c>
      <c r="D20" s="276"/>
      <c r="E20" s="273"/>
      <c r="F20" s="131"/>
      <c r="G20" s="131"/>
      <c r="H20" s="131"/>
      <c r="I20" s="131"/>
      <c r="J20" s="131"/>
      <c r="K20" s="131"/>
    </row>
    <row r="21" spans="1:11" ht="16.5" customHeight="1">
      <c r="A21" s="132"/>
      <c r="B21" s="96" t="s">
        <v>938</v>
      </c>
      <c r="C21" s="233">
        <v>2</v>
      </c>
      <c r="D21" s="276"/>
      <c r="E21" s="273"/>
      <c r="F21" s="131"/>
      <c r="G21" s="131"/>
      <c r="H21" s="131"/>
      <c r="I21" s="131"/>
      <c r="J21" s="131"/>
      <c r="K21" s="131"/>
    </row>
    <row r="22" spans="1:11" ht="16.5" customHeight="1">
      <c r="A22" s="132"/>
      <c r="B22" s="96" t="s">
        <v>939</v>
      </c>
      <c r="C22" s="233">
        <v>2</v>
      </c>
      <c r="D22" s="276"/>
      <c r="E22" s="273"/>
      <c r="F22" s="131"/>
      <c r="G22" s="131"/>
      <c r="H22" s="131"/>
      <c r="I22" s="131"/>
      <c r="J22" s="131"/>
      <c r="K22" s="131"/>
    </row>
    <row r="23" spans="1:11" ht="16.5" customHeight="1">
      <c r="A23" s="132"/>
      <c r="B23" s="96" t="s">
        <v>940</v>
      </c>
      <c r="C23" s="233">
        <v>2</v>
      </c>
      <c r="D23" s="276"/>
      <c r="E23" s="273"/>
      <c r="F23" s="131"/>
      <c r="G23" s="131"/>
      <c r="H23" s="131"/>
      <c r="I23" s="131"/>
      <c r="J23" s="131"/>
      <c r="K23" s="131"/>
    </row>
    <row r="24" spans="1:11" ht="16.5" customHeight="1">
      <c r="A24" s="132"/>
      <c r="B24" s="96" t="s">
        <v>941</v>
      </c>
      <c r="C24" s="233">
        <v>4</v>
      </c>
      <c r="D24" s="276"/>
      <c r="E24" s="273"/>
      <c r="F24" s="131"/>
      <c r="G24" s="131"/>
      <c r="H24" s="131"/>
      <c r="I24" s="131"/>
      <c r="J24" s="131"/>
      <c r="K24" s="131"/>
    </row>
    <row r="25" spans="1:11" ht="16.5" customHeight="1">
      <c r="A25" s="132"/>
      <c r="B25" s="96" t="s">
        <v>942</v>
      </c>
      <c r="C25" s="233">
        <v>1</v>
      </c>
      <c r="D25" s="276"/>
      <c r="E25" s="273"/>
      <c r="F25" s="131"/>
      <c r="G25" s="131"/>
      <c r="H25" s="131"/>
      <c r="I25" s="131"/>
      <c r="J25" s="131"/>
      <c r="K25" s="131"/>
    </row>
    <row r="26" spans="1:11" ht="16.5" customHeight="1">
      <c r="A26" s="132"/>
      <c r="B26" s="96" t="s">
        <v>943</v>
      </c>
      <c r="C26" s="233">
        <v>1</v>
      </c>
      <c r="D26" s="276"/>
      <c r="E26" s="273"/>
      <c r="F26" s="131"/>
      <c r="G26" s="131"/>
      <c r="H26" s="131"/>
      <c r="I26" s="131"/>
      <c r="J26" s="131"/>
      <c r="K26" s="131"/>
    </row>
    <row r="27" spans="1:11" ht="16.5" customHeight="1">
      <c r="A27" s="132"/>
      <c r="B27" s="96" t="s">
        <v>553</v>
      </c>
      <c r="C27" s="233">
        <v>1</v>
      </c>
      <c r="D27" s="276"/>
      <c r="E27" s="273"/>
      <c r="F27" s="131"/>
      <c r="G27" s="131"/>
      <c r="H27" s="131"/>
      <c r="I27" s="131"/>
      <c r="J27" s="131"/>
      <c r="K27" s="131"/>
    </row>
    <row r="28" spans="1:11" ht="16.5" customHeight="1">
      <c r="A28" s="132"/>
      <c r="B28" s="96" t="s">
        <v>944</v>
      </c>
      <c r="C28" s="233">
        <v>1</v>
      </c>
      <c r="D28" s="276"/>
      <c r="E28" s="273"/>
      <c r="F28" s="131"/>
      <c r="G28" s="131"/>
      <c r="H28" s="131"/>
      <c r="I28" s="131"/>
      <c r="J28" s="131"/>
      <c r="K28" s="131"/>
    </row>
    <row r="29" spans="1:11" ht="16.5" customHeight="1">
      <c r="A29" s="132"/>
      <c r="B29" s="96" t="s">
        <v>945</v>
      </c>
      <c r="C29" s="233">
        <v>1</v>
      </c>
      <c r="D29" s="276"/>
      <c r="E29" s="273"/>
      <c r="F29" s="131"/>
      <c r="G29" s="131"/>
      <c r="H29" s="131"/>
      <c r="I29" s="131"/>
      <c r="J29" s="131"/>
      <c r="K29" s="131"/>
    </row>
    <row r="30" spans="1:11" ht="16.5" customHeight="1">
      <c r="A30" s="132"/>
      <c r="B30" s="96" t="s">
        <v>946</v>
      </c>
      <c r="C30" s="233">
        <v>1</v>
      </c>
      <c r="D30" s="276"/>
      <c r="E30" s="273"/>
      <c r="F30" s="131"/>
      <c r="G30" s="131"/>
      <c r="H30" s="131"/>
      <c r="I30" s="131"/>
      <c r="J30" s="131"/>
      <c r="K30" s="131"/>
    </row>
    <row r="31" spans="1:11" ht="16.5" customHeight="1">
      <c r="A31" s="132"/>
      <c r="B31" s="96" t="s">
        <v>947</v>
      </c>
      <c r="C31" s="233">
        <v>1</v>
      </c>
      <c r="D31" s="276"/>
      <c r="E31" s="273"/>
      <c r="F31" s="131"/>
      <c r="G31" s="131"/>
      <c r="H31" s="131"/>
      <c r="I31" s="131"/>
      <c r="J31" s="131"/>
      <c r="K31" s="131"/>
    </row>
    <row r="32" spans="1:11" ht="16.5" customHeight="1">
      <c r="A32" s="132"/>
      <c r="B32" s="96" t="s">
        <v>948</v>
      </c>
      <c r="C32" s="233">
        <v>1</v>
      </c>
      <c r="D32" s="276"/>
      <c r="E32" s="273"/>
      <c r="F32" s="131"/>
      <c r="G32" s="131"/>
      <c r="H32" s="131"/>
      <c r="I32" s="131"/>
      <c r="J32" s="131"/>
      <c r="K32" s="131"/>
    </row>
    <row r="33" spans="1:11" ht="16.5" customHeight="1">
      <c r="A33" s="132"/>
      <c r="B33" s="126" t="s">
        <v>949</v>
      </c>
      <c r="C33" s="233">
        <v>1</v>
      </c>
      <c r="D33" s="276"/>
      <c r="E33" s="273"/>
      <c r="F33" s="131"/>
      <c r="G33" s="131"/>
      <c r="H33" s="131"/>
      <c r="I33" s="131"/>
      <c r="J33" s="131"/>
      <c r="K33" s="131"/>
    </row>
    <row r="34" spans="1:11" ht="16.5" customHeight="1">
      <c r="A34" s="132"/>
      <c r="B34" s="96" t="s">
        <v>950</v>
      </c>
      <c r="C34" s="233">
        <v>1</v>
      </c>
      <c r="D34" s="276"/>
      <c r="E34" s="273"/>
      <c r="F34" s="131"/>
      <c r="G34" s="131"/>
      <c r="H34" s="131"/>
      <c r="I34" s="131"/>
      <c r="J34" s="131"/>
      <c r="K34" s="131"/>
    </row>
    <row r="35" spans="1:11" ht="16.5" customHeight="1">
      <c r="A35" s="132"/>
      <c r="B35" s="96" t="s">
        <v>297</v>
      </c>
      <c r="C35" s="233">
        <v>1</v>
      </c>
      <c r="D35" s="276"/>
      <c r="E35" s="273"/>
      <c r="F35" s="131"/>
      <c r="G35" s="131"/>
      <c r="H35" s="131"/>
      <c r="I35" s="131"/>
      <c r="J35" s="131"/>
      <c r="K35" s="131"/>
    </row>
    <row r="36" spans="1:11" ht="16.5" customHeight="1">
      <c r="A36" s="132"/>
      <c r="B36" s="96" t="s">
        <v>298</v>
      </c>
      <c r="C36" s="233">
        <v>1</v>
      </c>
      <c r="D36" s="276"/>
      <c r="E36" s="273"/>
      <c r="F36" s="131"/>
      <c r="G36" s="131"/>
      <c r="H36" s="131"/>
      <c r="I36" s="131"/>
      <c r="J36" s="131"/>
      <c r="K36" s="131"/>
    </row>
    <row r="37" spans="1:11" ht="16.5" customHeight="1">
      <c r="A37" s="132"/>
      <c r="B37" s="96" t="s">
        <v>951</v>
      </c>
      <c r="C37" s="233">
        <v>1</v>
      </c>
      <c r="D37" s="276"/>
      <c r="E37" s="273"/>
      <c r="F37" s="131"/>
      <c r="G37" s="131"/>
      <c r="H37" s="131"/>
      <c r="I37" s="131"/>
      <c r="J37" s="131"/>
      <c r="K37" s="131"/>
    </row>
    <row r="38" spans="1:11" ht="16.5" customHeight="1">
      <c r="A38" s="132"/>
      <c r="B38" s="127" t="s">
        <v>952</v>
      </c>
      <c r="C38" s="233">
        <v>3</v>
      </c>
      <c r="D38" s="276"/>
      <c r="E38" s="273"/>
      <c r="F38" s="131"/>
      <c r="G38" s="131"/>
      <c r="H38" s="131"/>
      <c r="I38" s="131"/>
      <c r="J38" s="131"/>
      <c r="K38" s="131"/>
    </row>
    <row r="39" spans="1:11" ht="16.5" customHeight="1">
      <c r="A39" s="132"/>
      <c r="B39" s="126" t="s">
        <v>953</v>
      </c>
      <c r="C39" s="233">
        <v>1</v>
      </c>
      <c r="D39" s="277"/>
      <c r="E39" s="274"/>
      <c r="F39" s="131"/>
      <c r="G39" s="131"/>
      <c r="H39" s="131"/>
      <c r="I39" s="131"/>
      <c r="J39" s="131"/>
      <c r="K39" s="131"/>
    </row>
    <row r="40" spans="1:11" ht="16.5" customHeight="1">
      <c r="A40" s="132"/>
      <c r="B40" s="96" t="s">
        <v>954</v>
      </c>
      <c r="C40" s="233">
        <v>1</v>
      </c>
      <c r="D40" s="276"/>
      <c r="E40" s="273"/>
      <c r="F40" s="131"/>
      <c r="G40" s="131"/>
      <c r="H40" s="131"/>
      <c r="I40" s="131"/>
      <c r="J40" s="131"/>
      <c r="K40" s="131"/>
    </row>
    <row r="41" spans="1:11" ht="16.5" customHeight="1">
      <c r="A41" s="132"/>
      <c r="B41" s="126" t="s">
        <v>955</v>
      </c>
      <c r="C41" s="233">
        <v>1</v>
      </c>
      <c r="D41" s="277"/>
      <c r="E41" s="274"/>
      <c r="F41" s="131"/>
      <c r="G41" s="131"/>
      <c r="H41" s="131"/>
      <c r="I41" s="131"/>
      <c r="J41" s="131"/>
      <c r="K41" s="131"/>
    </row>
    <row r="42" spans="1:11" ht="16.5" customHeight="1">
      <c r="A42" s="132"/>
      <c r="B42" s="96" t="s">
        <v>956</v>
      </c>
      <c r="C42" s="233">
        <v>1</v>
      </c>
      <c r="D42" s="276"/>
      <c r="E42" s="273"/>
      <c r="F42" s="131"/>
      <c r="G42" s="131"/>
      <c r="H42" s="131"/>
      <c r="I42" s="131"/>
      <c r="J42" s="131"/>
      <c r="K42" s="131"/>
    </row>
    <row r="43" spans="1:11" ht="16.5" customHeight="1">
      <c r="A43" s="132"/>
      <c r="B43" s="96" t="s">
        <v>957</v>
      </c>
      <c r="C43" s="233">
        <v>2</v>
      </c>
      <c r="D43" s="276"/>
      <c r="E43" s="273"/>
      <c r="F43" s="131"/>
      <c r="G43" s="131"/>
      <c r="H43" s="131"/>
      <c r="I43" s="131"/>
      <c r="J43" s="131"/>
      <c r="K43" s="131"/>
    </row>
    <row r="44" spans="1:11" ht="16.5" customHeight="1">
      <c r="A44" s="132"/>
      <c r="B44" s="96" t="s">
        <v>958</v>
      </c>
      <c r="C44" s="233">
        <v>2</v>
      </c>
      <c r="D44" s="276"/>
      <c r="E44" s="273"/>
      <c r="F44" s="131"/>
      <c r="G44" s="131"/>
      <c r="H44" s="131"/>
      <c r="I44" s="131"/>
      <c r="J44" s="131"/>
      <c r="K44" s="131"/>
    </row>
    <row r="45" spans="1:11" ht="16.5" customHeight="1">
      <c r="A45" s="132"/>
      <c r="B45" s="96" t="s">
        <v>959</v>
      </c>
      <c r="C45" s="233">
        <v>1</v>
      </c>
      <c r="D45" s="276"/>
      <c r="E45" s="273"/>
      <c r="F45" s="131"/>
      <c r="G45" s="131"/>
      <c r="H45" s="131"/>
      <c r="I45" s="131"/>
      <c r="J45" s="131"/>
      <c r="K45" s="131"/>
    </row>
    <row r="46" spans="1:11" ht="16.5" customHeight="1">
      <c r="A46" s="130"/>
      <c r="B46" s="96" t="s">
        <v>960</v>
      </c>
      <c r="C46" s="233">
        <v>1</v>
      </c>
      <c r="D46" s="276"/>
      <c r="E46" s="273"/>
      <c r="F46" s="131"/>
      <c r="G46" s="131"/>
      <c r="H46" s="131"/>
      <c r="I46" s="131"/>
      <c r="J46" s="131"/>
      <c r="K46" s="131"/>
    </row>
    <row r="47" spans="1:11" ht="16.5" customHeight="1">
      <c r="A47" s="130"/>
      <c r="B47" s="96" t="s">
        <v>961</v>
      </c>
      <c r="C47" s="233">
        <v>1</v>
      </c>
      <c r="D47" s="276"/>
      <c r="E47" s="273"/>
      <c r="F47" s="131"/>
      <c r="G47" s="131"/>
      <c r="H47" s="131"/>
      <c r="I47" s="131"/>
      <c r="J47" s="131"/>
      <c r="K47" s="131"/>
    </row>
    <row r="48" spans="1:11" ht="16.5" customHeight="1">
      <c r="A48" s="130"/>
      <c r="B48" s="96" t="s">
        <v>962</v>
      </c>
      <c r="C48" s="233">
        <v>1</v>
      </c>
      <c r="D48" s="276"/>
      <c r="E48" s="273"/>
      <c r="F48" s="131"/>
      <c r="G48" s="131"/>
      <c r="H48" s="131"/>
      <c r="I48" s="131"/>
      <c r="J48" s="131"/>
      <c r="K48" s="131"/>
    </row>
    <row r="49" spans="1:11" ht="16.5" customHeight="1">
      <c r="A49" s="130"/>
      <c r="B49" s="96" t="s">
        <v>963</v>
      </c>
      <c r="C49" s="233">
        <v>2</v>
      </c>
      <c r="D49" s="276"/>
      <c r="E49" s="273"/>
      <c r="F49" s="131"/>
      <c r="G49" s="131"/>
      <c r="H49" s="131"/>
      <c r="I49" s="131"/>
      <c r="J49" s="131"/>
      <c r="K49" s="131"/>
    </row>
    <row r="50" spans="1:11" ht="16.5" customHeight="1">
      <c r="A50" s="130"/>
      <c r="B50" s="96" t="s">
        <v>964</v>
      </c>
      <c r="C50" s="233">
        <v>2</v>
      </c>
      <c r="D50" s="276"/>
      <c r="E50" s="273"/>
      <c r="F50" s="131"/>
      <c r="G50" s="131"/>
      <c r="H50" s="131"/>
      <c r="I50" s="131"/>
      <c r="J50" s="131"/>
      <c r="K50" s="131"/>
    </row>
    <row r="51" spans="1:11" ht="16.5" customHeight="1">
      <c r="A51" s="130"/>
      <c r="B51" s="126" t="s">
        <v>965</v>
      </c>
      <c r="C51" s="233">
        <v>1</v>
      </c>
      <c r="D51" s="277"/>
      <c r="E51" s="274"/>
      <c r="F51" s="97"/>
      <c r="G51" s="97"/>
      <c r="H51" s="97"/>
      <c r="I51" s="131"/>
      <c r="J51" s="131"/>
      <c r="K51" s="131"/>
    </row>
    <row r="52" spans="1:11" ht="16.5" customHeight="1">
      <c r="A52" s="130"/>
      <c r="B52" s="96" t="s">
        <v>878</v>
      </c>
      <c r="C52" s="233">
        <v>1</v>
      </c>
      <c r="D52" s="276"/>
      <c r="E52" s="273"/>
      <c r="F52" s="131"/>
      <c r="G52" s="131"/>
      <c r="H52" s="131"/>
      <c r="I52" s="131"/>
      <c r="J52" s="131"/>
      <c r="K52" s="131"/>
    </row>
    <row r="53" spans="1:11" ht="16.5" customHeight="1">
      <c r="A53" s="130"/>
      <c r="B53" s="96" t="s">
        <v>966</v>
      </c>
      <c r="C53" s="233">
        <v>1</v>
      </c>
      <c r="D53" s="276"/>
      <c r="E53" s="273"/>
      <c r="F53" s="131"/>
      <c r="G53" s="131"/>
      <c r="H53" s="131"/>
      <c r="I53" s="131"/>
      <c r="J53" s="131"/>
      <c r="K53" s="131"/>
    </row>
    <row r="54" spans="1:11" ht="16.5" customHeight="1">
      <c r="A54" s="130"/>
      <c r="B54" s="96" t="s">
        <v>967</v>
      </c>
      <c r="C54" s="233">
        <v>2</v>
      </c>
      <c r="D54" s="276"/>
      <c r="E54" s="273"/>
      <c r="F54" s="131"/>
      <c r="G54" s="131"/>
      <c r="H54" s="131"/>
      <c r="I54" s="131"/>
      <c r="J54" s="131"/>
      <c r="K54" s="131"/>
    </row>
    <row r="55" spans="1:11" ht="16.5" customHeight="1">
      <c r="A55" s="130"/>
      <c r="B55" s="96" t="s">
        <v>323</v>
      </c>
      <c r="C55" s="233">
        <v>1</v>
      </c>
      <c r="D55" s="276"/>
      <c r="E55" s="273"/>
      <c r="F55" s="131"/>
      <c r="G55" s="131"/>
      <c r="H55" s="131"/>
      <c r="I55" s="131"/>
      <c r="J55" s="131"/>
      <c r="K55" s="131"/>
    </row>
    <row r="56" spans="1:11" ht="16.5" customHeight="1">
      <c r="A56" s="130"/>
      <c r="B56" s="96" t="s">
        <v>968</v>
      </c>
      <c r="C56" s="233">
        <v>1</v>
      </c>
      <c r="D56" s="276"/>
      <c r="E56" s="273"/>
      <c r="F56" s="131"/>
      <c r="G56" s="131"/>
      <c r="H56" s="131"/>
      <c r="I56" s="131"/>
      <c r="J56" s="131"/>
      <c r="K56" s="131"/>
    </row>
    <row r="57" spans="1:11" ht="16.5" customHeight="1">
      <c r="A57" s="130"/>
      <c r="B57" s="96" t="s">
        <v>969</v>
      </c>
      <c r="C57" s="233">
        <v>2</v>
      </c>
      <c r="D57" s="276"/>
      <c r="E57" s="273"/>
      <c r="F57" s="131"/>
      <c r="G57" s="131"/>
      <c r="H57" s="131"/>
      <c r="I57" s="131"/>
      <c r="J57" s="131"/>
      <c r="K57" s="131"/>
    </row>
    <row r="58" spans="1:11" ht="16.5" customHeight="1">
      <c r="A58" s="130"/>
      <c r="B58" s="96" t="s">
        <v>970</v>
      </c>
      <c r="C58" s="233">
        <v>1</v>
      </c>
      <c r="D58" s="276"/>
      <c r="E58" s="273"/>
      <c r="F58" s="131"/>
      <c r="G58" s="131"/>
      <c r="H58" s="131"/>
      <c r="I58" s="131"/>
      <c r="J58" s="131"/>
      <c r="K58" s="131"/>
    </row>
    <row r="59" spans="1:11" ht="16.5" customHeight="1">
      <c r="A59" s="130"/>
      <c r="B59" s="96" t="s">
        <v>971</v>
      </c>
      <c r="C59" s="233">
        <v>1</v>
      </c>
      <c r="D59" s="276"/>
      <c r="E59" s="273"/>
      <c r="F59" s="131"/>
      <c r="G59" s="131"/>
      <c r="H59" s="131"/>
      <c r="I59" s="131"/>
      <c r="J59" s="131"/>
      <c r="K59" s="131"/>
    </row>
    <row r="60" spans="1:11" ht="16.5" customHeight="1">
      <c r="A60" s="130"/>
      <c r="B60" s="96" t="s">
        <v>972</v>
      </c>
      <c r="C60" s="233">
        <v>1</v>
      </c>
      <c r="D60" s="276"/>
      <c r="E60" s="273"/>
      <c r="F60" s="131"/>
      <c r="G60" s="131"/>
      <c r="H60" s="131"/>
      <c r="I60" s="131"/>
      <c r="J60" s="131"/>
      <c r="K60" s="131"/>
    </row>
    <row r="61" spans="1:11" ht="16.5" customHeight="1">
      <c r="A61" s="133"/>
      <c r="B61" s="98" t="s">
        <v>146</v>
      </c>
      <c r="C61" s="234">
        <v>110</v>
      </c>
      <c r="D61" s="276"/>
      <c r="E61" s="273"/>
      <c r="F61" s="131"/>
      <c r="G61" s="131"/>
      <c r="H61" s="131"/>
      <c r="I61" s="131"/>
      <c r="J61" s="131"/>
      <c r="K61" s="131"/>
    </row>
    <row r="62" spans="1:11" ht="16.5" customHeight="1">
      <c r="A62" s="133"/>
      <c r="B62" s="98"/>
      <c r="C62" s="234"/>
      <c r="D62" s="276"/>
      <c r="E62" s="273"/>
      <c r="F62" s="131"/>
      <c r="G62" s="131"/>
      <c r="H62" s="131"/>
      <c r="I62" s="131"/>
      <c r="J62" s="131"/>
      <c r="K62" s="131"/>
    </row>
    <row r="63" spans="1:11" ht="16.5" customHeight="1">
      <c r="A63" s="114" t="s">
        <v>919</v>
      </c>
      <c r="B63" s="114" t="s">
        <v>973</v>
      </c>
      <c r="C63" s="114"/>
      <c r="D63" s="276"/>
      <c r="E63" s="273"/>
      <c r="F63" s="131"/>
      <c r="G63" s="131"/>
      <c r="H63" s="131"/>
      <c r="I63" s="131"/>
      <c r="J63" s="131"/>
      <c r="K63" s="131"/>
    </row>
    <row r="64" spans="1:11" ht="16.5" customHeight="1">
      <c r="A64" s="130"/>
      <c r="B64" s="127" t="s">
        <v>558</v>
      </c>
      <c r="C64" s="270">
        <v>1</v>
      </c>
      <c r="D64" s="276"/>
      <c r="E64" s="273"/>
      <c r="F64" s="131"/>
      <c r="G64" s="131"/>
      <c r="H64" s="131"/>
      <c r="I64" s="131"/>
      <c r="J64" s="131"/>
      <c r="K64" s="131"/>
    </row>
    <row r="65" spans="1:11" ht="16.5" customHeight="1">
      <c r="A65" s="130"/>
      <c r="B65" s="127" t="s">
        <v>546</v>
      </c>
      <c r="C65" s="270">
        <v>6</v>
      </c>
      <c r="D65" s="276"/>
      <c r="E65" s="273"/>
      <c r="F65" s="131"/>
      <c r="G65" s="131"/>
      <c r="H65" s="131"/>
      <c r="I65" s="131"/>
      <c r="J65" s="131"/>
      <c r="K65" s="131"/>
    </row>
    <row r="66" spans="1:11" ht="16.5" customHeight="1">
      <c r="A66" s="130"/>
      <c r="B66" s="127" t="s">
        <v>548</v>
      </c>
      <c r="C66" s="270">
        <v>6</v>
      </c>
      <c r="D66" s="276"/>
      <c r="E66" s="273"/>
      <c r="F66" s="131"/>
      <c r="G66" s="131"/>
      <c r="H66" s="131"/>
      <c r="I66" s="131"/>
      <c r="J66" s="131"/>
      <c r="K66" s="131"/>
    </row>
    <row r="67" spans="1:11" ht="16.5" customHeight="1">
      <c r="A67" s="130"/>
      <c r="B67" s="127" t="s">
        <v>792</v>
      </c>
      <c r="C67" s="270">
        <v>4</v>
      </c>
      <c r="D67" s="276"/>
      <c r="E67" s="273"/>
      <c r="F67" s="131"/>
      <c r="G67" s="131"/>
      <c r="H67" s="131"/>
      <c r="I67" s="131"/>
      <c r="J67" s="131"/>
      <c r="K67" s="131"/>
    </row>
    <row r="68" spans="1:11" ht="16.5" customHeight="1">
      <c r="A68" s="130"/>
      <c r="B68" s="127" t="s">
        <v>547</v>
      </c>
      <c r="C68" s="270">
        <v>2</v>
      </c>
      <c r="D68" s="276"/>
      <c r="E68" s="273"/>
      <c r="F68" s="131"/>
      <c r="G68" s="131"/>
      <c r="H68" s="131"/>
      <c r="I68" s="131"/>
      <c r="J68" s="131"/>
      <c r="K68" s="131"/>
    </row>
    <row r="69" spans="1:11" ht="16.5" customHeight="1">
      <c r="A69" s="130"/>
      <c r="B69" s="127" t="s">
        <v>312</v>
      </c>
      <c r="C69" s="270">
        <v>2</v>
      </c>
      <c r="D69" s="276"/>
      <c r="E69" s="273"/>
      <c r="F69" s="131"/>
      <c r="G69" s="131"/>
      <c r="H69" s="131"/>
      <c r="I69" s="131"/>
      <c r="J69" s="131"/>
      <c r="K69" s="131"/>
    </row>
    <row r="70" spans="1:11" ht="16.5" customHeight="1">
      <c r="A70" s="130"/>
      <c r="B70" s="127" t="s">
        <v>545</v>
      </c>
      <c r="C70" s="270">
        <v>2</v>
      </c>
      <c r="D70" s="276"/>
      <c r="E70" s="273"/>
      <c r="F70" s="131"/>
      <c r="G70" s="131"/>
      <c r="H70" s="131"/>
      <c r="I70" s="131"/>
      <c r="J70" s="131"/>
      <c r="K70" s="131"/>
    </row>
    <row r="71" spans="1:11" ht="16.5" customHeight="1">
      <c r="A71" s="130"/>
      <c r="B71" s="127" t="s">
        <v>974</v>
      </c>
      <c r="C71" s="270">
        <v>1</v>
      </c>
      <c r="D71" s="276"/>
      <c r="E71" s="273"/>
      <c r="F71" s="131"/>
      <c r="G71" s="131"/>
      <c r="H71" s="131"/>
      <c r="I71" s="131"/>
      <c r="J71" s="131"/>
      <c r="K71" s="131"/>
    </row>
    <row r="72" spans="1:11" ht="16.5" customHeight="1">
      <c r="A72" s="130"/>
      <c r="B72" s="127" t="s">
        <v>798</v>
      </c>
      <c r="C72" s="270">
        <v>1</v>
      </c>
      <c r="D72" s="276"/>
      <c r="E72" s="273"/>
      <c r="F72" s="131"/>
      <c r="G72" s="131"/>
      <c r="H72" s="131"/>
      <c r="I72" s="131"/>
      <c r="J72" s="131"/>
      <c r="K72" s="131"/>
    </row>
    <row r="73" spans="1:11" ht="16.5" customHeight="1">
      <c r="A73" s="130"/>
      <c r="B73" s="127" t="s">
        <v>975</v>
      </c>
      <c r="C73" s="270">
        <v>1</v>
      </c>
      <c r="D73" s="276"/>
      <c r="E73" s="273"/>
      <c r="F73" s="131"/>
      <c r="G73" s="131"/>
      <c r="H73" s="131"/>
      <c r="I73" s="131"/>
      <c r="J73" s="131"/>
      <c r="K73" s="131"/>
    </row>
    <row r="74" spans="1:11" ht="16.5" customHeight="1">
      <c r="A74" s="130"/>
      <c r="B74" s="127" t="s">
        <v>976</v>
      </c>
      <c r="C74" s="270">
        <v>1</v>
      </c>
      <c r="D74" s="276"/>
      <c r="E74" s="273"/>
      <c r="F74" s="131"/>
      <c r="G74" s="131"/>
      <c r="H74" s="131"/>
      <c r="I74" s="131"/>
      <c r="J74" s="131"/>
      <c r="K74" s="131"/>
    </row>
    <row r="75" spans="1:11" ht="16.5" customHeight="1">
      <c r="A75" s="130"/>
      <c r="B75" s="127" t="s">
        <v>977</v>
      </c>
      <c r="C75" s="270">
        <v>1</v>
      </c>
      <c r="D75" s="276"/>
      <c r="E75" s="273"/>
      <c r="F75" s="131"/>
      <c r="G75" s="131"/>
      <c r="H75" s="131"/>
      <c r="I75" s="131"/>
      <c r="J75" s="131"/>
      <c r="K75" s="131"/>
    </row>
    <row r="76" spans="1:11" ht="16.5" customHeight="1">
      <c r="A76" s="130"/>
      <c r="B76" s="127" t="s">
        <v>978</v>
      </c>
      <c r="C76" s="270">
        <v>1</v>
      </c>
      <c r="D76" s="276"/>
      <c r="E76" s="273"/>
      <c r="F76" s="131"/>
      <c r="G76" s="131"/>
      <c r="H76" s="131"/>
      <c r="I76" s="131"/>
      <c r="J76" s="131"/>
      <c r="K76" s="131"/>
    </row>
    <row r="77" spans="1:11" ht="16.5" customHeight="1">
      <c r="A77" s="130"/>
      <c r="B77" s="127" t="s">
        <v>979</v>
      </c>
      <c r="C77" s="270">
        <v>1</v>
      </c>
      <c r="D77" s="276"/>
      <c r="E77" s="273"/>
      <c r="F77" s="131"/>
      <c r="G77" s="131"/>
      <c r="H77" s="131"/>
      <c r="I77" s="131"/>
      <c r="J77" s="131"/>
      <c r="K77" s="131"/>
    </row>
    <row r="78" spans="1:11" ht="16.5" customHeight="1">
      <c r="A78" s="130"/>
      <c r="B78" s="127" t="s">
        <v>297</v>
      </c>
      <c r="C78" s="270">
        <v>1</v>
      </c>
      <c r="D78" s="276"/>
      <c r="E78" s="273"/>
      <c r="F78" s="131"/>
      <c r="G78" s="131"/>
      <c r="H78" s="131"/>
      <c r="I78" s="131"/>
      <c r="J78" s="131"/>
      <c r="K78" s="131"/>
    </row>
    <row r="79" spans="1:11" ht="16.5" customHeight="1">
      <c r="A79" s="130"/>
      <c r="B79" s="127" t="s">
        <v>298</v>
      </c>
      <c r="C79" s="270">
        <v>1</v>
      </c>
      <c r="D79" s="276"/>
      <c r="E79" s="273"/>
      <c r="F79" s="131"/>
      <c r="G79" s="131"/>
      <c r="H79" s="131"/>
      <c r="I79" s="131"/>
      <c r="J79" s="131"/>
      <c r="K79" s="131"/>
    </row>
    <row r="80" spans="1:11" ht="16.5" customHeight="1">
      <c r="A80" s="130"/>
      <c r="B80" s="96" t="s">
        <v>802</v>
      </c>
      <c r="C80" s="270">
        <v>1</v>
      </c>
      <c r="D80" s="277"/>
      <c r="E80" s="274"/>
      <c r="F80" s="131"/>
      <c r="G80" s="131"/>
      <c r="H80" s="131"/>
      <c r="I80" s="131"/>
      <c r="J80" s="131"/>
      <c r="K80" s="131"/>
    </row>
    <row r="81" spans="1:11" ht="16.5" customHeight="1">
      <c r="A81" s="130"/>
      <c r="B81" s="127" t="s">
        <v>980</v>
      </c>
      <c r="C81" s="270">
        <v>2</v>
      </c>
      <c r="D81" s="276"/>
      <c r="E81" s="273"/>
      <c r="F81" s="131"/>
      <c r="G81" s="131"/>
      <c r="H81" s="131"/>
      <c r="I81" s="131"/>
      <c r="J81" s="131"/>
      <c r="K81" s="131"/>
    </row>
    <row r="82" spans="1:11" ht="16.5" customHeight="1">
      <c r="A82" s="130"/>
      <c r="B82" s="127" t="s">
        <v>789</v>
      </c>
      <c r="C82" s="270">
        <v>2</v>
      </c>
      <c r="D82" s="276"/>
      <c r="E82" s="273"/>
      <c r="F82" s="131"/>
      <c r="G82" s="131"/>
      <c r="H82" s="131"/>
      <c r="I82" s="131"/>
      <c r="J82" s="131"/>
      <c r="K82" s="131"/>
    </row>
    <row r="83" spans="1:11" ht="16.5" customHeight="1">
      <c r="A83" s="130"/>
      <c r="B83" s="127" t="s">
        <v>791</v>
      </c>
      <c r="C83" s="270">
        <v>1</v>
      </c>
      <c r="D83" s="276"/>
      <c r="E83" s="273"/>
      <c r="F83" s="131"/>
      <c r="G83" s="131"/>
      <c r="H83" s="131"/>
      <c r="I83" s="131"/>
      <c r="J83" s="131"/>
      <c r="K83" s="131"/>
    </row>
    <row r="84" spans="1:11" ht="16.5" customHeight="1">
      <c r="A84" s="130"/>
      <c r="B84" s="127" t="s">
        <v>554</v>
      </c>
      <c r="C84" s="270">
        <v>1</v>
      </c>
      <c r="D84" s="276"/>
      <c r="E84" s="273"/>
      <c r="F84" s="131"/>
      <c r="G84" s="131"/>
      <c r="H84" s="131"/>
      <c r="I84" s="131"/>
      <c r="J84" s="131"/>
      <c r="K84" s="131"/>
    </row>
    <row r="85" spans="1:11" ht="16.5" customHeight="1">
      <c r="A85" s="130"/>
      <c r="B85" s="127" t="s">
        <v>981</v>
      </c>
      <c r="C85" s="270">
        <v>1</v>
      </c>
      <c r="D85" s="276"/>
      <c r="E85" s="273"/>
      <c r="F85" s="131"/>
      <c r="G85" s="131"/>
      <c r="H85" s="131"/>
      <c r="I85" s="131"/>
      <c r="J85" s="131"/>
      <c r="K85" s="131"/>
    </row>
    <row r="86" spans="1:11" ht="16.5" customHeight="1">
      <c r="A86" s="130"/>
      <c r="B86" s="127" t="s">
        <v>482</v>
      </c>
      <c r="C86" s="270">
        <v>1</v>
      </c>
      <c r="D86" s="276"/>
      <c r="E86" s="273"/>
      <c r="F86" s="131"/>
      <c r="G86" s="131"/>
      <c r="H86" s="131"/>
      <c r="I86" s="131"/>
      <c r="J86" s="131"/>
      <c r="K86" s="131"/>
    </row>
    <row r="87" spans="1:11" ht="16.5" customHeight="1">
      <c r="A87" s="130"/>
      <c r="B87" s="127" t="s">
        <v>982</v>
      </c>
      <c r="C87" s="270">
        <v>1</v>
      </c>
      <c r="D87" s="276"/>
      <c r="E87" s="273"/>
      <c r="F87" s="131"/>
      <c r="G87" s="131"/>
      <c r="H87" s="131"/>
      <c r="I87" s="131"/>
      <c r="J87" s="131"/>
      <c r="K87" s="131"/>
    </row>
    <row r="88" spans="1:11" ht="16.5" customHeight="1">
      <c r="A88" s="130"/>
      <c r="B88" s="96" t="s">
        <v>972</v>
      </c>
      <c r="C88" s="233">
        <v>1</v>
      </c>
      <c r="D88" s="276"/>
      <c r="E88" s="273"/>
      <c r="F88" s="131"/>
      <c r="G88" s="131"/>
      <c r="H88" s="131"/>
      <c r="I88" s="131"/>
      <c r="J88" s="131"/>
      <c r="K88" s="131"/>
    </row>
    <row r="89" spans="1:11" ht="16.5" customHeight="1">
      <c r="A89" s="133"/>
      <c r="B89" s="134" t="s">
        <v>146</v>
      </c>
      <c r="C89" s="234">
        <v>43</v>
      </c>
      <c r="D89" s="276"/>
      <c r="E89" s="273"/>
      <c r="F89" s="131"/>
      <c r="G89" s="131"/>
      <c r="H89" s="131"/>
      <c r="I89" s="131"/>
      <c r="J89" s="131"/>
      <c r="K89" s="131"/>
    </row>
    <row r="90" spans="1:11" ht="16.5" customHeight="1">
      <c r="A90" s="119"/>
      <c r="B90" s="99"/>
      <c r="C90" s="234"/>
      <c r="D90" s="276"/>
      <c r="E90" s="273"/>
      <c r="F90" s="131"/>
      <c r="G90" s="131"/>
      <c r="H90" s="131"/>
      <c r="I90" s="131"/>
      <c r="J90" s="131"/>
      <c r="K90" s="131"/>
    </row>
    <row r="91" spans="1:11" ht="16.5" customHeight="1">
      <c r="A91" s="114" t="s">
        <v>919</v>
      </c>
      <c r="B91" s="114" t="s">
        <v>983</v>
      </c>
      <c r="C91" s="114"/>
      <c r="D91" s="276"/>
      <c r="E91" s="273"/>
      <c r="F91" s="131"/>
      <c r="G91" s="131"/>
      <c r="H91" s="131"/>
      <c r="I91" s="131"/>
      <c r="J91" s="131"/>
      <c r="K91" s="131"/>
    </row>
    <row r="92" spans="1:11" ht="16.5" customHeight="1">
      <c r="A92" s="130"/>
      <c r="B92" s="96" t="s">
        <v>984</v>
      </c>
      <c r="C92" s="233">
        <v>1</v>
      </c>
      <c r="D92" s="276"/>
      <c r="E92" s="273"/>
      <c r="F92" s="131"/>
      <c r="G92" s="131"/>
      <c r="H92" s="131"/>
      <c r="I92" s="131"/>
      <c r="J92" s="131"/>
      <c r="K92" s="131"/>
    </row>
    <row r="93" spans="1:11" ht="16.5" customHeight="1">
      <c r="A93" s="130"/>
      <c r="B93" s="96" t="s">
        <v>985</v>
      </c>
      <c r="C93" s="233">
        <v>1</v>
      </c>
      <c r="D93" s="276"/>
      <c r="E93" s="273"/>
      <c r="F93" s="131"/>
      <c r="G93" s="131"/>
      <c r="H93" s="131"/>
      <c r="I93" s="131"/>
      <c r="J93" s="131"/>
      <c r="K93" s="131"/>
    </row>
    <row r="94" spans="1:11" ht="16.5" customHeight="1">
      <c r="A94" s="130"/>
      <c r="B94" s="96" t="s">
        <v>986</v>
      </c>
      <c r="C94" s="233">
        <v>1</v>
      </c>
      <c r="D94" s="276"/>
      <c r="E94" s="273"/>
      <c r="F94" s="131"/>
      <c r="G94" s="131"/>
      <c r="H94" s="131"/>
      <c r="I94" s="131"/>
      <c r="J94" s="131"/>
      <c r="K94" s="131"/>
    </row>
    <row r="95" spans="1:11" ht="16.5" customHeight="1">
      <c r="A95" s="130"/>
      <c r="B95" s="126" t="s">
        <v>987</v>
      </c>
      <c r="C95" s="233">
        <v>1</v>
      </c>
      <c r="D95" s="277"/>
      <c r="E95" s="274"/>
      <c r="F95" s="131"/>
      <c r="G95" s="131"/>
      <c r="H95" s="131"/>
      <c r="I95" s="131"/>
      <c r="J95" s="131"/>
      <c r="K95" s="131"/>
    </row>
    <row r="96" spans="1:11" ht="16.5" customHeight="1">
      <c r="A96" s="130"/>
      <c r="B96" s="126" t="s">
        <v>988</v>
      </c>
      <c r="C96" s="233">
        <v>1</v>
      </c>
      <c r="D96" s="277"/>
      <c r="E96" s="274"/>
      <c r="F96" s="131"/>
      <c r="G96" s="131"/>
      <c r="H96" s="131"/>
      <c r="I96" s="131"/>
      <c r="J96" s="131"/>
      <c r="K96" s="131"/>
    </row>
    <row r="97" spans="1:11" ht="16.5" customHeight="1">
      <c r="A97" s="130"/>
      <c r="B97" s="126" t="s">
        <v>989</v>
      </c>
      <c r="C97" s="233">
        <v>1</v>
      </c>
      <c r="D97" s="277"/>
      <c r="E97" s="274"/>
      <c r="F97" s="131"/>
      <c r="G97" s="131"/>
      <c r="H97" s="131"/>
      <c r="I97" s="131"/>
      <c r="J97" s="131"/>
      <c r="K97" s="131"/>
    </row>
    <row r="98" spans="1:11" ht="16.5" customHeight="1">
      <c r="A98" s="130"/>
      <c r="B98" s="126" t="s">
        <v>990</v>
      </c>
      <c r="C98" s="233">
        <v>1</v>
      </c>
      <c r="D98" s="277"/>
      <c r="E98" s="274"/>
      <c r="F98" s="131"/>
      <c r="G98" s="131"/>
      <c r="H98" s="131"/>
      <c r="I98" s="131"/>
      <c r="J98" s="131"/>
      <c r="K98" s="131"/>
    </row>
    <row r="99" spans="1:11" ht="16.5" customHeight="1">
      <c r="A99" s="130"/>
      <c r="B99" s="96" t="s">
        <v>991</v>
      </c>
      <c r="C99" s="233">
        <v>1</v>
      </c>
      <c r="D99" s="276"/>
      <c r="E99" s="273"/>
      <c r="F99" s="131"/>
      <c r="G99" s="131"/>
      <c r="H99" s="131"/>
      <c r="I99" s="131"/>
      <c r="J99" s="131"/>
      <c r="K99" s="131"/>
    </row>
    <row r="100" spans="1:11" ht="16.5" customHeight="1">
      <c r="A100" s="130"/>
      <c r="B100" s="96" t="s">
        <v>992</v>
      </c>
      <c r="C100" s="233">
        <v>2</v>
      </c>
      <c r="D100" s="276"/>
      <c r="E100" s="273"/>
      <c r="F100" s="131"/>
      <c r="G100" s="131"/>
      <c r="H100" s="131"/>
      <c r="I100" s="131"/>
      <c r="J100" s="131"/>
      <c r="K100" s="131"/>
    </row>
    <row r="101" spans="1:11" ht="16.5" customHeight="1">
      <c r="A101" s="130"/>
      <c r="B101" s="96" t="s">
        <v>993</v>
      </c>
      <c r="C101" s="233">
        <v>1</v>
      </c>
      <c r="D101" s="276"/>
      <c r="E101" s="273"/>
      <c r="F101" s="131"/>
      <c r="G101" s="131"/>
      <c r="H101" s="131"/>
      <c r="I101" s="131"/>
      <c r="J101" s="131"/>
      <c r="K101" s="131"/>
    </row>
    <row r="102" spans="1:11" ht="16.5" customHeight="1">
      <c r="A102" s="130"/>
      <c r="B102" s="96" t="s">
        <v>994</v>
      </c>
      <c r="C102" s="233">
        <v>2</v>
      </c>
      <c r="D102" s="276"/>
      <c r="E102" s="273"/>
      <c r="F102" s="131"/>
      <c r="G102" s="131"/>
      <c r="H102" s="131"/>
      <c r="I102" s="131"/>
      <c r="J102" s="131"/>
      <c r="K102" s="131"/>
    </row>
    <row r="103" spans="1:11" ht="16.5" customHeight="1">
      <c r="A103" s="130"/>
      <c r="B103" s="126" t="s">
        <v>995</v>
      </c>
      <c r="C103" s="233">
        <v>1</v>
      </c>
      <c r="D103" s="277"/>
      <c r="E103" s="274"/>
      <c r="F103" s="131"/>
      <c r="G103" s="131"/>
      <c r="H103" s="131"/>
      <c r="I103" s="131"/>
      <c r="J103" s="131"/>
      <c r="K103" s="131"/>
    </row>
    <row r="104" spans="1:11" ht="16.5" customHeight="1">
      <c r="A104" s="130"/>
      <c r="B104" s="96" t="s">
        <v>996</v>
      </c>
      <c r="C104" s="233">
        <v>4</v>
      </c>
      <c r="D104" s="276"/>
      <c r="E104" s="273"/>
      <c r="F104" s="131"/>
      <c r="G104" s="131"/>
      <c r="H104" s="131"/>
      <c r="I104" s="131"/>
      <c r="J104" s="131"/>
      <c r="K104" s="131"/>
    </row>
    <row r="105" spans="1:11" ht="16.5" customHeight="1">
      <c r="A105" s="130"/>
      <c r="B105" s="96" t="s">
        <v>997</v>
      </c>
      <c r="C105" s="233">
        <v>2</v>
      </c>
      <c r="D105" s="276"/>
      <c r="E105" s="273"/>
      <c r="F105" s="131"/>
      <c r="G105" s="131"/>
      <c r="H105" s="131"/>
      <c r="I105" s="131"/>
      <c r="J105" s="131"/>
      <c r="K105" s="131"/>
    </row>
    <row r="106" spans="1:11" ht="16.5" customHeight="1">
      <c r="A106" s="130"/>
      <c r="B106" s="96" t="s">
        <v>998</v>
      </c>
      <c r="C106" s="233">
        <v>2</v>
      </c>
      <c r="D106" s="276"/>
      <c r="E106" s="273"/>
      <c r="F106" s="131"/>
      <c r="G106" s="131"/>
      <c r="H106" s="131"/>
      <c r="I106" s="131"/>
      <c r="J106" s="131"/>
      <c r="K106" s="131"/>
    </row>
    <row r="107" spans="1:11" ht="16.5" customHeight="1">
      <c r="A107" s="130"/>
      <c r="B107" s="96" t="s">
        <v>999</v>
      </c>
      <c r="C107" s="233">
        <v>10</v>
      </c>
      <c r="D107" s="276"/>
      <c r="E107" s="273"/>
      <c r="F107" s="131"/>
      <c r="G107" s="131"/>
      <c r="H107" s="131"/>
      <c r="I107" s="131"/>
      <c r="J107" s="131"/>
      <c r="K107" s="131"/>
    </row>
    <row r="108" spans="1:11" ht="16.5" customHeight="1">
      <c r="A108" s="130"/>
      <c r="B108" s="96" t="s">
        <v>1000</v>
      </c>
      <c r="C108" s="233">
        <v>2</v>
      </c>
      <c r="D108" s="276"/>
      <c r="E108" s="273"/>
      <c r="F108" s="131"/>
      <c r="G108" s="131"/>
      <c r="H108" s="131"/>
      <c r="I108" s="131"/>
      <c r="J108" s="131"/>
      <c r="K108" s="131"/>
    </row>
    <row r="109" spans="1:11" ht="16.5" customHeight="1">
      <c r="A109" s="130"/>
      <c r="B109" s="96" t="s">
        <v>1001</v>
      </c>
      <c r="C109" s="233">
        <v>2</v>
      </c>
      <c r="D109" s="276"/>
      <c r="E109" s="273"/>
      <c r="F109" s="131"/>
      <c r="G109" s="131"/>
      <c r="H109" s="131"/>
      <c r="I109" s="131"/>
      <c r="J109" s="131"/>
      <c r="K109" s="131"/>
    </row>
    <row r="110" spans="1:11" ht="16.5" customHeight="1">
      <c r="A110" s="130"/>
      <c r="B110" s="96" t="s">
        <v>1002</v>
      </c>
      <c r="C110" s="233">
        <v>1</v>
      </c>
      <c r="D110" s="276"/>
      <c r="E110" s="273"/>
      <c r="F110" s="131"/>
      <c r="G110" s="131"/>
      <c r="H110" s="131"/>
      <c r="I110" s="131"/>
      <c r="J110" s="131"/>
      <c r="K110" s="131"/>
    </row>
    <row r="111" spans="1:11" ht="16.5" customHeight="1">
      <c r="A111" s="130"/>
      <c r="B111" s="96" t="s">
        <v>1003</v>
      </c>
      <c r="C111" s="233">
        <v>1</v>
      </c>
      <c r="D111" s="276"/>
      <c r="E111" s="273"/>
      <c r="F111" s="131"/>
      <c r="G111" s="131"/>
      <c r="H111" s="131"/>
      <c r="I111" s="131"/>
      <c r="J111" s="131"/>
      <c r="K111" s="131"/>
    </row>
    <row r="112" spans="1:11" ht="16.5" customHeight="1">
      <c r="A112" s="130"/>
      <c r="B112" s="96" t="s">
        <v>848</v>
      </c>
      <c r="C112" s="233">
        <v>6</v>
      </c>
      <c r="D112" s="276"/>
      <c r="E112" s="273"/>
      <c r="F112" s="131"/>
      <c r="G112" s="131"/>
      <c r="H112" s="131"/>
      <c r="I112" s="131"/>
      <c r="J112" s="131"/>
      <c r="K112" s="131"/>
    </row>
    <row r="113" spans="1:11" ht="16.5" customHeight="1">
      <c r="A113" s="130"/>
      <c r="B113" s="96" t="s">
        <v>1004</v>
      </c>
      <c r="C113" s="233">
        <v>4</v>
      </c>
      <c r="D113" s="276"/>
      <c r="E113" s="273"/>
      <c r="F113" s="131"/>
      <c r="G113" s="131"/>
      <c r="H113" s="131"/>
      <c r="I113" s="131"/>
      <c r="J113" s="131"/>
      <c r="K113" s="131"/>
    </row>
    <row r="114" spans="1:11" ht="16.5" customHeight="1">
      <c r="A114" s="130"/>
      <c r="B114" s="96" t="s">
        <v>1005</v>
      </c>
      <c r="C114" s="233">
        <v>2</v>
      </c>
      <c r="D114" s="276"/>
      <c r="E114" s="273"/>
      <c r="F114" s="131"/>
      <c r="G114" s="131"/>
      <c r="H114" s="131"/>
      <c r="I114" s="131"/>
      <c r="J114" s="131"/>
      <c r="K114" s="131"/>
    </row>
    <row r="115" spans="1:11" ht="16.5" customHeight="1">
      <c r="A115" s="130"/>
      <c r="B115" s="96" t="s">
        <v>1006</v>
      </c>
      <c r="C115" s="233">
        <v>2</v>
      </c>
      <c r="D115" s="276"/>
      <c r="E115" s="273"/>
      <c r="F115" s="131"/>
      <c r="G115" s="131"/>
      <c r="H115" s="131"/>
      <c r="I115" s="131"/>
      <c r="J115" s="131"/>
      <c r="K115" s="131"/>
    </row>
    <row r="116" spans="1:11" ht="16.5" customHeight="1">
      <c r="A116" s="130"/>
      <c r="B116" s="96" t="s">
        <v>770</v>
      </c>
      <c r="C116" s="233">
        <v>4</v>
      </c>
      <c r="D116" s="276"/>
      <c r="E116" s="273"/>
      <c r="F116" s="131"/>
      <c r="G116" s="131"/>
      <c r="H116" s="131"/>
      <c r="I116" s="131"/>
      <c r="J116" s="131"/>
      <c r="K116" s="131"/>
    </row>
    <row r="117" spans="1:11" ht="16.5" customHeight="1">
      <c r="A117" s="130"/>
      <c r="B117" s="96" t="s">
        <v>1007</v>
      </c>
      <c r="C117" s="233">
        <v>2</v>
      </c>
      <c r="D117" s="277"/>
      <c r="E117" s="274"/>
      <c r="F117" s="131"/>
      <c r="G117" s="131"/>
      <c r="H117" s="131"/>
      <c r="I117" s="131"/>
      <c r="J117" s="131"/>
      <c r="K117" s="131"/>
    </row>
    <row r="118" spans="1:11" ht="16.5" customHeight="1">
      <c r="A118" s="130"/>
      <c r="B118" s="96" t="s">
        <v>1008</v>
      </c>
      <c r="C118" s="233">
        <v>2</v>
      </c>
      <c r="D118" s="276"/>
      <c r="E118" s="273"/>
      <c r="F118" s="131"/>
      <c r="G118" s="131"/>
      <c r="H118" s="131"/>
      <c r="I118" s="131"/>
      <c r="J118" s="131"/>
      <c r="K118" s="131"/>
    </row>
    <row r="119" spans="1:11" ht="16.5" customHeight="1">
      <c r="A119" s="130"/>
      <c r="B119" s="96" t="s">
        <v>1009</v>
      </c>
      <c r="C119" s="233">
        <v>2</v>
      </c>
      <c r="D119" s="276"/>
      <c r="E119" s="273"/>
      <c r="F119" s="131"/>
      <c r="G119" s="131"/>
      <c r="H119" s="131"/>
      <c r="I119" s="131"/>
      <c r="J119" s="131"/>
      <c r="K119" s="131"/>
    </row>
    <row r="120" spans="1:11" ht="16.5" customHeight="1">
      <c r="A120" s="130"/>
      <c r="B120" s="96" t="s">
        <v>1010</v>
      </c>
      <c r="C120" s="233">
        <v>2</v>
      </c>
      <c r="D120" s="276"/>
      <c r="E120" s="273"/>
      <c r="F120" s="131"/>
      <c r="G120" s="131"/>
      <c r="H120" s="131"/>
      <c r="I120" s="131"/>
      <c r="J120" s="131"/>
      <c r="K120" s="131"/>
    </row>
    <row r="121" spans="1:11" ht="16.5" customHeight="1">
      <c r="A121" s="130"/>
      <c r="B121" s="96" t="s">
        <v>1011</v>
      </c>
      <c r="C121" s="233">
        <v>6</v>
      </c>
      <c r="D121" s="276"/>
      <c r="E121" s="273"/>
      <c r="F121" s="131"/>
      <c r="G121" s="131"/>
      <c r="H121" s="131"/>
      <c r="I121" s="131"/>
      <c r="J121" s="131"/>
      <c r="K121" s="131"/>
    </row>
    <row r="122" spans="1:11" ht="16.5" customHeight="1">
      <c r="A122" s="130"/>
      <c r="B122" s="96" t="s">
        <v>1012</v>
      </c>
      <c r="C122" s="233">
        <v>6</v>
      </c>
      <c r="D122" s="276"/>
      <c r="E122" s="273"/>
      <c r="F122" s="131"/>
      <c r="G122" s="131"/>
      <c r="H122" s="131"/>
      <c r="I122" s="131"/>
      <c r="J122" s="131"/>
      <c r="K122" s="131"/>
    </row>
    <row r="123" spans="1:11" ht="16.5" customHeight="1">
      <c r="A123" s="130"/>
      <c r="B123" s="96" t="s">
        <v>849</v>
      </c>
      <c r="C123" s="233">
        <v>6</v>
      </c>
      <c r="D123" s="276"/>
      <c r="E123" s="273"/>
      <c r="F123" s="131"/>
      <c r="G123" s="131"/>
      <c r="H123" s="131"/>
      <c r="I123" s="131"/>
      <c r="J123" s="131"/>
      <c r="K123" s="131"/>
    </row>
    <row r="124" spans="1:11" ht="16.5" customHeight="1">
      <c r="A124" s="130"/>
      <c r="B124" s="96" t="s">
        <v>850</v>
      </c>
      <c r="C124" s="233">
        <v>6</v>
      </c>
      <c r="D124" s="276"/>
      <c r="E124" s="273"/>
      <c r="F124" s="131"/>
      <c r="G124" s="131"/>
      <c r="H124" s="131"/>
      <c r="I124" s="131"/>
      <c r="J124" s="131"/>
      <c r="K124" s="131"/>
    </row>
    <row r="125" spans="1:11" ht="16.5" customHeight="1">
      <c r="A125" s="130"/>
      <c r="B125" s="96" t="s">
        <v>1013</v>
      </c>
      <c r="C125" s="233">
        <v>1</v>
      </c>
      <c r="D125" s="276"/>
      <c r="E125" s="273"/>
      <c r="F125" s="131"/>
      <c r="G125" s="131"/>
      <c r="H125" s="131"/>
      <c r="I125" s="131"/>
      <c r="J125" s="131"/>
      <c r="K125" s="131"/>
    </row>
    <row r="126" spans="1:11" ht="16.5" customHeight="1">
      <c r="A126" s="130"/>
      <c r="B126" s="96" t="s">
        <v>784</v>
      </c>
      <c r="C126" s="233">
        <v>1</v>
      </c>
      <c r="D126" s="276"/>
      <c r="E126" s="273"/>
      <c r="F126" s="131"/>
      <c r="G126" s="131"/>
      <c r="H126" s="131"/>
      <c r="I126" s="131"/>
      <c r="J126" s="131"/>
      <c r="K126" s="131"/>
    </row>
    <row r="127" spans="1:11" ht="16.5" customHeight="1">
      <c r="A127" s="130"/>
      <c r="B127" s="96" t="s">
        <v>851</v>
      </c>
      <c r="C127" s="233">
        <v>1</v>
      </c>
      <c r="D127" s="276"/>
      <c r="E127" s="273"/>
      <c r="F127" s="131"/>
      <c r="G127" s="131"/>
      <c r="H127" s="131"/>
      <c r="I127" s="131"/>
      <c r="J127" s="131"/>
      <c r="K127" s="131"/>
    </row>
    <row r="128" spans="1:11" ht="16.5" customHeight="1">
      <c r="A128" s="130"/>
      <c r="B128" s="96" t="s">
        <v>1014</v>
      </c>
      <c r="C128" s="233">
        <v>1</v>
      </c>
      <c r="D128" s="276"/>
      <c r="E128" s="273"/>
      <c r="F128" s="131"/>
      <c r="G128" s="131"/>
      <c r="H128" s="131"/>
      <c r="I128" s="131"/>
      <c r="J128" s="131"/>
      <c r="K128" s="131"/>
    </row>
    <row r="129" spans="1:11" ht="16.5" customHeight="1">
      <c r="A129" s="130"/>
      <c r="B129" s="96" t="s">
        <v>1015</v>
      </c>
      <c r="C129" s="233">
        <v>2</v>
      </c>
      <c r="D129" s="276"/>
      <c r="E129" s="273"/>
      <c r="F129" s="131"/>
      <c r="G129" s="131"/>
      <c r="H129" s="131"/>
      <c r="I129" s="131"/>
      <c r="J129" s="131"/>
      <c r="K129" s="131"/>
    </row>
    <row r="130" spans="1:11" ht="16.5" customHeight="1">
      <c r="A130" s="130"/>
      <c r="B130" s="96" t="s">
        <v>1016</v>
      </c>
      <c r="C130" s="233">
        <v>1</v>
      </c>
      <c r="D130" s="276"/>
      <c r="E130" s="273"/>
      <c r="F130" s="131"/>
      <c r="G130" s="131"/>
      <c r="H130" s="131"/>
      <c r="I130" s="131"/>
      <c r="J130" s="131"/>
      <c r="K130" s="131"/>
    </row>
    <row r="131" spans="1:11" ht="16.5" customHeight="1">
      <c r="A131" s="130"/>
      <c r="B131" s="96" t="s">
        <v>1017</v>
      </c>
      <c r="C131" s="233">
        <v>1</v>
      </c>
      <c r="D131" s="276"/>
      <c r="E131" s="273"/>
      <c r="F131" s="131"/>
      <c r="G131" s="131"/>
      <c r="H131" s="131"/>
      <c r="I131" s="131"/>
      <c r="J131" s="131"/>
      <c r="K131" s="131"/>
    </row>
    <row r="132" spans="1:11" ht="16.5" customHeight="1">
      <c r="A132" s="130"/>
      <c r="B132" s="96" t="s">
        <v>1018</v>
      </c>
      <c r="C132" s="233">
        <v>1</v>
      </c>
      <c r="D132" s="276"/>
      <c r="E132" s="273"/>
      <c r="F132" s="131"/>
      <c r="G132" s="131"/>
      <c r="H132" s="131"/>
      <c r="I132" s="131"/>
      <c r="J132" s="131"/>
      <c r="K132" s="131"/>
    </row>
    <row r="133" spans="1:11" ht="16.5" customHeight="1">
      <c r="A133" s="130"/>
      <c r="B133" s="96" t="s">
        <v>1019</v>
      </c>
      <c r="C133" s="233">
        <v>1</v>
      </c>
      <c r="D133" s="276"/>
      <c r="E133" s="273"/>
      <c r="F133" s="131"/>
      <c r="G133" s="131"/>
      <c r="H133" s="131"/>
      <c r="I133" s="131"/>
      <c r="J133" s="131"/>
      <c r="K133" s="131"/>
    </row>
    <row r="134" spans="1:11" ht="16.5" customHeight="1">
      <c r="A134" s="130"/>
      <c r="B134" s="96" t="s">
        <v>1020</v>
      </c>
      <c r="C134" s="233">
        <v>1</v>
      </c>
      <c r="D134" s="276"/>
      <c r="E134" s="273"/>
      <c r="F134" s="131"/>
      <c r="G134" s="131"/>
      <c r="H134" s="131"/>
      <c r="I134" s="131"/>
      <c r="J134" s="131"/>
      <c r="K134" s="131"/>
    </row>
    <row r="135" spans="1:11" ht="16.5" customHeight="1">
      <c r="A135" s="130"/>
      <c r="B135" s="96" t="s">
        <v>1021</v>
      </c>
      <c r="C135" s="233">
        <v>1</v>
      </c>
      <c r="D135" s="276"/>
      <c r="E135" s="273"/>
      <c r="F135" s="131"/>
      <c r="G135" s="131"/>
      <c r="H135" s="131"/>
      <c r="I135" s="131"/>
      <c r="J135" s="131"/>
      <c r="K135" s="131"/>
    </row>
    <row r="136" spans="1:11" ht="16.5" customHeight="1">
      <c r="A136" s="130"/>
      <c r="B136" s="96" t="s">
        <v>1022</v>
      </c>
      <c r="C136" s="233">
        <v>1</v>
      </c>
      <c r="D136" s="276"/>
      <c r="E136" s="273"/>
      <c r="F136" s="131"/>
      <c r="G136" s="131"/>
      <c r="H136" s="131"/>
      <c r="I136" s="131"/>
      <c r="J136" s="131"/>
      <c r="K136" s="131"/>
    </row>
    <row r="137" spans="1:11" ht="16.5" customHeight="1">
      <c r="A137" s="130"/>
      <c r="B137" s="96" t="s">
        <v>1023</v>
      </c>
      <c r="C137" s="233">
        <v>1</v>
      </c>
      <c r="D137" s="276"/>
      <c r="E137" s="273"/>
      <c r="F137" s="131"/>
      <c r="G137" s="131"/>
      <c r="H137" s="131"/>
      <c r="I137" s="131"/>
      <c r="J137" s="131"/>
      <c r="K137" s="131"/>
    </row>
    <row r="138" spans="1:11" ht="16.5" customHeight="1">
      <c r="A138" s="130"/>
      <c r="B138" s="96" t="s">
        <v>1024</v>
      </c>
      <c r="C138" s="233">
        <v>1</v>
      </c>
      <c r="D138" s="276"/>
      <c r="E138" s="273"/>
      <c r="F138" s="131"/>
      <c r="G138" s="131"/>
      <c r="H138" s="131"/>
      <c r="I138" s="131"/>
      <c r="J138" s="131"/>
      <c r="K138" s="131"/>
    </row>
    <row r="139" spans="1:11" ht="16.5" customHeight="1">
      <c r="A139" s="130"/>
      <c r="B139" s="96" t="s">
        <v>1025</v>
      </c>
      <c r="C139" s="233">
        <v>2</v>
      </c>
      <c r="D139" s="276"/>
      <c r="E139" s="273"/>
      <c r="F139" s="131"/>
      <c r="G139" s="131"/>
      <c r="H139" s="131"/>
      <c r="I139" s="131"/>
      <c r="J139" s="131"/>
      <c r="K139" s="131"/>
    </row>
    <row r="140" spans="1:11" ht="16.5" customHeight="1">
      <c r="A140" s="130"/>
      <c r="B140" s="96" t="s">
        <v>854</v>
      </c>
      <c r="C140" s="233">
        <v>1</v>
      </c>
      <c r="D140" s="276"/>
      <c r="E140" s="273"/>
      <c r="F140" s="131"/>
      <c r="G140" s="131"/>
      <c r="H140" s="131"/>
      <c r="I140" s="131"/>
      <c r="J140" s="131"/>
      <c r="K140" s="131"/>
    </row>
    <row r="141" spans="1:11" ht="16.5" customHeight="1">
      <c r="A141" s="130"/>
      <c r="B141" s="96" t="s">
        <v>855</v>
      </c>
      <c r="C141" s="233">
        <v>1</v>
      </c>
      <c r="D141" s="276"/>
      <c r="E141" s="273"/>
      <c r="F141" s="131"/>
      <c r="G141" s="131"/>
      <c r="H141" s="131"/>
      <c r="I141" s="131"/>
      <c r="J141" s="131"/>
      <c r="K141" s="131"/>
    </row>
    <row r="142" spans="1:11" ht="16.5" customHeight="1">
      <c r="A142" s="130"/>
      <c r="B142" s="96" t="s">
        <v>1026</v>
      </c>
      <c r="C142" s="233">
        <v>1</v>
      </c>
      <c r="D142" s="276"/>
      <c r="E142" s="273"/>
      <c r="F142" s="131"/>
      <c r="G142" s="131"/>
      <c r="H142" s="131"/>
      <c r="I142" s="131"/>
      <c r="J142" s="131"/>
      <c r="K142" s="131"/>
    </row>
    <row r="143" spans="1:11" ht="16.5" customHeight="1">
      <c r="A143" s="130"/>
      <c r="B143" s="96" t="s">
        <v>1027</v>
      </c>
      <c r="C143" s="233">
        <v>1</v>
      </c>
      <c r="D143" s="276"/>
      <c r="E143" s="273"/>
      <c r="F143" s="131"/>
      <c r="G143" s="131"/>
      <c r="H143" s="131"/>
      <c r="I143" s="131"/>
      <c r="J143" s="131"/>
      <c r="K143" s="131"/>
    </row>
    <row r="144" spans="1:11" ht="16.5" customHeight="1">
      <c r="A144" s="130"/>
      <c r="B144" s="96" t="s">
        <v>1028</v>
      </c>
      <c r="C144" s="233">
        <v>2</v>
      </c>
      <c r="D144" s="276"/>
      <c r="E144" s="273"/>
      <c r="F144" s="131"/>
      <c r="G144" s="131"/>
      <c r="H144" s="131"/>
      <c r="I144" s="131"/>
      <c r="J144" s="131"/>
      <c r="K144" s="131"/>
    </row>
    <row r="145" spans="1:11" ht="16.5" customHeight="1">
      <c r="A145" s="130"/>
      <c r="B145" s="96" t="s">
        <v>1029</v>
      </c>
      <c r="C145" s="233">
        <v>1</v>
      </c>
      <c r="D145" s="276"/>
      <c r="E145" s="273"/>
      <c r="F145" s="131"/>
      <c r="G145" s="131"/>
      <c r="H145" s="131"/>
      <c r="I145" s="131"/>
      <c r="J145" s="131"/>
      <c r="K145" s="131"/>
    </row>
    <row r="146" spans="1:11" ht="16.5" customHeight="1">
      <c r="A146" s="130"/>
      <c r="B146" s="96" t="s">
        <v>1030</v>
      </c>
      <c r="C146" s="233">
        <v>1</v>
      </c>
      <c r="D146" s="276"/>
      <c r="E146" s="273"/>
      <c r="F146" s="131"/>
      <c r="G146" s="131"/>
      <c r="H146" s="131"/>
      <c r="I146" s="131"/>
      <c r="J146" s="131"/>
      <c r="K146" s="131"/>
    </row>
    <row r="147" spans="1:11" ht="16.5" customHeight="1">
      <c r="A147" s="130"/>
      <c r="B147" s="96" t="s">
        <v>1031</v>
      </c>
      <c r="C147" s="233">
        <v>1</v>
      </c>
      <c r="D147" s="276"/>
      <c r="E147" s="273"/>
      <c r="F147" s="131"/>
      <c r="G147" s="131"/>
      <c r="H147" s="131"/>
      <c r="I147" s="131"/>
      <c r="J147" s="131"/>
      <c r="K147" s="131"/>
    </row>
    <row r="148" spans="1:11" ht="16.5" customHeight="1">
      <c r="A148" s="130"/>
      <c r="B148" s="126" t="s">
        <v>1032</v>
      </c>
      <c r="C148" s="271">
        <v>10</v>
      </c>
      <c r="D148" s="277"/>
      <c r="E148" s="273"/>
      <c r="F148" s="131"/>
      <c r="G148" s="131"/>
      <c r="H148" s="131"/>
      <c r="I148" s="131"/>
      <c r="J148" s="131"/>
      <c r="K148" s="131"/>
    </row>
    <row r="149" spans="1:11" ht="16.5" customHeight="1">
      <c r="A149" s="130"/>
      <c r="B149" s="96" t="s">
        <v>1033</v>
      </c>
      <c r="C149" s="233">
        <v>1</v>
      </c>
      <c r="D149" s="276"/>
      <c r="E149" s="273"/>
      <c r="F149" s="131"/>
      <c r="G149" s="131"/>
      <c r="H149" s="131"/>
      <c r="I149" s="131"/>
      <c r="J149" s="131"/>
      <c r="K149" s="131"/>
    </row>
    <row r="150" spans="1:11" ht="16.5" customHeight="1">
      <c r="A150" s="130"/>
      <c r="B150" s="96" t="s">
        <v>1034</v>
      </c>
      <c r="C150" s="233">
        <v>2</v>
      </c>
      <c r="D150" s="276"/>
      <c r="E150" s="273"/>
      <c r="F150" s="131"/>
      <c r="G150" s="131"/>
      <c r="H150" s="131"/>
      <c r="I150" s="131"/>
      <c r="J150" s="131"/>
      <c r="K150" s="131"/>
    </row>
    <row r="151" spans="1:11" ht="16.5" customHeight="1">
      <c r="A151" s="130"/>
      <c r="B151" s="96" t="s">
        <v>1035</v>
      </c>
      <c r="C151" s="233">
        <v>1</v>
      </c>
      <c r="D151" s="276"/>
      <c r="E151" s="273"/>
      <c r="F151" s="131"/>
      <c r="G151" s="131"/>
      <c r="H151" s="131"/>
      <c r="I151" s="131"/>
      <c r="J151" s="131"/>
      <c r="K151" s="131"/>
    </row>
    <row r="152" spans="1:11" ht="16.5" customHeight="1">
      <c r="A152" s="130"/>
      <c r="B152" s="96" t="s">
        <v>1036</v>
      </c>
      <c r="C152" s="233">
        <v>1</v>
      </c>
      <c r="D152" s="276"/>
      <c r="E152" s="273"/>
      <c r="F152" s="131"/>
      <c r="G152" s="131"/>
      <c r="H152" s="131"/>
      <c r="I152" s="131"/>
      <c r="J152" s="131"/>
      <c r="K152" s="131"/>
    </row>
    <row r="153" spans="1:11" ht="16.5" customHeight="1">
      <c r="A153" s="130"/>
      <c r="B153" s="126" t="s">
        <v>857</v>
      </c>
      <c r="C153" s="233">
        <v>1</v>
      </c>
      <c r="D153" s="277"/>
      <c r="E153" s="273"/>
      <c r="F153" s="131"/>
      <c r="G153" s="131"/>
      <c r="H153" s="131"/>
      <c r="I153" s="131"/>
      <c r="J153" s="131"/>
      <c r="K153" s="131"/>
    </row>
    <row r="154" spans="1:11" ht="16.5" customHeight="1">
      <c r="A154" s="130"/>
      <c r="B154" s="96" t="s">
        <v>1037</v>
      </c>
      <c r="C154" s="233">
        <v>1</v>
      </c>
      <c r="D154" s="276"/>
      <c r="E154" s="273"/>
      <c r="F154" s="131"/>
      <c r="G154" s="131"/>
      <c r="H154" s="131"/>
      <c r="I154" s="131"/>
      <c r="J154" s="131"/>
      <c r="K154" s="131"/>
    </row>
    <row r="155" spans="1:11" ht="16.5" customHeight="1">
      <c r="A155" s="135"/>
      <c r="B155" s="98" t="s">
        <v>146</v>
      </c>
      <c r="C155" s="234">
        <v>131</v>
      </c>
      <c r="D155" s="276"/>
      <c r="E155" s="273"/>
      <c r="F155" s="131"/>
      <c r="G155" s="131"/>
      <c r="H155" s="131"/>
      <c r="I155" s="131"/>
      <c r="J155" s="131"/>
      <c r="K155" s="131"/>
    </row>
    <row r="156" spans="1:11" ht="16.5" customHeight="1">
      <c r="A156" s="117"/>
      <c r="B156" s="99"/>
      <c r="C156" s="128"/>
      <c r="D156" s="276"/>
      <c r="E156" s="273"/>
      <c r="F156" s="131"/>
      <c r="G156" s="131"/>
      <c r="H156" s="131"/>
      <c r="I156" s="131"/>
      <c r="J156" s="131"/>
      <c r="K156" s="131"/>
    </row>
    <row r="157" spans="1:11" ht="16.5" customHeight="1">
      <c r="A157" s="114" t="s">
        <v>919</v>
      </c>
      <c r="B157" s="114" t="s">
        <v>105</v>
      </c>
      <c r="C157" s="114"/>
      <c r="D157" s="276"/>
      <c r="E157" s="273"/>
      <c r="F157" s="131"/>
      <c r="G157" s="131"/>
      <c r="H157" s="131"/>
      <c r="I157" s="131"/>
      <c r="J157" s="131"/>
      <c r="K157" s="131"/>
    </row>
    <row r="158" spans="1:11" ht="16.5" customHeight="1">
      <c r="A158" s="130"/>
      <c r="B158" s="96" t="s">
        <v>1038</v>
      </c>
      <c r="C158" s="233">
        <v>1</v>
      </c>
      <c r="D158" s="276"/>
      <c r="E158" s="273"/>
      <c r="F158" s="131"/>
      <c r="G158" s="131"/>
      <c r="H158" s="131"/>
      <c r="I158" s="131"/>
      <c r="J158" s="131"/>
      <c r="K158" s="131"/>
    </row>
    <row r="159" spans="1:11" ht="16.5" customHeight="1">
      <c r="A159" s="130"/>
      <c r="B159" s="96" t="s">
        <v>1039</v>
      </c>
      <c r="C159" s="233">
        <v>1</v>
      </c>
      <c r="D159" s="276"/>
      <c r="E159" s="273"/>
      <c r="F159" s="131"/>
      <c r="G159" s="131"/>
      <c r="H159" s="131"/>
      <c r="I159" s="131"/>
      <c r="J159" s="131"/>
      <c r="K159" s="131"/>
    </row>
    <row r="160" spans="1:11" ht="16.5" customHeight="1">
      <c r="A160" s="130"/>
      <c r="B160" s="126" t="s">
        <v>1040</v>
      </c>
      <c r="C160" s="233">
        <v>1</v>
      </c>
      <c r="D160" s="277"/>
      <c r="E160" s="273"/>
      <c r="F160" s="131"/>
      <c r="G160" s="131"/>
      <c r="H160" s="131"/>
      <c r="I160" s="131"/>
      <c r="J160" s="131"/>
      <c r="K160" s="131"/>
    </row>
    <row r="161" spans="1:11" ht="16.5" customHeight="1">
      <c r="A161" s="130"/>
      <c r="B161" s="126" t="s">
        <v>1041</v>
      </c>
      <c r="C161" s="233">
        <v>1</v>
      </c>
      <c r="D161" s="277"/>
      <c r="E161" s="273"/>
      <c r="F161" s="131"/>
      <c r="G161" s="131"/>
      <c r="H161" s="131"/>
      <c r="I161" s="131"/>
      <c r="J161" s="131"/>
      <c r="K161" s="131"/>
    </row>
    <row r="162" spans="1:11" ht="16.5" customHeight="1">
      <c r="A162" s="130"/>
      <c r="B162" s="126" t="s">
        <v>1042</v>
      </c>
      <c r="C162" s="233">
        <v>1</v>
      </c>
      <c r="D162" s="277"/>
      <c r="E162" s="273"/>
      <c r="F162" s="131"/>
      <c r="G162" s="131"/>
      <c r="H162" s="131"/>
      <c r="I162" s="131"/>
      <c r="J162" s="131"/>
      <c r="K162" s="131"/>
    </row>
    <row r="163" spans="1:11" ht="16.5" customHeight="1">
      <c r="A163" s="130"/>
      <c r="B163" s="96" t="s">
        <v>1043</v>
      </c>
      <c r="C163" s="233">
        <v>1</v>
      </c>
      <c r="D163" s="276"/>
      <c r="E163" s="273"/>
      <c r="F163" s="131"/>
      <c r="G163" s="131"/>
      <c r="H163" s="131"/>
      <c r="I163" s="131"/>
      <c r="J163" s="131"/>
      <c r="K163" s="131"/>
    </row>
    <row r="164" spans="1:11" ht="16.5" customHeight="1">
      <c r="A164" s="130"/>
      <c r="B164" s="96" t="s">
        <v>1044</v>
      </c>
      <c r="C164" s="233">
        <v>1</v>
      </c>
      <c r="D164" s="276"/>
      <c r="E164" s="273"/>
      <c r="F164" s="131"/>
      <c r="G164" s="131"/>
      <c r="H164" s="131"/>
      <c r="I164" s="131"/>
      <c r="J164" s="131"/>
      <c r="K164" s="131"/>
    </row>
    <row r="165" spans="1:11" ht="16.5" customHeight="1">
      <c r="A165" s="130"/>
      <c r="B165" s="96" t="s">
        <v>994</v>
      </c>
      <c r="C165" s="233">
        <v>1</v>
      </c>
      <c r="D165" s="276"/>
      <c r="E165" s="273"/>
      <c r="F165" s="131"/>
      <c r="G165" s="131"/>
      <c r="H165" s="131"/>
      <c r="I165" s="131"/>
      <c r="J165" s="131"/>
      <c r="K165" s="131"/>
    </row>
    <row r="166" spans="1:11" ht="16.5" customHeight="1">
      <c r="A166" s="130"/>
      <c r="B166" s="126" t="s">
        <v>995</v>
      </c>
      <c r="C166" s="233">
        <v>1</v>
      </c>
      <c r="D166" s="277"/>
      <c r="E166" s="273"/>
      <c r="F166" s="131"/>
      <c r="G166" s="131"/>
      <c r="H166" s="131"/>
      <c r="I166" s="131"/>
      <c r="J166" s="131"/>
      <c r="K166" s="131"/>
    </row>
    <row r="167" spans="1:11" ht="16.5" customHeight="1">
      <c r="A167" s="130"/>
      <c r="B167" s="126" t="s">
        <v>1045</v>
      </c>
      <c r="C167" s="233">
        <v>1</v>
      </c>
      <c r="D167" s="277"/>
      <c r="E167" s="273"/>
      <c r="F167" s="131"/>
      <c r="G167" s="131"/>
      <c r="H167" s="131"/>
      <c r="I167" s="131"/>
      <c r="J167" s="131"/>
      <c r="K167" s="131"/>
    </row>
    <row r="168" spans="1:11" ht="16.5" customHeight="1">
      <c r="A168" s="130"/>
      <c r="B168" s="96" t="s">
        <v>996</v>
      </c>
      <c r="C168" s="233">
        <v>4</v>
      </c>
      <c r="D168" s="276"/>
      <c r="E168" s="273"/>
      <c r="F168" s="131"/>
      <c r="G168" s="131"/>
      <c r="H168" s="131"/>
      <c r="I168" s="131"/>
      <c r="J168" s="131"/>
      <c r="K168" s="131"/>
    </row>
    <row r="169" spans="1:11" ht="16.5" customHeight="1">
      <c r="A169" s="130"/>
      <c r="B169" s="96" t="s">
        <v>998</v>
      </c>
      <c r="C169" s="233">
        <v>2</v>
      </c>
      <c r="D169" s="276"/>
      <c r="E169" s="273"/>
      <c r="F169" s="131"/>
      <c r="G169" s="131"/>
      <c r="H169" s="131"/>
      <c r="I169" s="131"/>
      <c r="J169" s="131"/>
      <c r="K169" s="131"/>
    </row>
    <row r="170" spans="1:11" ht="16.5" customHeight="1">
      <c r="A170" s="130"/>
      <c r="B170" s="96" t="s">
        <v>999</v>
      </c>
      <c r="C170" s="233">
        <v>10</v>
      </c>
      <c r="D170" s="276"/>
      <c r="E170" s="273"/>
      <c r="F170" s="131"/>
      <c r="G170" s="131"/>
      <c r="H170" s="131"/>
      <c r="I170" s="131"/>
      <c r="J170" s="131"/>
      <c r="K170" s="131"/>
    </row>
    <row r="171" spans="1:11" ht="16.5" customHeight="1">
      <c r="A171" s="130"/>
      <c r="B171" s="96" t="s">
        <v>275</v>
      </c>
      <c r="C171" s="233">
        <v>1</v>
      </c>
      <c r="D171" s="276"/>
      <c r="E171" s="273"/>
      <c r="F171" s="131"/>
      <c r="G171" s="131"/>
      <c r="H171" s="131"/>
      <c r="I171" s="131"/>
      <c r="J171" s="131"/>
      <c r="K171" s="131"/>
    </row>
    <row r="172" spans="1:11" ht="16.5" customHeight="1">
      <c r="A172" s="130"/>
      <c r="B172" s="96" t="s">
        <v>1046</v>
      </c>
      <c r="C172" s="233">
        <v>2</v>
      </c>
      <c r="D172" s="276"/>
      <c r="E172" s="273"/>
      <c r="F172" s="131"/>
      <c r="G172" s="131"/>
      <c r="H172" s="131"/>
      <c r="I172" s="131"/>
      <c r="J172" s="131"/>
      <c r="K172" s="131"/>
    </row>
    <row r="173" spans="1:11" ht="16.5" customHeight="1">
      <c r="A173" s="130"/>
      <c r="B173" s="96" t="s">
        <v>1000</v>
      </c>
      <c r="C173" s="233">
        <v>1</v>
      </c>
      <c r="D173" s="276"/>
      <c r="E173" s="273"/>
      <c r="F173" s="131"/>
      <c r="G173" s="131"/>
      <c r="H173" s="131"/>
      <c r="I173" s="131"/>
      <c r="J173" s="131"/>
      <c r="K173" s="131"/>
    </row>
    <row r="174" spans="1:11" ht="16.5" customHeight="1">
      <c r="A174" s="130"/>
      <c r="B174" s="96" t="s">
        <v>1002</v>
      </c>
      <c r="C174" s="233">
        <v>1</v>
      </c>
      <c r="D174" s="276"/>
      <c r="E174" s="273"/>
      <c r="F174" s="131"/>
      <c r="G174" s="131"/>
      <c r="H174" s="131"/>
      <c r="I174" s="131"/>
      <c r="J174" s="131"/>
      <c r="K174" s="131"/>
    </row>
    <row r="175" spans="1:11" ht="16.5" customHeight="1">
      <c r="A175" s="130"/>
      <c r="B175" s="96" t="s">
        <v>1003</v>
      </c>
      <c r="C175" s="233">
        <v>1</v>
      </c>
      <c r="D175" s="276"/>
      <c r="E175" s="273"/>
      <c r="F175" s="131"/>
      <c r="G175" s="131"/>
      <c r="H175" s="131"/>
      <c r="I175" s="131"/>
      <c r="J175" s="131"/>
      <c r="K175" s="131"/>
    </row>
    <row r="176" spans="1:11" ht="16.5" customHeight="1">
      <c r="A176" s="130"/>
      <c r="B176" s="96" t="s">
        <v>1047</v>
      </c>
      <c r="C176" s="233">
        <v>1</v>
      </c>
      <c r="D176" s="276"/>
      <c r="E176" s="273"/>
      <c r="F176" s="131"/>
      <c r="G176" s="131"/>
      <c r="H176" s="131"/>
      <c r="I176" s="131"/>
      <c r="J176" s="131"/>
      <c r="K176" s="131"/>
    </row>
    <row r="177" spans="1:11" ht="16.5" customHeight="1">
      <c r="A177" s="130"/>
      <c r="B177" s="96" t="s">
        <v>1048</v>
      </c>
      <c r="C177" s="233">
        <v>4</v>
      </c>
      <c r="D177" s="276"/>
      <c r="E177" s="273"/>
      <c r="F177" s="131"/>
      <c r="G177" s="131"/>
      <c r="H177" s="131"/>
      <c r="I177" s="131"/>
      <c r="J177" s="131"/>
      <c r="K177" s="131"/>
    </row>
    <row r="178" spans="1:11" ht="16.5" customHeight="1">
      <c r="A178" s="130"/>
      <c r="B178" s="96" t="s">
        <v>1049</v>
      </c>
      <c r="C178" s="233">
        <v>6</v>
      </c>
      <c r="D178" s="276"/>
      <c r="E178" s="273"/>
      <c r="F178" s="131"/>
      <c r="G178" s="131"/>
      <c r="H178" s="131"/>
      <c r="I178" s="131"/>
      <c r="J178" s="131"/>
      <c r="K178" s="131"/>
    </row>
    <row r="179" spans="1:11" ht="16.5" customHeight="1">
      <c r="A179" s="130"/>
      <c r="B179" s="96" t="s">
        <v>1004</v>
      </c>
      <c r="C179" s="233">
        <v>4</v>
      </c>
      <c r="D179" s="276"/>
      <c r="E179" s="273"/>
      <c r="F179" s="131"/>
      <c r="G179" s="131"/>
      <c r="H179" s="131"/>
      <c r="I179" s="131"/>
      <c r="J179" s="131"/>
      <c r="K179" s="131"/>
    </row>
    <row r="180" spans="1:11" ht="16.5" customHeight="1">
      <c r="A180" s="130"/>
      <c r="B180" s="96" t="s">
        <v>1005</v>
      </c>
      <c r="C180" s="233">
        <v>4</v>
      </c>
      <c r="D180" s="276"/>
      <c r="E180" s="273"/>
      <c r="F180" s="131"/>
      <c r="G180" s="131"/>
      <c r="H180" s="131"/>
      <c r="I180" s="131"/>
      <c r="J180" s="131"/>
      <c r="K180" s="131"/>
    </row>
    <row r="181" spans="1:11" ht="16.5" customHeight="1">
      <c r="A181" s="130"/>
      <c r="B181" s="96" t="s">
        <v>1050</v>
      </c>
      <c r="C181" s="233">
        <v>1</v>
      </c>
      <c r="D181" s="276"/>
      <c r="E181" s="273"/>
      <c r="F181" s="131"/>
      <c r="G181" s="131"/>
      <c r="H181" s="131"/>
      <c r="I181" s="131"/>
      <c r="J181" s="131"/>
      <c r="K181" s="131"/>
    </row>
    <row r="182" spans="1:11" ht="16.5" customHeight="1">
      <c r="A182" s="130"/>
      <c r="B182" s="96" t="s">
        <v>1051</v>
      </c>
      <c r="C182" s="233">
        <v>1</v>
      </c>
      <c r="D182" s="276"/>
      <c r="E182" s="273"/>
      <c r="F182" s="131"/>
      <c r="G182" s="131"/>
      <c r="H182" s="131"/>
      <c r="I182" s="131"/>
      <c r="J182" s="131"/>
      <c r="K182" s="131"/>
    </row>
    <row r="183" spans="1:11" ht="16.5" customHeight="1">
      <c r="A183" s="130"/>
      <c r="B183" s="96" t="s">
        <v>1006</v>
      </c>
      <c r="C183" s="233">
        <v>2</v>
      </c>
      <c r="D183" s="276"/>
      <c r="E183" s="273"/>
      <c r="F183" s="131"/>
      <c r="G183" s="131"/>
      <c r="H183" s="131"/>
      <c r="I183" s="131"/>
      <c r="J183" s="131"/>
      <c r="K183" s="131"/>
    </row>
    <row r="184" spans="1:11" ht="16.5" customHeight="1">
      <c r="A184" s="130"/>
      <c r="B184" s="96" t="s">
        <v>770</v>
      </c>
      <c r="C184" s="233">
        <v>3</v>
      </c>
      <c r="D184" s="277"/>
      <c r="E184" s="273"/>
      <c r="F184" s="131"/>
      <c r="G184" s="131"/>
      <c r="H184" s="131"/>
      <c r="I184" s="131"/>
      <c r="J184" s="131"/>
      <c r="K184" s="131"/>
    </row>
    <row r="185" spans="1:11" ht="16.5" customHeight="1">
      <c r="A185" s="130"/>
      <c r="B185" s="96" t="s">
        <v>1007</v>
      </c>
      <c r="C185" s="233">
        <v>1</v>
      </c>
      <c r="D185" s="277"/>
      <c r="E185" s="273"/>
      <c r="F185" s="131"/>
      <c r="G185" s="131"/>
      <c r="H185" s="131"/>
      <c r="I185" s="131"/>
      <c r="J185" s="131"/>
      <c r="K185" s="131"/>
    </row>
    <row r="186" spans="1:11" ht="16.5" customHeight="1">
      <c r="A186" s="130"/>
      <c r="B186" s="96" t="s">
        <v>1008</v>
      </c>
      <c r="C186" s="233">
        <v>2</v>
      </c>
      <c r="D186" s="276"/>
      <c r="E186" s="273"/>
      <c r="F186" s="131"/>
      <c r="G186" s="131"/>
      <c r="H186" s="131"/>
      <c r="I186" s="131"/>
      <c r="J186" s="131"/>
      <c r="K186" s="131"/>
    </row>
    <row r="187" spans="1:11" ht="16.5" customHeight="1">
      <c r="A187" s="130"/>
      <c r="B187" s="96" t="s">
        <v>1011</v>
      </c>
      <c r="C187" s="233">
        <v>4</v>
      </c>
      <c r="D187" s="276"/>
      <c r="E187" s="273"/>
      <c r="F187" s="131"/>
      <c r="G187" s="131"/>
      <c r="H187" s="131"/>
      <c r="I187" s="131"/>
      <c r="J187" s="131"/>
      <c r="K187" s="131"/>
    </row>
    <row r="188" spans="1:11" ht="16.5" customHeight="1">
      <c r="A188" s="130"/>
      <c r="B188" s="96" t="s">
        <v>1012</v>
      </c>
      <c r="C188" s="233">
        <v>10</v>
      </c>
      <c r="D188" s="276"/>
      <c r="E188" s="273"/>
      <c r="F188" s="131"/>
      <c r="G188" s="131"/>
      <c r="H188" s="131"/>
      <c r="I188" s="131"/>
      <c r="J188" s="131"/>
      <c r="K188" s="131"/>
    </row>
    <row r="189" spans="1:11" ht="16.5" customHeight="1">
      <c r="A189" s="130"/>
      <c r="B189" s="96" t="s">
        <v>1013</v>
      </c>
      <c r="C189" s="233">
        <v>1</v>
      </c>
      <c r="D189" s="276"/>
      <c r="E189" s="273"/>
      <c r="F189" s="131"/>
      <c r="G189" s="131"/>
      <c r="H189" s="131"/>
      <c r="I189" s="131"/>
      <c r="J189" s="131"/>
      <c r="K189" s="131"/>
    </row>
    <row r="190" spans="1:11" ht="16.5" customHeight="1">
      <c r="A190" s="130"/>
      <c r="B190" s="96" t="s">
        <v>784</v>
      </c>
      <c r="C190" s="233">
        <v>1</v>
      </c>
      <c r="D190" s="276"/>
      <c r="E190" s="273"/>
      <c r="F190" s="131"/>
      <c r="G190" s="131"/>
      <c r="H190" s="131"/>
      <c r="I190" s="131"/>
      <c r="J190" s="131"/>
      <c r="K190" s="131"/>
    </row>
    <row r="191" spans="1:11" ht="16.5" customHeight="1">
      <c r="A191" s="130"/>
      <c r="B191" s="96" t="s">
        <v>1052</v>
      </c>
      <c r="C191" s="233">
        <v>1</v>
      </c>
      <c r="D191" s="276"/>
      <c r="E191" s="273"/>
      <c r="F191" s="131"/>
      <c r="G191" s="131"/>
      <c r="H191" s="131"/>
      <c r="I191" s="131"/>
      <c r="J191" s="131"/>
      <c r="K191" s="131"/>
    </row>
    <row r="192" spans="1:11" ht="16.5" customHeight="1">
      <c r="A192" s="130"/>
      <c r="B192" s="96" t="s">
        <v>1053</v>
      </c>
      <c r="C192" s="233">
        <v>1</v>
      </c>
      <c r="D192" s="276"/>
      <c r="E192" s="273"/>
      <c r="F192" s="131"/>
      <c r="G192" s="131"/>
      <c r="H192" s="131"/>
      <c r="I192" s="131"/>
      <c r="J192" s="131"/>
      <c r="K192" s="131"/>
    </row>
    <row r="193" spans="1:11" ht="16.5" customHeight="1">
      <c r="A193" s="130"/>
      <c r="B193" s="96" t="s">
        <v>1016</v>
      </c>
      <c r="C193" s="233">
        <v>1</v>
      </c>
      <c r="D193" s="276"/>
      <c r="E193" s="273"/>
      <c r="F193" s="131"/>
      <c r="G193" s="131"/>
      <c r="H193" s="131"/>
      <c r="I193" s="131"/>
      <c r="J193" s="131"/>
      <c r="K193" s="131"/>
    </row>
    <row r="194" spans="1:11" ht="16.5" customHeight="1">
      <c r="A194" s="130"/>
      <c r="B194" s="96" t="s">
        <v>1017</v>
      </c>
      <c r="C194" s="233">
        <v>1</v>
      </c>
      <c r="D194" s="276"/>
      <c r="E194" s="273"/>
      <c r="F194" s="131"/>
      <c r="G194" s="131"/>
      <c r="H194" s="131"/>
      <c r="I194" s="131"/>
      <c r="J194" s="131"/>
      <c r="K194" s="131"/>
    </row>
    <row r="195" spans="1:11" ht="16.5" customHeight="1">
      <c r="A195" s="130"/>
      <c r="B195" s="96" t="s">
        <v>1018</v>
      </c>
      <c r="C195" s="233">
        <v>1</v>
      </c>
      <c r="D195" s="276"/>
      <c r="E195" s="273"/>
      <c r="F195" s="131"/>
      <c r="G195" s="131"/>
      <c r="H195" s="131"/>
      <c r="I195" s="131"/>
      <c r="J195" s="131"/>
      <c r="K195" s="131"/>
    </row>
    <row r="196" spans="1:11" ht="16.5" customHeight="1">
      <c r="A196" s="130"/>
      <c r="B196" s="96" t="s">
        <v>1019</v>
      </c>
      <c r="C196" s="233">
        <v>1</v>
      </c>
      <c r="D196" s="276"/>
      <c r="E196" s="273"/>
      <c r="F196" s="131"/>
      <c r="G196" s="131"/>
      <c r="H196" s="131"/>
      <c r="I196" s="131"/>
      <c r="J196" s="131"/>
      <c r="K196" s="131"/>
    </row>
    <row r="197" spans="1:11" ht="16.5" customHeight="1">
      <c r="A197" s="130"/>
      <c r="B197" s="96" t="s">
        <v>1020</v>
      </c>
      <c r="C197" s="233">
        <v>1</v>
      </c>
      <c r="D197" s="276"/>
      <c r="E197" s="273"/>
      <c r="F197" s="131"/>
      <c r="G197" s="131"/>
      <c r="H197" s="131"/>
      <c r="I197" s="131"/>
      <c r="J197" s="131"/>
      <c r="K197" s="131"/>
    </row>
    <row r="198" spans="1:11" ht="16.5" customHeight="1">
      <c r="A198" s="130"/>
      <c r="B198" s="96" t="s">
        <v>1022</v>
      </c>
      <c r="C198" s="233">
        <v>1</v>
      </c>
      <c r="D198" s="276"/>
      <c r="E198" s="273"/>
      <c r="F198" s="131"/>
      <c r="G198" s="131"/>
      <c r="H198" s="131"/>
      <c r="I198" s="131"/>
      <c r="J198" s="131"/>
      <c r="K198" s="131"/>
    </row>
    <row r="199" spans="1:11" ht="16.5" customHeight="1">
      <c r="A199" s="130"/>
      <c r="B199" s="96" t="s">
        <v>1023</v>
      </c>
      <c r="C199" s="233">
        <v>1</v>
      </c>
      <c r="D199" s="276"/>
      <c r="E199" s="273"/>
      <c r="F199" s="131"/>
      <c r="G199" s="131"/>
      <c r="H199" s="131"/>
      <c r="I199" s="131"/>
      <c r="J199" s="131"/>
      <c r="K199" s="131"/>
    </row>
    <row r="200" spans="1:11" ht="16.5" customHeight="1">
      <c r="A200" s="130"/>
      <c r="B200" s="96" t="s">
        <v>1024</v>
      </c>
      <c r="C200" s="233">
        <v>1</v>
      </c>
      <c r="D200" s="276"/>
      <c r="E200" s="273"/>
      <c r="F200" s="131"/>
      <c r="G200" s="131"/>
      <c r="H200" s="131"/>
      <c r="I200" s="131"/>
      <c r="J200" s="131"/>
      <c r="K200" s="131"/>
    </row>
    <row r="201" spans="1:11" ht="16.5" customHeight="1">
      <c r="A201" s="130"/>
      <c r="B201" s="96" t="s">
        <v>1054</v>
      </c>
      <c r="C201" s="233">
        <v>1</v>
      </c>
      <c r="D201" s="276"/>
      <c r="E201" s="273"/>
      <c r="F201" s="131"/>
      <c r="G201" s="131"/>
      <c r="H201" s="131"/>
      <c r="I201" s="131"/>
      <c r="J201" s="131"/>
      <c r="K201" s="131"/>
    </row>
    <row r="202" spans="1:11" ht="16.5" customHeight="1">
      <c r="A202" s="130"/>
      <c r="B202" s="96" t="s">
        <v>1055</v>
      </c>
      <c r="C202" s="233">
        <v>1</v>
      </c>
      <c r="D202" s="276"/>
      <c r="E202" s="273"/>
      <c r="F202" s="131"/>
      <c r="G202" s="131"/>
      <c r="H202" s="131"/>
      <c r="I202" s="131"/>
      <c r="J202" s="131"/>
      <c r="K202" s="131"/>
    </row>
    <row r="203" spans="1:11" ht="16.5" customHeight="1">
      <c r="A203" s="130"/>
      <c r="B203" s="96" t="s">
        <v>1056</v>
      </c>
      <c r="C203" s="233">
        <v>1</v>
      </c>
      <c r="D203" s="276"/>
      <c r="E203" s="273"/>
      <c r="F203" s="131"/>
      <c r="G203" s="131"/>
      <c r="H203" s="131"/>
      <c r="I203" s="131"/>
      <c r="J203" s="131"/>
      <c r="K203" s="131"/>
    </row>
    <row r="204" spans="1:11" ht="16.5" customHeight="1">
      <c r="A204" s="130"/>
      <c r="B204" s="96" t="s">
        <v>1057</v>
      </c>
      <c r="C204" s="233">
        <v>1</v>
      </c>
      <c r="D204" s="276"/>
      <c r="E204" s="273"/>
      <c r="F204" s="131"/>
      <c r="G204" s="131"/>
      <c r="H204" s="131"/>
      <c r="I204" s="131"/>
      <c r="J204" s="131"/>
      <c r="K204" s="131"/>
    </row>
    <row r="205" spans="1:11" ht="16.5" customHeight="1">
      <c r="A205" s="130"/>
      <c r="B205" s="96" t="s">
        <v>1058</v>
      </c>
      <c r="C205" s="233">
        <v>1</v>
      </c>
      <c r="D205" s="276"/>
      <c r="E205" s="273"/>
      <c r="F205" s="131"/>
      <c r="G205" s="131"/>
      <c r="H205" s="131"/>
      <c r="I205" s="131"/>
      <c r="J205" s="131"/>
      <c r="K205" s="131"/>
    </row>
    <row r="206" spans="1:11" ht="16.5" customHeight="1">
      <c r="A206" s="130"/>
      <c r="B206" s="96" t="s">
        <v>1059</v>
      </c>
      <c r="C206" s="233">
        <v>1</v>
      </c>
      <c r="D206" s="276"/>
      <c r="E206" s="273"/>
      <c r="F206" s="131"/>
      <c r="G206" s="131"/>
      <c r="H206" s="131"/>
      <c r="I206" s="131"/>
      <c r="J206" s="131"/>
      <c r="K206" s="131"/>
    </row>
    <row r="207" spans="1:11" ht="16.5" customHeight="1">
      <c r="A207" s="130"/>
      <c r="B207" s="96" t="s">
        <v>1060</v>
      </c>
      <c r="C207" s="233">
        <v>1</v>
      </c>
      <c r="D207" s="276"/>
      <c r="E207" s="273"/>
      <c r="F207" s="131"/>
      <c r="G207" s="131"/>
      <c r="H207" s="131"/>
      <c r="I207" s="131"/>
      <c r="J207" s="131"/>
      <c r="K207" s="131"/>
    </row>
    <row r="208" spans="1:11" ht="16.5" customHeight="1">
      <c r="A208" s="130"/>
      <c r="B208" s="96" t="s">
        <v>1061</v>
      </c>
      <c r="C208" s="233">
        <v>1</v>
      </c>
      <c r="D208" s="276"/>
      <c r="E208" s="273"/>
      <c r="F208" s="131"/>
      <c r="G208" s="131"/>
      <c r="H208" s="131"/>
      <c r="I208" s="131"/>
      <c r="J208" s="131"/>
      <c r="K208" s="131"/>
    </row>
    <row r="209" spans="1:11" ht="16.5" customHeight="1">
      <c r="A209" s="130"/>
      <c r="B209" s="96" t="s">
        <v>1062</v>
      </c>
      <c r="C209" s="233">
        <v>1</v>
      </c>
      <c r="D209" s="276"/>
      <c r="E209" s="273"/>
      <c r="F209" s="131"/>
      <c r="G209" s="131"/>
      <c r="H209" s="131"/>
      <c r="I209" s="131"/>
      <c r="J209" s="131"/>
      <c r="K209" s="131"/>
    </row>
    <row r="210" spans="1:11" ht="16.5" customHeight="1">
      <c r="A210" s="130"/>
      <c r="B210" s="96" t="s">
        <v>1063</v>
      </c>
      <c r="C210" s="233">
        <v>1</v>
      </c>
      <c r="D210" s="276"/>
      <c r="E210" s="273"/>
      <c r="F210" s="131"/>
      <c r="G210" s="131"/>
      <c r="H210" s="131"/>
      <c r="I210" s="131"/>
      <c r="J210" s="131"/>
      <c r="K210" s="131"/>
    </row>
    <row r="211" spans="1:11" ht="16.5" customHeight="1">
      <c r="A211" s="130"/>
      <c r="B211" s="96" t="s">
        <v>1064</v>
      </c>
      <c r="C211" s="233">
        <v>1</v>
      </c>
      <c r="D211" s="276"/>
      <c r="E211" s="273"/>
      <c r="F211" s="131"/>
      <c r="G211" s="131"/>
      <c r="H211" s="131"/>
      <c r="I211" s="131"/>
      <c r="J211" s="131"/>
      <c r="K211" s="131"/>
    </row>
    <row r="212" spans="1:11" ht="16.5" customHeight="1">
      <c r="A212" s="130"/>
      <c r="B212" s="96" t="s">
        <v>1065</v>
      </c>
      <c r="C212" s="233">
        <v>2</v>
      </c>
      <c r="D212" s="276"/>
      <c r="E212" s="273"/>
      <c r="F212" s="131"/>
      <c r="G212" s="131"/>
      <c r="H212" s="131"/>
      <c r="I212" s="131"/>
      <c r="J212" s="131"/>
      <c r="K212" s="131"/>
    </row>
    <row r="213" spans="1:11" ht="16.5" customHeight="1">
      <c r="A213" s="130"/>
      <c r="B213" s="96" t="s">
        <v>1066</v>
      </c>
      <c r="C213" s="233">
        <v>2</v>
      </c>
      <c r="D213" s="276"/>
      <c r="E213" s="273"/>
      <c r="F213" s="131"/>
      <c r="G213" s="131"/>
      <c r="H213" s="131"/>
      <c r="I213" s="131"/>
      <c r="J213" s="131"/>
      <c r="K213" s="131"/>
    </row>
    <row r="214" spans="1:11" ht="16.5" customHeight="1">
      <c r="A214" s="130"/>
      <c r="B214" s="96" t="s">
        <v>1030</v>
      </c>
      <c r="C214" s="233">
        <v>1</v>
      </c>
      <c r="D214" s="276"/>
      <c r="E214" s="273"/>
      <c r="F214" s="131"/>
      <c r="G214" s="131"/>
      <c r="H214" s="131"/>
      <c r="I214" s="131"/>
      <c r="J214" s="131"/>
      <c r="K214" s="131"/>
    </row>
    <row r="215" spans="1:11" ht="16.5" customHeight="1">
      <c r="A215" s="130"/>
      <c r="B215" s="96" t="s">
        <v>1067</v>
      </c>
      <c r="C215" s="233">
        <v>1</v>
      </c>
      <c r="D215" s="276"/>
      <c r="E215" s="273"/>
      <c r="F215" s="131"/>
      <c r="G215" s="131"/>
      <c r="H215" s="131"/>
      <c r="I215" s="131"/>
      <c r="J215" s="131"/>
      <c r="K215" s="131"/>
    </row>
    <row r="216" spans="1:11" ht="16.5" customHeight="1">
      <c r="A216" s="130"/>
      <c r="B216" s="96" t="s">
        <v>853</v>
      </c>
      <c r="C216" s="233">
        <v>1</v>
      </c>
      <c r="D216" s="276"/>
      <c r="E216" s="273"/>
      <c r="F216" s="131"/>
      <c r="G216" s="131"/>
      <c r="H216" s="131"/>
      <c r="I216" s="131"/>
      <c r="J216" s="131"/>
      <c r="K216" s="131"/>
    </row>
    <row r="217" spans="1:11" ht="16.5" customHeight="1">
      <c r="A217" s="130"/>
      <c r="B217" s="126" t="s">
        <v>1034</v>
      </c>
      <c r="C217" s="233">
        <v>1</v>
      </c>
      <c r="D217" s="277"/>
      <c r="E217" s="273"/>
      <c r="F217" s="131"/>
      <c r="G217" s="131"/>
      <c r="H217" s="131"/>
      <c r="I217" s="131"/>
      <c r="J217" s="131"/>
      <c r="K217" s="131"/>
    </row>
    <row r="218" spans="1:11" ht="16.5" customHeight="1">
      <c r="A218" s="130"/>
      <c r="B218" s="126" t="s">
        <v>857</v>
      </c>
      <c r="C218" s="233">
        <v>1</v>
      </c>
      <c r="D218" s="277"/>
      <c r="E218" s="273"/>
      <c r="F218" s="131"/>
      <c r="G218" s="131"/>
      <c r="H218" s="131"/>
      <c r="I218" s="131"/>
      <c r="J218" s="131"/>
      <c r="K218" s="131"/>
    </row>
    <row r="219" spans="1:11" ht="16.5" customHeight="1">
      <c r="A219" s="130"/>
      <c r="B219" s="96" t="s">
        <v>1037</v>
      </c>
      <c r="C219" s="233">
        <v>1</v>
      </c>
      <c r="D219" s="276"/>
      <c r="E219" s="273"/>
      <c r="F219" s="131"/>
      <c r="G219" s="131"/>
      <c r="H219" s="131"/>
      <c r="I219" s="131"/>
      <c r="J219" s="131"/>
      <c r="K219" s="131"/>
    </row>
    <row r="220" spans="1:11" ht="16.5" customHeight="1">
      <c r="A220" s="130"/>
      <c r="B220" s="96" t="s">
        <v>1068</v>
      </c>
      <c r="C220" s="233">
        <v>1</v>
      </c>
      <c r="D220" s="276"/>
      <c r="E220" s="273"/>
      <c r="F220" s="131"/>
      <c r="G220" s="131"/>
      <c r="H220" s="131"/>
      <c r="I220" s="131"/>
      <c r="J220" s="131"/>
      <c r="K220" s="131"/>
    </row>
    <row r="221" spans="1:11" ht="16.5" customHeight="1">
      <c r="A221" s="130"/>
      <c r="B221" s="96" t="s">
        <v>972</v>
      </c>
      <c r="C221" s="233">
        <v>1</v>
      </c>
      <c r="D221" s="277"/>
      <c r="E221" s="273"/>
      <c r="F221" s="131"/>
      <c r="G221" s="131"/>
      <c r="H221" s="131"/>
      <c r="I221" s="131"/>
      <c r="J221" s="131"/>
      <c r="K221" s="131"/>
    </row>
    <row r="222" spans="1:11" ht="16.5" customHeight="1">
      <c r="A222" s="135"/>
      <c r="B222" s="98" t="s">
        <v>146</v>
      </c>
      <c r="C222" s="234">
        <v>110</v>
      </c>
      <c r="D222" s="276"/>
      <c r="E222" s="273"/>
      <c r="F222" s="131"/>
      <c r="G222" s="131"/>
      <c r="H222" s="131"/>
      <c r="I222" s="131"/>
      <c r="J222" s="131"/>
      <c r="K222" s="131"/>
    </row>
  </sheetData>
  <pageMargins left="0.51181102362204722" right="0.51181102362204722" top="1.1811023622047245" bottom="1.1811023622047245" header="0.78740157480314954" footer="0.78740157480314954"/>
  <pageSetup paperSize="0" fitToWidth="0" fitToHeight="0" orientation="portrait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8"/>
  <sheetViews>
    <sheetView showGridLines="0" topLeftCell="A91" workbookViewId="0">
      <selection activeCell="B4" sqref="B4"/>
    </sheetView>
  </sheetViews>
  <sheetFormatPr defaultRowHeight="15" customHeight="1"/>
  <cols>
    <col min="1" max="1" width="18" style="95" bestFit="1" customWidth="1"/>
    <col min="2" max="2" width="47.7109375" style="95" customWidth="1"/>
    <col min="3" max="3" width="12.28515625" style="238" customWidth="1"/>
    <col min="4" max="4" width="13.140625" style="290" customWidth="1"/>
    <col min="5" max="5" width="28.42578125" style="238" customWidth="1"/>
    <col min="6" max="16378" width="28.42578125" style="95" customWidth="1"/>
    <col min="16379" max="16384" width="11.5703125" style="95" customWidth="1"/>
  </cols>
  <sheetData>
    <row r="1" spans="1:5" ht="15" customHeight="1">
      <c r="A1" s="114" t="s">
        <v>1069</v>
      </c>
      <c r="B1" s="114" t="s">
        <v>1070</v>
      </c>
      <c r="C1" s="283" t="s">
        <v>517</v>
      </c>
      <c r="D1" s="289" t="s">
        <v>1421</v>
      </c>
      <c r="E1" s="237" t="s">
        <v>1422</v>
      </c>
    </row>
    <row r="2" spans="1:5" ht="15" customHeight="1">
      <c r="A2" s="130"/>
      <c r="B2" s="279" t="s">
        <v>1071</v>
      </c>
      <c r="C2" s="284">
        <v>2</v>
      </c>
    </row>
    <row r="3" spans="1:5" ht="15" customHeight="1">
      <c r="A3" s="130"/>
      <c r="B3" s="279" t="s">
        <v>1072</v>
      </c>
      <c r="C3" s="284">
        <v>2</v>
      </c>
    </row>
    <row r="4" spans="1:5" ht="15" customHeight="1">
      <c r="A4" s="130"/>
      <c r="B4" s="279" t="s">
        <v>878</v>
      </c>
      <c r="C4" s="284">
        <v>1</v>
      </c>
    </row>
    <row r="5" spans="1:5" ht="15" customHeight="1">
      <c r="A5" s="130"/>
      <c r="B5" s="279" t="s">
        <v>1073</v>
      </c>
      <c r="C5" s="284">
        <v>1</v>
      </c>
    </row>
    <row r="6" spans="1:5" ht="15" customHeight="1">
      <c r="A6" s="130"/>
      <c r="B6" s="279" t="s">
        <v>1074</v>
      </c>
      <c r="C6" s="284">
        <v>1</v>
      </c>
    </row>
    <row r="7" spans="1:5" ht="15" customHeight="1">
      <c r="A7" s="130"/>
      <c r="B7" s="279" t="s">
        <v>1075</v>
      </c>
      <c r="C7" s="284">
        <v>1</v>
      </c>
    </row>
    <row r="8" spans="1:5" ht="15" customHeight="1">
      <c r="A8" s="130"/>
      <c r="B8" s="279" t="s">
        <v>1076</v>
      </c>
      <c r="C8" s="284">
        <v>2</v>
      </c>
    </row>
    <row r="9" spans="1:5" ht="15" customHeight="1">
      <c r="A9" s="130"/>
      <c r="B9" s="279" t="s">
        <v>1077</v>
      </c>
      <c r="C9" s="284">
        <v>2</v>
      </c>
    </row>
    <row r="10" spans="1:5" ht="15" customHeight="1">
      <c r="A10" s="130"/>
      <c r="B10" s="279" t="s">
        <v>1078</v>
      </c>
      <c r="C10" s="284">
        <v>1</v>
      </c>
    </row>
    <row r="11" spans="1:5" ht="15" customHeight="1">
      <c r="A11" s="130"/>
      <c r="B11" s="279" t="s">
        <v>1079</v>
      </c>
      <c r="C11" s="284">
        <v>1</v>
      </c>
    </row>
    <row r="12" spans="1:5" ht="15" customHeight="1">
      <c r="A12" s="130"/>
      <c r="B12" s="279" t="s">
        <v>1080</v>
      </c>
      <c r="C12" s="284">
        <v>1</v>
      </c>
    </row>
    <row r="13" spans="1:5" ht="15" customHeight="1">
      <c r="A13" s="130"/>
      <c r="B13" s="279" t="s">
        <v>1081</v>
      </c>
      <c r="C13" s="284">
        <v>1</v>
      </c>
    </row>
    <row r="14" spans="1:5" ht="15" customHeight="1">
      <c r="A14" s="130"/>
      <c r="B14" s="279" t="s">
        <v>889</v>
      </c>
      <c r="C14" s="284">
        <v>1</v>
      </c>
    </row>
    <row r="15" spans="1:5" ht="15" customHeight="1">
      <c r="A15" s="130"/>
      <c r="B15" s="279" t="s">
        <v>890</v>
      </c>
      <c r="C15" s="284">
        <v>1</v>
      </c>
    </row>
    <row r="16" spans="1:5" ht="15" customHeight="1">
      <c r="A16" s="130"/>
      <c r="B16" s="279" t="s">
        <v>891</v>
      </c>
      <c r="C16" s="284">
        <v>1</v>
      </c>
    </row>
    <row r="17" spans="1:3" ht="15" customHeight="1">
      <c r="A17" s="130"/>
      <c r="B17" s="279" t="s">
        <v>1082</v>
      </c>
      <c r="C17" s="284">
        <v>2</v>
      </c>
    </row>
    <row r="18" spans="1:3" ht="15" customHeight="1">
      <c r="A18" s="130"/>
      <c r="B18" s="279" t="s">
        <v>1083</v>
      </c>
      <c r="C18" s="284">
        <v>4</v>
      </c>
    </row>
    <row r="19" spans="1:3" ht="15" customHeight="1">
      <c r="A19" s="130"/>
      <c r="B19" s="279" t="s">
        <v>1084</v>
      </c>
      <c r="C19" s="284">
        <v>3</v>
      </c>
    </row>
    <row r="20" spans="1:3" ht="15" customHeight="1">
      <c r="A20" s="130"/>
      <c r="B20" s="279" t="s">
        <v>1085</v>
      </c>
      <c r="C20" s="284">
        <v>2</v>
      </c>
    </row>
    <row r="21" spans="1:3" ht="15" customHeight="1">
      <c r="A21" s="130"/>
      <c r="B21" s="279" t="s">
        <v>1086</v>
      </c>
      <c r="C21" s="284">
        <v>2</v>
      </c>
    </row>
    <row r="22" spans="1:3" ht="15" customHeight="1">
      <c r="A22" s="130"/>
      <c r="B22" s="279" t="s">
        <v>1087</v>
      </c>
      <c r="C22" s="284">
        <v>2</v>
      </c>
    </row>
    <row r="23" spans="1:3" ht="15" customHeight="1">
      <c r="A23" s="130"/>
      <c r="B23" s="279" t="s">
        <v>1088</v>
      </c>
      <c r="C23" s="284">
        <v>2</v>
      </c>
    </row>
    <row r="24" spans="1:3" ht="15" customHeight="1">
      <c r="A24" s="130"/>
      <c r="B24" s="279" t="s">
        <v>1089</v>
      </c>
      <c r="C24" s="284">
        <v>2</v>
      </c>
    </row>
    <row r="25" spans="1:3" ht="15" customHeight="1">
      <c r="A25" s="130"/>
      <c r="B25" s="279" t="s">
        <v>1090</v>
      </c>
      <c r="C25" s="284">
        <v>2</v>
      </c>
    </row>
    <row r="26" spans="1:3" ht="15" customHeight="1">
      <c r="A26" s="130"/>
      <c r="B26" s="279" t="s">
        <v>1091</v>
      </c>
      <c r="C26" s="284">
        <v>1</v>
      </c>
    </row>
    <row r="27" spans="1:3" ht="15" customHeight="1">
      <c r="A27" s="130"/>
      <c r="B27" s="279" t="s">
        <v>1092</v>
      </c>
      <c r="C27" s="284">
        <v>1</v>
      </c>
    </row>
    <row r="28" spans="1:3" ht="15" customHeight="1">
      <c r="A28" s="130"/>
      <c r="B28" s="279" t="s">
        <v>1093</v>
      </c>
      <c r="C28" s="284">
        <v>1</v>
      </c>
    </row>
    <row r="29" spans="1:3" ht="15" customHeight="1">
      <c r="A29" s="130"/>
      <c r="B29" s="279" t="s">
        <v>1094</v>
      </c>
      <c r="C29" s="284">
        <v>1</v>
      </c>
    </row>
    <row r="30" spans="1:3" ht="15" customHeight="1">
      <c r="A30" s="130"/>
      <c r="B30" s="279" t="s">
        <v>1095</v>
      </c>
      <c r="C30" s="284">
        <v>1</v>
      </c>
    </row>
    <row r="31" spans="1:3" ht="15" customHeight="1">
      <c r="A31" s="130"/>
      <c r="B31" s="279" t="s">
        <v>1096</v>
      </c>
      <c r="C31" s="284">
        <v>2</v>
      </c>
    </row>
    <row r="32" spans="1:3" ht="15" customHeight="1">
      <c r="A32" s="130"/>
      <c r="B32" s="279" t="s">
        <v>1097</v>
      </c>
      <c r="C32" s="284">
        <v>1</v>
      </c>
    </row>
    <row r="33" spans="1:3" ht="15" customHeight="1">
      <c r="A33" s="130"/>
      <c r="B33" s="279" t="s">
        <v>1098</v>
      </c>
      <c r="C33" s="284">
        <v>1</v>
      </c>
    </row>
    <row r="34" spans="1:3" ht="15" customHeight="1">
      <c r="A34" s="130"/>
      <c r="B34" s="279" t="s">
        <v>1099</v>
      </c>
      <c r="C34" s="284">
        <v>1</v>
      </c>
    </row>
    <row r="35" spans="1:3" ht="15" customHeight="1">
      <c r="A35" s="130"/>
      <c r="B35" s="279" t="s">
        <v>1100</v>
      </c>
      <c r="C35" s="284">
        <v>2</v>
      </c>
    </row>
    <row r="36" spans="1:3" ht="15" customHeight="1">
      <c r="A36" s="130"/>
      <c r="B36" s="279" t="s">
        <v>546</v>
      </c>
      <c r="C36" s="284">
        <v>6</v>
      </c>
    </row>
    <row r="37" spans="1:3" ht="15" customHeight="1">
      <c r="A37" s="130"/>
      <c r="B37" s="279" t="s">
        <v>1101</v>
      </c>
      <c r="C37" s="284">
        <v>1</v>
      </c>
    </row>
    <row r="38" spans="1:3" ht="15" customHeight="1">
      <c r="A38" s="130"/>
      <c r="B38" s="279" t="s">
        <v>1102</v>
      </c>
      <c r="C38" s="284">
        <v>1</v>
      </c>
    </row>
    <row r="39" spans="1:3" ht="15" customHeight="1">
      <c r="A39" s="130"/>
      <c r="B39" s="279" t="s">
        <v>1103</v>
      </c>
      <c r="C39" s="284">
        <v>1</v>
      </c>
    </row>
    <row r="40" spans="1:3" ht="15" customHeight="1">
      <c r="A40" s="130"/>
      <c r="B40" s="279" t="s">
        <v>1104</v>
      </c>
      <c r="C40" s="284">
        <v>1</v>
      </c>
    </row>
    <row r="41" spans="1:3" ht="15" customHeight="1">
      <c r="A41" s="130"/>
      <c r="B41" s="279" t="s">
        <v>1105</v>
      </c>
      <c r="C41" s="284">
        <v>1</v>
      </c>
    </row>
    <row r="42" spans="1:3" ht="15" customHeight="1">
      <c r="A42" s="130"/>
      <c r="B42" s="279" t="s">
        <v>1106</v>
      </c>
      <c r="C42" s="284">
        <v>1</v>
      </c>
    </row>
    <row r="43" spans="1:3" ht="15" customHeight="1">
      <c r="A43" s="130"/>
      <c r="B43" s="279" t="s">
        <v>1107</v>
      </c>
      <c r="C43" s="284">
        <v>1</v>
      </c>
    </row>
    <row r="44" spans="1:3" ht="15" customHeight="1">
      <c r="A44" s="130"/>
      <c r="B44" s="279" t="s">
        <v>1108</v>
      </c>
      <c r="C44" s="284">
        <v>1</v>
      </c>
    </row>
    <row r="45" spans="1:3" ht="15" customHeight="1">
      <c r="A45" s="130"/>
      <c r="B45" s="279" t="s">
        <v>482</v>
      </c>
      <c r="C45" s="284">
        <v>1</v>
      </c>
    </row>
    <row r="46" spans="1:3" ht="15" customHeight="1">
      <c r="A46" s="130"/>
      <c r="B46" s="279" t="s">
        <v>1109</v>
      </c>
      <c r="C46" s="284">
        <v>1</v>
      </c>
    </row>
    <row r="47" spans="1:3" ht="15" customHeight="1">
      <c r="A47" s="130"/>
      <c r="B47" s="279" t="s">
        <v>323</v>
      </c>
      <c r="C47" s="284">
        <v>1</v>
      </c>
    </row>
    <row r="48" spans="1:3" ht="15" customHeight="1">
      <c r="A48" s="130"/>
      <c r="B48" s="279" t="s">
        <v>1110</v>
      </c>
      <c r="C48" s="284">
        <v>2</v>
      </c>
    </row>
    <row r="49" spans="1:3" ht="15" customHeight="1">
      <c r="A49" s="130"/>
      <c r="B49" s="279" t="s">
        <v>1111</v>
      </c>
      <c r="C49" s="284">
        <v>1</v>
      </c>
    </row>
    <row r="50" spans="1:3" ht="15" customHeight="1">
      <c r="A50" s="130"/>
      <c r="B50" s="279" t="s">
        <v>1112</v>
      </c>
      <c r="C50" s="284">
        <v>1</v>
      </c>
    </row>
    <row r="51" spans="1:3" ht="15" customHeight="1">
      <c r="A51" s="130"/>
      <c r="B51" s="279" t="s">
        <v>1113</v>
      </c>
      <c r="C51" s="284">
        <v>1</v>
      </c>
    </row>
    <row r="52" spans="1:3" ht="15" customHeight="1">
      <c r="A52" s="130"/>
      <c r="B52" s="279" t="s">
        <v>580</v>
      </c>
      <c r="C52" s="284">
        <v>1</v>
      </c>
    </row>
    <row r="53" spans="1:3" ht="15" customHeight="1">
      <c r="A53" s="130"/>
      <c r="B53" s="279" t="s">
        <v>1114</v>
      </c>
      <c r="C53" s="284">
        <v>2</v>
      </c>
    </row>
    <row r="54" spans="1:3" ht="15" customHeight="1">
      <c r="A54" s="130"/>
      <c r="B54" s="279" t="s">
        <v>1115</v>
      </c>
      <c r="C54" s="284">
        <v>2</v>
      </c>
    </row>
    <row r="55" spans="1:3" ht="15" customHeight="1">
      <c r="A55" s="130"/>
      <c r="B55" s="279" t="s">
        <v>1116</v>
      </c>
      <c r="C55" s="284">
        <v>2</v>
      </c>
    </row>
    <row r="56" spans="1:3" ht="15" customHeight="1">
      <c r="A56" s="130"/>
      <c r="B56" s="279" t="s">
        <v>585</v>
      </c>
      <c r="C56" s="284">
        <v>1</v>
      </c>
    </row>
    <row r="57" spans="1:3" ht="15" customHeight="1">
      <c r="A57" s="130"/>
      <c r="B57" s="279" t="s">
        <v>1117</v>
      </c>
      <c r="C57" s="284">
        <v>1</v>
      </c>
    </row>
    <row r="58" spans="1:3" ht="15" customHeight="1">
      <c r="A58" s="133"/>
      <c r="B58" s="280" t="s">
        <v>146</v>
      </c>
      <c r="C58" s="285">
        <v>82</v>
      </c>
    </row>
    <row r="59" spans="1:3" ht="15" customHeight="1">
      <c r="A59" s="133"/>
      <c r="B59" s="280"/>
      <c r="C59" s="286"/>
    </row>
    <row r="60" spans="1:3" ht="15" customHeight="1">
      <c r="A60" s="114" t="s">
        <v>1069</v>
      </c>
      <c r="B60" s="114" t="s">
        <v>1118</v>
      </c>
      <c r="C60" s="283"/>
    </row>
    <row r="61" spans="1:3" ht="15" customHeight="1">
      <c r="A61" s="136"/>
      <c r="B61" s="281" t="s">
        <v>1119</v>
      </c>
      <c r="C61" s="287">
        <v>1</v>
      </c>
    </row>
    <row r="62" spans="1:3" ht="15" customHeight="1">
      <c r="A62" s="136"/>
      <c r="B62" s="281" t="s">
        <v>1120</v>
      </c>
      <c r="C62" s="287">
        <v>1</v>
      </c>
    </row>
    <row r="63" spans="1:3" ht="15" customHeight="1">
      <c r="A63" s="136"/>
      <c r="B63" s="282" t="s">
        <v>1121</v>
      </c>
      <c r="C63" s="287">
        <v>1</v>
      </c>
    </row>
    <row r="64" spans="1:3" ht="15" customHeight="1">
      <c r="A64" s="136"/>
      <c r="B64" s="282" t="s">
        <v>1122</v>
      </c>
      <c r="C64" s="287">
        <v>1</v>
      </c>
    </row>
    <row r="65" spans="1:3" ht="15" customHeight="1">
      <c r="A65" s="136"/>
      <c r="B65" s="282" t="s">
        <v>1123</v>
      </c>
      <c r="C65" s="287">
        <v>1</v>
      </c>
    </row>
    <row r="66" spans="1:3" ht="15" customHeight="1">
      <c r="A66" s="136"/>
      <c r="B66" s="282" t="s">
        <v>1124</v>
      </c>
      <c r="C66" s="287">
        <v>1</v>
      </c>
    </row>
    <row r="67" spans="1:3" ht="15" customHeight="1">
      <c r="A67" s="136"/>
      <c r="B67" s="282" t="s">
        <v>848</v>
      </c>
      <c r="C67" s="287">
        <v>1</v>
      </c>
    </row>
    <row r="68" spans="1:3" ht="15" customHeight="1">
      <c r="A68" s="136"/>
      <c r="B68" s="282" t="s">
        <v>1125</v>
      </c>
      <c r="C68" s="287">
        <v>1</v>
      </c>
    </row>
    <row r="69" spans="1:3" ht="15" customHeight="1">
      <c r="A69" s="136"/>
      <c r="B69" s="282" t="s">
        <v>1126</v>
      </c>
      <c r="C69" s="287">
        <v>1</v>
      </c>
    </row>
    <row r="70" spans="1:3" ht="15" customHeight="1">
      <c r="A70" s="136"/>
      <c r="B70" s="282" t="s">
        <v>1127</v>
      </c>
      <c r="C70" s="287">
        <v>1</v>
      </c>
    </row>
    <row r="71" spans="1:3" ht="15" customHeight="1">
      <c r="A71" s="136"/>
      <c r="B71" s="282" t="s">
        <v>1128</v>
      </c>
      <c r="C71" s="287">
        <v>1</v>
      </c>
    </row>
    <row r="72" spans="1:3" ht="15" customHeight="1">
      <c r="A72" s="136"/>
      <c r="B72" s="282" t="s">
        <v>1129</v>
      </c>
      <c r="C72" s="287">
        <v>1</v>
      </c>
    </row>
    <row r="73" spans="1:3" ht="15" customHeight="1">
      <c r="A73" s="136"/>
      <c r="B73" s="282" t="s">
        <v>1130</v>
      </c>
      <c r="C73" s="287">
        <v>1</v>
      </c>
    </row>
    <row r="74" spans="1:3" ht="15" customHeight="1">
      <c r="A74" s="136"/>
      <c r="B74" s="282" t="s">
        <v>1131</v>
      </c>
      <c r="C74" s="287">
        <v>1</v>
      </c>
    </row>
    <row r="75" spans="1:3" ht="15" customHeight="1">
      <c r="A75" s="136"/>
      <c r="B75" s="282" t="s">
        <v>724</v>
      </c>
      <c r="C75" s="287">
        <v>1</v>
      </c>
    </row>
    <row r="76" spans="1:3" ht="15" customHeight="1">
      <c r="A76" s="136"/>
      <c r="B76" s="282" t="s">
        <v>323</v>
      </c>
      <c r="C76" s="287">
        <v>1</v>
      </c>
    </row>
    <row r="77" spans="1:3" ht="15" customHeight="1">
      <c r="A77" s="136"/>
      <c r="B77" s="282" t="s">
        <v>1132</v>
      </c>
      <c r="C77" s="287">
        <v>1</v>
      </c>
    </row>
    <row r="78" spans="1:3" ht="15" customHeight="1">
      <c r="A78" s="118"/>
      <c r="B78" s="280" t="s">
        <v>146</v>
      </c>
      <c r="C78" s="288">
        <v>17</v>
      </c>
    </row>
  </sheetData>
  <pageMargins left="0.51181102362204722" right="0.51181102362204722" top="1.1811023622047245" bottom="1.1811023622047245" header="0.78740157480314954" footer="0.78740157480314954"/>
  <pageSetup paperSize="0" fitToWidth="0" fitToHeight="0" orientation="portrait" horizontalDpi="0" verticalDpi="0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48576"/>
  <sheetViews>
    <sheetView showGridLines="0" topLeftCell="A70" workbookViewId="0">
      <selection activeCell="B60" sqref="B60"/>
    </sheetView>
  </sheetViews>
  <sheetFormatPr defaultColWidth="8" defaultRowHeight="15" customHeight="1"/>
  <cols>
    <col min="1" max="1" width="10.140625" customWidth="1"/>
    <col min="2" max="2" width="46.5703125" customWidth="1"/>
    <col min="3" max="3" width="8" customWidth="1"/>
    <col min="4" max="4" width="8" style="298"/>
    <col min="5" max="5" width="13.42578125" bestFit="1" customWidth="1"/>
  </cols>
  <sheetData>
    <row r="1" spans="1:5" ht="15" customHeight="1">
      <c r="A1" s="32"/>
      <c r="B1" s="114" t="s">
        <v>1133</v>
      </c>
      <c r="C1" s="114" t="s">
        <v>517</v>
      </c>
      <c r="D1" s="296" t="s">
        <v>1423</v>
      </c>
      <c r="E1" s="248" t="s">
        <v>1422</v>
      </c>
    </row>
    <row r="2" spans="1:5" ht="15" customHeight="1">
      <c r="A2" s="32"/>
      <c r="B2" s="34" t="s">
        <v>1134</v>
      </c>
      <c r="C2" s="35">
        <v>1</v>
      </c>
      <c r="D2" s="297"/>
      <c r="E2" s="295"/>
    </row>
    <row r="3" spans="1:5" ht="15" customHeight="1">
      <c r="A3" s="32"/>
      <c r="B3" s="34" t="s">
        <v>1135</v>
      </c>
      <c r="C3" s="35">
        <v>1</v>
      </c>
      <c r="D3" s="297"/>
      <c r="E3" s="295"/>
    </row>
    <row r="4" spans="1:5" ht="15" customHeight="1">
      <c r="A4" s="32"/>
      <c r="B4" s="34" t="s">
        <v>1136</v>
      </c>
      <c r="C4" s="35">
        <v>1</v>
      </c>
      <c r="D4" s="297"/>
      <c r="E4" s="295"/>
    </row>
    <row r="5" spans="1:5" ht="15" customHeight="1">
      <c r="A5" s="32"/>
      <c r="B5" s="34" t="s">
        <v>1137</v>
      </c>
      <c r="C5" s="35">
        <v>1</v>
      </c>
      <c r="D5" s="297"/>
      <c r="E5" s="295"/>
    </row>
    <row r="6" spans="1:5" ht="15" customHeight="1">
      <c r="A6" s="32"/>
      <c r="B6" s="34" t="s">
        <v>1138</v>
      </c>
      <c r="C6" s="35">
        <v>1</v>
      </c>
      <c r="D6" s="297"/>
      <c r="E6" s="295"/>
    </row>
    <row r="7" spans="1:5" ht="15" customHeight="1">
      <c r="A7" s="32"/>
      <c r="B7" s="34" t="s">
        <v>1139</v>
      </c>
      <c r="C7" s="35">
        <v>1</v>
      </c>
      <c r="D7" s="297"/>
      <c r="E7" s="295"/>
    </row>
    <row r="8" spans="1:5" ht="15" customHeight="1">
      <c r="A8" s="32"/>
      <c r="B8" s="34" t="s">
        <v>1140</v>
      </c>
      <c r="C8" s="35">
        <v>1</v>
      </c>
      <c r="D8" s="297"/>
      <c r="E8" s="295"/>
    </row>
    <row r="9" spans="1:5" ht="15" customHeight="1">
      <c r="A9" s="32"/>
      <c r="B9" s="34" t="s">
        <v>1141</v>
      </c>
      <c r="C9" s="35">
        <v>1</v>
      </c>
      <c r="D9" s="297"/>
      <c r="E9" s="295"/>
    </row>
    <row r="10" spans="1:5" ht="15" customHeight="1">
      <c r="A10" s="32"/>
      <c r="B10" s="34" t="s">
        <v>1142</v>
      </c>
      <c r="C10" s="35">
        <v>1</v>
      </c>
      <c r="D10" s="297"/>
      <c r="E10" s="295"/>
    </row>
    <row r="11" spans="1:5" ht="15" customHeight="1">
      <c r="A11" s="32"/>
      <c r="B11" s="34" t="s">
        <v>1143</v>
      </c>
      <c r="C11" s="35">
        <v>1</v>
      </c>
      <c r="D11" s="297"/>
      <c r="E11" s="295"/>
    </row>
    <row r="12" spans="1:5" ht="15" customHeight="1">
      <c r="A12" s="32"/>
      <c r="B12" s="34" t="s">
        <v>1144</v>
      </c>
      <c r="C12" s="35">
        <v>1</v>
      </c>
      <c r="D12" s="297"/>
      <c r="E12" s="295"/>
    </row>
    <row r="13" spans="1:5" ht="15" customHeight="1">
      <c r="A13" s="32"/>
      <c r="B13" s="34" t="s">
        <v>1145</v>
      </c>
      <c r="C13" s="35">
        <v>1</v>
      </c>
      <c r="D13" s="297"/>
      <c r="E13" s="295"/>
    </row>
    <row r="14" spans="1:5" ht="15" customHeight="1">
      <c r="A14" s="32"/>
      <c r="B14" s="34" t="s">
        <v>1146</v>
      </c>
      <c r="C14" s="35">
        <v>1</v>
      </c>
      <c r="D14" s="297"/>
      <c r="E14" s="295"/>
    </row>
    <row r="15" spans="1:5" ht="15" customHeight="1">
      <c r="A15" s="32"/>
      <c r="B15" s="34" t="s">
        <v>1147</v>
      </c>
      <c r="C15" s="35">
        <v>1</v>
      </c>
      <c r="D15" s="297"/>
      <c r="E15" s="295"/>
    </row>
    <row r="16" spans="1:5" ht="15" customHeight="1">
      <c r="A16" s="32"/>
      <c r="B16" s="34" t="s">
        <v>1148</v>
      </c>
      <c r="C16" s="35">
        <v>1</v>
      </c>
      <c r="D16" s="297"/>
      <c r="E16" s="295"/>
    </row>
    <row r="17" spans="1:5" ht="15" customHeight="1">
      <c r="A17" s="32"/>
      <c r="B17" s="34" t="s">
        <v>1149</v>
      </c>
      <c r="C17" s="35">
        <v>1</v>
      </c>
      <c r="D17" s="297"/>
      <c r="E17" s="295"/>
    </row>
    <row r="18" spans="1:5" ht="15" customHeight="1">
      <c r="A18" s="32"/>
      <c r="B18" s="34" t="s">
        <v>1150</v>
      </c>
      <c r="C18" s="35">
        <v>1</v>
      </c>
      <c r="D18" s="297"/>
      <c r="E18" s="295"/>
    </row>
    <row r="19" spans="1:5" ht="15" customHeight="1">
      <c r="A19" s="32"/>
      <c r="B19" s="36" t="s">
        <v>146</v>
      </c>
      <c r="C19" s="35">
        <v>17</v>
      </c>
      <c r="D19" s="297"/>
      <c r="E19" s="295"/>
    </row>
    <row r="20" spans="1:5" ht="15" customHeight="1">
      <c r="D20" s="297"/>
      <c r="E20" s="295"/>
    </row>
    <row r="21" spans="1:5" ht="15" customHeight="1">
      <c r="D21" s="297"/>
      <c r="E21" s="295"/>
    </row>
    <row r="22" spans="1:5" ht="15" customHeight="1">
      <c r="B22" s="114" t="s">
        <v>1151</v>
      </c>
      <c r="C22" s="114" t="s">
        <v>517</v>
      </c>
      <c r="D22" s="297"/>
      <c r="E22" s="295"/>
    </row>
    <row r="23" spans="1:5" ht="15" customHeight="1">
      <c r="B23" s="37"/>
      <c r="C23" s="291"/>
      <c r="D23" s="297"/>
      <c r="E23" s="295"/>
    </row>
    <row r="24" spans="1:5" ht="15" customHeight="1">
      <c r="B24" s="34" t="s">
        <v>1152</v>
      </c>
      <c r="C24" s="292">
        <v>1</v>
      </c>
      <c r="D24" s="297"/>
      <c r="E24" s="295"/>
    </row>
    <row r="25" spans="1:5" ht="15" customHeight="1">
      <c r="B25" s="34" t="s">
        <v>1149</v>
      </c>
      <c r="C25" s="35">
        <v>1</v>
      </c>
      <c r="D25" s="297"/>
      <c r="E25" s="295"/>
    </row>
    <row r="26" spans="1:5" ht="15" customHeight="1">
      <c r="B26" s="34" t="s">
        <v>1153</v>
      </c>
      <c r="C26" s="35">
        <v>2</v>
      </c>
      <c r="D26" s="297"/>
      <c r="E26" s="295"/>
    </row>
    <row r="27" spans="1:5" ht="15" customHeight="1">
      <c r="B27" s="34" t="s">
        <v>1154</v>
      </c>
      <c r="C27" s="35">
        <v>1</v>
      </c>
      <c r="D27" s="297"/>
      <c r="E27" s="295"/>
    </row>
    <row r="28" spans="1:5" ht="15" customHeight="1">
      <c r="B28" s="34" t="s">
        <v>1155</v>
      </c>
      <c r="C28" s="35">
        <v>1</v>
      </c>
      <c r="D28" s="297"/>
      <c r="E28" s="295"/>
    </row>
    <row r="29" spans="1:5" ht="15" customHeight="1">
      <c r="B29" s="34" t="s">
        <v>1156</v>
      </c>
      <c r="C29" s="35">
        <v>1</v>
      </c>
      <c r="D29" s="297"/>
      <c r="E29" s="295"/>
    </row>
    <row r="30" spans="1:5" ht="15" customHeight="1">
      <c r="B30" s="34" t="s">
        <v>1140</v>
      </c>
      <c r="C30" s="35">
        <v>1</v>
      </c>
      <c r="D30" s="297"/>
      <c r="E30" s="295"/>
    </row>
    <row r="31" spans="1:5" ht="15" customHeight="1">
      <c r="B31" s="34" t="s">
        <v>1157</v>
      </c>
      <c r="C31" s="35">
        <v>2</v>
      </c>
      <c r="D31" s="297"/>
      <c r="E31" s="295"/>
    </row>
    <row r="32" spans="1:5" ht="15" customHeight="1">
      <c r="B32" s="34" t="s">
        <v>1158</v>
      </c>
      <c r="C32" s="35">
        <v>1</v>
      </c>
      <c r="D32" s="297"/>
      <c r="E32" s="295"/>
    </row>
    <row r="33" spans="2:5" ht="15" customHeight="1">
      <c r="B33" s="34" t="s">
        <v>1159</v>
      </c>
      <c r="C33" s="35">
        <v>1</v>
      </c>
      <c r="D33" s="297"/>
      <c r="E33" s="295"/>
    </row>
    <row r="34" spans="2:5" ht="15" customHeight="1">
      <c r="B34" s="34" t="s">
        <v>1160</v>
      </c>
      <c r="C34" s="35">
        <v>1</v>
      </c>
      <c r="D34" s="297"/>
      <c r="E34" s="295"/>
    </row>
    <row r="35" spans="2:5" ht="15" customHeight="1">
      <c r="B35" s="34" t="s">
        <v>1134</v>
      </c>
      <c r="C35" s="35">
        <v>1</v>
      </c>
      <c r="D35" s="297"/>
      <c r="E35" s="295"/>
    </row>
    <row r="36" spans="2:5" ht="15" customHeight="1">
      <c r="B36" s="34" t="s">
        <v>1145</v>
      </c>
      <c r="C36" s="35">
        <v>1</v>
      </c>
      <c r="D36" s="297"/>
      <c r="E36" s="295"/>
    </row>
    <row r="37" spans="2:5" ht="15" customHeight="1">
      <c r="B37" s="34" t="s">
        <v>1161</v>
      </c>
      <c r="C37" s="35">
        <v>1</v>
      </c>
      <c r="D37" s="297"/>
      <c r="E37" s="295"/>
    </row>
    <row r="38" spans="2:5" ht="15" customHeight="1">
      <c r="B38" s="34" t="s">
        <v>1162</v>
      </c>
      <c r="C38" s="35">
        <v>1</v>
      </c>
      <c r="D38" s="297"/>
      <c r="E38" s="295"/>
    </row>
    <row r="39" spans="2:5" ht="15" customHeight="1">
      <c r="B39" s="34" t="s">
        <v>1163</v>
      </c>
      <c r="C39" s="35">
        <v>1</v>
      </c>
      <c r="D39" s="297"/>
      <c r="E39" s="295"/>
    </row>
    <row r="40" spans="2:5" ht="15" customHeight="1">
      <c r="B40" s="34" t="s">
        <v>1164</v>
      </c>
      <c r="C40" s="35">
        <v>1</v>
      </c>
      <c r="D40" s="297"/>
      <c r="E40" s="295"/>
    </row>
    <row r="41" spans="2:5" ht="15" customHeight="1">
      <c r="B41" s="34" t="s">
        <v>1141</v>
      </c>
      <c r="C41" s="35">
        <v>1</v>
      </c>
      <c r="D41" s="297"/>
      <c r="E41" s="295"/>
    </row>
    <row r="42" spans="2:5" ht="15" customHeight="1">
      <c r="B42" s="34" t="s">
        <v>1165</v>
      </c>
      <c r="C42" s="35">
        <v>1</v>
      </c>
      <c r="D42" s="297"/>
      <c r="E42" s="295"/>
    </row>
    <row r="43" spans="2:5" ht="15" customHeight="1">
      <c r="B43" s="34" t="s">
        <v>1166</v>
      </c>
      <c r="C43" s="35">
        <v>1</v>
      </c>
      <c r="D43" s="297"/>
      <c r="E43" s="295"/>
    </row>
    <row r="44" spans="2:5" ht="15" customHeight="1">
      <c r="B44" s="34" t="s">
        <v>1167</v>
      </c>
      <c r="C44" s="35">
        <v>1</v>
      </c>
      <c r="D44" s="297"/>
      <c r="E44" s="295"/>
    </row>
    <row r="45" spans="2:5" ht="15" customHeight="1">
      <c r="B45" s="34" t="s">
        <v>1168</v>
      </c>
      <c r="C45" s="35">
        <v>1</v>
      </c>
      <c r="D45" s="297"/>
      <c r="E45" s="295"/>
    </row>
    <row r="46" spans="2:5" ht="15" customHeight="1">
      <c r="B46" s="34" t="s">
        <v>1169</v>
      </c>
      <c r="C46" s="35">
        <v>2</v>
      </c>
      <c r="D46" s="297"/>
      <c r="E46" s="295"/>
    </row>
    <row r="47" spans="2:5" ht="15" customHeight="1">
      <c r="B47" s="34" t="s">
        <v>1170</v>
      </c>
      <c r="C47" s="35">
        <v>1</v>
      </c>
      <c r="D47" s="297"/>
      <c r="E47" s="295"/>
    </row>
    <row r="48" spans="2:5" ht="15" customHeight="1">
      <c r="B48" s="34" t="s">
        <v>1171</v>
      </c>
      <c r="C48" s="35">
        <v>0</v>
      </c>
      <c r="D48" s="297"/>
      <c r="E48" s="295"/>
    </row>
    <row r="49" spans="2:5" ht="15" customHeight="1">
      <c r="B49" s="34" t="s">
        <v>1172</v>
      </c>
      <c r="C49" s="35">
        <v>1</v>
      </c>
      <c r="D49" s="297"/>
      <c r="E49" s="295"/>
    </row>
    <row r="50" spans="2:5" ht="15" customHeight="1">
      <c r="B50" s="36" t="s">
        <v>146</v>
      </c>
      <c r="C50" s="38">
        <v>27</v>
      </c>
      <c r="D50" s="297"/>
      <c r="E50" s="295"/>
    </row>
    <row r="51" spans="2:5" ht="15" customHeight="1">
      <c r="D51" s="297"/>
      <c r="E51" s="295"/>
    </row>
    <row r="52" spans="2:5" ht="15" customHeight="1">
      <c r="D52" s="297"/>
      <c r="E52" s="295"/>
    </row>
    <row r="53" spans="2:5" ht="15" customHeight="1">
      <c r="B53" s="114" t="s">
        <v>120</v>
      </c>
      <c r="C53" s="114" t="s">
        <v>517</v>
      </c>
      <c r="D53" s="297"/>
      <c r="E53" s="295"/>
    </row>
    <row r="54" spans="2:5" ht="15" customHeight="1">
      <c r="B54" s="39"/>
      <c r="C54" s="40"/>
      <c r="D54" s="297"/>
      <c r="E54" s="295"/>
    </row>
    <row r="55" spans="2:5" ht="15" customHeight="1">
      <c r="B55" s="34" t="s">
        <v>1173</v>
      </c>
      <c r="C55" s="41">
        <v>1</v>
      </c>
      <c r="D55" s="297"/>
      <c r="E55" s="295"/>
    </row>
    <row r="56" spans="2:5" ht="15" customHeight="1">
      <c r="B56" s="34" t="s">
        <v>1174</v>
      </c>
      <c r="C56" s="41">
        <v>1</v>
      </c>
      <c r="D56" s="297"/>
      <c r="E56" s="295"/>
    </row>
    <row r="57" spans="2:5" ht="15" customHeight="1">
      <c r="B57" s="34" t="s">
        <v>1175</v>
      </c>
      <c r="C57" s="41">
        <v>1</v>
      </c>
      <c r="D57" s="297"/>
      <c r="E57" s="295"/>
    </row>
    <row r="58" spans="2:5" ht="15" customHeight="1">
      <c r="B58" s="42" t="s">
        <v>146</v>
      </c>
      <c r="C58" s="41">
        <v>3</v>
      </c>
      <c r="D58" s="297"/>
      <c r="E58" s="295"/>
    </row>
    <row r="59" spans="2:5" ht="15" customHeight="1">
      <c r="D59" s="297"/>
      <c r="E59" s="295"/>
    </row>
    <row r="60" spans="2:5" ht="15" customHeight="1">
      <c r="B60" s="114" t="s">
        <v>1176</v>
      </c>
      <c r="C60" s="114" t="s">
        <v>517</v>
      </c>
      <c r="D60" s="297"/>
      <c r="E60" s="295"/>
    </row>
    <row r="61" spans="2:5" ht="15" customHeight="1">
      <c r="B61" s="34" t="s">
        <v>1177</v>
      </c>
      <c r="C61" s="293">
        <v>1</v>
      </c>
      <c r="D61" s="297"/>
      <c r="E61" s="295"/>
    </row>
    <row r="62" spans="2:5" ht="15" customHeight="1">
      <c r="B62" s="34" t="s">
        <v>1162</v>
      </c>
      <c r="C62" s="294">
        <v>1</v>
      </c>
      <c r="D62" s="297"/>
      <c r="E62" s="295"/>
    </row>
    <row r="63" spans="2:5" ht="15" customHeight="1">
      <c r="B63" s="34" t="s">
        <v>1157</v>
      </c>
      <c r="C63" s="293">
        <v>1</v>
      </c>
      <c r="D63" s="297"/>
      <c r="E63" s="295"/>
    </row>
    <row r="64" spans="2:5" ht="15" customHeight="1">
      <c r="B64" s="34" t="s">
        <v>1178</v>
      </c>
      <c r="C64" s="293">
        <v>1</v>
      </c>
      <c r="D64" s="297"/>
      <c r="E64" s="295"/>
    </row>
    <row r="65" spans="2:5" ht="15" customHeight="1">
      <c r="B65" s="34" t="s">
        <v>1179</v>
      </c>
      <c r="C65" s="293">
        <v>1</v>
      </c>
      <c r="D65" s="297"/>
      <c r="E65" s="295"/>
    </row>
    <row r="66" spans="2:5" ht="15" customHeight="1">
      <c r="B66" s="34" t="s">
        <v>1180</v>
      </c>
      <c r="C66" s="293">
        <v>1</v>
      </c>
      <c r="D66" s="297"/>
      <c r="E66" s="295"/>
    </row>
    <row r="67" spans="2:5" ht="15" customHeight="1">
      <c r="B67" s="34" t="s">
        <v>1181</v>
      </c>
      <c r="C67" s="293">
        <v>1</v>
      </c>
      <c r="D67" s="297"/>
      <c r="E67" s="295"/>
    </row>
    <row r="68" spans="2:5" ht="15" customHeight="1">
      <c r="B68" s="34" t="s">
        <v>1182</v>
      </c>
      <c r="C68" s="293">
        <v>1</v>
      </c>
      <c r="D68" s="297"/>
      <c r="E68" s="295"/>
    </row>
    <row r="69" spans="2:5" ht="15" customHeight="1">
      <c r="B69" s="34" t="s">
        <v>1183</v>
      </c>
      <c r="C69" s="293">
        <v>1</v>
      </c>
      <c r="D69" s="297"/>
      <c r="E69" s="295"/>
    </row>
    <row r="70" spans="2:5" ht="15" customHeight="1">
      <c r="B70" s="36" t="s">
        <v>146</v>
      </c>
      <c r="C70" s="293">
        <v>9</v>
      </c>
      <c r="D70" s="297"/>
      <c r="E70" s="295"/>
    </row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pageMargins left="0.51181102362204722" right="0.51181102362204722" top="1.1811023622047245" bottom="1.1811023622047245" header="0.78740157480314954" footer="0.78740157480314954"/>
  <pageSetup paperSize="0" fitToWidth="0" fitToHeight="0" orientation="portrait" horizontalDpi="0" verticalDpi="0" copies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FD78"/>
  <sheetViews>
    <sheetView showGridLines="0" topLeftCell="A61" workbookViewId="0">
      <selection activeCell="B74" sqref="B74"/>
    </sheetView>
  </sheetViews>
  <sheetFormatPr defaultRowHeight="12" customHeight="1"/>
  <cols>
    <col min="1" max="1" width="14.28515625" customWidth="1"/>
    <col min="2" max="2" width="63.85546875" customWidth="1"/>
    <col min="3" max="3" width="7.85546875" style="243" customWidth="1"/>
    <col min="4" max="4" width="8" style="305" customWidth="1"/>
    <col min="5" max="5" width="13.42578125" style="243" bestFit="1" customWidth="1"/>
    <col min="6" max="16379" width="8" customWidth="1"/>
    <col min="16380" max="16384" width="11.5703125" customWidth="1"/>
  </cols>
  <sheetData>
    <row r="1" spans="1:42 16380:16384" s="32" customFormat="1" ht="12" customHeight="1">
      <c r="A1" s="46"/>
      <c r="B1" s="26"/>
      <c r="C1" s="302"/>
      <c r="D1" s="305"/>
      <c r="E1" s="243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XEZ1"/>
      <c r="XFA1"/>
      <c r="XFB1"/>
      <c r="XFC1"/>
      <c r="XFD1"/>
    </row>
    <row r="2" spans="1:42 16380:16384" s="32" customFormat="1" ht="12" customHeight="1">
      <c r="A2" s="114" t="s">
        <v>1184</v>
      </c>
      <c r="B2" s="114" t="s">
        <v>1192</v>
      </c>
      <c r="C2" s="114" t="s">
        <v>517</v>
      </c>
      <c r="D2" s="306" t="s">
        <v>1421</v>
      </c>
      <c r="E2" s="301" t="s">
        <v>1422</v>
      </c>
      <c r="F2" s="299"/>
      <c r="AL2"/>
      <c r="AM2"/>
      <c r="AN2"/>
      <c r="AO2"/>
      <c r="AP2"/>
      <c r="XEZ2"/>
      <c r="XFA2"/>
      <c r="XFB2"/>
      <c r="XFC2"/>
      <c r="XFD2"/>
    </row>
    <row r="3" spans="1:42 16380:16384" s="32" customFormat="1" ht="12" customHeight="1">
      <c r="A3" s="43"/>
      <c r="B3" s="44" t="s">
        <v>1193</v>
      </c>
      <c r="C3" s="48">
        <v>1</v>
      </c>
      <c r="D3" s="306"/>
      <c r="E3" s="301"/>
      <c r="AL3"/>
      <c r="AM3"/>
      <c r="AN3"/>
      <c r="AO3"/>
      <c r="AP3"/>
      <c r="XEZ3"/>
      <c r="XFA3"/>
      <c r="XFB3"/>
      <c r="XFC3"/>
      <c r="XFD3"/>
    </row>
    <row r="4" spans="1:42 16380:16384" ht="12" customHeight="1">
      <c r="A4" s="43"/>
      <c r="B4" s="44" t="s">
        <v>1191</v>
      </c>
      <c r="C4" s="48">
        <v>1</v>
      </c>
      <c r="D4" s="307"/>
      <c r="E4" s="301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</row>
    <row r="5" spans="1:42 16380:16384" ht="12" customHeight="1">
      <c r="A5" s="43"/>
      <c r="B5" s="44" t="s">
        <v>1194</v>
      </c>
      <c r="C5" s="48">
        <v>1</v>
      </c>
      <c r="D5" s="306"/>
      <c r="E5" s="301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</row>
    <row r="6" spans="1:42 16380:16384" ht="12" customHeight="1">
      <c r="A6" s="45"/>
      <c r="B6" s="25" t="s">
        <v>146</v>
      </c>
      <c r="C6" s="300">
        <v>3</v>
      </c>
      <c r="D6" s="306"/>
      <c r="E6" s="301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</row>
    <row r="7" spans="1:42 16380:16384" ht="12" customHeight="1">
      <c r="A7" s="46"/>
      <c r="B7" s="26"/>
      <c r="C7" s="303"/>
      <c r="D7" s="296"/>
      <c r="E7" s="248"/>
    </row>
    <row r="8" spans="1:42 16380:16384" ht="12" customHeight="1">
      <c r="A8" s="114" t="s">
        <v>1184</v>
      </c>
      <c r="B8" s="114" t="s">
        <v>1195</v>
      </c>
      <c r="C8" s="114" t="s">
        <v>517</v>
      </c>
      <c r="D8" s="296"/>
      <c r="E8" s="248"/>
    </row>
    <row r="9" spans="1:42 16380:16384" ht="12" customHeight="1">
      <c r="A9" s="43"/>
      <c r="B9" s="44" t="s">
        <v>674</v>
      </c>
      <c r="C9" s="48">
        <v>1</v>
      </c>
      <c r="D9" s="296"/>
      <c r="E9" s="248"/>
    </row>
    <row r="10" spans="1:42 16380:16384" ht="12" customHeight="1">
      <c r="A10" s="43"/>
      <c r="B10" s="44" t="s">
        <v>1196</v>
      </c>
      <c r="C10" s="48">
        <v>4</v>
      </c>
      <c r="D10" s="296"/>
      <c r="E10" s="248"/>
    </row>
    <row r="11" spans="1:42 16380:16384" ht="12" customHeight="1">
      <c r="A11" s="43"/>
      <c r="B11" s="44" t="s">
        <v>1197</v>
      </c>
      <c r="C11" s="48">
        <v>2</v>
      </c>
      <c r="D11" s="296"/>
      <c r="E11" s="248"/>
    </row>
    <row r="12" spans="1:42 16380:16384" ht="12" customHeight="1">
      <c r="A12" s="43"/>
      <c r="B12" s="44" t="s">
        <v>1198</v>
      </c>
      <c r="C12" s="48">
        <v>2</v>
      </c>
      <c r="D12" s="296"/>
      <c r="E12" s="248"/>
    </row>
    <row r="13" spans="1:42 16380:16384" ht="12" customHeight="1">
      <c r="A13" s="43"/>
      <c r="B13" s="44" t="s">
        <v>1199</v>
      </c>
      <c r="C13" s="48">
        <v>1</v>
      </c>
      <c r="D13" s="296"/>
      <c r="E13" s="248"/>
    </row>
    <row r="14" spans="1:42 16380:16384" ht="12" customHeight="1">
      <c r="A14" s="43"/>
      <c r="B14" s="44" t="s">
        <v>1200</v>
      </c>
      <c r="C14" s="48">
        <v>1</v>
      </c>
      <c r="D14" s="296"/>
      <c r="E14" s="248"/>
    </row>
    <row r="15" spans="1:42 16380:16384" ht="12" customHeight="1">
      <c r="A15" s="43"/>
      <c r="B15" s="44" t="s">
        <v>1201</v>
      </c>
      <c r="C15" s="48">
        <v>1</v>
      </c>
      <c r="D15" s="296"/>
      <c r="E15" s="248"/>
    </row>
    <row r="16" spans="1:42 16380:16384" ht="12" customHeight="1">
      <c r="A16" s="43"/>
      <c r="B16" s="44" t="s">
        <v>1202</v>
      </c>
      <c r="C16" s="48">
        <v>1</v>
      </c>
      <c r="D16" s="296"/>
      <c r="E16" s="248"/>
    </row>
    <row r="17" spans="1:6" ht="12" customHeight="1">
      <c r="A17" s="43"/>
      <c r="B17" s="44" t="s">
        <v>632</v>
      </c>
      <c r="C17" s="48">
        <v>1</v>
      </c>
      <c r="D17" s="296"/>
      <c r="E17" s="248"/>
    </row>
    <row r="18" spans="1:6" ht="12" customHeight="1">
      <c r="A18" s="43"/>
      <c r="B18" s="44" t="s">
        <v>555</v>
      </c>
      <c r="C18" s="48">
        <v>1</v>
      </c>
      <c r="D18" s="296"/>
      <c r="E18" s="248"/>
    </row>
    <row r="19" spans="1:6" ht="12" customHeight="1">
      <c r="A19" s="43"/>
      <c r="B19" s="44" t="s">
        <v>1203</v>
      </c>
      <c r="C19" s="48">
        <v>2</v>
      </c>
      <c r="D19" s="296"/>
      <c r="E19" s="248"/>
    </row>
    <row r="20" spans="1:6" ht="12" customHeight="1">
      <c r="A20" s="43"/>
      <c r="B20" s="44" t="s">
        <v>1204</v>
      </c>
      <c r="C20" s="48">
        <v>1</v>
      </c>
      <c r="D20" s="296"/>
      <c r="E20" s="248"/>
    </row>
    <row r="21" spans="1:6" ht="12" customHeight="1">
      <c r="A21" s="43"/>
      <c r="B21" s="44" t="s">
        <v>1205</v>
      </c>
      <c r="C21" s="48">
        <v>1</v>
      </c>
      <c r="D21" s="296"/>
      <c r="E21" s="248"/>
    </row>
    <row r="22" spans="1:6" ht="12" customHeight="1">
      <c r="A22" s="43"/>
      <c r="B22" s="44" t="s">
        <v>1206</v>
      </c>
      <c r="C22" s="48">
        <v>1</v>
      </c>
      <c r="D22" s="296"/>
      <c r="E22" s="248"/>
    </row>
    <row r="23" spans="1:6" ht="12" customHeight="1">
      <c r="A23" s="43"/>
      <c r="B23" s="44" t="s">
        <v>1191</v>
      </c>
      <c r="C23" s="48">
        <v>1</v>
      </c>
      <c r="D23" s="296"/>
      <c r="E23" s="248"/>
    </row>
    <row r="24" spans="1:6" ht="12" customHeight="1">
      <c r="A24" s="43"/>
      <c r="B24" s="44" t="s">
        <v>1207</v>
      </c>
      <c r="C24" s="48">
        <v>1</v>
      </c>
      <c r="D24" s="296"/>
      <c r="E24" s="248"/>
    </row>
    <row r="25" spans="1:6" ht="12" customHeight="1">
      <c r="A25" s="45"/>
      <c r="B25" s="25" t="s">
        <v>146</v>
      </c>
      <c r="C25" s="300">
        <v>22</v>
      </c>
      <c r="D25" s="296"/>
      <c r="E25" s="248"/>
    </row>
    <row r="26" spans="1:6" ht="12" customHeight="1">
      <c r="A26" s="45"/>
      <c r="B26" s="25"/>
      <c r="C26" s="300"/>
      <c r="D26" s="296"/>
      <c r="E26" s="248"/>
    </row>
    <row r="27" spans="1:6" ht="12" customHeight="1">
      <c r="A27" s="114" t="s">
        <v>1184</v>
      </c>
      <c r="B27" s="114" t="s">
        <v>1208</v>
      </c>
      <c r="C27" s="114"/>
      <c r="D27" s="296"/>
      <c r="E27" s="248"/>
    </row>
    <row r="28" spans="1:6" ht="12" customHeight="1">
      <c r="A28" s="43"/>
      <c r="B28" s="44" t="s">
        <v>1190</v>
      </c>
      <c r="C28" s="48">
        <v>1</v>
      </c>
      <c r="D28" s="307"/>
      <c r="E28" s="248"/>
    </row>
    <row r="29" spans="1:6" ht="12" customHeight="1">
      <c r="A29" s="43"/>
      <c r="B29" s="44" t="s">
        <v>1209</v>
      </c>
      <c r="C29" s="48">
        <v>1</v>
      </c>
      <c r="D29" s="296"/>
      <c r="E29" s="248"/>
    </row>
    <row r="30" spans="1:6" ht="12" customHeight="1">
      <c r="A30" s="43"/>
      <c r="B30" s="44" t="s">
        <v>1210</v>
      </c>
      <c r="C30" s="48">
        <v>1</v>
      </c>
      <c r="D30" s="296"/>
      <c r="E30" s="248"/>
    </row>
    <row r="31" spans="1:6" ht="12" customHeight="1">
      <c r="A31" s="43"/>
      <c r="B31" s="44" t="s">
        <v>1211</v>
      </c>
      <c r="C31" s="48">
        <v>1</v>
      </c>
      <c r="D31" s="308"/>
      <c r="E31" s="304"/>
      <c r="F31" s="33"/>
    </row>
    <row r="32" spans="1:6" ht="12" customHeight="1">
      <c r="A32" s="45"/>
      <c r="B32" s="25" t="s">
        <v>146</v>
      </c>
      <c r="C32" s="300">
        <v>4</v>
      </c>
      <c r="D32" s="308"/>
      <c r="E32" s="304"/>
      <c r="F32" s="33"/>
    </row>
    <row r="33" spans="1:27" ht="12" customHeight="1">
      <c r="A33" s="45"/>
      <c r="B33" s="25"/>
      <c r="C33" s="300"/>
      <c r="D33" s="308"/>
      <c r="E33" s="304"/>
      <c r="F33" s="33"/>
    </row>
    <row r="34" spans="1:27" ht="12" customHeight="1">
      <c r="A34" s="114" t="s">
        <v>1184</v>
      </c>
      <c r="B34" s="114" t="s">
        <v>1212</v>
      </c>
      <c r="C34" s="114" t="s">
        <v>517</v>
      </c>
      <c r="D34" s="296"/>
      <c r="E34" s="248"/>
    </row>
    <row r="35" spans="1:27" ht="12" customHeight="1">
      <c r="A35" s="43"/>
      <c r="B35" s="44" t="s">
        <v>1213</v>
      </c>
      <c r="C35" s="48">
        <v>1</v>
      </c>
      <c r="D35" s="308"/>
      <c r="E35" s="304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1:27" ht="12" customHeight="1">
      <c r="A36" s="43"/>
      <c r="B36" s="44" t="s">
        <v>1214</v>
      </c>
      <c r="C36" s="48">
        <v>1</v>
      </c>
      <c r="D36" s="308"/>
      <c r="E36" s="304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1:27" ht="12" customHeight="1">
      <c r="A37" s="43"/>
      <c r="B37" s="44" t="s">
        <v>1215</v>
      </c>
      <c r="C37" s="48">
        <v>1</v>
      </c>
      <c r="D37" s="296"/>
      <c r="E37" s="248"/>
    </row>
    <row r="38" spans="1:27" ht="12" customHeight="1">
      <c r="A38" s="43"/>
      <c r="B38" s="44" t="s">
        <v>1216</v>
      </c>
      <c r="C38" s="48">
        <v>1</v>
      </c>
      <c r="D38" s="296"/>
      <c r="E38" s="248"/>
    </row>
    <row r="39" spans="1:27" ht="12" customHeight="1">
      <c r="A39" s="43"/>
      <c r="B39" s="44" t="s">
        <v>1217</v>
      </c>
      <c r="C39" s="48">
        <v>1</v>
      </c>
      <c r="D39" s="296"/>
      <c r="E39" s="248"/>
    </row>
    <row r="40" spans="1:27" ht="12" customHeight="1">
      <c r="A40" s="43"/>
      <c r="B40" s="44" t="s">
        <v>1218</v>
      </c>
      <c r="C40" s="48">
        <v>2</v>
      </c>
      <c r="D40" s="296"/>
      <c r="E40" s="248"/>
    </row>
    <row r="41" spans="1:27" ht="12" customHeight="1">
      <c r="A41" s="43"/>
      <c r="B41" s="44" t="s">
        <v>732</v>
      </c>
      <c r="C41" s="48">
        <v>1</v>
      </c>
      <c r="D41" s="296"/>
      <c r="E41" s="248"/>
    </row>
    <row r="42" spans="1:27" ht="12" customHeight="1">
      <c r="A42" s="43"/>
      <c r="B42" s="44" t="s">
        <v>1219</v>
      </c>
      <c r="C42" s="48">
        <v>3</v>
      </c>
      <c r="D42" s="296"/>
      <c r="E42" s="248"/>
    </row>
    <row r="43" spans="1:27" ht="12" customHeight="1">
      <c r="A43" s="43"/>
      <c r="B43" s="44" t="s">
        <v>789</v>
      </c>
      <c r="C43" s="48">
        <v>2</v>
      </c>
      <c r="D43" s="296"/>
      <c r="E43" s="248"/>
    </row>
    <row r="44" spans="1:27" ht="12" customHeight="1">
      <c r="A44" s="43"/>
      <c r="B44" s="44" t="s">
        <v>1220</v>
      </c>
      <c r="C44" s="48">
        <v>1</v>
      </c>
      <c r="D44" s="296"/>
      <c r="E44" s="248"/>
    </row>
    <row r="45" spans="1:27" ht="12" customHeight="1">
      <c r="A45" s="43"/>
      <c r="B45" s="44" t="s">
        <v>775</v>
      </c>
      <c r="C45" s="48">
        <v>1</v>
      </c>
      <c r="D45" s="296"/>
      <c r="E45" s="248"/>
    </row>
    <row r="46" spans="1:27" ht="12" customHeight="1">
      <c r="A46" s="43"/>
      <c r="B46" s="44" t="s">
        <v>1221</v>
      </c>
      <c r="C46" s="48">
        <v>1</v>
      </c>
      <c r="D46" s="296"/>
      <c r="E46" s="248"/>
    </row>
    <row r="47" spans="1:27" ht="12" customHeight="1">
      <c r="A47" s="47"/>
      <c r="B47" s="25" t="s">
        <v>146</v>
      </c>
      <c r="C47" s="300">
        <v>16</v>
      </c>
      <c r="D47" s="296"/>
      <c r="E47" s="248"/>
    </row>
    <row r="48" spans="1:27" ht="12" customHeight="1">
      <c r="A48" s="47"/>
      <c r="B48" s="25"/>
      <c r="C48" s="300"/>
      <c r="D48" s="296"/>
      <c r="E48" s="248"/>
    </row>
    <row r="49" spans="1:5" ht="12" customHeight="1">
      <c r="A49" s="114" t="s">
        <v>1222</v>
      </c>
      <c r="B49" s="114" t="s">
        <v>1223</v>
      </c>
      <c r="C49" s="114" t="s">
        <v>517</v>
      </c>
      <c r="D49" s="296"/>
      <c r="E49" s="248"/>
    </row>
    <row r="50" spans="1:5" ht="12" customHeight="1">
      <c r="A50" s="43"/>
      <c r="B50" s="44" t="s">
        <v>1186</v>
      </c>
      <c r="C50" s="48">
        <v>1</v>
      </c>
      <c r="D50" s="296"/>
      <c r="E50" s="248"/>
    </row>
    <row r="51" spans="1:5" ht="12" customHeight="1">
      <c r="A51" s="43"/>
      <c r="B51" s="44" t="s">
        <v>1188</v>
      </c>
      <c r="C51" s="48">
        <v>1</v>
      </c>
      <c r="D51" s="296"/>
      <c r="E51" s="248"/>
    </row>
    <row r="52" spans="1:5" ht="12" customHeight="1">
      <c r="A52" s="43"/>
      <c r="B52" s="44" t="s">
        <v>1187</v>
      </c>
      <c r="C52" s="48">
        <v>1</v>
      </c>
      <c r="D52" s="296"/>
      <c r="E52" s="248"/>
    </row>
    <row r="53" spans="1:5" ht="12" customHeight="1">
      <c r="A53" s="45"/>
      <c r="B53" s="25" t="s">
        <v>146</v>
      </c>
      <c r="C53" s="300">
        <v>3</v>
      </c>
      <c r="D53" s="296"/>
      <c r="E53" s="248"/>
    </row>
    <row r="54" spans="1:5" ht="12" customHeight="1">
      <c r="A54" s="45"/>
      <c r="B54" s="25"/>
      <c r="C54" s="300"/>
      <c r="D54" s="296"/>
      <c r="E54" s="248"/>
    </row>
    <row r="55" spans="1:5" ht="12" customHeight="1">
      <c r="A55" s="114" t="s">
        <v>1184</v>
      </c>
      <c r="B55" s="114" t="s">
        <v>1224</v>
      </c>
      <c r="C55" s="114" t="s">
        <v>517</v>
      </c>
      <c r="D55" s="296"/>
      <c r="E55" s="248"/>
    </row>
    <row r="56" spans="1:5" ht="12" customHeight="1">
      <c r="A56" s="43"/>
      <c r="B56" s="44" t="s">
        <v>1225</v>
      </c>
      <c r="C56" s="48">
        <v>1</v>
      </c>
      <c r="D56" s="296"/>
      <c r="E56" s="248"/>
    </row>
    <row r="57" spans="1:5" ht="12" customHeight="1">
      <c r="A57" s="43"/>
      <c r="B57" s="49" t="s">
        <v>1226</v>
      </c>
      <c r="C57" s="48">
        <v>1</v>
      </c>
      <c r="D57" s="296"/>
      <c r="E57" s="248"/>
    </row>
    <row r="58" spans="1:5" ht="12" customHeight="1">
      <c r="A58" s="43"/>
      <c r="B58" s="44" t="s">
        <v>797</v>
      </c>
      <c r="C58" s="48">
        <v>1</v>
      </c>
      <c r="D58" s="296"/>
      <c r="E58" s="248"/>
    </row>
    <row r="59" spans="1:5" ht="12" customHeight="1">
      <c r="A59" s="43"/>
      <c r="B59" s="44" t="s">
        <v>1189</v>
      </c>
      <c r="C59" s="48">
        <v>1</v>
      </c>
      <c r="D59" s="296"/>
      <c r="E59" s="248"/>
    </row>
    <row r="60" spans="1:5" ht="12" customHeight="1">
      <c r="A60" s="43"/>
      <c r="B60" s="49" t="s">
        <v>1227</v>
      </c>
      <c r="C60" s="48">
        <v>1</v>
      </c>
      <c r="D60" s="308"/>
      <c r="E60" s="248"/>
    </row>
    <row r="61" spans="1:5" ht="12" customHeight="1">
      <c r="A61" s="45"/>
      <c r="B61" s="25" t="s">
        <v>146</v>
      </c>
      <c r="C61" s="300">
        <v>5</v>
      </c>
      <c r="D61" s="296"/>
      <c r="E61" s="248"/>
    </row>
    <row r="62" spans="1:5" ht="12" customHeight="1">
      <c r="A62" s="114" t="s">
        <v>1184</v>
      </c>
      <c r="B62" s="114" t="s">
        <v>1228</v>
      </c>
      <c r="C62" s="114" t="s">
        <v>517</v>
      </c>
      <c r="D62" s="296"/>
      <c r="E62" s="248"/>
    </row>
    <row r="63" spans="1:5" ht="12" customHeight="1">
      <c r="A63" s="43"/>
      <c r="B63" s="44" t="s">
        <v>1229</v>
      </c>
      <c r="C63" s="48">
        <v>1</v>
      </c>
      <c r="D63" s="296"/>
      <c r="E63" s="248"/>
    </row>
    <row r="64" spans="1:5" ht="12" customHeight="1">
      <c r="A64" s="43"/>
      <c r="B64" s="44" t="s">
        <v>1185</v>
      </c>
      <c r="C64" s="48">
        <v>1</v>
      </c>
      <c r="D64" s="296"/>
      <c r="E64" s="248"/>
    </row>
    <row r="65" spans="1:5" ht="12" customHeight="1">
      <c r="A65" s="43"/>
      <c r="B65" s="44" t="s">
        <v>1186</v>
      </c>
      <c r="C65" s="48">
        <v>1</v>
      </c>
      <c r="D65" s="296"/>
      <c r="E65" s="248"/>
    </row>
    <row r="66" spans="1:5" ht="12" customHeight="1">
      <c r="A66" s="43"/>
      <c r="B66" s="44" t="s">
        <v>1230</v>
      </c>
      <c r="C66" s="48">
        <v>1</v>
      </c>
      <c r="D66" s="296"/>
      <c r="E66" s="248"/>
    </row>
    <row r="67" spans="1:5" ht="12" customHeight="1">
      <c r="A67" s="43"/>
      <c r="B67" s="44" t="s">
        <v>1189</v>
      </c>
      <c r="C67" s="48">
        <v>1</v>
      </c>
      <c r="D67" s="296"/>
      <c r="E67" s="248"/>
    </row>
    <row r="68" spans="1:5" ht="12" customHeight="1">
      <c r="A68" s="43"/>
      <c r="B68" s="44" t="s">
        <v>1231</v>
      </c>
      <c r="C68" s="48">
        <v>1</v>
      </c>
      <c r="D68" s="296"/>
      <c r="E68" s="248"/>
    </row>
    <row r="69" spans="1:5" ht="12" customHeight="1">
      <c r="A69" s="43"/>
      <c r="B69" s="44" t="s">
        <v>1232</v>
      </c>
      <c r="C69" s="48">
        <v>1</v>
      </c>
      <c r="D69" s="296"/>
      <c r="E69" s="248"/>
    </row>
    <row r="70" spans="1:5" ht="12" customHeight="1">
      <c r="A70" s="43"/>
      <c r="B70" s="49" t="s">
        <v>1233</v>
      </c>
      <c r="C70" s="48">
        <v>1</v>
      </c>
      <c r="D70" s="296"/>
      <c r="E70" s="248"/>
    </row>
    <row r="71" spans="1:5" ht="12" customHeight="1">
      <c r="A71" s="45"/>
      <c r="B71" s="25" t="s">
        <v>146</v>
      </c>
      <c r="C71" s="300">
        <v>8</v>
      </c>
      <c r="D71" s="296"/>
      <c r="E71" s="248"/>
    </row>
    <row r="72" spans="1:5" ht="12" customHeight="1">
      <c r="A72" s="114" t="s">
        <v>1222</v>
      </c>
      <c r="B72" s="114" t="s">
        <v>117</v>
      </c>
      <c r="C72" s="114" t="s">
        <v>517</v>
      </c>
      <c r="D72" s="296"/>
      <c r="E72" s="248"/>
    </row>
    <row r="73" spans="1:5" ht="12" customHeight="1">
      <c r="A73" s="43"/>
      <c r="B73" s="44" t="s">
        <v>851</v>
      </c>
      <c r="C73" s="48">
        <v>1</v>
      </c>
      <c r="D73" s="296"/>
      <c r="E73" s="248"/>
    </row>
    <row r="74" spans="1:5" ht="12" customHeight="1">
      <c r="A74" s="43"/>
      <c r="B74" s="44" t="s">
        <v>852</v>
      </c>
      <c r="C74" s="48">
        <v>1</v>
      </c>
      <c r="D74" s="296"/>
      <c r="E74" s="248"/>
    </row>
    <row r="75" spans="1:5" ht="12" customHeight="1">
      <c r="A75" s="43"/>
      <c r="B75" s="44" t="s">
        <v>1234</v>
      </c>
      <c r="C75" s="48">
        <v>1</v>
      </c>
      <c r="D75" s="296"/>
      <c r="E75" s="248"/>
    </row>
    <row r="76" spans="1:5" ht="12" customHeight="1">
      <c r="A76" s="43"/>
      <c r="B76" s="44" t="s">
        <v>856</v>
      </c>
      <c r="C76" s="48">
        <v>1</v>
      </c>
      <c r="D76" s="296"/>
      <c r="E76" s="248"/>
    </row>
    <row r="77" spans="1:5" ht="12" customHeight="1">
      <c r="A77" s="43"/>
      <c r="B77" s="49" t="s">
        <v>1235</v>
      </c>
      <c r="C77" s="48">
        <v>1</v>
      </c>
      <c r="D77" s="296"/>
      <c r="E77" s="248"/>
    </row>
    <row r="78" spans="1:5" ht="12" customHeight="1">
      <c r="A78" s="47"/>
      <c r="B78" s="25" t="s">
        <v>146</v>
      </c>
      <c r="C78" s="300">
        <v>5</v>
      </c>
      <c r="D78" s="296"/>
      <c r="E78" s="248"/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048575"/>
  <sheetViews>
    <sheetView topLeftCell="A79" zoomScale="60" zoomScaleNormal="60" workbookViewId="0">
      <selection activeCell="D2" sqref="D2:D102"/>
    </sheetView>
  </sheetViews>
  <sheetFormatPr defaultRowHeight="21" customHeight="1"/>
  <cols>
    <col min="1" max="1" width="70.5703125" style="28" customWidth="1"/>
    <col min="2" max="2" width="31.5703125" style="28" hidden="1" customWidth="1"/>
    <col min="3" max="3" width="28.85546875" style="28" hidden="1" customWidth="1"/>
    <col min="4" max="4" width="11.85546875" bestFit="1" customWidth="1"/>
    <col min="5" max="5" width="14.85546875" style="298" customWidth="1"/>
    <col min="6" max="6" width="17.140625" bestFit="1" customWidth="1"/>
    <col min="7" max="13" width="8" customWidth="1"/>
    <col min="14" max="16363" width="8" style="28" customWidth="1"/>
    <col min="16364" max="16384" width="11.5703125" style="28" customWidth="1"/>
  </cols>
  <sheetData>
    <row r="1" spans="1:6" ht="21" customHeight="1">
      <c r="A1" s="50" t="s">
        <v>1236</v>
      </c>
      <c r="B1" s="51" t="s">
        <v>1237</v>
      </c>
      <c r="C1" s="309" t="s">
        <v>1238</v>
      </c>
      <c r="D1" s="248" t="s">
        <v>517</v>
      </c>
      <c r="E1" s="296" t="s">
        <v>1421</v>
      </c>
      <c r="F1" s="248" t="s">
        <v>1422</v>
      </c>
    </row>
    <row r="2" spans="1:6" ht="21" customHeight="1">
      <c r="A2" s="52" t="s">
        <v>1239</v>
      </c>
      <c r="B2" s="53">
        <v>3</v>
      </c>
      <c r="C2" s="310">
        <v>1</v>
      </c>
      <c r="D2" s="248">
        <f>Tabela1[[#This Row],[QTD - solicitada]]-Tabela1[[#This Row],[QTD - recebida]]</f>
        <v>2</v>
      </c>
      <c r="E2" s="296"/>
      <c r="F2" s="248"/>
    </row>
    <row r="3" spans="1:6" ht="21" customHeight="1">
      <c r="A3" s="52" t="s">
        <v>1240</v>
      </c>
      <c r="B3" s="53">
        <v>3</v>
      </c>
      <c r="C3" s="310">
        <v>1</v>
      </c>
      <c r="D3" s="248">
        <f>Tabela1[[#This Row],[QTD - solicitada]]-Tabela1[[#This Row],[QTD - recebida]]</f>
        <v>2</v>
      </c>
      <c r="E3" s="296"/>
      <c r="F3" s="248"/>
    </row>
    <row r="4" spans="1:6" ht="21" customHeight="1">
      <c r="A4" s="54" t="s">
        <v>1241</v>
      </c>
      <c r="B4" s="55">
        <v>1</v>
      </c>
      <c r="C4" s="311"/>
      <c r="D4" s="248">
        <f>Tabela1[[#This Row],[QTD - solicitada]]-Tabela1[[#This Row],[QTD - recebida]]</f>
        <v>1</v>
      </c>
      <c r="E4" s="296"/>
      <c r="F4" s="248"/>
    </row>
    <row r="5" spans="1:6" ht="21" customHeight="1">
      <c r="A5" s="54" t="s">
        <v>1242</v>
      </c>
      <c r="B5" s="55">
        <v>1</v>
      </c>
      <c r="C5" s="311"/>
      <c r="D5" s="248">
        <f>Tabela1[[#This Row],[QTD - solicitada]]-Tabela1[[#This Row],[QTD - recebida]]</f>
        <v>1</v>
      </c>
      <c r="E5" s="296"/>
      <c r="F5" s="248"/>
    </row>
    <row r="6" spans="1:6" ht="21" customHeight="1">
      <c r="A6" s="54" t="s">
        <v>1243</v>
      </c>
      <c r="B6" s="55">
        <v>1</v>
      </c>
      <c r="C6" s="310"/>
      <c r="D6" s="248">
        <f>Tabela1[[#This Row],[QTD - solicitada]]-Tabela1[[#This Row],[QTD - recebida]]</f>
        <v>1</v>
      </c>
      <c r="E6" s="296"/>
      <c r="F6" s="248"/>
    </row>
    <row r="7" spans="1:6" ht="21" customHeight="1">
      <c r="A7" s="54" t="s">
        <v>1244</v>
      </c>
      <c r="B7" s="55">
        <v>1</v>
      </c>
      <c r="C7" s="310"/>
      <c r="D7" s="248">
        <f>Tabela1[[#This Row],[QTD - solicitada]]-Tabela1[[#This Row],[QTD - recebida]]</f>
        <v>1</v>
      </c>
      <c r="E7" s="296"/>
      <c r="F7" s="248"/>
    </row>
    <row r="8" spans="1:6" ht="21" customHeight="1">
      <c r="A8" s="52" t="s">
        <v>1245</v>
      </c>
      <c r="B8" s="53">
        <v>5</v>
      </c>
      <c r="C8" s="310">
        <v>1</v>
      </c>
      <c r="D8" s="248">
        <f>Tabela1[[#This Row],[QTD - solicitada]]-Tabela1[[#This Row],[QTD - recebida]]</f>
        <v>4</v>
      </c>
      <c r="E8" s="296"/>
      <c r="F8" s="248"/>
    </row>
    <row r="9" spans="1:6" ht="21" customHeight="1">
      <c r="A9" s="52" t="s">
        <v>1246</v>
      </c>
      <c r="B9" s="53">
        <v>5</v>
      </c>
      <c r="C9" s="310">
        <v>3</v>
      </c>
      <c r="D9" s="248">
        <f>Tabela1[[#This Row],[QTD - solicitada]]-Tabela1[[#This Row],[QTD - recebida]]</f>
        <v>2</v>
      </c>
      <c r="E9" s="296"/>
      <c r="F9" s="248"/>
    </row>
    <row r="10" spans="1:6" ht="21" customHeight="1">
      <c r="A10" s="52" t="s">
        <v>1247</v>
      </c>
      <c r="B10" s="53">
        <v>5</v>
      </c>
      <c r="C10" s="310">
        <v>2</v>
      </c>
      <c r="D10" s="248">
        <f>Tabela1[[#This Row],[QTD - solicitada]]-Tabela1[[#This Row],[QTD - recebida]]</f>
        <v>3</v>
      </c>
      <c r="E10" s="296"/>
      <c r="F10" s="248"/>
    </row>
    <row r="11" spans="1:6" ht="21" customHeight="1">
      <c r="A11" s="56" t="s">
        <v>1248</v>
      </c>
      <c r="B11" s="57">
        <v>10</v>
      </c>
      <c r="C11" s="312">
        <v>6</v>
      </c>
      <c r="D11" s="248">
        <f>Tabela1[[#This Row],[QTD - solicitada]]-Tabela1[[#This Row],[QTD - recebida]]</f>
        <v>4</v>
      </c>
      <c r="E11" s="296"/>
      <c r="F11" s="248"/>
    </row>
    <row r="12" spans="1:6" ht="21" customHeight="1">
      <c r="A12" s="56" t="s">
        <v>1249</v>
      </c>
      <c r="B12" s="57">
        <v>10</v>
      </c>
      <c r="C12" s="312">
        <v>6</v>
      </c>
      <c r="D12" s="248">
        <f>Tabela1[[#This Row],[QTD - solicitada]]-Tabela1[[#This Row],[QTD - recebida]]</f>
        <v>4</v>
      </c>
      <c r="E12" s="296"/>
      <c r="F12" s="248"/>
    </row>
    <row r="13" spans="1:6" ht="21" customHeight="1">
      <c r="A13" s="56" t="s">
        <v>1250</v>
      </c>
      <c r="B13" s="57">
        <v>10</v>
      </c>
      <c r="C13" s="312">
        <v>6</v>
      </c>
      <c r="D13" s="248">
        <f>Tabela1[[#This Row],[QTD - solicitada]]-Tabela1[[#This Row],[QTD - recebida]]</f>
        <v>4</v>
      </c>
      <c r="E13" s="296"/>
      <c r="F13" s="248"/>
    </row>
    <row r="14" spans="1:6" ht="21" customHeight="1">
      <c r="A14" s="52" t="s">
        <v>1251</v>
      </c>
      <c r="B14" s="53">
        <v>3</v>
      </c>
      <c r="C14" s="310">
        <v>3</v>
      </c>
      <c r="D14" s="248">
        <f>Tabela1[[#This Row],[QTD - solicitada]]-Tabela1[[#This Row],[QTD - recebida]]</f>
        <v>0</v>
      </c>
      <c r="E14" s="296"/>
      <c r="F14" s="248"/>
    </row>
    <row r="15" spans="1:6" ht="21" customHeight="1">
      <c r="A15" s="52" t="s">
        <v>1252</v>
      </c>
      <c r="B15" s="53">
        <v>3</v>
      </c>
      <c r="C15" s="310">
        <v>1</v>
      </c>
      <c r="D15" s="248">
        <f>Tabela1[[#This Row],[QTD - solicitada]]-Tabela1[[#This Row],[QTD - recebida]]</f>
        <v>2</v>
      </c>
      <c r="E15" s="296"/>
      <c r="F15" s="248"/>
    </row>
    <row r="16" spans="1:6" ht="21" customHeight="1">
      <c r="A16" s="52" t="s">
        <v>1253</v>
      </c>
      <c r="B16" s="53">
        <v>3</v>
      </c>
      <c r="C16" s="310">
        <v>1</v>
      </c>
      <c r="D16" s="248">
        <f>Tabela1[[#This Row],[QTD - solicitada]]-Tabela1[[#This Row],[QTD - recebida]]</f>
        <v>2</v>
      </c>
      <c r="E16" s="296"/>
      <c r="F16" s="248"/>
    </row>
    <row r="17" spans="1:6" ht="21" customHeight="1">
      <c r="A17" s="56" t="s">
        <v>1254</v>
      </c>
      <c r="B17" s="57">
        <v>4</v>
      </c>
      <c r="C17" s="312">
        <v>2</v>
      </c>
      <c r="D17" s="248">
        <f>Tabela1[[#This Row],[QTD - solicitada]]-Tabela1[[#This Row],[QTD - recebida]]</f>
        <v>2</v>
      </c>
      <c r="E17" s="296"/>
      <c r="F17" s="248"/>
    </row>
    <row r="18" spans="1:6" ht="21" customHeight="1">
      <c r="A18" s="59" t="s">
        <v>1255</v>
      </c>
      <c r="B18" s="60">
        <v>5</v>
      </c>
      <c r="C18" s="311">
        <v>1</v>
      </c>
      <c r="D18" s="248">
        <f>Tabela1[[#This Row],[QTD - solicitada]]-Tabela1[[#This Row],[QTD - recebida]]</f>
        <v>4</v>
      </c>
      <c r="E18" s="296"/>
      <c r="F18" s="248"/>
    </row>
    <row r="19" spans="1:6" ht="21" customHeight="1">
      <c r="A19" s="59" t="s">
        <v>1256</v>
      </c>
      <c r="B19" s="60">
        <v>5</v>
      </c>
      <c r="C19" s="311">
        <v>2</v>
      </c>
      <c r="D19" s="248">
        <f>Tabela1[[#This Row],[QTD - solicitada]]-Tabela1[[#This Row],[QTD - recebida]]</f>
        <v>3</v>
      </c>
      <c r="E19" s="296"/>
      <c r="F19" s="248"/>
    </row>
    <row r="20" spans="1:6" ht="21" customHeight="1">
      <c r="A20" s="59" t="s">
        <v>1257</v>
      </c>
      <c r="B20" s="60">
        <v>5</v>
      </c>
      <c r="C20" s="311">
        <v>2</v>
      </c>
      <c r="D20" s="248">
        <f>Tabela1[[#This Row],[QTD - solicitada]]-Tabela1[[#This Row],[QTD - recebida]]</f>
        <v>3</v>
      </c>
      <c r="E20" s="296"/>
      <c r="F20" s="248"/>
    </row>
    <row r="21" spans="1:6" ht="21" customHeight="1">
      <c r="A21" s="59" t="s">
        <v>1258</v>
      </c>
      <c r="B21" s="60">
        <v>5</v>
      </c>
      <c r="C21" s="311">
        <v>2</v>
      </c>
      <c r="D21" s="248">
        <f>Tabela1[[#This Row],[QTD - solicitada]]-Tabela1[[#This Row],[QTD - recebida]]</f>
        <v>3</v>
      </c>
      <c r="E21" s="296"/>
      <c r="F21" s="248"/>
    </row>
    <row r="22" spans="1:6" ht="21" customHeight="1">
      <c r="A22" s="61" t="s">
        <v>1259</v>
      </c>
      <c r="B22" s="62">
        <v>4</v>
      </c>
      <c r="C22" s="311"/>
      <c r="D22" s="248">
        <f>Tabela1[[#This Row],[QTD - solicitada]]-Tabela1[[#This Row],[QTD - recebida]]</f>
        <v>4</v>
      </c>
      <c r="E22" s="296"/>
      <c r="F22" s="248"/>
    </row>
    <row r="23" spans="1:6" ht="21" customHeight="1">
      <c r="A23" s="52" t="s">
        <v>1260</v>
      </c>
      <c r="B23" s="53">
        <v>1</v>
      </c>
      <c r="C23" s="310">
        <v>1</v>
      </c>
      <c r="D23" s="248">
        <f>Tabela1[[#This Row],[QTD - solicitada]]-Tabela1[[#This Row],[QTD - recebida]]</f>
        <v>0</v>
      </c>
      <c r="E23" s="296"/>
      <c r="F23" s="248"/>
    </row>
    <row r="24" spans="1:6" ht="21" customHeight="1">
      <c r="A24" s="52" t="s">
        <v>1261</v>
      </c>
      <c r="B24" s="53">
        <v>2</v>
      </c>
      <c r="C24" s="310">
        <v>2</v>
      </c>
      <c r="D24" s="248">
        <f>Tabela1[[#This Row],[QTD - solicitada]]-Tabela1[[#This Row],[QTD - recebida]]</f>
        <v>0</v>
      </c>
      <c r="E24" s="296"/>
      <c r="F24" s="248"/>
    </row>
    <row r="25" spans="1:6" ht="21" customHeight="1">
      <c r="A25" s="59" t="s">
        <v>60</v>
      </c>
      <c r="B25" s="60">
        <v>5</v>
      </c>
      <c r="C25" s="311">
        <v>5</v>
      </c>
      <c r="D25" s="248">
        <f>Tabela1[[#This Row],[QTD - solicitada]]-Tabela1[[#This Row],[QTD - recebida]]</f>
        <v>0</v>
      </c>
      <c r="E25" s="296"/>
      <c r="F25" s="248"/>
    </row>
    <row r="26" spans="1:6" ht="21" customHeight="1">
      <c r="A26" s="59" t="s">
        <v>59</v>
      </c>
      <c r="B26" s="60">
        <v>7</v>
      </c>
      <c r="C26" s="311">
        <v>5</v>
      </c>
      <c r="D26" s="248">
        <f>Tabela1[[#This Row],[QTD - solicitada]]-Tabela1[[#This Row],[QTD - recebida]]</f>
        <v>2</v>
      </c>
      <c r="E26" s="296"/>
      <c r="F26" s="248"/>
    </row>
    <row r="27" spans="1:6" ht="21" customHeight="1">
      <c r="A27" s="61" t="s">
        <v>1262</v>
      </c>
      <c r="B27" s="62">
        <v>2</v>
      </c>
      <c r="C27" s="311"/>
      <c r="D27" s="248">
        <f>Tabela1[[#This Row],[QTD - solicitada]]-Tabela1[[#This Row],[QTD - recebida]]</f>
        <v>2</v>
      </c>
      <c r="E27" s="296"/>
      <c r="F27" s="248"/>
    </row>
    <row r="28" spans="1:6" ht="21" customHeight="1">
      <c r="A28" s="63" t="s">
        <v>1263</v>
      </c>
      <c r="B28" s="64">
        <v>6</v>
      </c>
      <c r="C28" s="311">
        <v>4</v>
      </c>
      <c r="D28" s="248">
        <f>Tabela1[[#This Row],[QTD - solicitada]]-Tabela1[[#This Row],[QTD - recebida]]</f>
        <v>2</v>
      </c>
      <c r="E28" s="296"/>
      <c r="F28" s="248"/>
    </row>
    <row r="29" spans="1:6" ht="21" customHeight="1">
      <c r="A29" s="61" t="s">
        <v>878</v>
      </c>
      <c r="B29" s="62">
        <v>7</v>
      </c>
      <c r="C29" s="311">
        <v>4</v>
      </c>
      <c r="D29" s="248">
        <f>Tabela1[[#This Row],[QTD - solicitada]]-Tabela1[[#This Row],[QTD - recebida]]</f>
        <v>3</v>
      </c>
      <c r="E29" s="296"/>
      <c r="F29" s="248"/>
    </row>
    <row r="30" spans="1:6" ht="21" customHeight="1">
      <c r="A30" s="65" t="s">
        <v>1264</v>
      </c>
      <c r="B30" s="58">
        <v>8</v>
      </c>
      <c r="C30" s="312"/>
      <c r="D30" s="248">
        <f>Tabela1[[#This Row],[QTD - solicitada]]-Tabela1[[#This Row],[QTD - recebida]]</f>
        <v>8</v>
      </c>
      <c r="E30" s="296"/>
      <c r="F30" s="248"/>
    </row>
    <row r="31" spans="1:6" customFormat="1" ht="21" customHeight="1">
      <c r="A31" s="52" t="s">
        <v>1265</v>
      </c>
      <c r="B31" s="53">
        <v>60</v>
      </c>
      <c r="C31" s="310">
        <v>5</v>
      </c>
      <c r="D31" s="248">
        <f>Tabela1[[#This Row],[QTD - solicitada]]-Tabela1[[#This Row],[QTD - recebida]]</f>
        <v>55</v>
      </c>
      <c r="E31" s="296"/>
      <c r="F31" s="248"/>
    </row>
    <row r="32" spans="1:6" customFormat="1" ht="21" customHeight="1">
      <c r="A32" s="52" t="s">
        <v>1266</v>
      </c>
      <c r="B32" s="53">
        <v>3</v>
      </c>
      <c r="C32" s="310"/>
      <c r="D32" s="248">
        <f>Tabela1[[#This Row],[QTD - solicitada]]-Tabela1[[#This Row],[QTD - recebida]]</f>
        <v>3</v>
      </c>
      <c r="E32" s="296"/>
      <c r="F32" s="248"/>
    </row>
    <row r="33" spans="1:6" customFormat="1" ht="21" customHeight="1">
      <c r="A33" s="65" t="s">
        <v>679</v>
      </c>
      <c r="B33" s="58">
        <v>40</v>
      </c>
      <c r="C33" s="312">
        <v>20</v>
      </c>
      <c r="D33" s="248">
        <f>Tabela1[[#This Row],[QTD - solicitada]]-Tabela1[[#This Row],[QTD - recebida]]</f>
        <v>20</v>
      </c>
      <c r="E33" s="296"/>
      <c r="F33" s="248"/>
    </row>
    <row r="34" spans="1:6" customFormat="1" ht="21" customHeight="1">
      <c r="A34" s="63" t="s">
        <v>1267</v>
      </c>
      <c r="B34" s="64">
        <v>20</v>
      </c>
      <c r="C34" s="311">
        <v>5</v>
      </c>
      <c r="D34" s="248">
        <f>Tabela1[[#This Row],[QTD - solicitada]]-Tabela1[[#This Row],[QTD - recebida]]</f>
        <v>15</v>
      </c>
      <c r="E34" s="296"/>
      <c r="F34" s="248"/>
    </row>
    <row r="35" spans="1:6" customFormat="1" ht="21" customHeight="1">
      <c r="A35" s="59" t="s">
        <v>1268</v>
      </c>
      <c r="B35" s="60">
        <v>30</v>
      </c>
      <c r="C35" s="311">
        <v>15</v>
      </c>
      <c r="D35" s="248">
        <f>Tabela1[[#This Row],[QTD - solicitada]]-Tabela1[[#This Row],[QTD - recebida]]</f>
        <v>15</v>
      </c>
      <c r="E35" s="296"/>
      <c r="F35" s="248"/>
    </row>
    <row r="36" spans="1:6" customFormat="1" ht="21" customHeight="1">
      <c r="A36" s="59" t="s">
        <v>1269</v>
      </c>
      <c r="B36" s="60">
        <v>10</v>
      </c>
      <c r="C36" s="311">
        <v>10</v>
      </c>
      <c r="D36" s="248">
        <f>Tabela1[[#This Row],[QTD - solicitada]]-Tabela1[[#This Row],[QTD - recebida]]</f>
        <v>0</v>
      </c>
      <c r="E36" s="296"/>
      <c r="F36" s="248"/>
    </row>
    <row r="37" spans="1:6" customFormat="1" ht="21" customHeight="1">
      <c r="A37" s="59" t="s">
        <v>1327</v>
      </c>
      <c r="B37" s="60">
        <v>40</v>
      </c>
      <c r="C37" s="311"/>
      <c r="D37" s="248">
        <f>Tabela1[[#This Row],[QTD - solicitada]]-Tabela1[[#This Row],[QTD - recebida]]</f>
        <v>40</v>
      </c>
      <c r="E37" s="296"/>
      <c r="F37" s="248"/>
    </row>
    <row r="38" spans="1:6" customFormat="1" ht="21" customHeight="1">
      <c r="A38" s="65" t="s">
        <v>1270</v>
      </c>
      <c r="B38" s="58">
        <v>7</v>
      </c>
      <c r="C38" s="312">
        <v>4</v>
      </c>
      <c r="D38" s="248">
        <f>Tabela1[[#This Row],[QTD - solicitada]]-Tabela1[[#This Row],[QTD - recebida]]</f>
        <v>3</v>
      </c>
      <c r="E38" s="296"/>
      <c r="F38" s="248"/>
    </row>
    <row r="39" spans="1:6" customFormat="1" ht="21" customHeight="1">
      <c r="A39" s="63" t="s">
        <v>1271</v>
      </c>
      <c r="B39" s="64">
        <v>50</v>
      </c>
      <c r="C39" s="311">
        <v>10</v>
      </c>
      <c r="D39" s="248">
        <f>Tabela1[[#This Row],[QTD - solicitada]]-Tabela1[[#This Row],[QTD - recebida]]</f>
        <v>40</v>
      </c>
      <c r="E39" s="296"/>
      <c r="F39" s="248"/>
    </row>
    <row r="40" spans="1:6" customFormat="1" ht="21" customHeight="1">
      <c r="A40" s="52" t="s">
        <v>1193</v>
      </c>
      <c r="B40" s="53">
        <v>60</v>
      </c>
      <c r="C40" s="310">
        <v>20</v>
      </c>
      <c r="D40" s="248">
        <f>Tabela1[[#This Row],[QTD - solicitada]]-Tabela1[[#This Row],[QTD - recebida]]</f>
        <v>40</v>
      </c>
      <c r="E40" s="296"/>
      <c r="F40" s="248"/>
    </row>
    <row r="41" spans="1:6" customFormat="1" ht="21" customHeight="1">
      <c r="A41" s="52" t="s">
        <v>482</v>
      </c>
      <c r="B41" s="53">
        <v>40</v>
      </c>
      <c r="C41" s="310">
        <v>10</v>
      </c>
      <c r="D41" s="248">
        <f>Tabela1[[#This Row],[QTD - solicitada]]-Tabela1[[#This Row],[QTD - recebida]]</f>
        <v>30</v>
      </c>
      <c r="E41" s="296"/>
      <c r="F41" s="248"/>
    </row>
    <row r="42" spans="1:6" customFormat="1" ht="21" customHeight="1">
      <c r="A42" s="59" t="s">
        <v>64</v>
      </c>
      <c r="B42" s="60">
        <v>5</v>
      </c>
      <c r="C42" s="311">
        <v>2</v>
      </c>
      <c r="D42" s="248">
        <f>Tabela1[[#This Row],[QTD - solicitada]]-Tabela1[[#This Row],[QTD - recebida]]</f>
        <v>3</v>
      </c>
      <c r="E42" s="296"/>
      <c r="F42" s="248"/>
    </row>
    <row r="43" spans="1:6" customFormat="1" ht="21" customHeight="1">
      <c r="A43" s="59" t="s">
        <v>63</v>
      </c>
      <c r="B43" s="60">
        <v>5</v>
      </c>
      <c r="C43" s="311">
        <v>2</v>
      </c>
      <c r="D43" s="248">
        <f>Tabela1[[#This Row],[QTD - solicitada]]-Tabela1[[#This Row],[QTD - recebida]]</f>
        <v>3</v>
      </c>
      <c r="E43" s="296"/>
      <c r="F43" s="248"/>
    </row>
    <row r="44" spans="1:6" customFormat="1" ht="21" customHeight="1">
      <c r="A44" s="59" t="s">
        <v>1272</v>
      </c>
      <c r="B44" s="60">
        <v>8</v>
      </c>
      <c r="C44" s="311">
        <v>1</v>
      </c>
      <c r="D44" s="248">
        <f>Tabela1[[#This Row],[QTD - solicitada]]-Tabela1[[#This Row],[QTD - recebida]]</f>
        <v>7</v>
      </c>
      <c r="E44" s="296"/>
      <c r="F44" s="248"/>
    </row>
    <row r="45" spans="1:6" customFormat="1" ht="21" customHeight="1">
      <c r="A45" s="59" t="s">
        <v>1273</v>
      </c>
      <c r="B45" s="60">
        <v>8</v>
      </c>
      <c r="C45" s="311">
        <v>1</v>
      </c>
      <c r="D45" s="248">
        <f>Tabela1[[#This Row],[QTD - solicitada]]-Tabela1[[#This Row],[QTD - recebida]]</f>
        <v>7</v>
      </c>
      <c r="E45" s="296"/>
      <c r="F45" s="248"/>
    </row>
    <row r="46" spans="1:6" customFormat="1" ht="21" customHeight="1">
      <c r="A46" s="59" t="s">
        <v>1274</v>
      </c>
      <c r="B46" s="60">
        <v>8</v>
      </c>
      <c r="C46" s="311">
        <v>1</v>
      </c>
      <c r="D46" s="248">
        <f>Tabela1[[#This Row],[QTD - solicitada]]-Tabela1[[#This Row],[QTD - recebida]]</f>
        <v>7</v>
      </c>
      <c r="E46" s="296"/>
      <c r="F46" s="248"/>
    </row>
    <row r="47" spans="1:6" customFormat="1" ht="21" customHeight="1">
      <c r="A47" s="61" t="s">
        <v>1275</v>
      </c>
      <c r="B47" s="62">
        <v>6</v>
      </c>
      <c r="C47" s="311"/>
      <c r="D47" s="248">
        <f>Tabela1[[#This Row],[QTD - solicitada]]-Tabela1[[#This Row],[QTD - recebida]]</f>
        <v>6</v>
      </c>
      <c r="E47" s="296"/>
      <c r="F47" s="248"/>
    </row>
    <row r="48" spans="1:6" customFormat="1" ht="21" customHeight="1">
      <c r="A48" s="61" t="s">
        <v>1276</v>
      </c>
      <c r="B48" s="62">
        <v>6</v>
      </c>
      <c r="C48" s="311"/>
      <c r="D48" s="248">
        <f>Tabela1[[#This Row],[QTD - solicitada]]-Tabela1[[#This Row],[QTD - recebida]]</f>
        <v>6</v>
      </c>
      <c r="E48" s="296"/>
      <c r="F48" s="248"/>
    </row>
    <row r="49" spans="1:6" customFormat="1" ht="21" customHeight="1">
      <c r="A49" s="61" t="s">
        <v>1277</v>
      </c>
      <c r="B49" s="62">
        <v>6</v>
      </c>
      <c r="C49" s="311"/>
      <c r="D49" s="248">
        <f>Tabela1[[#This Row],[QTD - solicitada]]-Tabela1[[#This Row],[QTD - recebida]]</f>
        <v>6</v>
      </c>
      <c r="E49" s="296"/>
      <c r="F49" s="248"/>
    </row>
    <row r="50" spans="1:6" customFormat="1" ht="21" customHeight="1">
      <c r="A50" s="61" t="s">
        <v>1278</v>
      </c>
      <c r="B50" s="62">
        <v>5</v>
      </c>
      <c r="C50" s="311">
        <v>3</v>
      </c>
      <c r="D50" s="248">
        <f>Tabela1[[#This Row],[QTD - solicitada]]-Tabela1[[#This Row],[QTD - recebida]]</f>
        <v>2</v>
      </c>
      <c r="E50" s="296"/>
      <c r="F50" s="248"/>
    </row>
    <row r="51" spans="1:6" customFormat="1" ht="21" customHeight="1">
      <c r="A51" s="65" t="s">
        <v>1279</v>
      </c>
      <c r="B51" s="58">
        <v>8</v>
      </c>
      <c r="C51" s="312">
        <v>2</v>
      </c>
      <c r="D51" s="248">
        <f>Tabela1[[#This Row],[QTD - solicitada]]-Tabela1[[#This Row],[QTD - recebida]]</f>
        <v>6</v>
      </c>
      <c r="E51" s="296"/>
      <c r="F51" s="248"/>
    </row>
    <row r="52" spans="1:6" customFormat="1" ht="21" customHeight="1">
      <c r="A52" s="65" t="s">
        <v>1280</v>
      </c>
      <c r="B52" s="58">
        <v>8</v>
      </c>
      <c r="C52" s="312">
        <v>1</v>
      </c>
      <c r="D52" s="248">
        <f>Tabela1[[#This Row],[QTD - solicitada]]-Tabela1[[#This Row],[QTD - recebida]]</f>
        <v>7</v>
      </c>
      <c r="E52" s="296"/>
      <c r="F52" s="248"/>
    </row>
    <row r="53" spans="1:6" customFormat="1" ht="21" customHeight="1">
      <c r="A53" s="65" t="s">
        <v>1281</v>
      </c>
      <c r="B53" s="58">
        <v>5</v>
      </c>
      <c r="C53" s="312">
        <v>1</v>
      </c>
      <c r="D53" s="248">
        <f>Tabela1[[#This Row],[QTD - solicitada]]-Tabela1[[#This Row],[QTD - recebida]]</f>
        <v>4</v>
      </c>
      <c r="E53" s="296"/>
      <c r="F53" s="248"/>
    </row>
    <row r="54" spans="1:6" customFormat="1" ht="21" customHeight="1">
      <c r="A54" s="65" t="s">
        <v>1282</v>
      </c>
      <c r="B54" s="58">
        <v>5</v>
      </c>
      <c r="C54" s="312">
        <v>1</v>
      </c>
      <c r="D54" s="248">
        <f>Tabela1[[#This Row],[QTD - solicitada]]-Tabela1[[#This Row],[QTD - recebida]]</f>
        <v>4</v>
      </c>
      <c r="E54" s="296"/>
      <c r="F54" s="248"/>
    </row>
    <row r="55" spans="1:6" customFormat="1" ht="21" customHeight="1">
      <c r="A55" s="65" t="s">
        <v>1283</v>
      </c>
      <c r="B55" s="58">
        <v>5</v>
      </c>
      <c r="C55" s="312">
        <v>1</v>
      </c>
      <c r="D55" s="248">
        <f>Tabela1[[#This Row],[QTD - solicitada]]-Tabela1[[#This Row],[QTD - recebida]]</f>
        <v>4</v>
      </c>
      <c r="E55" s="296"/>
      <c r="F55" s="248"/>
    </row>
    <row r="56" spans="1:6" customFormat="1" ht="21" customHeight="1">
      <c r="A56" s="65" t="s">
        <v>1284</v>
      </c>
      <c r="B56" s="58">
        <v>5</v>
      </c>
      <c r="C56" s="312">
        <v>1</v>
      </c>
      <c r="D56" s="248">
        <f>Tabela1[[#This Row],[QTD - solicitada]]-Tabela1[[#This Row],[QTD - recebida]]</f>
        <v>4</v>
      </c>
      <c r="E56" s="296"/>
      <c r="F56" s="248"/>
    </row>
    <row r="57" spans="1:6" customFormat="1" ht="21" customHeight="1">
      <c r="A57" s="65" t="s">
        <v>1285</v>
      </c>
      <c r="B57" s="58">
        <v>20</v>
      </c>
      <c r="C57" s="312">
        <v>10</v>
      </c>
      <c r="D57" s="248">
        <f>Tabela1[[#This Row],[QTD - solicitada]]-Tabela1[[#This Row],[QTD - recebida]]</f>
        <v>10</v>
      </c>
      <c r="E57" s="296"/>
      <c r="F57" s="248"/>
    </row>
    <row r="58" spans="1:6" customFormat="1" ht="21" customHeight="1">
      <c r="A58" s="65" t="s">
        <v>1286</v>
      </c>
      <c r="B58" s="58">
        <v>20</v>
      </c>
      <c r="C58" s="312">
        <v>6</v>
      </c>
      <c r="D58" s="248">
        <f>Tabela1[[#This Row],[QTD - solicitada]]-Tabela1[[#This Row],[QTD - recebida]]</f>
        <v>14</v>
      </c>
      <c r="E58" s="296"/>
      <c r="F58" s="248"/>
    </row>
    <row r="59" spans="1:6" customFormat="1" ht="21" customHeight="1">
      <c r="A59" s="63" t="s">
        <v>1287</v>
      </c>
      <c r="B59" s="64">
        <v>3</v>
      </c>
      <c r="C59" s="311"/>
      <c r="D59" s="248">
        <f>Tabela1[[#This Row],[QTD - solicitada]]-Tabela1[[#This Row],[QTD - recebida]]</f>
        <v>3</v>
      </c>
      <c r="E59" s="296"/>
      <c r="F59" s="248"/>
    </row>
    <row r="60" spans="1:6" customFormat="1" ht="21" customHeight="1">
      <c r="A60" s="63" t="s">
        <v>1328</v>
      </c>
      <c r="B60" s="64">
        <v>50</v>
      </c>
      <c r="C60" s="311"/>
      <c r="D60" s="248">
        <f>Tabela1[[#This Row],[QTD - solicitada]]-Tabela1[[#This Row],[QTD - recebida]]</f>
        <v>50</v>
      </c>
      <c r="E60" s="296"/>
      <c r="F60" s="248"/>
    </row>
    <row r="61" spans="1:6" customFormat="1" ht="21" customHeight="1">
      <c r="A61" s="52" t="s">
        <v>1288</v>
      </c>
      <c r="B61" s="53">
        <v>20</v>
      </c>
      <c r="C61" s="310"/>
      <c r="D61" s="248">
        <f>Tabela1[[#This Row],[QTD - solicitada]]-Tabela1[[#This Row],[QTD - recebida]]</f>
        <v>20</v>
      </c>
      <c r="E61" s="296"/>
      <c r="F61" s="248"/>
    </row>
    <row r="62" spans="1:6" customFormat="1" ht="21" customHeight="1">
      <c r="A62" s="65" t="s">
        <v>1289</v>
      </c>
      <c r="B62" s="58">
        <v>30</v>
      </c>
      <c r="C62" s="312">
        <v>10</v>
      </c>
      <c r="D62" s="248">
        <f>Tabela1[[#This Row],[QTD - solicitada]]-Tabela1[[#This Row],[QTD - recebida]]</f>
        <v>20</v>
      </c>
      <c r="E62" s="296"/>
      <c r="F62" s="248"/>
    </row>
    <row r="63" spans="1:6" customFormat="1" ht="21" customHeight="1">
      <c r="A63" s="65" t="s">
        <v>1290</v>
      </c>
      <c r="B63" s="58">
        <v>20</v>
      </c>
      <c r="C63" s="312">
        <v>6</v>
      </c>
      <c r="D63" s="248">
        <f>Tabela1[[#This Row],[QTD - solicitada]]-Tabela1[[#This Row],[QTD - recebida]]</f>
        <v>14</v>
      </c>
      <c r="E63" s="296"/>
      <c r="F63" s="248"/>
    </row>
    <row r="64" spans="1:6" customFormat="1" ht="21" customHeight="1">
      <c r="A64" s="59" t="s">
        <v>61</v>
      </c>
      <c r="B64" s="60">
        <v>5</v>
      </c>
      <c r="C64" s="311">
        <v>1</v>
      </c>
      <c r="D64" s="248">
        <f>Tabela1[[#This Row],[QTD - solicitada]]-Tabela1[[#This Row],[QTD - recebida]]</f>
        <v>4</v>
      </c>
      <c r="E64" s="296"/>
      <c r="F64" s="248"/>
    </row>
    <row r="65" spans="1:6" customFormat="1" ht="21" customHeight="1">
      <c r="A65" s="59" t="s">
        <v>62</v>
      </c>
      <c r="B65" s="60">
        <v>3</v>
      </c>
      <c r="C65" s="311">
        <v>1</v>
      </c>
      <c r="D65" s="248">
        <f>Tabela1[[#This Row],[QTD - solicitada]]-Tabela1[[#This Row],[QTD - recebida]]</f>
        <v>2</v>
      </c>
      <c r="E65" s="296"/>
      <c r="F65" s="248"/>
    </row>
    <row r="66" spans="1:6" customFormat="1" ht="21" customHeight="1">
      <c r="A66" s="65" t="s">
        <v>1291</v>
      </c>
      <c r="B66" s="58">
        <v>10</v>
      </c>
      <c r="C66" s="312">
        <v>3</v>
      </c>
      <c r="D66" s="248">
        <f>Tabela1[[#This Row],[QTD - solicitada]]-Tabela1[[#This Row],[QTD - recebida]]</f>
        <v>7</v>
      </c>
      <c r="E66" s="296"/>
      <c r="F66" s="248"/>
    </row>
    <row r="67" spans="1:6" customFormat="1" ht="21" customHeight="1">
      <c r="A67" s="63" t="s">
        <v>1292</v>
      </c>
      <c r="B67" s="64">
        <v>50</v>
      </c>
      <c r="C67" s="311">
        <v>10</v>
      </c>
      <c r="D67" s="248">
        <f>Tabela1[[#This Row],[QTD - solicitada]]-Tabela1[[#This Row],[QTD - recebida]]</f>
        <v>40</v>
      </c>
      <c r="E67" s="296"/>
      <c r="F67" s="248"/>
    </row>
    <row r="68" spans="1:6" customFormat="1" ht="21" customHeight="1">
      <c r="A68" s="65" t="s">
        <v>1293</v>
      </c>
      <c r="B68" s="58">
        <v>10</v>
      </c>
      <c r="C68" s="312">
        <v>4</v>
      </c>
      <c r="D68" s="248">
        <f>Tabela1[[#This Row],[QTD - solicitada]]-Tabela1[[#This Row],[QTD - recebida]]</f>
        <v>6</v>
      </c>
      <c r="E68" s="296"/>
      <c r="F68" s="248"/>
    </row>
    <row r="69" spans="1:6" customFormat="1" ht="21" customHeight="1">
      <c r="A69" s="65" t="s">
        <v>1294</v>
      </c>
      <c r="B69" s="58">
        <v>10</v>
      </c>
      <c r="C69" s="312">
        <v>4</v>
      </c>
      <c r="D69" s="248">
        <f>Tabela1[[#This Row],[QTD - solicitada]]-Tabela1[[#This Row],[QTD - recebida]]</f>
        <v>6</v>
      </c>
      <c r="E69" s="296"/>
      <c r="F69" s="248"/>
    </row>
    <row r="70" spans="1:6" customFormat="1" ht="21" customHeight="1">
      <c r="A70" s="65" t="s">
        <v>1295</v>
      </c>
      <c r="B70" s="58">
        <v>6</v>
      </c>
      <c r="C70" s="312">
        <v>4</v>
      </c>
      <c r="D70" s="248">
        <f>Tabela1[[#This Row],[QTD - solicitada]]-Tabela1[[#This Row],[QTD - recebida]]</f>
        <v>2</v>
      </c>
      <c r="E70" s="296"/>
      <c r="F70" s="248"/>
    </row>
    <row r="71" spans="1:6" customFormat="1" ht="21" customHeight="1">
      <c r="A71" s="65" t="s">
        <v>1296</v>
      </c>
      <c r="B71" s="58">
        <v>10</v>
      </c>
      <c r="C71" s="312">
        <v>6</v>
      </c>
      <c r="D71" s="248">
        <f>Tabela1[[#This Row],[QTD - solicitada]]-Tabela1[[#This Row],[QTD - recebida]]</f>
        <v>4</v>
      </c>
      <c r="E71" s="296"/>
      <c r="F71" s="248"/>
    </row>
    <row r="72" spans="1:6" customFormat="1" ht="21" customHeight="1">
      <c r="A72" s="61" t="s">
        <v>1297</v>
      </c>
      <c r="B72" s="62">
        <v>20</v>
      </c>
      <c r="C72" s="311">
        <v>4</v>
      </c>
      <c r="D72" s="248">
        <f>Tabela1[[#This Row],[QTD - solicitada]]-Tabela1[[#This Row],[QTD - recebida]]</f>
        <v>16</v>
      </c>
      <c r="E72" s="296"/>
      <c r="F72" s="248"/>
    </row>
    <row r="73" spans="1:6" customFormat="1" ht="21" customHeight="1">
      <c r="A73" s="61" t="s">
        <v>1298</v>
      </c>
      <c r="B73" s="62">
        <v>10</v>
      </c>
      <c r="C73" s="311">
        <v>4</v>
      </c>
      <c r="D73" s="248">
        <f>Tabela1[[#This Row],[QTD - solicitada]]-Tabela1[[#This Row],[QTD - recebida]]</f>
        <v>6</v>
      </c>
      <c r="E73" s="296"/>
      <c r="F73" s="248"/>
    </row>
    <row r="74" spans="1:6" customFormat="1" ht="21" customHeight="1">
      <c r="A74" s="52" t="s">
        <v>1299</v>
      </c>
      <c r="B74" s="53">
        <v>12</v>
      </c>
      <c r="C74" s="313">
        <v>4</v>
      </c>
      <c r="D74" s="248">
        <f>Tabela1[[#This Row],[QTD - solicitada]]-Tabela1[[#This Row],[QTD - recebida]]</f>
        <v>8</v>
      </c>
      <c r="E74" s="296"/>
      <c r="F74" s="248"/>
    </row>
    <row r="75" spans="1:6" customFormat="1" ht="21" customHeight="1">
      <c r="A75" s="52" t="s">
        <v>1300</v>
      </c>
      <c r="B75" s="53">
        <v>12</v>
      </c>
      <c r="C75" s="313">
        <v>4</v>
      </c>
      <c r="D75" s="248">
        <f>Tabela1[[#This Row],[QTD - solicitada]]-Tabela1[[#This Row],[QTD - recebida]]</f>
        <v>8</v>
      </c>
      <c r="E75" s="296"/>
      <c r="F75" s="248"/>
    </row>
    <row r="76" spans="1:6" customFormat="1" ht="21" customHeight="1">
      <c r="A76" s="65" t="s">
        <v>1301</v>
      </c>
      <c r="B76" s="58">
        <v>10</v>
      </c>
      <c r="C76" s="312">
        <v>5</v>
      </c>
      <c r="D76" s="248">
        <f>Tabela1[[#This Row],[QTD - solicitada]]-Tabela1[[#This Row],[QTD - recebida]]</f>
        <v>5</v>
      </c>
      <c r="E76" s="296"/>
      <c r="F76" s="248"/>
    </row>
    <row r="77" spans="1:6" customFormat="1" ht="21" customHeight="1">
      <c r="A77" s="65" t="s">
        <v>1302</v>
      </c>
      <c r="B77" s="58">
        <v>10</v>
      </c>
      <c r="C77" s="312">
        <v>4</v>
      </c>
      <c r="D77" s="248">
        <f>Tabela1[[#This Row],[QTD - solicitada]]-Tabela1[[#This Row],[QTD - recebida]]</f>
        <v>6</v>
      </c>
      <c r="E77" s="296"/>
      <c r="F77" s="248"/>
    </row>
    <row r="78" spans="1:6" customFormat="1" ht="21" customHeight="1">
      <c r="A78" s="65" t="s">
        <v>1303</v>
      </c>
      <c r="B78" s="58">
        <v>8</v>
      </c>
      <c r="C78" s="312">
        <v>4</v>
      </c>
      <c r="D78" s="248">
        <f>Tabela1[[#This Row],[QTD - solicitada]]-Tabela1[[#This Row],[QTD - recebida]]</f>
        <v>4</v>
      </c>
      <c r="E78" s="296"/>
      <c r="F78" s="248"/>
    </row>
    <row r="79" spans="1:6" customFormat="1" ht="21" customHeight="1">
      <c r="A79" s="65" t="s">
        <v>1304</v>
      </c>
      <c r="B79" s="58">
        <v>8</v>
      </c>
      <c r="C79" s="312">
        <v>4</v>
      </c>
      <c r="D79" s="248">
        <f>Tabela1[[#This Row],[QTD - solicitada]]-Tabela1[[#This Row],[QTD - recebida]]</f>
        <v>4</v>
      </c>
      <c r="E79" s="296"/>
      <c r="F79" s="248"/>
    </row>
    <row r="80" spans="1:6" customFormat="1" ht="21" customHeight="1">
      <c r="A80" s="61" t="s">
        <v>1305</v>
      </c>
      <c r="B80" s="66">
        <v>2</v>
      </c>
      <c r="C80" s="311"/>
      <c r="D80" s="248">
        <f>Tabela1[[#This Row],[QTD - solicitada]]-Tabela1[[#This Row],[QTD - recebida]]</f>
        <v>2</v>
      </c>
      <c r="E80" s="296"/>
      <c r="F80" s="248"/>
    </row>
    <row r="81" spans="1:6" customFormat="1" ht="21" customHeight="1">
      <c r="A81" s="67" t="s">
        <v>1306</v>
      </c>
      <c r="B81" s="68">
        <v>5</v>
      </c>
      <c r="C81" s="312"/>
      <c r="D81" s="248">
        <f>Tabela1[[#This Row],[QTD - solicitada]]-Tabela1[[#This Row],[QTD - recebida]]</f>
        <v>5</v>
      </c>
      <c r="E81" s="296"/>
      <c r="F81" s="248"/>
    </row>
    <row r="82" spans="1:6" customFormat="1" ht="21" customHeight="1">
      <c r="A82" s="67" t="s">
        <v>1307</v>
      </c>
      <c r="B82" s="68">
        <v>5</v>
      </c>
      <c r="C82" s="312"/>
      <c r="D82" s="248">
        <f>Tabela1[[#This Row],[QTD - solicitada]]-Tabela1[[#This Row],[QTD - recebida]]</f>
        <v>5</v>
      </c>
      <c r="E82" s="296"/>
      <c r="F82" s="248"/>
    </row>
    <row r="83" spans="1:6" customFormat="1" ht="21" customHeight="1">
      <c r="A83" s="69" t="s">
        <v>1308</v>
      </c>
      <c r="B83" s="57">
        <v>10</v>
      </c>
      <c r="C83" s="311">
        <v>4</v>
      </c>
      <c r="D83" s="248">
        <f>Tabela1[[#This Row],[QTD - solicitada]]-Tabela1[[#This Row],[QTD - recebida]]</f>
        <v>6</v>
      </c>
      <c r="E83" s="296"/>
      <c r="F83" s="248"/>
    </row>
    <row r="84" spans="1:6" customFormat="1" ht="21" customHeight="1">
      <c r="A84" s="61" t="s">
        <v>1309</v>
      </c>
      <c r="B84" s="62">
        <v>10</v>
      </c>
      <c r="C84" s="311">
        <v>4</v>
      </c>
      <c r="D84" s="248">
        <f>Tabela1[[#This Row],[QTD - solicitada]]-Tabela1[[#This Row],[QTD - recebida]]</f>
        <v>6</v>
      </c>
      <c r="E84" s="296"/>
      <c r="F84" s="248"/>
    </row>
    <row r="85" spans="1:6" customFormat="1" ht="21" customHeight="1">
      <c r="A85" s="61" t="s">
        <v>1310</v>
      </c>
      <c r="B85" s="62">
        <v>10</v>
      </c>
      <c r="C85" s="311">
        <v>4</v>
      </c>
      <c r="D85" s="248">
        <f>Tabela1[[#This Row],[QTD - solicitada]]-Tabela1[[#This Row],[QTD - recebida]]</f>
        <v>6</v>
      </c>
      <c r="E85" s="296"/>
      <c r="F85" s="248"/>
    </row>
    <row r="86" spans="1:6" customFormat="1" ht="21" customHeight="1">
      <c r="A86" s="61" t="s">
        <v>1311</v>
      </c>
      <c r="B86" s="62">
        <v>10</v>
      </c>
      <c r="C86" s="311">
        <v>4</v>
      </c>
      <c r="D86" s="248">
        <f>Tabela1[[#This Row],[QTD - solicitada]]-Tabela1[[#This Row],[QTD - recebida]]</f>
        <v>6</v>
      </c>
      <c r="E86" s="296"/>
      <c r="F86" s="248"/>
    </row>
    <row r="87" spans="1:6" customFormat="1" ht="21" customHeight="1">
      <c r="A87" s="59" t="s">
        <v>1312</v>
      </c>
      <c r="B87" s="60">
        <v>5</v>
      </c>
      <c r="C87" s="311">
        <v>2</v>
      </c>
      <c r="D87" s="248">
        <f>Tabela1[[#This Row],[QTD - solicitada]]-Tabela1[[#This Row],[QTD - recebida]]</f>
        <v>3</v>
      </c>
      <c r="E87" s="296"/>
      <c r="F87" s="248"/>
    </row>
    <row r="88" spans="1:6" customFormat="1" ht="21" customHeight="1">
      <c r="A88" s="65" t="s">
        <v>1313</v>
      </c>
      <c r="B88" s="58">
        <v>20</v>
      </c>
      <c r="C88" s="312">
        <v>3</v>
      </c>
      <c r="D88" s="248">
        <f>Tabela1[[#This Row],[QTD - solicitada]]-Tabela1[[#This Row],[QTD - recebida]]</f>
        <v>17</v>
      </c>
      <c r="E88" s="296"/>
      <c r="F88" s="248"/>
    </row>
    <row r="89" spans="1:6" customFormat="1" ht="21" customHeight="1">
      <c r="A89" s="65" t="s">
        <v>1314</v>
      </c>
      <c r="B89" s="58">
        <v>20</v>
      </c>
      <c r="C89" s="312">
        <v>6</v>
      </c>
      <c r="D89" s="248">
        <f>Tabela1[[#This Row],[QTD - solicitada]]-Tabela1[[#This Row],[QTD - recebida]]</f>
        <v>14</v>
      </c>
      <c r="E89" s="296"/>
      <c r="F89" s="248"/>
    </row>
    <row r="90" spans="1:6" customFormat="1" ht="21" customHeight="1">
      <c r="A90" s="65" t="s">
        <v>1315</v>
      </c>
      <c r="B90" s="58">
        <v>20</v>
      </c>
      <c r="C90" s="312">
        <v>8</v>
      </c>
      <c r="D90" s="248">
        <f>Tabela1[[#This Row],[QTD - solicitada]]-Tabela1[[#This Row],[QTD - recebida]]</f>
        <v>12</v>
      </c>
      <c r="E90" s="296"/>
      <c r="F90" s="248"/>
    </row>
    <row r="91" spans="1:6" customFormat="1" ht="21" customHeight="1">
      <c r="A91" s="65" t="s">
        <v>1316</v>
      </c>
      <c r="B91" s="58">
        <v>15</v>
      </c>
      <c r="C91" s="312">
        <v>7</v>
      </c>
      <c r="D91" s="248">
        <f>Tabela1[[#This Row],[QTD - solicitada]]-Tabela1[[#This Row],[QTD - recebida]]</f>
        <v>8</v>
      </c>
      <c r="E91" s="296"/>
      <c r="F91" s="248"/>
    </row>
    <row r="92" spans="1:6" customFormat="1" ht="21" customHeight="1">
      <c r="A92" s="65" t="s">
        <v>1317</v>
      </c>
      <c r="B92" s="58">
        <v>15</v>
      </c>
      <c r="C92" s="312">
        <v>7</v>
      </c>
      <c r="D92" s="248">
        <f>Tabela1[[#This Row],[QTD - solicitada]]-Tabela1[[#This Row],[QTD - recebida]]</f>
        <v>8</v>
      </c>
      <c r="E92" s="296"/>
      <c r="F92" s="248"/>
    </row>
    <row r="93" spans="1:6" customFormat="1" ht="21" customHeight="1">
      <c r="A93" s="65" t="s">
        <v>1318</v>
      </c>
      <c r="B93" s="58">
        <v>10</v>
      </c>
      <c r="C93" s="312">
        <v>4</v>
      </c>
      <c r="D93" s="248">
        <f>Tabela1[[#This Row],[QTD - solicitada]]-Tabela1[[#This Row],[QTD - recebida]]</f>
        <v>6</v>
      </c>
      <c r="E93" s="296"/>
      <c r="F93" s="248"/>
    </row>
    <row r="94" spans="1:6" customFormat="1" ht="21" customHeight="1">
      <c r="A94" s="65" t="s">
        <v>1317</v>
      </c>
      <c r="B94" s="58">
        <v>10</v>
      </c>
      <c r="C94" s="312">
        <v>3</v>
      </c>
      <c r="D94" s="248">
        <f>Tabela1[[#This Row],[QTD - solicitada]]-Tabela1[[#This Row],[QTD - recebida]]</f>
        <v>7</v>
      </c>
      <c r="E94" s="296"/>
      <c r="F94" s="248"/>
    </row>
    <row r="95" spans="1:6" customFormat="1" ht="21" customHeight="1">
      <c r="A95" s="65" t="s">
        <v>1319</v>
      </c>
      <c r="B95" s="58">
        <v>20</v>
      </c>
      <c r="C95" s="312"/>
      <c r="D95" s="248">
        <f>Tabela1[[#This Row],[QTD - solicitada]]-Tabela1[[#This Row],[QTD - recebida]]</f>
        <v>20</v>
      </c>
      <c r="E95" s="296"/>
      <c r="F95" s="248"/>
    </row>
    <row r="96" spans="1:6" customFormat="1" ht="21" customHeight="1">
      <c r="A96" s="65" t="s">
        <v>1320</v>
      </c>
      <c r="B96" s="58">
        <v>20</v>
      </c>
      <c r="C96" s="312"/>
      <c r="D96" s="248">
        <f>Tabela1[[#This Row],[QTD - solicitada]]-Tabela1[[#This Row],[QTD - recebida]]</f>
        <v>20</v>
      </c>
      <c r="E96" s="296"/>
      <c r="F96" s="248"/>
    </row>
    <row r="97" spans="1:6" customFormat="1" ht="21" customHeight="1">
      <c r="A97" s="65" t="s">
        <v>1321</v>
      </c>
      <c r="B97" s="58">
        <v>3</v>
      </c>
      <c r="C97" s="312"/>
      <c r="D97" s="248">
        <f>Tabela1[[#This Row],[QTD - solicitada]]-Tabela1[[#This Row],[QTD - recebida]]</f>
        <v>3</v>
      </c>
      <c r="E97" s="296"/>
      <c r="F97" s="248"/>
    </row>
    <row r="98" spans="1:6" customFormat="1" ht="21" customHeight="1">
      <c r="A98" s="59" t="s">
        <v>1322</v>
      </c>
      <c r="B98" s="60">
        <v>6</v>
      </c>
      <c r="C98" s="311"/>
      <c r="D98" s="248">
        <f>Tabela1[[#This Row],[QTD - solicitada]]-Tabela1[[#This Row],[QTD - recebida]]</f>
        <v>6</v>
      </c>
      <c r="E98" s="296"/>
      <c r="F98" s="248"/>
    </row>
    <row r="99" spans="1:6" customFormat="1" ht="21" customHeight="1">
      <c r="A99" s="59" t="s">
        <v>1323</v>
      </c>
      <c r="B99" s="60">
        <v>4</v>
      </c>
      <c r="C99" s="311">
        <v>2</v>
      </c>
      <c r="D99" s="248">
        <f>Tabela1[[#This Row],[QTD - solicitada]]-Tabela1[[#This Row],[QTD - recebida]]</f>
        <v>2</v>
      </c>
      <c r="E99" s="296"/>
      <c r="F99" s="248"/>
    </row>
    <row r="100" spans="1:6" customFormat="1" ht="21" customHeight="1">
      <c r="A100" s="59" t="s">
        <v>1324</v>
      </c>
      <c r="B100" s="60">
        <v>6</v>
      </c>
      <c r="C100" s="311">
        <v>2</v>
      </c>
      <c r="D100" s="248">
        <f>Tabela1[[#This Row],[QTD - solicitada]]-Tabela1[[#This Row],[QTD - recebida]]</f>
        <v>4</v>
      </c>
      <c r="E100" s="296"/>
      <c r="F100" s="248"/>
    </row>
    <row r="101" spans="1:6" customFormat="1" ht="21" customHeight="1">
      <c r="A101" s="59" t="s">
        <v>1325</v>
      </c>
      <c r="B101" s="60">
        <v>6</v>
      </c>
      <c r="C101" s="311">
        <v>3</v>
      </c>
      <c r="D101" s="248">
        <f>Tabela1[[#This Row],[QTD - solicitada]]-Tabela1[[#This Row],[QTD - recebida]]</f>
        <v>3</v>
      </c>
      <c r="E101" s="296"/>
      <c r="F101" s="248"/>
    </row>
    <row r="102" spans="1:6" customFormat="1" ht="21" customHeight="1">
      <c r="A102" s="70" t="s">
        <v>1326</v>
      </c>
      <c r="B102" s="71">
        <v>3</v>
      </c>
      <c r="C102" s="314"/>
      <c r="D102" s="248">
        <f>Tabela1[[#This Row],[QTD - solicitada]]-Tabela1[[#This Row],[QTD - recebida]]</f>
        <v>3</v>
      </c>
      <c r="E102" s="296"/>
      <c r="F102" s="248"/>
    </row>
    <row r="103" spans="1:6" customFormat="1" ht="21" customHeight="1">
      <c r="A103" s="31"/>
      <c r="B103" s="31"/>
      <c r="C103" s="315"/>
      <c r="D103" s="248"/>
      <c r="E103" s="296"/>
      <c r="F103" s="248"/>
    </row>
    <row r="1048571" ht="12.75" customHeight="1"/>
    <row r="1048572" ht="12.75" customHeight="1"/>
    <row r="1048573" ht="12.75" customHeight="1"/>
    <row r="1048574" ht="12.75" customHeight="1"/>
    <row r="1048575" ht="12.75" customHeight="1"/>
  </sheetData>
  <pageMargins left="0.51181102362204722" right="0.51181102362204722" top="1.1811023622047245" bottom="1.1811023622047245" header="0.78740157480314954" footer="0.78740157480314954"/>
  <pageSetup paperSize="0" fitToWidth="0" fitToHeight="0" orientation="portrait" horizontalDpi="0" verticalDpi="0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CONSOLIDADO</vt:lpstr>
      <vt:lpstr>GO e OBSTETRICIA</vt:lpstr>
      <vt:lpstr>NRC</vt:lpstr>
      <vt:lpstr>ORTOPEDIA </vt:lpstr>
      <vt:lpstr>C.GERAL</vt:lpstr>
      <vt:lpstr>OTORRINO</vt:lpstr>
      <vt:lpstr>VASCULAR</vt:lpstr>
      <vt:lpstr>CIPE</vt:lpstr>
      <vt:lpstr>TORACICA</vt:lpstr>
      <vt:lpstr>OFTALMO</vt:lpstr>
      <vt:lpstr>CX DIVERSAS</vt:lpstr>
      <vt:lpstr>AVULSOS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Claudia Dalaneze Gomes</dc:creator>
  <cp:lastModifiedBy>Danielle  Portella</cp:lastModifiedBy>
  <cp:revision>14</cp:revision>
  <dcterms:created xsi:type="dcterms:W3CDTF">2025-11-07T01:57:32Z</dcterms:created>
  <dcterms:modified xsi:type="dcterms:W3CDTF">2026-04-26T15:30:02Z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Created">
    <vt:filetime>2018-01-10T00:00:00Z</vt:filetime>
  </property>
  <property fmtid="{D5CDD505-2E9C-101B-9397-08002B2CF9AE}" pid="4" name="Creator">
    <vt:lpwstr>Microsoft® Excel® 2013</vt:lpwstr>
  </property>
  <property fmtid="{D5CDD505-2E9C-101B-9397-08002B2CF9AE}" pid="5" name="LastSaved">
    <vt:filetime>2025-11-07T00:00:00Z</vt:filetime>
  </property>
  <property fmtid="{D5CDD505-2E9C-101B-9397-08002B2CF9AE}" pid="6" name="Producer">
    <vt:lpwstr>Microsoft® Excel® 2013</vt:lpwstr>
  </property>
</Properties>
</file>