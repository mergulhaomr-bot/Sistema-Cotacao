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concorrentes\"/>
    </mc:Choice>
  </mc:AlternateContent>
  <xr:revisionPtr revIDLastSave="0" documentId="8_{CC9C41B0-75AF-49C9-BEEB-2EE824FC3BF9}" xr6:coauthVersionLast="47" xr6:coauthVersionMax="47" xr10:uidLastSave="{00000000-0000-0000-0000-000000000000}"/>
  <bookViews>
    <workbookView xWindow="-120" yWindow="-120" windowWidth="20640" windowHeight="11040" xr2:uid="{354BFDB9-A27B-4162-BB94-905BA30889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E27" i="1" l="1"/>
</calcChain>
</file>

<file path=xl/sharedStrings.xml><?xml version="1.0" encoding="utf-8"?>
<sst xmlns="http://schemas.openxmlformats.org/spreadsheetml/2006/main" count="41" uniqueCount="41">
  <si>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</si>
  <si>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</si>
  <si>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</si>
  <si>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</si>
  <si>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</si>
  <si>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</si>
  <si>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</si>
  <si>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</si>
  <si>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</si>
  <si>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</si>
  <si>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</si>
  <si>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</si>
  <si>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</si>
  <si>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</si>
  <si>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</si>
  <si>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</si>
  <si>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</si>
  <si>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</si>
  <si>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</si>
  <si>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</si>
  <si>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TOTAL VENDA</t>
  </si>
  <si>
    <t>Marca</t>
  </si>
  <si>
    <t>Erwingut</t>
  </si>
  <si>
    <t>Procedencia</t>
  </si>
  <si>
    <t>Nacional</t>
  </si>
  <si>
    <t>Pagamento</t>
  </si>
  <si>
    <t>Prazo de Entrega</t>
  </si>
  <si>
    <t xml:space="preserve">Frete </t>
  </si>
  <si>
    <t>150 dias</t>
  </si>
  <si>
    <t>7 dias após entrega</t>
  </si>
  <si>
    <t>não incluido</t>
  </si>
  <si>
    <t>Videolaparoscopia</t>
  </si>
  <si>
    <t>Pediatria</t>
  </si>
  <si>
    <t>Caixa Neolnatologia</t>
  </si>
  <si>
    <t>Cont</t>
  </si>
  <si>
    <t>QTD</t>
  </si>
  <si>
    <t xml:space="preserve">Caixa de Instrumental </t>
  </si>
  <si>
    <t>Valor por Caixa</t>
  </si>
  <si>
    <t>Valor Total</t>
  </si>
  <si>
    <t>Caixa Uterina</t>
  </si>
  <si>
    <t>Caixa Trépano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</si>
</sst>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4" fontId="1" fillId="0" borderId="0" xfId="0" applyNumberFormat="1" applyFont="1"/>
    <xf numFmtId="0" fontId="3" fillId="2" borderId="1" xfId="1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1D5A-FAE0-4830-BFAB-12E345D82A82}">
  <dimension ref="A1:E33"/>
  <sheetViews>
    <sheetView tabSelected="1" topLeftCell="A16" workbookViewId="0">
      <selection activeCell="C28" sqref="C28"/>
    </sheetView>
  </sheetViews>
  <sheetFormatPr defaultRowHeight="15" x14ac:dyDescent="0.25"/>
  <cols>
    <col min="1" max="2" width="9.140625" style="6"/>
    <col min="3" max="3" width="24.28515625" bestFit="1" customWidth="1"/>
    <col min="4" max="4" width="14.85546875" bestFit="1" customWidth="1"/>
    <col min="5" max="5" width="18.42578125" bestFit="1" customWidth="1"/>
  </cols>
  <sheetData>
    <row r="1" spans="1:5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</row>
    <row r="2" spans="1:5" x14ac:dyDescent="0.25">
      <c r="A2" s="1">
        <v>1</v>
      </c>
      <c r="B2" s="1">
        <v>10</v>
      </c>
      <c r="C2" s="2" t="s">
        <v>0</v>
      </c>
      <c r="D2" s="3">
        <v>18400</v>
      </c>
      <c r="E2" s="3">
        <f>D2*B2</f>
        <v>184000</v>
      </c>
    </row>
    <row r="3" spans="1:5" x14ac:dyDescent="0.25">
      <c r="A3" s="1">
        <v>2</v>
      </c>
      <c r="B3" s="1">
        <v>1</v>
      </c>
      <c r="C3" s="2" t="s">
        <v>1</v>
      </c>
      <c r="D3" s="4">
        <v>14780</v>
      </c>
      <c r="E3" s="3">
        <f t="shared" ref="E3:E26" si="0">D3*B3</f>
        <v>14780</v>
      </c>
    </row>
    <row r="4" spans="1:5" x14ac:dyDescent="0.25">
      <c r="A4" s="1">
        <v>3</v>
      </c>
      <c r="B4" s="1">
        <v>1</v>
      </c>
      <c r="C4" s="2" t="s">
        <v>31</v>
      </c>
      <c r="D4" s="4">
        <v>95650</v>
      </c>
      <c r="E4" s="3">
        <f t="shared" si="0"/>
        <v>95650</v>
      </c>
    </row>
    <row r="5" spans="1:5" x14ac:dyDescent="0.25">
      <c r="A5" s="1">
        <v>4</v>
      </c>
      <c r="B5" s="1">
        <v>1</v>
      </c>
      <c r="C5" s="2" t="s">
        <v>2</v>
      </c>
      <c r="D5" s="4">
        <v>13100</v>
      </c>
      <c r="E5" s="3">
        <f t="shared" si="0"/>
        <v>13100</v>
      </c>
    </row>
    <row r="6" spans="1:5" x14ac:dyDescent="0.25">
      <c r="A6" s="1">
        <v>5</v>
      </c>
      <c r="B6" s="1">
        <v>5</v>
      </c>
      <c r="C6" s="2" t="s">
        <v>3</v>
      </c>
      <c r="D6" s="4">
        <v>30340</v>
      </c>
      <c r="E6" s="3">
        <f t="shared" si="0"/>
        <v>151700</v>
      </c>
    </row>
    <row r="7" spans="1:5" x14ac:dyDescent="0.25">
      <c r="A7" s="1">
        <v>6</v>
      </c>
      <c r="B7" s="1">
        <v>2</v>
      </c>
      <c r="C7" s="2" t="s">
        <v>4</v>
      </c>
      <c r="D7" s="4">
        <v>21625</v>
      </c>
      <c r="E7" s="3">
        <f t="shared" si="0"/>
        <v>43250</v>
      </c>
    </row>
    <row r="8" spans="1:5" x14ac:dyDescent="0.25">
      <c r="A8" s="1">
        <v>7</v>
      </c>
      <c r="B8" s="1">
        <v>4</v>
      </c>
      <c r="C8" s="2" t="s">
        <v>32</v>
      </c>
      <c r="D8" s="4">
        <v>13625</v>
      </c>
      <c r="E8" s="3">
        <f t="shared" si="0"/>
        <v>54500</v>
      </c>
    </row>
    <row r="9" spans="1:5" x14ac:dyDescent="0.25">
      <c r="A9" s="1">
        <v>8</v>
      </c>
      <c r="B9" s="1">
        <v>9</v>
      </c>
      <c r="C9" s="2" t="s">
        <v>5</v>
      </c>
      <c r="D9" s="4">
        <v>17660</v>
      </c>
      <c r="E9" s="3">
        <f t="shared" si="0"/>
        <v>158940</v>
      </c>
    </row>
    <row r="10" spans="1:5" x14ac:dyDescent="0.25">
      <c r="A10" s="1">
        <v>9</v>
      </c>
      <c r="B10" s="1">
        <v>2</v>
      </c>
      <c r="C10" s="2" t="s">
        <v>6</v>
      </c>
      <c r="D10" s="4">
        <v>21055</v>
      </c>
      <c r="E10" s="3">
        <f t="shared" si="0"/>
        <v>42110</v>
      </c>
    </row>
    <row r="11" spans="1:5" x14ac:dyDescent="0.25">
      <c r="A11" s="1">
        <v>10</v>
      </c>
      <c r="B11" s="1">
        <v>1</v>
      </c>
      <c r="C11" s="2" t="s">
        <v>7</v>
      </c>
      <c r="D11" s="4">
        <v>58330</v>
      </c>
      <c r="E11" s="3">
        <f t="shared" si="0"/>
        <v>58330</v>
      </c>
    </row>
    <row r="12" spans="1:5" x14ac:dyDescent="0.25">
      <c r="A12" s="1">
        <v>11</v>
      </c>
      <c r="B12" s="1">
        <v>1</v>
      </c>
      <c r="C12" s="2" t="s">
        <v>8</v>
      </c>
      <c r="D12" s="4">
        <v>70678</v>
      </c>
      <c r="E12" s="3">
        <f t="shared" si="0"/>
        <v>70678</v>
      </c>
    </row>
    <row r="13" spans="1:5" x14ac:dyDescent="0.25">
      <c r="A13" s="1">
        <v>12</v>
      </c>
      <c r="B13" s="1">
        <v>5</v>
      </c>
      <c r="C13" s="2" t="s">
        <v>9</v>
      </c>
      <c r="D13" s="4">
        <v>22450</v>
      </c>
      <c r="E13" s="3">
        <f t="shared" si="0"/>
        <v>112250</v>
      </c>
    </row>
    <row r="14" spans="1:5" x14ac:dyDescent="0.25">
      <c r="A14" s="1">
        <v>13</v>
      </c>
      <c r="B14" s="1">
        <v>5</v>
      </c>
      <c r="C14" s="2" t="s">
        <v>10</v>
      </c>
      <c r="D14" s="4">
        <v>53782</v>
      </c>
      <c r="E14" s="3">
        <f t="shared" si="0"/>
        <v>268910</v>
      </c>
    </row>
    <row r="15" spans="1:5" x14ac:dyDescent="0.25">
      <c r="A15" s="1">
        <v>14</v>
      </c>
      <c r="B15" s="1">
        <v>3</v>
      </c>
      <c r="C15" s="2" t="s">
        <v>11</v>
      </c>
      <c r="D15" s="4">
        <v>62720</v>
      </c>
      <c r="E15" s="3">
        <f t="shared" si="0"/>
        <v>188160</v>
      </c>
    </row>
    <row r="16" spans="1:5" x14ac:dyDescent="0.25">
      <c r="A16" s="1">
        <v>15</v>
      </c>
      <c r="B16" s="1">
        <v>1</v>
      </c>
      <c r="C16" s="2" t="s">
        <v>12</v>
      </c>
      <c r="D16" s="4">
        <v>4100</v>
      </c>
      <c r="E16" s="3">
        <f t="shared" si="0"/>
        <v>4100</v>
      </c>
    </row>
    <row r="17" spans="1:5" x14ac:dyDescent="0.25">
      <c r="A17" s="1">
        <v>16</v>
      </c>
      <c r="B17" s="1">
        <v>2</v>
      </c>
      <c r="C17" s="2" t="s">
        <v>13</v>
      </c>
      <c r="D17" s="4">
        <v>39566</v>
      </c>
      <c r="E17" s="3">
        <f t="shared" si="0"/>
        <v>79132</v>
      </c>
    </row>
    <row r="18" spans="1:5" x14ac:dyDescent="0.25">
      <c r="A18" s="1">
        <v>17</v>
      </c>
      <c r="B18" s="1">
        <v>1</v>
      </c>
      <c r="C18" s="2" t="s">
        <v>14</v>
      </c>
      <c r="D18" s="4">
        <v>20385</v>
      </c>
      <c r="E18" s="3">
        <f t="shared" si="0"/>
        <v>20385</v>
      </c>
    </row>
    <row r="19" spans="1:5" x14ac:dyDescent="0.25">
      <c r="A19" s="1">
        <v>18</v>
      </c>
      <c r="B19" s="1">
        <v>3</v>
      </c>
      <c r="C19" s="2" t="s">
        <v>15</v>
      </c>
      <c r="D19" s="4">
        <v>9952</v>
      </c>
      <c r="E19" s="3">
        <f t="shared" si="0"/>
        <v>29856</v>
      </c>
    </row>
    <row r="20" spans="1:5" x14ac:dyDescent="0.25">
      <c r="A20" s="1">
        <v>19</v>
      </c>
      <c r="B20" s="1">
        <v>1</v>
      </c>
      <c r="C20" s="2" t="s">
        <v>16</v>
      </c>
      <c r="D20" s="4">
        <v>11077</v>
      </c>
      <c r="E20" s="3">
        <f t="shared" si="0"/>
        <v>11077</v>
      </c>
    </row>
    <row r="21" spans="1:5" x14ac:dyDescent="0.25">
      <c r="A21" s="1">
        <v>20</v>
      </c>
      <c r="B21" s="1">
        <v>1</v>
      </c>
      <c r="C21" s="2" t="s">
        <v>33</v>
      </c>
      <c r="D21" s="4">
        <v>7055</v>
      </c>
      <c r="E21" s="3">
        <f t="shared" si="0"/>
        <v>7055</v>
      </c>
    </row>
    <row r="22" spans="1:5" x14ac:dyDescent="0.25">
      <c r="A22" s="1">
        <v>21</v>
      </c>
      <c r="B22" s="1">
        <v>2</v>
      </c>
      <c r="C22" s="2" t="s">
        <v>17</v>
      </c>
      <c r="D22" s="4">
        <v>19515</v>
      </c>
      <c r="E22" s="3">
        <f t="shared" si="0"/>
        <v>39030</v>
      </c>
    </row>
    <row r="23" spans="1:5" x14ac:dyDescent="0.25">
      <c r="A23" s="1">
        <v>22</v>
      </c>
      <c r="B23" s="1">
        <v>5</v>
      </c>
      <c r="C23" s="2" t="s">
        <v>18</v>
      </c>
      <c r="D23" s="4">
        <v>31020</v>
      </c>
      <c r="E23" s="3">
        <f t="shared" si="0"/>
        <v>155100</v>
      </c>
    </row>
    <row r="24" spans="1:5" x14ac:dyDescent="0.25">
      <c r="A24" s="1">
        <v>23</v>
      </c>
      <c r="B24" s="1">
        <v>10</v>
      </c>
      <c r="C24" s="2" t="s">
        <v>19</v>
      </c>
      <c r="D24" s="4">
        <v>47520</v>
      </c>
      <c r="E24" s="3">
        <f t="shared" ref="E24" si="1">D24*B24</f>
        <v>475200</v>
      </c>
    </row>
    <row r="25" spans="1:5" x14ac:dyDescent="0.25">
      <c r="A25" s="1">
        <v>24</v>
      </c>
      <c r="B25" s="1">
        <v>1</v>
      </c>
      <c r="C25" s="9" t="s">
        <v>39</v>
      </c>
      <c r="D25" s="4">
        <v>22100</v>
      </c>
      <c r="E25" s="3">
        <f>D25*B25</f>
        <v>22100</v>
      </c>
    </row>
    <row r="26" spans="1:5" x14ac:dyDescent="0.25">
      <c r="A26" s="1">
        <v>25</v>
      </c>
      <c r="B26" s="1">
        <v>1</v>
      </c>
      <c r="C26" s="9" t="s">
        <v>40</v>
      </c>
      <c r="D26" s="4">
        <v>24300</v>
      </c>
      <c r="E26" s="3">
        <f>D26*B26</f>
        <v>24300</v>
      </c>
    </row>
    <row r="27" spans="1:5" x14ac:dyDescent="0.25">
      <c r="C27" t="s">
        <v>20</v>
      </c>
      <c r="D27" s="5"/>
      <c r="E27" s="8">
        <f>SUM(E2:E26)</f>
        <v>2323693</v>
      </c>
    </row>
    <row r="28" spans="1:5" x14ac:dyDescent="0.25">
      <c r="D28" s="5"/>
      <c r="E28" s="5"/>
    </row>
    <row r="29" spans="1:5" x14ac:dyDescent="0.25">
      <c r="D29" t="s">
        <v>21</v>
      </c>
      <c r="E29" t="s">
        <v>22</v>
      </c>
    </row>
    <row r="30" spans="1:5" x14ac:dyDescent="0.25">
      <c r="D30" t="s">
        <v>23</v>
      </c>
      <c r="E30" t="s">
        <v>24</v>
      </c>
    </row>
    <row r="31" spans="1:5" x14ac:dyDescent="0.25">
      <c r="D31" t="s">
        <v>25</v>
      </c>
      <c r="E31" t="s">
        <v>29</v>
      </c>
    </row>
    <row r="32" spans="1:5" x14ac:dyDescent="0.25">
      <c r="D32" t="s">
        <v>26</v>
      </c>
      <c r="E32" t="s">
        <v>28</v>
      </c>
    </row>
    <row r="33" spans="4:5" x14ac:dyDescent="0.25">
      <c r="D33" t="s">
        <v>27</v>
      </c>
      <c r="E33" t="s">
        <v>30</v>
      </c>
    </row>
  </sheetData>
  <hyperlinks>
    <hyperlink ref="C26" location="'Caixa Trépano Manual'!A1" display="Caixa Trépano Manual" xr:uid="{235BB5A6-41DF-4999-9802-506ABEAC201E}"/>
    <hyperlink ref="C25" location="'Caixa Uterina'!A1" display="Caixa Uterina" xr:uid="{754FF4B7-7ED9-454B-B293-D3F085452F2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2025-07-02T01:51:45Z</dcterms:created>
  <dcterms:modified xsi:type="dcterms:W3CDTF">2025-07-23T11:21:43Z</dcterms:modified>
</cp:coreProperties>
</file>