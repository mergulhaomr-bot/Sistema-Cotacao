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EstaPastaDeTrabalho"/>
  <mc:AlternateContent xmlns:mc="http://schemas.openxmlformats.org/markup-compatibility/2006">
    <mc:Choice Requires="x15">
      <x15ac:absPath xmlns:x15ac="http://schemas.microsoft.com/office/spreadsheetml/2010/11/ac" url="I:\Meu Drive\COTAÇÕES\COTAÇÕES - VENDAS\2026\CTC005.26 - HIAE - PINHEIROS\"/>
    </mc:Choice>
  </mc:AlternateContent>
  <xr:revisionPtr revIDLastSave="0" documentId="13_ncr:1_{FF4D7AF8-4426-4A43-B9C5-ED3F4F56370F}" xr6:coauthVersionLast="47" xr6:coauthVersionMax="47" xr10:uidLastSave="{00000000-0000-0000-0000-000000000000}"/>
  <bookViews>
    <workbookView xWindow="20370" yWindow="-120" windowWidth="24240" windowHeight="13020" tabRatio="893" xr2:uid="{00000000-000D-0000-FFFF-FFFF00000000}"/>
  </bookViews>
  <sheets>
    <sheet name="AVULSOS" sheetId="5" r:id="rId1"/>
    <sheet name="AMIGDALA" sheetId="1" r:id="rId2"/>
    <sheet name="ASP. HEMORROIDA" sheetId="3" r:id="rId3"/>
    <sheet name="BUCO ESPECIAL" sheetId="6" r:id="rId4"/>
    <sheet name="CANULAS DE LIPO" sheetId="7" r:id="rId5"/>
    <sheet name="CENTRIFUGA" sheetId="8" r:id="rId6"/>
    <sheet name="CLAMP VASCULAR" sheetId="12" r:id="rId7"/>
    <sheet name="CISTOSCOPIA" sheetId="13" r:id="rId8"/>
    <sheet name="COMPL. GINECO" sheetId="14" r:id="rId9"/>
    <sheet name="CTG" sheetId="15" r:id="rId10"/>
    <sheet name="ESTILETES OUVIDO" sheetId="16" r:id="rId11"/>
    <sheet name="FAV" sheetId="17" r:id="rId12"/>
    <sheet name="VARIZES" sheetId="19" r:id="rId13"/>
    <sheet name="GERAL MEDIA" sheetId="20" r:id="rId14"/>
    <sheet name="GERAL PEQUENA" sheetId="21" r:id="rId15"/>
    <sheet name="HEMORROIDE" sheetId="22" r:id="rId16"/>
    <sheet name="RESSECÇÃO ENDOSCOPICA" sheetId="59" r:id="rId17"/>
    <sheet name="HISTEROSCOPIA" sheetId="24" r:id="rId18"/>
    <sheet name="2.7" sheetId="25" r:id="rId19"/>
    <sheet name="MICRO URO" sheetId="28" r:id="rId20"/>
    <sheet name="PINÇAS HISTEROSCOPIA" sheetId="48" r:id="rId21"/>
    <sheet name="KART" sheetId="26" r:id="rId22"/>
    <sheet name="KIT MERINGO" sheetId="29" r:id="rId23"/>
    <sheet name="PLASTICA" sheetId="30" r:id="rId24"/>
    <sheet name="RINOSSEPTO" sheetId="33" r:id="rId25"/>
    <sheet name="SEPTO" sheetId="35" r:id="rId26"/>
    <sheet name="LAPAROSCOPIA ESPECIAL" sheetId="27" r:id="rId27"/>
    <sheet name="VASECTOMIA" sheetId="41" r:id="rId28"/>
    <sheet name="VELAS HEGAR" sheetId="42" r:id="rId29"/>
    <sheet name="VELAS HEGAR  GROSSAS" sheetId="50" r:id="rId30"/>
    <sheet name="VIBROLIPO" sheetId="43" r:id="rId31"/>
    <sheet name="DERMATOMO" sheetId="44" r:id="rId32"/>
    <sheet name="REDUÇÃO FRATURA NASAL" sheetId="52" r:id="rId33"/>
    <sheet name="MICRO LARINGE" sheetId="55" r:id="rId34"/>
    <sheet name="HTA" sheetId="60" r:id="rId35"/>
    <sheet name="SEPTO FACTORY" sheetId="34" r:id="rId36"/>
    <sheet name="COMPL VASCULAR" sheetId="58" r:id="rId37"/>
    <sheet name="MASTECTOMIA" sheetId="53" r:id="rId38"/>
    <sheet name="COMPL. URO" sheetId="31" r:id="rId39"/>
    <sheet name="CIRURGIA GINECOLOGICA" sheetId="57" r:id="rId40"/>
    <sheet name="URGENCIA GERAL" sheetId="56" r:id="rId41"/>
    <sheet name="TIMPANOMASTOIDE" sheetId="36" r:id="rId42"/>
    <sheet name="TIREOIDE" sheetId="37" r:id="rId43"/>
    <sheet name="AFASTADORES ILUMINADOS" sheetId="45" r:id="rId44"/>
    <sheet name="OTICAS" sheetId="46" r:id="rId45"/>
    <sheet name="AMB. PINHEIROS" sheetId="47" r:id="rId46"/>
    <sheet name="CONTAINER AESCULAP" sheetId="61" r:id="rId47"/>
    <sheet name="CESTOS MNH" sheetId="62" r:id="rId48"/>
  </sheets>
  <definedNames>
    <definedName name="_xlnm._FilterDatabase" localSheetId="45" hidden="1">'AMB. PINHEIROS'!$A$1:$D$120</definedName>
    <definedName name="_xlnm._FilterDatabase" localSheetId="1" hidden="1">AMIGDALA!$A$1:$D$32</definedName>
    <definedName name="_xlnm._FilterDatabase" localSheetId="0" hidden="1">AVULSOS!$A$1:$H$154</definedName>
    <definedName name="_xlnm._FilterDatabase" localSheetId="3" hidden="1">'BUCO ESPECIAL'!$A$1:$D$54</definedName>
    <definedName name="_xlnm._FilterDatabase" localSheetId="47" hidden="1">'CESTOS MNH'!$A$1:$G$38</definedName>
    <definedName name="_xlnm._FilterDatabase" localSheetId="46" hidden="1">'CONTAINER AESCULAP'!$A$1:$G$38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9" i="62" l="1"/>
  <c r="H3" i="62"/>
  <c r="H4" i="62"/>
  <c r="H5" i="62"/>
  <c r="H6" i="62"/>
  <c r="H7" i="62"/>
  <c r="H8" i="62"/>
  <c r="H9" i="62"/>
  <c r="H10" i="62"/>
  <c r="H11" i="62"/>
  <c r="H12" i="62"/>
  <c r="H13" i="62"/>
  <c r="H14" i="62"/>
  <c r="H15" i="62"/>
  <c r="H16" i="62"/>
  <c r="H17" i="62"/>
  <c r="H18" i="62"/>
  <c r="H19" i="62"/>
  <c r="H20" i="62"/>
  <c r="H21" i="62"/>
  <c r="H22" i="62"/>
  <c r="H23" i="62"/>
  <c r="H24" i="62"/>
  <c r="H25" i="62"/>
  <c r="H26" i="62"/>
  <c r="H27" i="62"/>
  <c r="H28" i="62"/>
  <c r="H29" i="62"/>
  <c r="H30" i="62"/>
  <c r="H31" i="62"/>
  <c r="H32" i="62"/>
  <c r="H33" i="62"/>
  <c r="H34" i="62"/>
  <c r="H35" i="62"/>
  <c r="H36" i="62"/>
  <c r="H37" i="62"/>
  <c r="H38" i="62"/>
  <c r="H2" i="62"/>
  <c r="H39" i="61"/>
  <c r="H3" i="61"/>
  <c r="H4" i="61"/>
  <c r="H5" i="61"/>
  <c r="H6" i="61"/>
  <c r="H7" i="61"/>
  <c r="H8" i="61"/>
  <c r="H9" i="61"/>
  <c r="H10" i="61"/>
  <c r="H11" i="61"/>
  <c r="H12" i="61"/>
  <c r="H13" i="61"/>
  <c r="H14" i="61"/>
  <c r="H15" i="61"/>
  <c r="H16" i="61"/>
  <c r="H17" i="61"/>
  <c r="H18" i="61"/>
  <c r="H19" i="61"/>
  <c r="H20" i="61"/>
  <c r="H21" i="61"/>
  <c r="H22" i="61"/>
  <c r="H23" i="61"/>
  <c r="H24" i="61"/>
  <c r="H25" i="61"/>
  <c r="H26" i="61"/>
  <c r="H27" i="61"/>
  <c r="H28" i="61"/>
  <c r="H29" i="61"/>
  <c r="H30" i="61"/>
  <c r="H31" i="61"/>
  <c r="H32" i="61"/>
  <c r="H33" i="61"/>
  <c r="H34" i="61"/>
  <c r="H35" i="61"/>
  <c r="H36" i="61"/>
  <c r="H37" i="61"/>
  <c r="H38" i="61"/>
  <c r="H2" i="61"/>
  <c r="I121" i="47"/>
  <c r="I3" i="47"/>
  <c r="I4" i="47"/>
  <c r="I5" i="47"/>
  <c r="I6" i="47"/>
  <c r="I7" i="47"/>
  <c r="I8" i="47"/>
  <c r="I9" i="47"/>
  <c r="I10" i="47"/>
  <c r="I11" i="47"/>
  <c r="I12" i="47"/>
  <c r="I13" i="47"/>
  <c r="I14" i="47"/>
  <c r="I15" i="47"/>
  <c r="I16" i="47"/>
  <c r="I17" i="47"/>
  <c r="I18" i="47"/>
  <c r="I19" i="47"/>
  <c r="I20" i="47"/>
  <c r="I21" i="47"/>
  <c r="I22" i="47"/>
  <c r="I23" i="47"/>
  <c r="I24" i="47"/>
  <c r="I25" i="47"/>
  <c r="I26" i="47"/>
  <c r="I27" i="47"/>
  <c r="I28" i="47"/>
  <c r="I29" i="47"/>
  <c r="I30" i="47"/>
  <c r="I31" i="47"/>
  <c r="I32" i="47"/>
  <c r="I33" i="47"/>
  <c r="I34" i="47"/>
  <c r="I35" i="47"/>
  <c r="I36" i="47"/>
  <c r="I37" i="47"/>
  <c r="I38" i="47"/>
  <c r="I39" i="47"/>
  <c r="I40" i="47"/>
  <c r="I41" i="47"/>
  <c r="I42" i="47"/>
  <c r="I43" i="47"/>
  <c r="I44" i="47"/>
  <c r="I45" i="47"/>
  <c r="I46" i="47"/>
  <c r="I47" i="47"/>
  <c r="I48" i="47"/>
  <c r="I49" i="47"/>
  <c r="I50" i="47"/>
  <c r="I51" i="47"/>
  <c r="I52" i="47"/>
  <c r="I53" i="47"/>
  <c r="I54" i="47"/>
  <c r="I55" i="47"/>
  <c r="I56" i="47"/>
  <c r="I57" i="47"/>
  <c r="I58" i="47"/>
  <c r="I59" i="47"/>
  <c r="I60" i="47"/>
  <c r="I61" i="47"/>
  <c r="I62" i="47"/>
  <c r="I63" i="47"/>
  <c r="I64" i="47"/>
  <c r="I65" i="47"/>
  <c r="I66" i="47"/>
  <c r="I67" i="47"/>
  <c r="I68" i="47"/>
  <c r="I69" i="47"/>
  <c r="I70" i="47"/>
  <c r="I71" i="47"/>
  <c r="I72" i="47"/>
  <c r="I73" i="47"/>
  <c r="I74" i="47"/>
  <c r="I75" i="47"/>
  <c r="I76" i="47"/>
  <c r="I77" i="47"/>
  <c r="I78" i="47"/>
  <c r="I79" i="47"/>
  <c r="I80" i="47"/>
  <c r="I81" i="47"/>
  <c r="I82" i="47"/>
  <c r="I83" i="47"/>
  <c r="I84" i="47"/>
  <c r="I85" i="47"/>
  <c r="I86" i="47"/>
  <c r="I87" i="47"/>
  <c r="I88" i="47"/>
  <c r="I89" i="47"/>
  <c r="I90" i="47"/>
  <c r="I91" i="47"/>
  <c r="I92" i="47"/>
  <c r="I93" i="47"/>
  <c r="I94" i="47"/>
  <c r="I95" i="47"/>
  <c r="I96" i="47"/>
  <c r="I97" i="47"/>
  <c r="I98" i="47"/>
  <c r="I99" i="47"/>
  <c r="I100" i="47"/>
  <c r="I101" i="47"/>
  <c r="I102" i="47"/>
  <c r="I103" i="47"/>
  <c r="I104" i="47"/>
  <c r="I105" i="47"/>
  <c r="I106" i="47"/>
  <c r="I107" i="47"/>
  <c r="I108" i="47"/>
  <c r="I109" i="47"/>
  <c r="I110" i="47"/>
  <c r="I111" i="47"/>
  <c r="I112" i="47"/>
  <c r="I113" i="47"/>
  <c r="I114" i="47"/>
  <c r="I115" i="47"/>
  <c r="I116" i="47"/>
  <c r="I117" i="47"/>
  <c r="I118" i="47"/>
  <c r="I119" i="47"/>
  <c r="I120" i="47"/>
  <c r="I2" i="47"/>
  <c r="I46" i="37"/>
  <c r="I3" i="37"/>
  <c r="I4" i="37"/>
  <c r="I5" i="37"/>
  <c r="I6" i="37"/>
  <c r="I7" i="37"/>
  <c r="I8" i="37"/>
  <c r="I9" i="37"/>
  <c r="I10" i="37"/>
  <c r="I11" i="37"/>
  <c r="I12" i="37"/>
  <c r="I13" i="37"/>
  <c r="I14" i="37"/>
  <c r="I15" i="37"/>
  <c r="I16" i="37"/>
  <c r="I17" i="37"/>
  <c r="I18" i="37"/>
  <c r="I19" i="37"/>
  <c r="I20" i="37"/>
  <c r="I21" i="37"/>
  <c r="I22" i="37"/>
  <c r="I23" i="37"/>
  <c r="I24" i="37"/>
  <c r="I25" i="37"/>
  <c r="I26" i="37"/>
  <c r="I27" i="37"/>
  <c r="I28" i="37"/>
  <c r="I29" i="37"/>
  <c r="I30" i="37"/>
  <c r="I31" i="37"/>
  <c r="I32" i="37"/>
  <c r="I33" i="37"/>
  <c r="I34" i="37"/>
  <c r="I35" i="37"/>
  <c r="I36" i="37"/>
  <c r="I37" i="37"/>
  <c r="I38" i="37"/>
  <c r="I39" i="37"/>
  <c r="I40" i="37"/>
  <c r="I41" i="37"/>
  <c r="I42" i="37"/>
  <c r="I43" i="37"/>
  <c r="I44" i="37"/>
  <c r="I45" i="37"/>
  <c r="I2" i="37"/>
  <c r="I52" i="36"/>
  <c r="I3" i="36"/>
  <c r="I4" i="36"/>
  <c r="I5" i="36"/>
  <c r="I6" i="36"/>
  <c r="I7" i="36"/>
  <c r="I8" i="36"/>
  <c r="I9" i="36"/>
  <c r="I10" i="36"/>
  <c r="I11" i="36"/>
  <c r="I12" i="36"/>
  <c r="I13" i="36"/>
  <c r="I14" i="36"/>
  <c r="I15" i="36"/>
  <c r="I16" i="36"/>
  <c r="I17" i="36"/>
  <c r="I18" i="36"/>
  <c r="I19" i="36"/>
  <c r="I20" i="36"/>
  <c r="I21" i="36"/>
  <c r="I22" i="36"/>
  <c r="I23" i="36"/>
  <c r="I24" i="36"/>
  <c r="I25" i="36"/>
  <c r="I26" i="36"/>
  <c r="I27" i="36"/>
  <c r="I28" i="36"/>
  <c r="I29" i="36"/>
  <c r="I30" i="36"/>
  <c r="I31" i="36"/>
  <c r="I32" i="36"/>
  <c r="I33" i="36"/>
  <c r="I34" i="36"/>
  <c r="I35" i="36"/>
  <c r="I36" i="36"/>
  <c r="I37" i="36"/>
  <c r="I38" i="36"/>
  <c r="I39" i="36"/>
  <c r="I40" i="36"/>
  <c r="I41" i="36"/>
  <c r="I42" i="36"/>
  <c r="I43" i="36"/>
  <c r="I44" i="36"/>
  <c r="I45" i="36"/>
  <c r="I46" i="36"/>
  <c r="I47" i="36"/>
  <c r="I48" i="36"/>
  <c r="I49" i="36"/>
  <c r="I50" i="36"/>
  <c r="I51" i="36"/>
  <c r="I2" i="36"/>
  <c r="I58" i="56"/>
  <c r="I3" i="56"/>
  <c r="I4" i="56"/>
  <c r="I5" i="56"/>
  <c r="I6" i="56"/>
  <c r="I7" i="56"/>
  <c r="I8" i="56"/>
  <c r="I9" i="56"/>
  <c r="I10" i="56"/>
  <c r="I11" i="56"/>
  <c r="I12" i="56"/>
  <c r="I13" i="56"/>
  <c r="I14" i="56"/>
  <c r="I15" i="56"/>
  <c r="I16" i="56"/>
  <c r="I17" i="56"/>
  <c r="I18" i="56"/>
  <c r="I19" i="56"/>
  <c r="I20" i="56"/>
  <c r="I21" i="56"/>
  <c r="I22" i="56"/>
  <c r="I23" i="56"/>
  <c r="I24" i="56"/>
  <c r="I25" i="56"/>
  <c r="I26" i="56"/>
  <c r="I27" i="56"/>
  <c r="I28" i="56"/>
  <c r="I29" i="56"/>
  <c r="I30" i="56"/>
  <c r="I31" i="56"/>
  <c r="I32" i="56"/>
  <c r="I33" i="56"/>
  <c r="I34" i="56"/>
  <c r="I35" i="56"/>
  <c r="I36" i="56"/>
  <c r="I37" i="56"/>
  <c r="I38" i="56"/>
  <c r="I39" i="56"/>
  <c r="I40" i="56"/>
  <c r="I41" i="56"/>
  <c r="I42" i="56"/>
  <c r="I43" i="56"/>
  <c r="I44" i="56"/>
  <c r="I45" i="56"/>
  <c r="I46" i="56"/>
  <c r="I47" i="56"/>
  <c r="I48" i="56"/>
  <c r="I49" i="56"/>
  <c r="I50" i="56"/>
  <c r="I51" i="56"/>
  <c r="I52" i="56"/>
  <c r="I53" i="56"/>
  <c r="I54" i="56"/>
  <c r="I55" i="56"/>
  <c r="I56" i="56"/>
  <c r="I57" i="56"/>
  <c r="I2" i="56"/>
  <c r="I40" i="57"/>
  <c r="I3" i="57"/>
  <c r="I4" i="57"/>
  <c r="I5" i="57"/>
  <c r="I6" i="57"/>
  <c r="I7" i="57"/>
  <c r="I8" i="57"/>
  <c r="I9" i="57"/>
  <c r="I10" i="57"/>
  <c r="I11" i="57"/>
  <c r="I12" i="57"/>
  <c r="I13" i="57"/>
  <c r="I14" i="57"/>
  <c r="I15" i="57"/>
  <c r="I16" i="57"/>
  <c r="I17" i="57"/>
  <c r="I18" i="57"/>
  <c r="I19" i="57"/>
  <c r="I20" i="57"/>
  <c r="I21" i="57"/>
  <c r="I22" i="57"/>
  <c r="I23" i="57"/>
  <c r="I24" i="57"/>
  <c r="I25" i="57"/>
  <c r="I26" i="57"/>
  <c r="I27" i="57"/>
  <c r="I28" i="57"/>
  <c r="I29" i="57"/>
  <c r="I30" i="57"/>
  <c r="I31" i="57"/>
  <c r="I32" i="57"/>
  <c r="I33" i="57"/>
  <c r="I34" i="57"/>
  <c r="I35" i="57"/>
  <c r="I36" i="57"/>
  <c r="I37" i="57"/>
  <c r="I38" i="57"/>
  <c r="I39" i="57"/>
  <c r="I2" i="57"/>
  <c r="I21" i="31"/>
  <c r="I3" i="31"/>
  <c r="I4" i="31"/>
  <c r="I5" i="31"/>
  <c r="I6" i="31"/>
  <c r="I7" i="31"/>
  <c r="I8" i="31"/>
  <c r="I9" i="31"/>
  <c r="I10" i="31"/>
  <c r="I11" i="31"/>
  <c r="I12" i="31"/>
  <c r="I13" i="31"/>
  <c r="I14" i="31"/>
  <c r="I15" i="31"/>
  <c r="I16" i="31"/>
  <c r="I17" i="31"/>
  <c r="I18" i="31"/>
  <c r="I19" i="31"/>
  <c r="I20" i="31"/>
  <c r="I2" i="31"/>
  <c r="I56" i="53"/>
  <c r="I3" i="53"/>
  <c r="I4" i="53"/>
  <c r="I5" i="53"/>
  <c r="I6" i="53"/>
  <c r="I7" i="53"/>
  <c r="I8" i="53"/>
  <c r="I9" i="53"/>
  <c r="I10" i="53"/>
  <c r="I11" i="53"/>
  <c r="I12" i="53"/>
  <c r="I13" i="53"/>
  <c r="I14" i="53"/>
  <c r="I15" i="53"/>
  <c r="I16" i="53"/>
  <c r="I17" i="53"/>
  <c r="I18" i="53"/>
  <c r="I19" i="53"/>
  <c r="I20" i="53"/>
  <c r="I21" i="53"/>
  <c r="I22" i="53"/>
  <c r="I23" i="53"/>
  <c r="I24" i="53"/>
  <c r="I25" i="53"/>
  <c r="I26" i="53"/>
  <c r="I27" i="53"/>
  <c r="I28" i="53"/>
  <c r="I29" i="53"/>
  <c r="I30" i="53"/>
  <c r="I31" i="53"/>
  <c r="I32" i="53"/>
  <c r="I33" i="53"/>
  <c r="I34" i="53"/>
  <c r="I35" i="53"/>
  <c r="I36" i="53"/>
  <c r="I37" i="53"/>
  <c r="I38" i="53"/>
  <c r="I39" i="53"/>
  <c r="I40" i="53"/>
  <c r="I41" i="53"/>
  <c r="I42" i="53"/>
  <c r="I43" i="53"/>
  <c r="I44" i="53"/>
  <c r="I45" i="53"/>
  <c r="I46" i="53"/>
  <c r="I47" i="53"/>
  <c r="I48" i="53"/>
  <c r="I49" i="53"/>
  <c r="I50" i="53"/>
  <c r="I51" i="53"/>
  <c r="I52" i="53"/>
  <c r="I53" i="53"/>
  <c r="I54" i="53"/>
  <c r="I55" i="53"/>
  <c r="I2" i="53"/>
  <c r="I30" i="58"/>
  <c r="I3" i="58"/>
  <c r="I4" i="58"/>
  <c r="I5" i="58"/>
  <c r="I6" i="58"/>
  <c r="I7" i="58"/>
  <c r="I8" i="58"/>
  <c r="I9" i="58"/>
  <c r="I10" i="58"/>
  <c r="I11" i="58"/>
  <c r="I12" i="58"/>
  <c r="I13" i="58"/>
  <c r="I14" i="58"/>
  <c r="I15" i="58"/>
  <c r="I16" i="58"/>
  <c r="I17" i="58"/>
  <c r="I18" i="58"/>
  <c r="I19" i="58"/>
  <c r="I20" i="58"/>
  <c r="I21" i="58"/>
  <c r="I22" i="58"/>
  <c r="I23" i="58"/>
  <c r="I24" i="58"/>
  <c r="I25" i="58"/>
  <c r="I26" i="58"/>
  <c r="I27" i="58"/>
  <c r="I28" i="58"/>
  <c r="I29" i="58"/>
  <c r="I2" i="58"/>
  <c r="I51" i="34"/>
  <c r="I3" i="34"/>
  <c r="I4" i="34"/>
  <c r="I5" i="34"/>
  <c r="I6" i="34"/>
  <c r="I7" i="34"/>
  <c r="I8" i="34"/>
  <c r="I9" i="34"/>
  <c r="I10" i="34"/>
  <c r="I11" i="34"/>
  <c r="I12" i="34"/>
  <c r="I13" i="34"/>
  <c r="I14" i="34"/>
  <c r="I15" i="34"/>
  <c r="I16" i="34"/>
  <c r="I17" i="34"/>
  <c r="I18" i="34"/>
  <c r="I19" i="34"/>
  <c r="I20" i="34"/>
  <c r="I21" i="34"/>
  <c r="I22" i="34"/>
  <c r="I23" i="34"/>
  <c r="I24" i="34"/>
  <c r="I25" i="34"/>
  <c r="I26" i="34"/>
  <c r="I27" i="34"/>
  <c r="I28" i="34"/>
  <c r="I29" i="34"/>
  <c r="I30" i="34"/>
  <c r="I31" i="34"/>
  <c r="I32" i="34"/>
  <c r="I33" i="34"/>
  <c r="I34" i="34"/>
  <c r="I35" i="34"/>
  <c r="I36" i="34"/>
  <c r="I37" i="34"/>
  <c r="I38" i="34"/>
  <c r="I39" i="34"/>
  <c r="I40" i="34"/>
  <c r="I41" i="34"/>
  <c r="I42" i="34"/>
  <c r="I43" i="34"/>
  <c r="I44" i="34"/>
  <c r="I45" i="34"/>
  <c r="I46" i="34"/>
  <c r="I47" i="34"/>
  <c r="I48" i="34"/>
  <c r="I49" i="34"/>
  <c r="I50" i="34"/>
  <c r="I2" i="34"/>
  <c r="I58" i="60"/>
  <c r="I3" i="60"/>
  <c r="I4" i="60"/>
  <c r="I5" i="60"/>
  <c r="I6" i="60"/>
  <c r="I7" i="60"/>
  <c r="I8" i="60"/>
  <c r="I9" i="60"/>
  <c r="I10" i="60"/>
  <c r="I11" i="60"/>
  <c r="I12" i="60"/>
  <c r="I13" i="60"/>
  <c r="I14" i="60"/>
  <c r="I15" i="60"/>
  <c r="I16" i="60"/>
  <c r="I17" i="60"/>
  <c r="I18" i="60"/>
  <c r="I19" i="60"/>
  <c r="I20" i="60"/>
  <c r="I21" i="60"/>
  <c r="I22" i="60"/>
  <c r="I23" i="60"/>
  <c r="I24" i="60"/>
  <c r="I25" i="60"/>
  <c r="I26" i="60"/>
  <c r="I27" i="60"/>
  <c r="I28" i="60"/>
  <c r="I29" i="60"/>
  <c r="I30" i="60"/>
  <c r="I31" i="60"/>
  <c r="I32" i="60"/>
  <c r="I33" i="60"/>
  <c r="I34" i="60"/>
  <c r="I35" i="60"/>
  <c r="I36" i="60"/>
  <c r="I37" i="60"/>
  <c r="I38" i="60"/>
  <c r="I39" i="60"/>
  <c r="I40" i="60"/>
  <c r="I41" i="60"/>
  <c r="I42" i="60"/>
  <c r="I43" i="60"/>
  <c r="I44" i="60"/>
  <c r="I45" i="60"/>
  <c r="I46" i="60"/>
  <c r="I47" i="60"/>
  <c r="I48" i="60"/>
  <c r="I49" i="60"/>
  <c r="I50" i="60"/>
  <c r="I51" i="60"/>
  <c r="I52" i="60"/>
  <c r="I53" i="60"/>
  <c r="I54" i="60"/>
  <c r="I55" i="60"/>
  <c r="I56" i="60"/>
  <c r="I57" i="60"/>
  <c r="I2" i="60"/>
  <c r="I10" i="52"/>
  <c r="I3" i="52"/>
  <c r="I4" i="52"/>
  <c r="I5" i="52"/>
  <c r="I6" i="52"/>
  <c r="I7" i="52"/>
  <c r="I8" i="52"/>
  <c r="I9" i="52"/>
  <c r="I2" i="52"/>
  <c r="I11" i="50"/>
  <c r="I3" i="50"/>
  <c r="I4" i="50"/>
  <c r="I5" i="50"/>
  <c r="I6" i="50"/>
  <c r="I7" i="50"/>
  <c r="I8" i="50"/>
  <c r="I9" i="50"/>
  <c r="I10" i="50"/>
  <c r="I2" i="50"/>
  <c r="I32" i="42"/>
  <c r="I3" i="42"/>
  <c r="I4" i="42"/>
  <c r="I5" i="42"/>
  <c r="I6" i="42"/>
  <c r="I7" i="42"/>
  <c r="I8" i="42"/>
  <c r="I9" i="42"/>
  <c r="I10" i="42"/>
  <c r="I11" i="42"/>
  <c r="I12" i="42"/>
  <c r="I13" i="42"/>
  <c r="I14" i="42"/>
  <c r="I15" i="42"/>
  <c r="I16" i="42"/>
  <c r="I17" i="42"/>
  <c r="I18" i="42"/>
  <c r="I19" i="42"/>
  <c r="I20" i="42"/>
  <c r="I21" i="42"/>
  <c r="I22" i="42"/>
  <c r="I23" i="42"/>
  <c r="I24" i="42"/>
  <c r="I25" i="42"/>
  <c r="I26" i="42"/>
  <c r="I27" i="42"/>
  <c r="I28" i="42"/>
  <c r="I29" i="42"/>
  <c r="I30" i="42"/>
  <c r="I31" i="42"/>
  <c r="I2" i="42"/>
  <c r="I16" i="41"/>
  <c r="I3" i="41"/>
  <c r="I4" i="41"/>
  <c r="I5" i="41"/>
  <c r="I6" i="41"/>
  <c r="I7" i="41"/>
  <c r="I8" i="41"/>
  <c r="I9" i="41"/>
  <c r="I10" i="41"/>
  <c r="I11" i="41"/>
  <c r="I12" i="41"/>
  <c r="I13" i="41"/>
  <c r="I14" i="41"/>
  <c r="I15" i="41"/>
  <c r="I2" i="41"/>
  <c r="I60" i="35"/>
  <c r="I3" i="35"/>
  <c r="I4" i="35"/>
  <c r="I5" i="35"/>
  <c r="I6" i="35"/>
  <c r="I7" i="35"/>
  <c r="I8" i="35"/>
  <c r="I9" i="35"/>
  <c r="I10" i="35"/>
  <c r="I11" i="35"/>
  <c r="I12" i="35"/>
  <c r="I13" i="35"/>
  <c r="I14" i="35"/>
  <c r="I15" i="35"/>
  <c r="I16" i="35"/>
  <c r="I17" i="35"/>
  <c r="I18" i="35"/>
  <c r="I19" i="35"/>
  <c r="I20" i="35"/>
  <c r="I21" i="35"/>
  <c r="I22" i="35"/>
  <c r="I23" i="35"/>
  <c r="I24" i="35"/>
  <c r="I25" i="35"/>
  <c r="I26" i="35"/>
  <c r="I27" i="35"/>
  <c r="I28" i="35"/>
  <c r="I29" i="35"/>
  <c r="I30" i="35"/>
  <c r="I31" i="35"/>
  <c r="I32" i="35"/>
  <c r="I33" i="35"/>
  <c r="I34" i="35"/>
  <c r="I35" i="35"/>
  <c r="I36" i="35"/>
  <c r="I37" i="35"/>
  <c r="I38" i="35"/>
  <c r="I39" i="35"/>
  <c r="I40" i="35"/>
  <c r="I41" i="35"/>
  <c r="I42" i="35"/>
  <c r="I43" i="35"/>
  <c r="I44" i="35"/>
  <c r="I45" i="35"/>
  <c r="I46" i="35"/>
  <c r="I47" i="35"/>
  <c r="I48" i="35"/>
  <c r="I49" i="35"/>
  <c r="I50" i="35"/>
  <c r="I51" i="35"/>
  <c r="I52" i="35"/>
  <c r="I53" i="35"/>
  <c r="I54" i="35"/>
  <c r="I55" i="35"/>
  <c r="I56" i="35"/>
  <c r="I57" i="35"/>
  <c r="I58" i="35"/>
  <c r="I59" i="35"/>
  <c r="I2" i="35"/>
  <c r="I33" i="33"/>
  <c r="I3" i="33"/>
  <c r="I4" i="33"/>
  <c r="I5" i="33"/>
  <c r="I6" i="33"/>
  <c r="I7" i="33"/>
  <c r="I8" i="33"/>
  <c r="I9" i="33"/>
  <c r="I10" i="33"/>
  <c r="I11" i="33"/>
  <c r="I12" i="33"/>
  <c r="I13" i="33"/>
  <c r="I14" i="33"/>
  <c r="I15" i="33"/>
  <c r="I16" i="33"/>
  <c r="I17" i="33"/>
  <c r="I18" i="33"/>
  <c r="I19" i="33"/>
  <c r="I20" i="33"/>
  <c r="I21" i="33"/>
  <c r="I22" i="33"/>
  <c r="I23" i="33"/>
  <c r="I24" i="33"/>
  <c r="I25" i="33"/>
  <c r="I26" i="33"/>
  <c r="I27" i="33"/>
  <c r="I28" i="33"/>
  <c r="I29" i="33"/>
  <c r="I30" i="33"/>
  <c r="I31" i="33"/>
  <c r="I32" i="33"/>
  <c r="I2" i="33"/>
  <c r="I36" i="30"/>
  <c r="I3" i="30"/>
  <c r="I4" i="30"/>
  <c r="I5" i="30"/>
  <c r="I6" i="30"/>
  <c r="I7" i="30"/>
  <c r="I8" i="30"/>
  <c r="I9" i="30"/>
  <c r="I10" i="30"/>
  <c r="I11" i="30"/>
  <c r="I12" i="30"/>
  <c r="I13" i="30"/>
  <c r="I14" i="30"/>
  <c r="I15" i="30"/>
  <c r="I16" i="30"/>
  <c r="I17" i="30"/>
  <c r="I18" i="30"/>
  <c r="I19" i="30"/>
  <c r="I20" i="30"/>
  <c r="I21" i="30"/>
  <c r="I22" i="30"/>
  <c r="I23" i="30"/>
  <c r="I24" i="30"/>
  <c r="I25" i="30"/>
  <c r="I26" i="30"/>
  <c r="I27" i="30"/>
  <c r="I28" i="30"/>
  <c r="I29" i="30"/>
  <c r="I30" i="30"/>
  <c r="I31" i="30"/>
  <c r="I32" i="30"/>
  <c r="I33" i="30"/>
  <c r="I34" i="30"/>
  <c r="I35" i="30"/>
  <c r="I2" i="30"/>
  <c r="I17" i="29"/>
  <c r="I3" i="29"/>
  <c r="I4" i="29"/>
  <c r="I5" i="29"/>
  <c r="I6" i="29"/>
  <c r="I7" i="29"/>
  <c r="I8" i="29"/>
  <c r="I9" i="29"/>
  <c r="I10" i="29"/>
  <c r="I11" i="29"/>
  <c r="I12" i="29"/>
  <c r="I13" i="29"/>
  <c r="I14" i="29"/>
  <c r="I15" i="29"/>
  <c r="I16" i="29"/>
  <c r="I2" i="29"/>
  <c r="I7" i="28"/>
  <c r="I3" i="28"/>
  <c r="I4" i="28"/>
  <c r="I5" i="28"/>
  <c r="I6" i="28"/>
  <c r="I2" i="28"/>
  <c r="I3" i="22"/>
  <c r="I4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2" i="22"/>
  <c r="I26" i="21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" i="21"/>
  <c r="I33" i="20"/>
  <c r="I3" i="20"/>
  <c r="I4" i="20"/>
  <c r="I5" i="20"/>
  <c r="I6" i="20"/>
  <c r="I7" i="20"/>
  <c r="I8" i="20"/>
  <c r="I9" i="20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2" i="20"/>
  <c r="I3" i="19"/>
  <c r="I4" i="19"/>
  <c r="I5" i="19"/>
  <c r="I6" i="19"/>
  <c r="I29" i="19" s="1"/>
  <c r="I7" i="19"/>
  <c r="I8" i="19"/>
  <c r="I9" i="19"/>
  <c r="I10" i="19"/>
  <c r="I11" i="19"/>
  <c r="I12" i="19"/>
  <c r="I13" i="19"/>
  <c r="I14" i="19"/>
  <c r="I15" i="19"/>
  <c r="I16" i="19"/>
  <c r="I17" i="19"/>
  <c r="I18" i="19"/>
  <c r="I19" i="19"/>
  <c r="I20" i="19"/>
  <c r="I21" i="19"/>
  <c r="I22" i="19"/>
  <c r="I23" i="19"/>
  <c r="I24" i="19"/>
  <c r="I25" i="19"/>
  <c r="I26" i="19"/>
  <c r="I27" i="19"/>
  <c r="I28" i="19"/>
  <c r="I2" i="19"/>
  <c r="I3" i="17"/>
  <c r="I4" i="17"/>
  <c r="I5" i="17"/>
  <c r="I6" i="17"/>
  <c r="I37" i="17" s="1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2" i="17"/>
  <c r="I20" i="15"/>
  <c r="I3" i="15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" i="15"/>
  <c r="I17" i="14"/>
  <c r="I3" i="14"/>
  <c r="I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2" i="14"/>
  <c r="I13" i="12"/>
  <c r="I3" i="12"/>
  <c r="I4" i="12"/>
  <c r="I5" i="12"/>
  <c r="I6" i="12"/>
  <c r="I7" i="12"/>
  <c r="I8" i="12"/>
  <c r="I9" i="12"/>
  <c r="I10" i="12"/>
  <c r="I11" i="12"/>
  <c r="I12" i="12"/>
  <c r="I2" i="12"/>
  <c r="I55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2" i="6"/>
  <c r="I3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2" i="1"/>
  <c r="I155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2" i="5"/>
  <c r="B30" i="58"/>
  <c r="B5" i="57"/>
  <c r="B60" i="35"/>
  <c r="I36" i="22" l="1"/>
</calcChain>
</file>

<file path=xl/sharedStrings.xml><?xml version="1.0" encoding="utf-8"?>
<sst xmlns="http://schemas.openxmlformats.org/spreadsheetml/2006/main" count="6769" uniqueCount="2675">
  <si>
    <t>Descrição Item</t>
  </si>
  <si>
    <t>Quantidades Avulsos</t>
  </si>
  <si>
    <t>Referência</t>
  </si>
  <si>
    <t>PINCA BACKHAUS BOLA 130MM  (10 JOGOS C/5UNID)</t>
  </si>
  <si>
    <t>FACTORY</t>
  </si>
  <si>
    <t>PINCA BACKHAUS CORTANTE 130MM (6 JOGOS C/5 UNID)</t>
  </si>
  <si>
    <t>AFASTADOR FARABEUF 7X100MM (PARES)</t>
  </si>
  <si>
    <t>QG.665.10</t>
  </si>
  <si>
    <t>QUINELATO</t>
  </si>
  <si>
    <t>BT021R</t>
  </si>
  <si>
    <t>AESCULAP</t>
  </si>
  <si>
    <t>AFASTADOR FARABEUF 12X100MM (PARES)</t>
  </si>
  <si>
    <t>QG.665.12</t>
  </si>
  <si>
    <t>AFASTADOR FARABEUF 13X150MM (PARES)</t>
  </si>
  <si>
    <t>QG.665.15</t>
  </si>
  <si>
    <t>AFASTADOR FARABEUF 20X170MM (PARES)</t>
  </si>
  <si>
    <t>QG.665.17</t>
  </si>
  <si>
    <t>AFASTADOR RICHARDSON 28X20MM (PARES)</t>
  </si>
  <si>
    <t>QG.391.01</t>
  </si>
  <si>
    <t>AFASTADOR RICHARDSON 36X28MM (PARES)</t>
  </si>
  <si>
    <t>QG.391.02</t>
  </si>
  <si>
    <t>AFASTADOR RICHARDSON 52X22MM(PARES)</t>
  </si>
  <si>
    <t>QG.391.04</t>
  </si>
  <si>
    <t>PINCA  MOSQUITO CURVA (JOGOS DE 2)</t>
  </si>
  <si>
    <t>QF.311.12</t>
  </si>
  <si>
    <t>PINCA  MOSQUITO RETA  (JOGOS DE 2)</t>
  </si>
  <si>
    <t>QF.310.12</t>
  </si>
  <si>
    <t>PINCA  SCHNIDT</t>
  </si>
  <si>
    <t>QF.361.18</t>
  </si>
  <si>
    <t>PINCA ADSON COM DENTE</t>
  </si>
  <si>
    <t>QC.368.15</t>
  </si>
  <si>
    <t>BD511R</t>
  </si>
  <si>
    <t xml:space="preserve">PINCA ADSON SEM DENTE </t>
  </si>
  <si>
    <t>QC.168.12</t>
  </si>
  <si>
    <t>BD222R</t>
  </si>
  <si>
    <t>PINCA ALLIS 150MM</t>
  </si>
  <si>
    <t>QL.134.15</t>
  </si>
  <si>
    <t>EA016R</t>
  </si>
  <si>
    <t>PINCA ALLIS 200MM</t>
  </si>
  <si>
    <t>QL.134.20</t>
  </si>
  <si>
    <t>PINCA ALLIS 250MM</t>
  </si>
  <si>
    <t>QL.134.35</t>
  </si>
  <si>
    <t>PINCA ANATOMICA 140MM</t>
  </si>
  <si>
    <t>QC.100.14</t>
  </si>
  <si>
    <t>PINCA ANATOMICA 160MM</t>
  </si>
  <si>
    <t>QC.100.16</t>
  </si>
  <si>
    <t>PINCA ANATOMICA 200MM</t>
  </si>
  <si>
    <t>QC.100.20</t>
  </si>
  <si>
    <t>PINCA ANATOMICA 250MM</t>
  </si>
  <si>
    <t>QC.100.25</t>
  </si>
  <si>
    <t>PINCA ANATOMICA 300MM</t>
  </si>
  <si>
    <t>QC.100.30</t>
  </si>
  <si>
    <t xml:space="preserve">PINCA CHERON </t>
  </si>
  <si>
    <t>QF.290.25</t>
  </si>
  <si>
    <t>PINCA DENTE DE RATO 140MM</t>
  </si>
  <si>
    <t>QC.301.14</t>
  </si>
  <si>
    <t>PINCA DENTE DE RATO 160MM</t>
  </si>
  <si>
    <t>QC.301.16</t>
  </si>
  <si>
    <t>PINCA DENTE DE RATO 200MM</t>
  </si>
  <si>
    <t>QC.301.20</t>
  </si>
  <si>
    <t>PINCA DENTE DE RATO 250MM</t>
  </si>
  <si>
    <t>QC.301.25</t>
  </si>
  <si>
    <t>PINCA DENTE DE RATO 300MM</t>
  </si>
  <si>
    <t>QC.301.30</t>
  </si>
  <si>
    <t xml:space="preserve">PINCA KELLY CURVA </t>
  </si>
  <si>
    <t>QF.331.14</t>
  </si>
  <si>
    <t>QF.331.16</t>
  </si>
  <si>
    <t>PINCA KELLY RETA</t>
  </si>
  <si>
    <t>QF.330.16</t>
  </si>
  <si>
    <t>QF.330.14</t>
  </si>
  <si>
    <t xml:space="preserve">PINCA KOCHER CURVA </t>
  </si>
  <si>
    <t>QF.415.16</t>
  </si>
  <si>
    <t xml:space="preserve">PINCA KOCHER RETA 160MM </t>
  </si>
  <si>
    <t>QF.414.16</t>
  </si>
  <si>
    <t>BH642R</t>
  </si>
  <si>
    <t>PINCA KOCHER RETA 140MM</t>
  </si>
  <si>
    <t>QF.414.14</t>
  </si>
  <si>
    <t>PINCA KOCHER RETA 180MM</t>
  </si>
  <si>
    <t>QF.414.18</t>
  </si>
  <si>
    <t>PINCA MIXTER 220MM</t>
  </si>
  <si>
    <t>QF.480.22</t>
  </si>
  <si>
    <t>PINCA MIXTER 200MM</t>
  </si>
  <si>
    <t>QF.480.20</t>
  </si>
  <si>
    <t>PINCA MIXTER  BABY 180MM</t>
  </si>
  <si>
    <t>QF.377.19</t>
  </si>
  <si>
    <t>PINCA MIXTER  BABY 140MM</t>
  </si>
  <si>
    <t>QF.375.14</t>
  </si>
  <si>
    <t>PORTA AGULHA CRILE WOOD 150MM</t>
  </si>
  <si>
    <t>QW.700.15</t>
  </si>
  <si>
    <t>PORTA AGULHA CRILE WOOD 180MM</t>
  </si>
  <si>
    <t>BM017R</t>
  </si>
  <si>
    <t>PORTA AGULHA CRILE WOOD 200MM</t>
  </si>
  <si>
    <t>BM019R</t>
  </si>
  <si>
    <t>PORTA AGULHA HALSEY 130MM</t>
  </si>
  <si>
    <t>BM012R</t>
  </si>
  <si>
    <t>TESOURA MAYO CURVA 170MM</t>
  </si>
  <si>
    <t>QT.181.17</t>
  </si>
  <si>
    <t>TESOURA MAYO RETA 170MM</t>
  </si>
  <si>
    <t>QT.180.17</t>
  </si>
  <si>
    <t>TESOURA METZEMBAUM CURVA 180MM</t>
  </si>
  <si>
    <t>BC263R</t>
  </si>
  <si>
    <t>BC605R</t>
  </si>
  <si>
    <t>TESOURA METZEMBAUM CURVA  140MM</t>
  </si>
  <si>
    <t>BC261R</t>
  </si>
  <si>
    <t>TESOURA METZEMBAUM CURVA  200MM</t>
  </si>
  <si>
    <t>BC265R</t>
  </si>
  <si>
    <t>TESOURA METZEMBAUM CURVA  230MM</t>
  </si>
  <si>
    <t>BC267R</t>
  </si>
  <si>
    <t>PINCA GILLIES COM DENTE 150MM</t>
  </si>
  <si>
    <t>BD660R</t>
  </si>
  <si>
    <t>PORTA AGULHA MAYO HEGAR COM WIDIA 140MM</t>
  </si>
  <si>
    <t>QW.400.14</t>
  </si>
  <si>
    <t>PORTA AGULHA MAYO HEGAR COM WIDIA 170MM</t>
  </si>
  <si>
    <t>QW.400.17</t>
  </si>
  <si>
    <t>PORTA AGULHA MAYO HEGAR COM WIDIA 200MM</t>
  </si>
  <si>
    <t>QW.400.20</t>
  </si>
  <si>
    <t>PORTA AGULHA MAYO HEGAR COM WIDIA 250MM</t>
  </si>
  <si>
    <t>QW.400.25</t>
  </si>
  <si>
    <t xml:space="preserve">TESOURA IRIS CURVA 120MM </t>
  </si>
  <si>
    <t>BC211R</t>
  </si>
  <si>
    <t xml:space="preserve">TESOURA IRIS RETA 120MM </t>
  </si>
  <si>
    <t>BC210R</t>
  </si>
  <si>
    <t>ESPATULA MALEAVEL  10X200MM</t>
  </si>
  <si>
    <t>QD.196.10</t>
  </si>
  <si>
    <t>ESPATULA MALEAVEL 17X250MM</t>
  </si>
  <si>
    <t>QG.418.17</t>
  </si>
  <si>
    <t>TENTACANULA</t>
  </si>
  <si>
    <t>QH.160.14</t>
  </si>
  <si>
    <t>SERINGA CARPULE</t>
  </si>
  <si>
    <t>QD.027.02</t>
  </si>
  <si>
    <t>ASPIRADOR YANKAUER (CHUVEIRO)</t>
  </si>
  <si>
    <t>QH.807.00</t>
  </si>
  <si>
    <t>VALVULA DOYEN 120 X 45 X 240MM</t>
  </si>
  <si>
    <t>QS.250.08</t>
  </si>
  <si>
    <t xml:space="preserve">VALVULA DOYEN 120X60X240MM </t>
  </si>
  <si>
    <t>QS.251.03</t>
  </si>
  <si>
    <t>VALVULA DOYEN 90 X 60 X 240MM</t>
  </si>
  <si>
    <t>QS.251.02</t>
  </si>
  <si>
    <t>VALVULA DOYEN 150 X 60 X 240MM</t>
  </si>
  <si>
    <t>QS.251.07</t>
  </si>
  <si>
    <t>VALVULA DOYEN 90 X 45 X 240MM</t>
  </si>
  <si>
    <t>QS.250.02</t>
  </si>
  <si>
    <t>VALVULA DOYEN 60X 45 X 240MM</t>
  </si>
  <si>
    <t>QS.250.01</t>
  </si>
  <si>
    <t>VALVULA DOYEN 60X270MM</t>
  </si>
  <si>
    <t>O5575</t>
  </si>
  <si>
    <t>RHOSSE</t>
  </si>
  <si>
    <t>VALVULA DOYEN 60X200MM</t>
  </si>
  <si>
    <t>OO124</t>
  </si>
  <si>
    <t>VALVULA DOYEN 45X180MM</t>
  </si>
  <si>
    <t>O3530</t>
  </si>
  <si>
    <t>ASPIRADOR FRAZIER 2.0MM</t>
  </si>
  <si>
    <t>ASPIRADOR FRAZIER 2.5MM</t>
  </si>
  <si>
    <t>ASPIRADOR FRAZIER 3.0MM</t>
  </si>
  <si>
    <t>ASPIRADOR FRAZIER 3.5MM</t>
  </si>
  <si>
    <t>PINCA BAIONETA 140MM</t>
  </si>
  <si>
    <t>QX.391.14</t>
  </si>
  <si>
    <t>DESCOLADOR DE FREER 200MM</t>
  </si>
  <si>
    <t>QX.546.18</t>
  </si>
  <si>
    <t>PINCA ADSON BROWN 120MM</t>
  </si>
  <si>
    <t>QC.400.12</t>
  </si>
  <si>
    <t>ELEVADOR COTTLE 200MM</t>
  </si>
  <si>
    <t>STORZ</t>
  </si>
  <si>
    <t>AFASTADOR CONVERSE 160MM</t>
  </si>
  <si>
    <t>ASPIRADOR DESCOLADOR 3.5 X 210MM</t>
  </si>
  <si>
    <t>MARTELO LUCAE</t>
  </si>
  <si>
    <t>QO.471.25</t>
  </si>
  <si>
    <t>QO.475.15</t>
  </si>
  <si>
    <t>MARTELO 150GR</t>
  </si>
  <si>
    <t>ESPECULO NASAL KILLIAN N° 1</t>
  </si>
  <si>
    <t>O493</t>
  </si>
  <si>
    <t>ESPECULO NASAL KILLIAN N° 2</t>
  </si>
  <si>
    <t>O494</t>
  </si>
  <si>
    <t>ESPECULO NASAL KILLIAN N° 3</t>
  </si>
  <si>
    <t>O495</t>
  </si>
  <si>
    <t>ABAIXADOR DE LINGUA BRUENINGS</t>
  </si>
  <si>
    <t>QX.385.1</t>
  </si>
  <si>
    <t xml:space="preserve">Fibra ótica grossa </t>
  </si>
  <si>
    <t>495TIP</t>
  </si>
  <si>
    <t>FIBRA FINA</t>
  </si>
  <si>
    <t>495ND</t>
  </si>
  <si>
    <t>COMPASSO CASTROVIEJO</t>
  </si>
  <si>
    <t>QD.308.30</t>
  </si>
  <si>
    <t>COMPASSO MAMA</t>
  </si>
  <si>
    <t>OOO99</t>
  </si>
  <si>
    <t>BLEFAROSTATO ADULTO</t>
  </si>
  <si>
    <t>O2237</t>
  </si>
  <si>
    <t>PINÇA WAUGH 180MM (CUSHING COM DENTE)</t>
  </si>
  <si>
    <t>BD.670R</t>
  </si>
  <si>
    <t>AFASTADOR DESMARRES 12MM (PARES)</t>
  </si>
  <si>
    <t>QG.091.12</t>
  </si>
  <si>
    <t>AFASTADOR DESMARRES 14MM (PARES)</t>
  </si>
  <si>
    <t>QG.091.14</t>
  </si>
  <si>
    <t>REGUA 20CM</t>
  </si>
  <si>
    <t>O2065</t>
  </si>
  <si>
    <t>AFASTADOR BALFOUR 170MM</t>
  </si>
  <si>
    <t>QG.825.01</t>
  </si>
  <si>
    <t>AFASTADOR GOSSET 300MM</t>
  </si>
  <si>
    <t>QG.846.04</t>
  </si>
  <si>
    <t>AFASTADOR LANGENBECK 11X30MM (PARES)</t>
  </si>
  <si>
    <t>QG.291.01</t>
  </si>
  <si>
    <t>AFASTADOR LANGENBECK 11X40MM (PARES)</t>
  </si>
  <si>
    <t>QG.291.04</t>
  </si>
  <si>
    <t>AFASTADOR LANGENBECK 11X50MM (PARES)</t>
  </si>
  <si>
    <t>QG.291.05</t>
  </si>
  <si>
    <t>PLACA IMANTADA</t>
  </si>
  <si>
    <t>FAMI</t>
  </si>
  <si>
    <t>GARRAFA</t>
  </si>
  <si>
    <t>MULTIMED</t>
  </si>
  <si>
    <t>JARRO DE INOX</t>
  </si>
  <si>
    <t>PROTETOR OCULAR P (PARES)</t>
  </si>
  <si>
    <t>PROTETOR OCULAR M (PARES)</t>
  </si>
  <si>
    <t>PROTETOR OCULAR G (PARES)</t>
  </si>
  <si>
    <t>CUBA RIM</t>
  </si>
  <si>
    <t>CUPULA</t>
  </si>
  <si>
    <t>BAIONETA BIPOLAR PONTA GROSSA</t>
  </si>
  <si>
    <t>MEDTRONIC</t>
  </si>
  <si>
    <t>PROJETROMETRO</t>
  </si>
  <si>
    <t>RHOSSE (não tem)/ FACTORY</t>
  </si>
  <si>
    <t>PAQUIMETRO</t>
  </si>
  <si>
    <t>RICHTER/QUINELATO/ FACTORY</t>
  </si>
  <si>
    <t>BIPOLAR OFTALMO</t>
  </si>
  <si>
    <t xml:space="preserve">E4055-CT </t>
  </si>
  <si>
    <t>GANCHO GUTHRIE (PARES)</t>
  </si>
  <si>
    <t>QG.072.02</t>
  </si>
  <si>
    <t>GANCHO GILIES (PARES)</t>
  </si>
  <si>
    <t>QH.207.01</t>
  </si>
  <si>
    <t>SENN MULLER ROMBO (PARES)</t>
  </si>
  <si>
    <t>QG.166.16</t>
  </si>
  <si>
    <t>SENN MULLER AGUDO (PARES)</t>
  </si>
  <si>
    <t>QG.167.16</t>
  </si>
  <si>
    <t>AFASTADOR WEITLANER AGUDO 140MM</t>
  </si>
  <si>
    <t>QZ.040.14</t>
  </si>
  <si>
    <t>AFASTADOR WEITLANER AGUDO 180MM</t>
  </si>
  <si>
    <t>QZ.040.18</t>
  </si>
  <si>
    <t>CURETA VOLKMANN N°000</t>
  </si>
  <si>
    <t>QO.296.01</t>
  </si>
  <si>
    <t>CURETA VOLKMANN N°0</t>
  </si>
  <si>
    <t>QO.296.03</t>
  </si>
  <si>
    <t>CURETA VOLKMANN N°1</t>
  </si>
  <si>
    <t>QO.296.04</t>
  </si>
  <si>
    <t>CURETA VOLKMANN N°2</t>
  </si>
  <si>
    <t>QO.296.05</t>
  </si>
  <si>
    <t>VALVULA DE PESO 43X80MM</t>
  </si>
  <si>
    <t>QG.711.00</t>
  </si>
  <si>
    <t>VALVULA DE PESO 32X160MM</t>
  </si>
  <si>
    <t>QG.711.01</t>
  </si>
  <si>
    <t>PINÇA WINTER CURVA 8X24MM</t>
  </si>
  <si>
    <t>QS.345.01</t>
  </si>
  <si>
    <t>HISTEROMETRO SIMS MALEAVEL</t>
  </si>
  <si>
    <t>EO012R</t>
  </si>
  <si>
    <t>POZZI 250MM</t>
  </si>
  <si>
    <t>QS.618.25</t>
  </si>
  <si>
    <t>AFASTADOR FINOCHIETTO 53X60X170X230MM</t>
  </si>
  <si>
    <t>QZ.015.03</t>
  </si>
  <si>
    <t>AFASTADOR GELPI 190MM</t>
  </si>
  <si>
    <t>QZ.030.18</t>
  </si>
  <si>
    <t>PINÇA DEBAKEY 180MM</t>
  </si>
  <si>
    <t>QZ.094.18</t>
  </si>
  <si>
    <t>PINÇA DEBAKEY 200MM</t>
  </si>
  <si>
    <t>QZ.094.20</t>
  </si>
  <si>
    <t>PINÇA DEBAKEY 240MM</t>
  </si>
  <si>
    <t>QZ.094.24</t>
  </si>
  <si>
    <t>QZ.096.18</t>
  </si>
  <si>
    <t>QZ.096.20</t>
  </si>
  <si>
    <t>QZ.096.24</t>
  </si>
  <si>
    <t>PINÇA MAGUIL 200MM</t>
  </si>
  <si>
    <t>QH.303.20</t>
  </si>
  <si>
    <t>PINÇA MAGUIL 250MM</t>
  </si>
  <si>
    <t>QH.303.25</t>
  </si>
  <si>
    <t>PORTA AGULHA MÃO DIREITA</t>
  </si>
  <si>
    <t>101.102-D</t>
  </si>
  <si>
    <t>TAIMIN</t>
  </si>
  <si>
    <t>PORTA AGULHA MÃO ESQUERDA</t>
  </si>
  <si>
    <t>101.102-E</t>
  </si>
  <si>
    <t>BAIONETA BIPOLAR YASARGIL 1,0MMX75MM</t>
  </si>
  <si>
    <t>GK770R</t>
  </si>
  <si>
    <t>CABO PARA PINCA BIPOLAR</t>
  </si>
  <si>
    <t>GN133</t>
  </si>
  <si>
    <t>CURETA RECAMIER N°1</t>
  </si>
  <si>
    <t>QS.586.01</t>
  </si>
  <si>
    <t>CURETA RECAMIER N°2</t>
  </si>
  <si>
    <t>QS.586.02</t>
  </si>
  <si>
    <t>CURETA RECAMIER N°3</t>
  </si>
  <si>
    <t>QS.586.03</t>
  </si>
  <si>
    <t>BIPOLAR LAPAROSCOPICA MARYLAND</t>
  </si>
  <si>
    <t>B0A5381B</t>
  </si>
  <si>
    <t>BHIOSUPPLY</t>
  </si>
  <si>
    <t>CABO BIPOLAR PARALELO 3M MACHO/FEMEA 3,6</t>
  </si>
  <si>
    <t>0AHBO00</t>
  </si>
  <si>
    <t>BUG BEE 5FR</t>
  </si>
  <si>
    <t>27770B</t>
  </si>
  <si>
    <t>KARL STORZ</t>
  </si>
  <si>
    <t>AREOLOTOMO (JOGO COM 3PÇS)</t>
  </si>
  <si>
    <t>R767-04-03</t>
  </si>
  <si>
    <t>PINÇA PARA RETIRADA DIU (HARTMAN JACARE)</t>
  </si>
  <si>
    <t>RH13766</t>
  </si>
  <si>
    <t>APLICADOR L. MEC. LIGACLIP 19CM</t>
  </si>
  <si>
    <t>LX107</t>
  </si>
  <si>
    <t>ETHICON</t>
  </si>
  <si>
    <t xml:space="preserve">LIGACLIP CLIP APPLIER 19CM </t>
  </si>
  <si>
    <t>LX207</t>
  </si>
  <si>
    <t>APLICADOR P/ LIGACLIP ENDOSCOP.</t>
  </si>
  <si>
    <t>EL314</t>
  </si>
  <si>
    <t>TOTAL</t>
  </si>
  <si>
    <t>Quantidade por cx</t>
  </si>
  <si>
    <t xml:space="preserve">PINCA BACKHAUS BOLA 130MM </t>
  </si>
  <si>
    <t> </t>
  </si>
  <si>
    <t>PINCA BACKHAUS CORTANTE 130MM</t>
  </si>
  <si>
    <t>ABAIXADOR DE LINGUA bruenings 125MM</t>
  </si>
  <si>
    <t>QX.385.19</t>
  </si>
  <si>
    <t>ASPIRADOR DESCOLADOR</t>
  </si>
  <si>
    <t>ABRIDOR DE BOCA MC IVOR ADULTO ADULTO</t>
  </si>
  <si>
    <t>CESTO PADRAO</t>
  </si>
  <si>
    <t>MNH MERC</t>
  </si>
  <si>
    <t>CURETA BECKMANN N1 13 X 220MM</t>
  </si>
  <si>
    <t>QX.756.01</t>
  </si>
  <si>
    <t>CURETA BECKMANN N2 15 X 220MM</t>
  </si>
  <si>
    <t>QX.756.02</t>
  </si>
  <si>
    <t>CURETA BECKMANN N3 17 X 220MM</t>
  </si>
  <si>
    <t>QX.756.03</t>
  </si>
  <si>
    <t>DISSECTOR HURD AFASTADOR DE PILAR 220MM</t>
  </si>
  <si>
    <t>QX.281.22</t>
  </si>
  <si>
    <t>CURETA BECKMANN N4 19 X 220MM</t>
  </si>
  <si>
    <t>QX.756.04</t>
  </si>
  <si>
    <t xml:space="preserve">FACA PARA AMIGDALA </t>
  </si>
  <si>
    <t>8595C</t>
  </si>
  <si>
    <t>LAMINA ABRIDOR DE BOCA ADULTO N1</t>
  </si>
  <si>
    <t>LAMINA ABRIDOR DE BOCA ADULTO N2</t>
  </si>
  <si>
    <t>LAMINA ABRIDOR DE BOCA ADULTO N3</t>
  </si>
  <si>
    <t>PINCA BAIONETA 160MM</t>
  </si>
  <si>
    <t>QX.395.16</t>
  </si>
  <si>
    <t>PINCA BRUENING 200MM</t>
  </si>
  <si>
    <t>QX.227.01</t>
  </si>
  <si>
    <t>OK441R</t>
  </si>
  <si>
    <t>PINCA CHERON 250MM</t>
  </si>
  <si>
    <t>PINCA HARTMANN 210MM</t>
  </si>
  <si>
    <t>8593A</t>
  </si>
  <si>
    <t>PINCA KELLY CURVA 160MM</t>
  </si>
  <si>
    <t>PINCA KELLY RETA 160MM</t>
  </si>
  <si>
    <t>PINCA ROCHESTER CURVA 180MM</t>
  </si>
  <si>
    <t>QF.371.20</t>
  </si>
  <si>
    <t>PINCA ROCHESTER PEAN RETA 180MM</t>
  </si>
  <si>
    <t>QF.410.18</t>
  </si>
  <si>
    <t>PINCA SCHNIDT 200MM</t>
  </si>
  <si>
    <t>QZ.213.18</t>
  </si>
  <si>
    <t>BH959R</t>
  </si>
  <si>
    <t>PONTA ASPIRADOR CHUVEIRO 260MM</t>
  </si>
  <si>
    <t>PORTA AGULHA MAYO HEGAR 200MM</t>
  </si>
  <si>
    <t>TESOURA MAYO CURVA 160MM</t>
  </si>
  <si>
    <t>QT.181.16</t>
  </si>
  <si>
    <t>QT.181.22</t>
  </si>
  <si>
    <t>Referênia</t>
  </si>
  <si>
    <t>CESTO P / CONTAINER</t>
  </si>
  <si>
    <t>DISPOSITIVO DE ASPIRAÇÃO HEMORROIDA 14MM</t>
  </si>
  <si>
    <t>PF.108.00.00</t>
  </si>
  <si>
    <t>FERRARI</t>
  </si>
  <si>
    <t>DISPOSITIVO DE ASPIRAÇÃO HEMORROIDA 16MM</t>
  </si>
  <si>
    <t>PF.108.03.00</t>
  </si>
  <si>
    <t>Quantidade item por cx</t>
  </si>
  <si>
    <t xml:space="preserve">Referência </t>
  </si>
  <si>
    <t>CESTO P ALTO</t>
  </si>
  <si>
    <t>MNH</t>
  </si>
  <si>
    <t>KLS</t>
  </si>
  <si>
    <t>ASPIRADOR FRAZIER 3.5X185MM</t>
  </si>
  <si>
    <t>AFASTADOR FARABEUF 10x120mm</t>
  </si>
  <si>
    <t>AFASTADOR FARABEUF 7x100mm</t>
  </si>
  <si>
    <t>AFASTADOR SENN MULLER ROMBO</t>
  </si>
  <si>
    <t>AFASTADOR LANGENBECK 11x50mm</t>
  </si>
  <si>
    <t>AFASTADOR LANGENBECK 11x30mm</t>
  </si>
  <si>
    <t>ABAIXADOR DE LINGUA  BRUENINGS</t>
  </si>
  <si>
    <t>SEPARADOR SAGITAL DIREITO</t>
  </si>
  <si>
    <t>QD.936.02</t>
  </si>
  <si>
    <t>SEPARADOR SAGITAL ESQUERDO</t>
  </si>
  <si>
    <t>QD.936.01</t>
  </si>
  <si>
    <t>TESOURA UNIVERSAL</t>
  </si>
  <si>
    <t>QT.999.11</t>
  </si>
  <si>
    <t>RASPA LEWIS</t>
  </si>
  <si>
    <t>OL408R</t>
  </si>
  <si>
    <t>PORTA AGULHA FIO DE AÇO</t>
  </si>
  <si>
    <t>QW.750.20</t>
  </si>
  <si>
    <t>AFASTADOR MINESSOTA</t>
  </si>
  <si>
    <t>QD.153.14</t>
  </si>
  <si>
    <t>CINZEL DE LUCAS 3X160MM</t>
  </si>
  <si>
    <t>QD.137.03</t>
  </si>
  <si>
    <t>CINZEL DE LUCAS 4X160MM</t>
  </si>
  <si>
    <t>QD.137.04</t>
  </si>
  <si>
    <t>CURETA SIMON 3.6X235MM</t>
  </si>
  <si>
    <t>QS.903.03</t>
  </si>
  <si>
    <t>CURETA SIMON 4.4X235MM</t>
  </si>
  <si>
    <t>QS.903.04</t>
  </si>
  <si>
    <t>DESCOLADOR DE JOSEPH CURVO</t>
  </si>
  <si>
    <t>QX.585.01</t>
  </si>
  <si>
    <t>FK310R</t>
  </si>
  <si>
    <t xml:space="preserve">DESCOLADOR DE RAMO SVERZUT </t>
  </si>
  <si>
    <t>QD.190.20</t>
  </si>
  <si>
    <t>DESCOLADOR HURD 230MM</t>
  </si>
  <si>
    <t>DESCOLADOR MOLT N°9 /180MM</t>
  </si>
  <si>
    <t>QD.935.18</t>
  </si>
  <si>
    <t>ESPATULA MALEAVEL 16X200MM</t>
  </si>
  <si>
    <t>GANCHO PARA OSSO</t>
  </si>
  <si>
    <t>QD.249.00</t>
  </si>
  <si>
    <t>GOIVA JANSEN RETA 175MM</t>
  </si>
  <si>
    <t>QO.887.18</t>
  </si>
  <si>
    <t xml:space="preserve">PINCA ASCH </t>
  </si>
  <si>
    <t>QX.142.22</t>
  </si>
  <si>
    <t>PINCA ROWE DIREITO</t>
  </si>
  <si>
    <t>QD.242.24</t>
  </si>
  <si>
    <t>PINCA ROWE ESQUERDO</t>
  </si>
  <si>
    <t>QD.243.24</t>
  </si>
  <si>
    <t>PINCA WALSHAN DIREITO</t>
  </si>
  <si>
    <t>QD.316.21</t>
  </si>
  <si>
    <t>PINCA WALSHAN ESQUERDO</t>
  </si>
  <si>
    <t>QD.317.21</t>
  </si>
  <si>
    <t>PINCA WALSHAN RETA</t>
  </si>
  <si>
    <t>RUGINA FARABEUF CURVA 180MM</t>
  </si>
  <si>
    <t>QO.293.15</t>
  </si>
  <si>
    <t>RUGINA FARABEUF RETA 180MM</t>
  </si>
  <si>
    <t>QO.292.15</t>
  </si>
  <si>
    <t>ALVEOLOTOMO LUER CURVO</t>
  </si>
  <si>
    <t>QD.145.15</t>
  </si>
  <si>
    <t>ABAIXADOR DE LINGUA WIEDER G</t>
  </si>
  <si>
    <t>QD.195.00</t>
  </si>
  <si>
    <t>ABAIXADOR DE LINGUA WIEDER P</t>
  </si>
  <si>
    <t>Ñ FABRIC</t>
  </si>
  <si>
    <t xml:space="preserve">CORTADOR DE FIO </t>
  </si>
  <si>
    <t>AFASTADOR OBWEGESER P/CIMA 11X62MM</t>
  </si>
  <si>
    <t>QD.253.62</t>
  </si>
  <si>
    <t>AFASTADOR OBWEGESER P/CIMA 11X42MM</t>
  </si>
  <si>
    <t>QD.253.42</t>
  </si>
  <si>
    <t xml:space="preserve">AFASTADOR OBWEGESER P/PROGENISMO </t>
  </si>
  <si>
    <t>QD.850.18</t>
  </si>
  <si>
    <t>AFASTADOR OBWEGESER P/RAMO 10X65MM</t>
  </si>
  <si>
    <t>QD.251.65</t>
  </si>
  <si>
    <t>AFASTADOR OBWEGESER P/RAMO 12X30MM</t>
  </si>
  <si>
    <t>QD.256.12</t>
  </si>
  <si>
    <t>DESCOLADOR FREER</t>
  </si>
  <si>
    <t>OSTEOTOMO LAMBOTTE RETO 7MM</t>
  </si>
  <si>
    <t>QO.372.07</t>
  </si>
  <si>
    <t>OSTEOTOMO LAMBOTTE CURVO 7MM</t>
  </si>
  <si>
    <t>QO.374.07</t>
  </si>
  <si>
    <t>OSTEOTOMO LAMBOTTE RETO 9MM</t>
  </si>
  <si>
    <t>QO.372.10</t>
  </si>
  <si>
    <t>OSTEOTOMO LAMBOTTE CURVO 9MM</t>
  </si>
  <si>
    <t>QO.374.10</t>
  </si>
  <si>
    <t>AFASTADOR OBWEGESER P/BAIXO 11X42MM</t>
  </si>
  <si>
    <t>QD.252.42</t>
  </si>
  <si>
    <t>CINZEL COM 2 GUIAS RETO</t>
  </si>
  <si>
    <t>QX.307.08</t>
  </si>
  <si>
    <t>CINZEL COM 2 GUIAS  CURVO</t>
  </si>
  <si>
    <t>QX.309.08</t>
  </si>
  <si>
    <t>Quantidade  itens por cx</t>
  </si>
  <si>
    <t>CESTO CANULAS</t>
  </si>
  <si>
    <t>TRAVA SERINGA 20ML</t>
  </si>
  <si>
    <t>CMP-1014</t>
  </si>
  <si>
    <t>FAGA</t>
  </si>
  <si>
    <t>TRAVA SERINGA 60ML</t>
  </si>
  <si>
    <t>CMP-1532</t>
  </si>
  <si>
    <t>CANULA DE KLEIN 2.0 X 200MM</t>
  </si>
  <si>
    <t>PAC-0292021</t>
  </si>
  <si>
    <t>CANULA DE KLEIN 2.0 X 250MM</t>
  </si>
  <si>
    <t>PAC-0292025</t>
  </si>
  <si>
    <t>CANULA LIPOASPIRACAO 4.0 X 250MM 3G RETA 60ML</t>
  </si>
  <si>
    <t>PAC-0014025</t>
  </si>
  <si>
    <t>CANULA LIPOASPIRACAO 3.0 X 200MM 3G RETA CABO</t>
  </si>
  <si>
    <t>PAC-0013021</t>
  </si>
  <si>
    <t>CANULA LIPOASPIRACAO 3.5 X 250MM 3G RETA CABO</t>
  </si>
  <si>
    <t>PAC-0013525</t>
  </si>
  <si>
    <t>CANULA LIPOASPIRACAO 4.0 X 250MM 3G RETA CABO</t>
  </si>
  <si>
    <t>CANULA LIPOASPIRACAO 3.0 X 250MM 3G RETA CABO</t>
  </si>
  <si>
    <t>PAC-0013025</t>
  </si>
  <si>
    <t>CANULA LIPOASPIRACAO 3.0 X 250MM 3G RETA 60ML</t>
  </si>
  <si>
    <t>CANULA LIPOENXERTIA 3.5 X 250MM 2ECH RETA 60ML</t>
  </si>
  <si>
    <t>CANULA 3 FUROS EXPANDIDA</t>
  </si>
  <si>
    <t>PAC-0964031</t>
  </si>
  <si>
    <t>CANULA RALADORA 2.5 X 250MM TH 20ML</t>
  </si>
  <si>
    <t>PAC-MR1042525</t>
  </si>
  <si>
    <t>CENTRIFUGA</t>
  </si>
  <si>
    <t>PAC-0215</t>
  </si>
  <si>
    <t>CAIXA CENTRIFUGA</t>
  </si>
  <si>
    <t>PAC-0279</t>
  </si>
  <si>
    <t>CESTO P</t>
  </si>
  <si>
    <t>CLAMP DEBAKEY 45°</t>
  </si>
  <si>
    <t>FB543R</t>
  </si>
  <si>
    <t>CLAMP DEBAKEY</t>
  </si>
  <si>
    <t>FB542R</t>
  </si>
  <si>
    <t>CLAMP DEBAKEY CURVO</t>
  </si>
  <si>
    <t>FB541R</t>
  </si>
  <si>
    <t>CLAMP COOLEY 90°</t>
  </si>
  <si>
    <t>FB707R</t>
  </si>
  <si>
    <t>CLAMP COOLEY PEDIATRICO 90°</t>
  </si>
  <si>
    <t>FB569R</t>
  </si>
  <si>
    <t>CLAMP COOLEY PEDIATRICO 60°</t>
  </si>
  <si>
    <t>FB568R</t>
  </si>
  <si>
    <t>CLAMP COOLEY PEDIATRICO 30°</t>
  </si>
  <si>
    <t>FB567R</t>
  </si>
  <si>
    <t>CLAMP COOLEY PEDIATRICO</t>
  </si>
  <si>
    <t>FB563R</t>
  </si>
  <si>
    <t>CLAMP COOLEY</t>
  </si>
  <si>
    <t>FB723R</t>
  </si>
  <si>
    <t>FB570R</t>
  </si>
  <si>
    <t>MNH MERCEARIA</t>
  </si>
  <si>
    <t>PINCA CORPO ESTRANHO 7FR</t>
  </si>
  <si>
    <t>27175A</t>
  </si>
  <si>
    <t>PINCA BIOPSIA PONTA CONCAVA 7FR</t>
  </si>
  <si>
    <t>27177A</t>
  </si>
  <si>
    <t>CAMISA CISTOSCOPIA 19FR</t>
  </si>
  <si>
    <t>27026DK</t>
  </si>
  <si>
    <t>CAMISA CISTOSCOPIA 22FR</t>
  </si>
  <si>
    <t>27026B</t>
  </si>
  <si>
    <t>OBTURADOR 19FR</t>
  </si>
  <si>
    <t>27026DO</t>
  </si>
  <si>
    <t>SHORT COM 2 VIAS</t>
  </si>
  <si>
    <t>27025GF</t>
  </si>
  <si>
    <t>OBTURADOR 22FR</t>
  </si>
  <si>
    <t>27026BO</t>
  </si>
  <si>
    <t>QT.180.16</t>
  </si>
  <si>
    <t>TESOURA METZEMBAUM CURVA 230MM</t>
  </si>
  <si>
    <t>QT.285.23</t>
  </si>
  <si>
    <t>TESOURA METZEMBAUM CURVA 200MM</t>
  </si>
  <si>
    <t>QT.285.20</t>
  </si>
  <si>
    <t>TESOURA PARAMETRIAL WIDEA CURVA 230MM</t>
  </si>
  <si>
    <t>QW.851.23</t>
  </si>
  <si>
    <t>HISTERECTOMIA Z CLAMP SEMI CURVO 240MM</t>
  </si>
  <si>
    <t>QS.408.24</t>
  </si>
  <si>
    <t>PINCA CHERON 240MM</t>
  </si>
  <si>
    <t>PINCA ALLIS 220MM</t>
  </si>
  <si>
    <t>PINCA POZZI 240MM</t>
  </si>
  <si>
    <t>PINCA SCHRODER 250MM</t>
  </si>
  <si>
    <t>QS.401.24</t>
  </si>
  <si>
    <t>PORTA AGULHA HEANEY CURVO 265MM</t>
  </si>
  <si>
    <t>QW.205.26</t>
  </si>
  <si>
    <t>VALVULA BREISKY 100X30X300MM</t>
  </si>
  <si>
    <t>QS.410.35</t>
  </si>
  <si>
    <t>VALVULA BREISKY 130X30X320MM</t>
  </si>
  <si>
    <t>QS.413.35</t>
  </si>
  <si>
    <t>VALVULA BREISKY 130X35X320MM</t>
  </si>
  <si>
    <t>PINCA BACKHAUS BOLA 130MM</t>
  </si>
  <si>
    <t>QF.925.15</t>
  </si>
  <si>
    <t>ESPECULO VAGINAL GD</t>
  </si>
  <si>
    <t>QS.630.40</t>
  </si>
  <si>
    <t>ESPECULO VAGINAL MED</t>
  </si>
  <si>
    <t>QS.630.35</t>
  </si>
  <si>
    <t>ESPECULO VAGINAL PEQ</t>
  </si>
  <si>
    <t>QS.630.28</t>
  </si>
  <si>
    <t>PINCA FOERSTER RETA ESTRIADA 240MM</t>
  </si>
  <si>
    <t>QF.352.22</t>
  </si>
  <si>
    <t>CURETA SIMS N?00</t>
  </si>
  <si>
    <t>ER2019</t>
  </si>
  <si>
    <t>PINCA MUSEUX RETA 240MM</t>
  </si>
  <si>
    <t>QS.702.24</t>
  </si>
  <si>
    <t>PINCA POZZI 250MM</t>
  </si>
  <si>
    <t>PINCA RANDALL SEMI CURVA 230MM</t>
  </si>
  <si>
    <t>QR.101.02</t>
  </si>
  <si>
    <t>PINCA WINTER CURVA 280MM</t>
  </si>
  <si>
    <t>QS.345.03</t>
  </si>
  <si>
    <t>PINCA WINTER RETA 280MM</t>
  </si>
  <si>
    <t>QS.344.03</t>
  </si>
  <si>
    <t>PINCA PROFESSOR MEDINA ( BIOPSIA ) 3 X 240MM</t>
  </si>
  <si>
    <t>QS.852.03</t>
  </si>
  <si>
    <t>CAIXA DE ESTILETES</t>
  </si>
  <si>
    <t>ET-0001</t>
  </si>
  <si>
    <t xml:space="preserve">CURETA BAIONETA DUPLA 160MM </t>
  </si>
  <si>
    <t>ESTILETE 90G 1.0 X 160MM COD</t>
  </si>
  <si>
    <t xml:space="preserve">ESTILETE AGULHA CURVA 160MM </t>
  </si>
  <si>
    <t>ESTILETE AGULHA RETA 160MM</t>
  </si>
  <si>
    <t>ESTILETE BAIONETA 4.5 X 160MM</t>
  </si>
  <si>
    <t>ESTILETE BAIONETA 5.0 X 160MM</t>
  </si>
  <si>
    <t>ESTILETE DESCOLADOR CURVO 160MM</t>
  </si>
  <si>
    <t>ESTILETE ESCAVADOR DIREITO 160MM</t>
  </si>
  <si>
    <t>ESTILETE ESCAVADOR ESQUERDO 160MM</t>
  </si>
  <si>
    <t>ESTILETE FOICE 4.5 X 160MM</t>
  </si>
  <si>
    <t>ESTILETE LANCA CURVA 160MM</t>
  </si>
  <si>
    <t>ESTILETE MICRO 90G PT DENTRO 1.0 X 160MM</t>
  </si>
  <si>
    <t>ESTILETE MICRO 90G PT FORA 1.0 X 160MM</t>
  </si>
  <si>
    <t>ESTILETE MICRO GANCHO 90G 3.0 X 160MM</t>
  </si>
  <si>
    <t>ESTILETE PERFURADOR 0.5 X 160MM</t>
  </si>
  <si>
    <t>ESTILETE REDONDO 2.5 X 160MM</t>
  </si>
  <si>
    <t>ESTILETE REDONDO 45G 2.5 X 160MM</t>
  </si>
  <si>
    <t>ESTILETE REDONDO VERTICAL 3.0 X 160MM</t>
  </si>
  <si>
    <t>ESTILETE WAGENER N2 45G X 160MM</t>
  </si>
  <si>
    <t xml:space="preserve">AFASTADOR FARABEUF </t>
  </si>
  <si>
    <t>AFASTADOR FONSON FACTORY</t>
  </si>
  <si>
    <t>QG.169.02</t>
  </si>
  <si>
    <t>ASPIRADOR FRAZIER 2,5MM</t>
  </si>
  <si>
    <t>QN.765.20</t>
  </si>
  <si>
    <t>AUTOSTATICO GELPI</t>
  </si>
  <si>
    <t>QZ.030.16</t>
  </si>
  <si>
    <t>AUTOSTÁTICO JANSEN ROMBO</t>
  </si>
  <si>
    <t>QG.723.10</t>
  </si>
  <si>
    <t>CLAMP BULLDOG DIETHRICH CURVO 8MM</t>
  </si>
  <si>
    <t>QZ.317.08</t>
  </si>
  <si>
    <t>CLAMP BULLDOG DIETHRICH RETO  8MM</t>
  </si>
  <si>
    <t>FB420R</t>
  </si>
  <si>
    <t>DILATADOR GARRET  2.0</t>
  </si>
  <si>
    <t>QZ.210.04</t>
  </si>
  <si>
    <t xml:space="preserve">DILATADOR GARRET </t>
  </si>
  <si>
    <t>QZ.210.02</t>
  </si>
  <si>
    <t>GANCHO ROLLET AGUDO</t>
  </si>
  <si>
    <t>QG.168.01</t>
  </si>
  <si>
    <t>PINÇA ADSON COM DENTE</t>
  </si>
  <si>
    <t>QC.368.12</t>
  </si>
  <si>
    <t>PINÇA ADSON SEM DENTE</t>
  </si>
  <si>
    <t xml:space="preserve">PINÇA BABY MIXTER </t>
  </si>
  <si>
    <t xml:space="preserve">PINÇA BACKHAUS </t>
  </si>
  <si>
    <t>QF.915.13</t>
  </si>
  <si>
    <t xml:space="preserve">PINÇA CUSHING CLASSIC COM WIDEA </t>
  </si>
  <si>
    <t>QW.120.18</t>
  </si>
  <si>
    <t xml:space="preserve">PINÇA DEBAKEY DIETRICH </t>
  </si>
  <si>
    <t>QZ.110.16</t>
  </si>
  <si>
    <t>PINÇA DEBAKEY DIETRICH 20CM</t>
  </si>
  <si>
    <t>QZ.110.20</t>
  </si>
  <si>
    <t xml:space="preserve">PINÇA FOERSTER RETA </t>
  </si>
  <si>
    <t>QF.352.19</t>
  </si>
  <si>
    <t xml:space="preserve">PINÇA KELLY CURVA </t>
  </si>
  <si>
    <t>PINÇA MOSQUITO CURVA</t>
  </si>
  <si>
    <t>BH111R</t>
  </si>
  <si>
    <t>PINÇA MOSQUITO RETA</t>
  </si>
  <si>
    <t>BH110R</t>
  </si>
  <si>
    <t>PINÇA POTTS SMITH  COM WIDEA</t>
  </si>
  <si>
    <t>QW.120.22</t>
  </si>
  <si>
    <t>PINÇA POTTS SMITH  COM WIDIA</t>
  </si>
  <si>
    <t xml:space="preserve">PORTA AGULHA CASTROVIEJO </t>
  </si>
  <si>
    <t>QW.310.21</t>
  </si>
  <si>
    <t>PORTA AGULHA MAYO HEGAR 17CM</t>
  </si>
  <si>
    <t>PORTA AGULHA MAYO HEGAR 20CM</t>
  </si>
  <si>
    <t>PORTA AGULHA RYDER 18CM</t>
  </si>
  <si>
    <t>QW.724.18</t>
  </si>
  <si>
    <t>TESOURA DE METZEMBAUM DELICADA 14CM</t>
  </si>
  <si>
    <t>QT.331.15</t>
  </si>
  <si>
    <t xml:space="preserve">TESOURA DIETHRICH 45° </t>
  </si>
  <si>
    <t>QZ.835.45</t>
  </si>
  <si>
    <t xml:space="preserve">TESOURA MAYO CURVA </t>
  </si>
  <si>
    <t>QT.181.14</t>
  </si>
  <si>
    <t>TESOURA METZEMBAUM CURVA 15CM</t>
  </si>
  <si>
    <t>QT.285.15</t>
  </si>
  <si>
    <t>TESOURA METZEMBAUM RETA  15CM</t>
  </si>
  <si>
    <t>QT.280.15</t>
  </si>
  <si>
    <t xml:space="preserve">TESOURA POTTS </t>
  </si>
  <si>
    <t>QZ.821.60</t>
  </si>
  <si>
    <t>BC648R</t>
  </si>
  <si>
    <t>PINÇA ANATÔMICA  16CM</t>
  </si>
  <si>
    <t>PINÇA ADSON SEM DENTE 12CM</t>
  </si>
  <si>
    <t>PINÇA DENTE DE RATO  16CM</t>
  </si>
  <si>
    <t>PINÇA ADSON COM DENTE  12CM</t>
  </si>
  <si>
    <t xml:space="preserve">PINÇA CHERON </t>
  </si>
  <si>
    <t xml:space="preserve">PINÇA HALSTED MOSQUITO RETA </t>
  </si>
  <si>
    <t xml:space="preserve">PINÇA MOSQUITO CURVA </t>
  </si>
  <si>
    <t>PINÇA MOSQUITO CURVA MICRO</t>
  </si>
  <si>
    <t>QF.321.12</t>
  </si>
  <si>
    <t xml:space="preserve">PINÇA CRILE RETA </t>
  </si>
  <si>
    <t>QF.340.16</t>
  </si>
  <si>
    <t xml:space="preserve">PINÇA CRILE CURVA </t>
  </si>
  <si>
    <t>QF.341.16</t>
  </si>
  <si>
    <t>PINÇA MIXTER  19CM</t>
  </si>
  <si>
    <t>AFASTADOR FARABEUF  10X120MM</t>
  </si>
  <si>
    <t>AFASTADOR FARABEUF</t>
  </si>
  <si>
    <t>PORTA AGULHA CRILLE WOOD 15CM</t>
  </si>
  <si>
    <t>QW.70015</t>
  </si>
  <si>
    <t xml:space="preserve">TESOURA MAYO RETA </t>
  </si>
  <si>
    <t>QT.180.14</t>
  </si>
  <si>
    <t>TESOURA METZEMBAUM CURVA  18CM</t>
  </si>
  <si>
    <t>QT.285.18</t>
  </si>
  <si>
    <t>TESOURA METZEMBAUM CURVA  15CM</t>
  </si>
  <si>
    <t>TESOURA ÍRIS RETA</t>
  </si>
  <si>
    <t>QT.822.11</t>
  </si>
  <si>
    <t>TESOURA ÍRIS CURVA</t>
  </si>
  <si>
    <t>QT.823.11</t>
  </si>
  <si>
    <t xml:space="preserve">AFASTADOR AUTOSTÁTICO WEITLANER AGUDO </t>
  </si>
  <si>
    <t>Quantidade de item por cx</t>
  </si>
  <si>
    <t>AFASTADOR FARABEUF 10X120MM</t>
  </si>
  <si>
    <t>AFASTADOR FARABEUF  13X150MM</t>
  </si>
  <si>
    <t xml:space="preserve">AFASTADOR RICHARDSON </t>
  </si>
  <si>
    <t>PINCA  MOSQUITO CURVA</t>
  </si>
  <si>
    <t xml:space="preserve">PINCA  MOSQUITO RETA </t>
  </si>
  <si>
    <t xml:space="preserve">PINCA ALLIS </t>
  </si>
  <si>
    <t>PINCA ANATOMICA 16CM</t>
  </si>
  <si>
    <t>PINCA ANATOMICA  18CM</t>
  </si>
  <si>
    <t>QC.100.18</t>
  </si>
  <si>
    <t xml:space="preserve">PINCA DEBAKEY TIPO ANATOMICA </t>
  </si>
  <si>
    <t>QZ.098.20</t>
  </si>
  <si>
    <t>PINCA DENTE DE RATO 16CM</t>
  </si>
  <si>
    <t>PINCA DENTE DE RATO 18CM</t>
  </si>
  <si>
    <t>QC.301.18</t>
  </si>
  <si>
    <t>QF.415.18</t>
  </si>
  <si>
    <t xml:space="preserve">PINÇA KOCHER OCHSNER RETA </t>
  </si>
  <si>
    <t xml:space="preserve">PINCA KOCHER RETA </t>
  </si>
  <si>
    <t xml:space="preserve">PINCA MIXTER </t>
  </si>
  <si>
    <t xml:space="preserve">PINCA ROCHESTER CARMALT RETA </t>
  </si>
  <si>
    <t>QF.370.20</t>
  </si>
  <si>
    <t>PORTA AGULHA MAYO HEGAR 18CM</t>
  </si>
  <si>
    <t>TESOURA MAYO RETA 17CM</t>
  </si>
  <si>
    <t>TESOURA METZEMBAUM CURVA 20CM</t>
  </si>
  <si>
    <t>TESOURA METZEMBAUM CURVA 18CM</t>
  </si>
  <si>
    <t xml:space="preserve">AFASTADOR FARABEUF 10X120MM </t>
  </si>
  <si>
    <t>BT020R</t>
  </si>
  <si>
    <t>CESTO P ALTO/ CESTO</t>
  </si>
  <si>
    <t>JF113R</t>
  </si>
  <si>
    <t>CONTAINER</t>
  </si>
  <si>
    <t>JK341</t>
  </si>
  <si>
    <t>TAMPA</t>
  </si>
  <si>
    <t>JK389</t>
  </si>
  <si>
    <t>BD700R</t>
  </si>
  <si>
    <t>PINCA ADSON COM DENTE 120MM</t>
  </si>
  <si>
    <t>PINCA ADSON SEM DENTE 120MM</t>
  </si>
  <si>
    <t>PINCA ALLIS RETA 160MM</t>
  </si>
  <si>
    <t>PINCA ANATOMICA 180MM</t>
  </si>
  <si>
    <t xml:space="preserve">PINCA BACKHAUS CORTANTE 130MM </t>
  </si>
  <si>
    <t>PINCA MOSQUITO CURVA 120MM</t>
  </si>
  <si>
    <t>PINCA MOSQUITO RETA 120MM</t>
  </si>
  <si>
    <t>PINCA PEAN 160MM</t>
  </si>
  <si>
    <t>QF.176.16</t>
  </si>
  <si>
    <t>PINCA ROCHESTER PEAN RETA 190MM</t>
  </si>
  <si>
    <t>QF.410.20</t>
  </si>
  <si>
    <t>PORTA AGULHA CRILLE WOOD 160MM</t>
  </si>
  <si>
    <t>BM016R</t>
  </si>
  <si>
    <t>TESOURA IRIS CURVA 120MM</t>
  </si>
  <si>
    <t>TESOURA IRIS RETA 120MM</t>
  </si>
  <si>
    <t>TESOURA MAYO CURVA 140MM</t>
  </si>
  <si>
    <t>TESOURA MAYO RETA 160MM</t>
  </si>
  <si>
    <t>TESOURA METZEMBAUM CURVA 150MM</t>
  </si>
  <si>
    <t>CURETA BRUNS N°0</t>
  </si>
  <si>
    <t>QO.294.03</t>
  </si>
  <si>
    <t>CURETA BRUNS N°2</t>
  </si>
  <si>
    <t>QO.294.05</t>
  </si>
  <si>
    <t>ESPÉCULO DE PITANGA</t>
  </si>
  <si>
    <t>QK.665.13</t>
  </si>
  <si>
    <t>ESPÉCULO SIMS</t>
  </si>
  <si>
    <t>QK.613.15</t>
  </si>
  <si>
    <t>ESTILETE HEMORROIDA  90°/ 130º / 60º (JOGOS)</t>
  </si>
  <si>
    <t xml:space="preserve">PINÇA ADSON COM DENTE </t>
  </si>
  <si>
    <t xml:space="preserve">PINÇA ADSON SEM DENTE </t>
  </si>
  <si>
    <t xml:space="preserve">PINÇA ALLIS </t>
  </si>
  <si>
    <t>PINÇA ANATÔMICA  25CM</t>
  </si>
  <si>
    <t>PINÇA COLLIN</t>
  </si>
  <si>
    <t>QF.270.19</t>
  </si>
  <si>
    <t>PINÇA CUSHING  COM DENTE 20CM (WAUGH)</t>
  </si>
  <si>
    <t>BD671R</t>
  </si>
  <si>
    <t>PINÇA CUSHING SEM DENTE 20CM</t>
  </si>
  <si>
    <t>BD239R</t>
  </si>
  <si>
    <t xml:space="preserve">PINÇA DENTE DE RATO </t>
  </si>
  <si>
    <t>BD559R</t>
  </si>
  <si>
    <t>PINÇA DENTE DE RATO  25CM</t>
  </si>
  <si>
    <t>PINÇA DENTE DE RATO  30CM</t>
  </si>
  <si>
    <t>PINÇA FOERSTER RETA ESTRIADA</t>
  </si>
  <si>
    <t>PINÇA KELLY CURVA</t>
  </si>
  <si>
    <t>BH135R</t>
  </si>
  <si>
    <t xml:space="preserve">PINÇA KELLY RETA </t>
  </si>
  <si>
    <t xml:space="preserve">PINÇA KOCKER RETA </t>
  </si>
  <si>
    <t xml:space="preserve">PINÇA ROCHESTER CARMALT RETA </t>
  </si>
  <si>
    <t>PORTA AGULHA MAYO HEGAR 25CM</t>
  </si>
  <si>
    <t>PORTA AGULHA MAYO HEGAR  17CM</t>
  </si>
  <si>
    <t>BM065R</t>
  </si>
  <si>
    <t>PORTA AGULHA MAYO HEGAR  14CM</t>
  </si>
  <si>
    <t>TESOURA MAYO RETA</t>
  </si>
  <si>
    <t>TESOURA METZEMBAUM CURVA 23CM</t>
  </si>
  <si>
    <t>ELEMENTO DE TRABALHO MONOPOLAR</t>
  </si>
  <si>
    <t>27050E</t>
  </si>
  <si>
    <t>FIO ELENTO DE TRABALHO MONOPOLAR</t>
  </si>
  <si>
    <t>RESSECTOSCÓPIO UNHA CURTA 24 FR</t>
  </si>
  <si>
    <t>27040BO</t>
  </si>
  <si>
    <t>OBTURADOR CURTO 24FR</t>
  </si>
  <si>
    <t>27040OC</t>
  </si>
  <si>
    <t>RESSECTOSCÓPIO UNHA LONGA 24FR</t>
  </si>
  <si>
    <t>27040BK</t>
  </si>
  <si>
    <t>OBTURADOR LONGO 24 FR</t>
  </si>
  <si>
    <t>27040OD</t>
  </si>
  <si>
    <t>CAMISA DE RESSECCAO 26FR</t>
  </si>
  <si>
    <t>26050SL</t>
  </si>
  <si>
    <t>CAMISA INTERNA RESSECTOSCOPICO 26FR</t>
  </si>
  <si>
    <t>26050XA</t>
  </si>
  <si>
    <t>OBTURADOR CURTO 26FR</t>
  </si>
  <si>
    <t>RESSECTOSCÓPIO UNHA CURTA 27FR</t>
  </si>
  <si>
    <t>27040AO</t>
  </si>
  <si>
    <t>OBTURADOR CURTO 27FR</t>
  </si>
  <si>
    <t>27040OA</t>
  </si>
  <si>
    <t>OBTURADOR DEFLECTIVO CURTO 24FR</t>
  </si>
  <si>
    <t>27048CK</t>
  </si>
  <si>
    <t>CESTO INOX</t>
  </si>
  <si>
    <t>CAMISA DIAGNOSTICA 5.1MM</t>
  </si>
  <si>
    <t>26163V</t>
  </si>
  <si>
    <t>CAMISA EXTERNA BETTOCCHI 6MM</t>
  </si>
  <si>
    <t>26154BO</t>
  </si>
  <si>
    <t>CAMISA INTERIOR BETTOCCHI 5.4MM</t>
  </si>
  <si>
    <t>26154BI</t>
  </si>
  <si>
    <t>ELEMENTO DE TRABALHO</t>
  </si>
  <si>
    <t>26050E</t>
  </si>
  <si>
    <t>FIO MONOPOLAR PARA ELEMENTO DE TRABALHO</t>
  </si>
  <si>
    <t>OBTURADOR 24/26FR</t>
  </si>
  <si>
    <t>26040OC</t>
  </si>
  <si>
    <t xml:space="preserve">BAINHA DE EXAME 2,7MM </t>
  </si>
  <si>
    <t>26161VS</t>
  </si>
  <si>
    <t>CAMISA EXTERNA BETTOCCHI 2.7MM</t>
  </si>
  <si>
    <t>26153BO</t>
  </si>
  <si>
    <t>CAMISA INTERIOR BETTOCCHI 2,7MM</t>
  </si>
  <si>
    <t>26153BI</t>
  </si>
  <si>
    <t>OTICA 30 X 2.7MM</t>
  </si>
  <si>
    <t>26120BA</t>
  </si>
  <si>
    <t>MICRO PINÇA PARA SUTURA CURVA</t>
  </si>
  <si>
    <t>BD337R</t>
  </si>
  <si>
    <t>MICRO PINÇA RELOJEIRO RETA</t>
  </si>
  <si>
    <t>BD331R</t>
  </si>
  <si>
    <t xml:space="preserve">MICRO PORTA AGULHA RETO REILL </t>
  </si>
  <si>
    <t>FD240R</t>
  </si>
  <si>
    <t>MICRO TESOURA CURVA</t>
  </si>
  <si>
    <t>FD013R</t>
  </si>
  <si>
    <t>PINÇA GRASPING  APREENÇÃO 34CM</t>
  </si>
  <si>
    <t>26159UHW</t>
  </si>
  <si>
    <t>TESOURA ENDOSCOPICA  34CM</t>
  </si>
  <si>
    <t>26159EHW</t>
  </si>
  <si>
    <t>PINÇA BIOPSIA 34CM</t>
  </si>
  <si>
    <t>26159BHW</t>
  </si>
  <si>
    <t>ALTA ROTAÇÃO EXTRATORQUE</t>
  </si>
  <si>
    <t>RV0052</t>
  </si>
  <si>
    <t>PREMIUM DENTALIS</t>
  </si>
  <si>
    <t>CONTRA ÂNGULO</t>
  </si>
  <si>
    <t>MICROMOTOR</t>
  </si>
  <si>
    <t>PEÇA RETA</t>
  </si>
  <si>
    <t>PONTEIRA TRIPLICE (2 PEÇAS)</t>
  </si>
  <si>
    <t>SACA BROCA CONTRA ÂNGULO</t>
  </si>
  <si>
    <t>PINCA HARTMANN(JACARE) 80MM</t>
  </si>
  <si>
    <t>ASPIRADOR DE OUVIDO 0,8MM</t>
  </si>
  <si>
    <t>ASPIRADOR DE OUVIDO 1,0MM</t>
  </si>
  <si>
    <t>ASPIRADOR DE OUVIDO 1,5MM</t>
  </si>
  <si>
    <t>ASPIRADOR DE OUVIDO 2,0MM</t>
  </si>
  <si>
    <t>CONECTOR ASPIRADOR DE OUVIDO</t>
  </si>
  <si>
    <t>ESTILETE HOUSE BAIONETA 4,5 X 160MM</t>
  </si>
  <si>
    <t>FACA DE PARACENTESE BAIONETADA</t>
  </si>
  <si>
    <t>VARETA PORTA ALGODAO 130MM</t>
  </si>
  <si>
    <t>CURETA DE CERUME N1</t>
  </si>
  <si>
    <t xml:space="preserve">BISTURI OTOLOGICO HARTMANN CURVO </t>
  </si>
  <si>
    <t>ESPECULO OTOLOGICO HARTMANN N3</t>
  </si>
  <si>
    <t>ESPECULO OTOLOGICO HARTMANN N4</t>
  </si>
  <si>
    <t>ESPECULO OTOLOGICO HARTMANN N5</t>
  </si>
  <si>
    <t>AFASTADOR FARABEUF 13X150MM</t>
  </si>
  <si>
    <t>AFASTADOR FARABEUF 8X120MM</t>
  </si>
  <si>
    <t>GANCHO GILLIES</t>
  </si>
  <si>
    <t>OL611R</t>
  </si>
  <si>
    <t>GANCHO GUTHRIE</t>
  </si>
  <si>
    <t>OA335R</t>
  </si>
  <si>
    <t>PINCA ADSON COM DENTE 150MM</t>
  </si>
  <si>
    <t>BD521R</t>
  </si>
  <si>
    <t xml:space="preserve">PINCA ALLIS RETA 160MM </t>
  </si>
  <si>
    <t>BD047R</t>
  </si>
  <si>
    <t xml:space="preserve">PINCA CHERON 250MM </t>
  </si>
  <si>
    <t>PINCA KELLY CURVA 140MM</t>
  </si>
  <si>
    <t xml:space="preserve">PINCA KOCHER RETA 180MM </t>
  </si>
  <si>
    <t xml:space="preserve">PINCA MOSQUITO RETA 120MM </t>
  </si>
  <si>
    <t xml:space="preserve">PINCA SCHNIDT 180MM </t>
  </si>
  <si>
    <t>PORTA AGULHA MAYO HEGAR COM WIDIA 150MM</t>
  </si>
  <si>
    <t>PORTA AGULHA MAYO HEGAR COM WIDIA 180MM</t>
  </si>
  <si>
    <t>BM066R</t>
  </si>
  <si>
    <t>PORTA AGULHA CRILE WOOD COM WIDIA 150MM</t>
  </si>
  <si>
    <t>PORTA AGULHA CRILE WOOD COM WIDIA 180MM</t>
  </si>
  <si>
    <t>20-638-20-07</t>
  </si>
  <si>
    <t>PORTA AGULHA CRILE WOOD COM WIDIA 200MM</t>
  </si>
  <si>
    <t>TESOURA IRIS CURVA 120MM DUROTIP</t>
  </si>
  <si>
    <t>BC573R</t>
  </si>
  <si>
    <t xml:space="preserve">TESOURA MAYO RETA 140MM </t>
  </si>
  <si>
    <t>BC570R</t>
  </si>
  <si>
    <t xml:space="preserve">TESOURA METZEMBAUM CURVA 140MM </t>
  </si>
  <si>
    <t>11-939-14-07</t>
  </si>
  <si>
    <t>11-943-18-07</t>
  </si>
  <si>
    <t>11-943-20-07</t>
  </si>
  <si>
    <t>ABAIXADOR DE LINGUA 180MM</t>
  </si>
  <si>
    <t>OM205R</t>
  </si>
  <si>
    <t>AFASTADOR ABA NASAL 200MM</t>
  </si>
  <si>
    <t>OL214R</t>
  </si>
  <si>
    <t>AFASTADOR MALIANIC 50 X 700MM</t>
  </si>
  <si>
    <t>AMASSADOR DE CARTILAGEM</t>
  </si>
  <si>
    <t>ASPIRADOR FRAZIER 3.0X 185MM</t>
  </si>
  <si>
    <t>ASPIRADOR FRAZIER 3.5X 185MM</t>
  </si>
  <si>
    <t>CABO DE BISTURI N.3 125MM</t>
  </si>
  <si>
    <t>BB073R</t>
  </si>
  <si>
    <t xml:space="preserve">MNH MERCEARIA </t>
  </si>
  <si>
    <t>COMPASSO DE CASTROVIEJO 80MM</t>
  </si>
  <si>
    <t>OB792R</t>
  </si>
  <si>
    <t>DESCOLADOR DE COTLE 200MM</t>
  </si>
  <si>
    <t>DESCOLADOR DE JOSEPH CURVO 180MM</t>
  </si>
  <si>
    <t>ESPECULO NASAL 13 X 150MM  HARTMANN</t>
  </si>
  <si>
    <t>OK041R</t>
  </si>
  <si>
    <t>ESPECULO NASAL 35 X 150MM  HARTMANN</t>
  </si>
  <si>
    <t>OK043R</t>
  </si>
  <si>
    <t>FORMAO GUIA PARA DIREITA 5X180MM</t>
  </si>
  <si>
    <t>OL322R</t>
  </si>
  <si>
    <t>FORMAO GUIA PARA ESQUERDA 5X180MM</t>
  </si>
  <si>
    <t>OL321R</t>
  </si>
  <si>
    <t>FORMÃO LAMBOTTE 4X170MM</t>
  </si>
  <si>
    <t>QO.371.04</t>
  </si>
  <si>
    <t>FORMÃO LAMBOTTE 8X170MM</t>
  </si>
  <si>
    <t>QO.371.08</t>
  </si>
  <si>
    <t>FORMÃO LAMBOTTE 10X170MM</t>
  </si>
  <si>
    <t>QO.371.10</t>
  </si>
  <si>
    <t>GANCHO GILLIES 180MM</t>
  </si>
  <si>
    <t>GANCHO JOSEPH DUPLO AGUDO 160MM</t>
  </si>
  <si>
    <t>OL622R</t>
  </si>
  <si>
    <t>MARTELO PEQUENO 250GR</t>
  </si>
  <si>
    <t>DF114R</t>
  </si>
  <si>
    <t>BD878R</t>
  </si>
  <si>
    <t>PINCA TAKAHASHI RETA 190MM</t>
  </si>
  <si>
    <t>OK525R</t>
  </si>
  <si>
    <t>RASPA CURVA 190MM</t>
  </si>
  <si>
    <t>DO772R</t>
  </si>
  <si>
    <t xml:space="preserve">RASPA DUPLA </t>
  </si>
  <si>
    <t>OL423</t>
  </si>
  <si>
    <t>RASPA RETA</t>
  </si>
  <si>
    <t>OL408</t>
  </si>
  <si>
    <t>AFASTADOR CONVERSE</t>
  </si>
  <si>
    <t>OL207R</t>
  </si>
  <si>
    <t>TESOURA CONVERSE 120MM</t>
  </si>
  <si>
    <t>TESOURA COTTLE ANGULADA 170MM</t>
  </si>
  <si>
    <t>OK371R</t>
  </si>
  <si>
    <t>TESOURA HEYMAN 170MM</t>
  </si>
  <si>
    <t>OK350R</t>
  </si>
  <si>
    <t>PINCA KELLY RETA 140MM</t>
  </si>
  <si>
    <t>BH144R</t>
  </si>
  <si>
    <t>OL165R</t>
  </si>
  <si>
    <t>ASPIRADOR DE SEIO MAXILAR 3 X 125MM</t>
  </si>
  <si>
    <t>ASPIRADOR DE SEIO MAXILAR 4 X 125MM</t>
  </si>
  <si>
    <t>PORTA AGULHA CRILLE WOOD 150MM</t>
  </si>
  <si>
    <t>ASPIRADOR FRAZIER 3,0MM</t>
  </si>
  <si>
    <t>ASPIRADOR FRAZIER 3,5MM</t>
  </si>
  <si>
    <t>PROBE DUPLO SEEKER 190MM</t>
  </si>
  <si>
    <t xml:space="preserve">MARTELO </t>
  </si>
  <si>
    <t>CURETA PARA SEIO FRONTAL 55 °  190MM</t>
  </si>
  <si>
    <t>CURETA PARA SEIO FRONTAL 90°  190MM</t>
  </si>
  <si>
    <t>TESOURA DE MAYO RETA 170MM</t>
  </si>
  <si>
    <t>BC572R</t>
  </si>
  <si>
    <t>TESOURA METZEMBAUM CURVA 140MM</t>
  </si>
  <si>
    <t>TESOURA HEYMANN DELICADA 90MM</t>
  </si>
  <si>
    <t>TESOURA HEYMANN PARA SEPTO 95MM</t>
  </si>
  <si>
    <t>OK351R</t>
  </si>
  <si>
    <t>ESPECULO NASAL HARTMANN PEQUENO 3.5 X 130MM</t>
  </si>
  <si>
    <t>TESOURA CONVERSE 110MM</t>
  </si>
  <si>
    <t>ESPECULO NASAL HARTMANN GRANDE 7.5 X 130MM</t>
  </si>
  <si>
    <t>ESPECULO NASAL HARTMANN MEDIO 5.5 X 130MM</t>
  </si>
  <si>
    <t>ESPECULO NASAL HARTMANN PEQUENO 2.5 X 130MM</t>
  </si>
  <si>
    <t>PINCA BRUENINGS 110MM</t>
  </si>
  <si>
    <t>PINCA HARTMANN 110MM (JACARE)</t>
  </si>
  <si>
    <t>PINCA HARTMANN 11CM</t>
  </si>
  <si>
    <t>PINCA TAKAHASHI RETA 95MM</t>
  </si>
  <si>
    <t>PINCA TAKAHASHI 125° (ANGULADA)</t>
  </si>
  <si>
    <t>OK526R</t>
  </si>
  <si>
    <t>PINCA GIRAFA ABERTA HORIZONTAL 3 X 130MM</t>
  </si>
  <si>
    <t>PINCA GIRAFA ABERTA VERTICAL 3 X 130MM</t>
  </si>
  <si>
    <t>PINCA SEIO MAXILAR 115 X 100MM</t>
  </si>
  <si>
    <t>PINCA BLASKELEY FENESTRADA 45G N 2 X 110MM</t>
  </si>
  <si>
    <t>456502B</t>
  </si>
  <si>
    <t>PINCA BLASKELEY FENESTRADA RETA N 1 X 110MM</t>
  </si>
  <si>
    <t>456001B</t>
  </si>
  <si>
    <t>PINCA BLASKELEY FENESTRADA RETA N 3 X 110MM</t>
  </si>
  <si>
    <t>456003B</t>
  </si>
  <si>
    <t>PINCA GRUNWALD HENKE RETA N 2 X 110MM</t>
  </si>
  <si>
    <t>451002B</t>
  </si>
  <si>
    <t>PINCA MACKAY GRUNWALD 45G N 2 X 130MM</t>
  </si>
  <si>
    <t>452502B</t>
  </si>
  <si>
    <t>PINCA MACKAY GRUNWALD RETA N 1 X 130MM</t>
  </si>
  <si>
    <t>452001B</t>
  </si>
  <si>
    <t>PINCA PUNCH STAMMBERGER RETA (COGUMELO) 3.5 X 180MM</t>
  </si>
  <si>
    <t>PINCA GRUNWALD HENKE 45G N 0 X 110MM</t>
  </si>
  <si>
    <t>451500B</t>
  </si>
  <si>
    <t>PINCA GRUNWALD HENKE 45G N 1 X 110MM</t>
  </si>
  <si>
    <t>451501B</t>
  </si>
  <si>
    <t>PINCA PUNCH STAMMBERGER CURVA (COGUMELO) 3.5 X 170MM</t>
  </si>
  <si>
    <t>PINCA BACKBITTER DELICADA 100MM</t>
  </si>
  <si>
    <t>PINCA BACKBITTER ROTATORIA 100MM</t>
  </si>
  <si>
    <t>OSTEOTOMO DE COTTLE 4 X 185MM</t>
  </si>
  <si>
    <t>OSTEOTOMO DE COTTLE 7 X 185MM</t>
  </si>
  <si>
    <t>TESOURA SAME CURVA PARA RETA 130MM</t>
  </si>
  <si>
    <t>PINÇA KERRISON Nº1 180MM 45°</t>
  </si>
  <si>
    <t>24-978-01-07</t>
  </si>
  <si>
    <t>PINÇA KERRISON Nº2 180MM 45°</t>
  </si>
  <si>
    <t>24-978-09-07</t>
  </si>
  <si>
    <t>PINÇA KERRISON Nº3 180MM 45°</t>
  </si>
  <si>
    <t>24-978-17-07</t>
  </si>
  <si>
    <t>CESTO ALTO</t>
  </si>
  <si>
    <t>CAMISA 10MM</t>
  </si>
  <si>
    <t>30103H2</t>
  </si>
  <si>
    <t>CAMISA STORZ 5MM</t>
  </si>
  <si>
    <t>30160H2</t>
  </si>
  <si>
    <t xml:space="preserve">PROBE CALIBRADO 5 X 360MM </t>
  </si>
  <si>
    <t>26175T</t>
  </si>
  <si>
    <t>GANCHO PARA DISSECCAO 5 X 360MM</t>
  </si>
  <si>
    <t>26775UF</t>
  </si>
  <si>
    <t xml:space="preserve">VALVULA(ADAPTADOR) 10MM </t>
  </si>
  <si>
    <t>30103M1</t>
  </si>
  <si>
    <t xml:space="preserve">TROCATER(PREGO) 10MM </t>
  </si>
  <si>
    <t>30103P</t>
  </si>
  <si>
    <t xml:space="preserve">CÂNULA DE IRRIGAÇÃO / SUCÇÃO </t>
  </si>
  <si>
    <t>26173BN</t>
  </si>
  <si>
    <t>REDUTOR TROCATER 11MM</t>
  </si>
  <si>
    <t>30140DB</t>
  </si>
  <si>
    <t xml:space="preserve">VALVULA(ADAPTADOR) 5MM </t>
  </si>
  <si>
    <t>30160M1</t>
  </si>
  <si>
    <t>TROCATER(PREGO) 5MM</t>
  </si>
  <si>
    <t>30160P</t>
  </si>
  <si>
    <t xml:space="preserve">FIO MONOPOLAR </t>
  </si>
  <si>
    <t>26002M</t>
  </si>
  <si>
    <t>PINCA BABYCOOK 10 X 360MM</t>
  </si>
  <si>
    <t>33310BA</t>
  </si>
  <si>
    <t xml:space="preserve">PINCA ENDOCLICH 5 X 360MM </t>
  </si>
  <si>
    <t>33310AF</t>
  </si>
  <si>
    <t>PINCA GRASPING COM DENTE E CREMALHEIRA 5 X 360MM</t>
  </si>
  <si>
    <t>33310MG</t>
  </si>
  <si>
    <t xml:space="preserve">PINCA GRASPING FENESTRADA 5 X 360MM </t>
  </si>
  <si>
    <t>33310C</t>
  </si>
  <si>
    <t xml:space="preserve">PINCA KELLY CURVA 5 X 360MM </t>
  </si>
  <si>
    <t>33310ML</t>
  </si>
  <si>
    <t xml:space="preserve">PINCA MARYLAND 5MM/ 36CM </t>
  </si>
  <si>
    <t>33310MD</t>
  </si>
  <si>
    <t>PINÇA MIXTER 90°</t>
  </si>
  <si>
    <t>33310R</t>
  </si>
  <si>
    <t xml:space="preserve">PINCA REDDICK-OLSEN 5 X 360MM </t>
  </si>
  <si>
    <t>33310UL</t>
  </si>
  <si>
    <t xml:space="preserve">PINCA REDDICK-OLSEN DELICADA 5 X 360MM </t>
  </si>
  <si>
    <t>33310KJ</t>
  </si>
  <si>
    <t>EMPUNHADURA COM CREMALHEIRA METALICA</t>
  </si>
  <si>
    <t>EMPUNHADURA COM CREMALHEIRA</t>
  </si>
  <si>
    <t>EMPUNHADURA SEM CREMALHEIRA</t>
  </si>
  <si>
    <t>TUBO METÁLICO ISOLADO 10MM 36CM</t>
  </si>
  <si>
    <t>TUBO METÁLICO ISOLADO 5MM 36CM</t>
  </si>
  <si>
    <t xml:space="preserve">TESOURA METZEMBAUM CURVA 5 X 360MM </t>
  </si>
  <si>
    <t>34310MS</t>
  </si>
  <si>
    <t>CROCI-OLMI 6MM</t>
  </si>
  <si>
    <t>33310CC</t>
  </si>
  <si>
    <t>TESOURA IRIS CURVA</t>
  </si>
  <si>
    <t>TESOURA IRIS RETA</t>
  </si>
  <si>
    <t>PINÇA DE VASE</t>
  </si>
  <si>
    <t>QF.309.12</t>
  </si>
  <si>
    <t>PINÇA DEFERENTE</t>
  </si>
  <si>
    <t>QR.505.01</t>
  </si>
  <si>
    <t>PINÇA MICRO ADSON COM DENTE</t>
  </si>
  <si>
    <t>QC.406.12</t>
  </si>
  <si>
    <t>PINÇA MOSQUITO RETO</t>
  </si>
  <si>
    <t>PINÇA PEAN</t>
  </si>
  <si>
    <t>TESOURA METZEMBAUM CURVA 170MM</t>
  </si>
  <si>
    <t>VELA DE HEGAR N?1</t>
  </si>
  <si>
    <t>QS.400.01</t>
  </si>
  <si>
    <t xml:space="preserve">VELA DE HEGAR N?1,5 </t>
  </si>
  <si>
    <t>QS.401.01</t>
  </si>
  <si>
    <t xml:space="preserve">VELA DE HEGAR N?2 </t>
  </si>
  <si>
    <t>QS.400.02</t>
  </si>
  <si>
    <t xml:space="preserve">VELA DE HEGAR N?2,5 </t>
  </si>
  <si>
    <t>QS.401.02</t>
  </si>
  <si>
    <t xml:space="preserve">VELA DE HEGAR N?3 </t>
  </si>
  <si>
    <t>QS.400.03</t>
  </si>
  <si>
    <t xml:space="preserve">VELA DE HEGAR N?3,5 </t>
  </si>
  <si>
    <t>QS.401.03</t>
  </si>
  <si>
    <t xml:space="preserve">VELA DE HEGAR N?4 </t>
  </si>
  <si>
    <t>QS.400.04</t>
  </si>
  <si>
    <t xml:space="preserve">VELA DE HEGAR N?4,5 </t>
  </si>
  <si>
    <t>QS.401.04</t>
  </si>
  <si>
    <t xml:space="preserve">VELA DE HEGAR N?5 </t>
  </si>
  <si>
    <t>QS.400.05</t>
  </si>
  <si>
    <t xml:space="preserve">VELA DE HEGAR N?5,5 </t>
  </si>
  <si>
    <t>QS.401.05</t>
  </si>
  <si>
    <t xml:space="preserve">VELA DE HEGAR N?6 </t>
  </si>
  <si>
    <t>QS.400.06</t>
  </si>
  <si>
    <t xml:space="preserve">VELA DE HEGAR N?6,5 </t>
  </si>
  <si>
    <t>QS.401.06</t>
  </si>
  <si>
    <t xml:space="preserve">VELA DE HEGAR N?7 </t>
  </si>
  <si>
    <t>QS.400.07</t>
  </si>
  <si>
    <t xml:space="preserve">VELA DE HEGAR N?7,5 </t>
  </si>
  <si>
    <t>QS.401.07</t>
  </si>
  <si>
    <t xml:space="preserve">VELA DE HEGAR N?8 </t>
  </si>
  <si>
    <t>QS.400.08</t>
  </si>
  <si>
    <t xml:space="preserve">VELA DE HEGAR N?8,5 </t>
  </si>
  <si>
    <t>QS.401.08</t>
  </si>
  <si>
    <t xml:space="preserve">VELA DE HEGAR N?9 </t>
  </si>
  <si>
    <t>QS.400.09</t>
  </si>
  <si>
    <t xml:space="preserve">VELA DE HEGAR N?9,5 </t>
  </si>
  <si>
    <t>QS.401.09</t>
  </si>
  <si>
    <t>VELA DE HEGAR N?10</t>
  </si>
  <si>
    <t>QS.400.10</t>
  </si>
  <si>
    <t>VELA DE HEGAR N?10,5</t>
  </si>
  <si>
    <t>QS.401.10</t>
  </si>
  <si>
    <t xml:space="preserve">VELAS DE HEGAR N 11 </t>
  </si>
  <si>
    <t>QS.400.11</t>
  </si>
  <si>
    <t xml:space="preserve">VELAS DE HEGAR N 11,5 </t>
  </si>
  <si>
    <t>QS.401.11</t>
  </si>
  <si>
    <t xml:space="preserve">VELAS DE HEGAR N 12 </t>
  </si>
  <si>
    <t>QS.400.12</t>
  </si>
  <si>
    <t xml:space="preserve">VELAS DE HEGAR N 13 </t>
  </si>
  <si>
    <t>QS.400.13</t>
  </si>
  <si>
    <t xml:space="preserve">VELAS DE HEGAR N 14 </t>
  </si>
  <si>
    <t>QS.400.14</t>
  </si>
  <si>
    <t xml:space="preserve">VELAS DE HEGAR N 15 </t>
  </si>
  <si>
    <t>QS.400.15</t>
  </si>
  <si>
    <t xml:space="preserve">VELAS DE HEGAR N 16 </t>
  </si>
  <si>
    <t>QS.400.16</t>
  </si>
  <si>
    <t xml:space="preserve">VELAS DE HEGAR N 17 </t>
  </si>
  <si>
    <t>QS.400.17</t>
  </si>
  <si>
    <t>VELAS DE HEGAR N 18</t>
  </si>
  <si>
    <t>QS.400.18</t>
  </si>
  <si>
    <t>VELA DE HEGAR N19</t>
  </si>
  <si>
    <t>QS.400.19</t>
  </si>
  <si>
    <t>VELA DE HEGAR N20</t>
  </si>
  <si>
    <t>QS.400.20</t>
  </si>
  <si>
    <t>VELA DE HEGAR N21</t>
  </si>
  <si>
    <t>QS.400.21</t>
  </si>
  <si>
    <t>VELA DE HEGAR N22</t>
  </si>
  <si>
    <t>QS.400.22</t>
  </si>
  <si>
    <t>VELA DE HEGAR N23</t>
  </si>
  <si>
    <t>QS.400.23</t>
  </si>
  <si>
    <t>VELA DE HEGAR N24</t>
  </si>
  <si>
    <t>QS.400.24</t>
  </si>
  <si>
    <t>VELA DE HEGAR N25</t>
  </si>
  <si>
    <t>QS.400.25</t>
  </si>
  <si>
    <t>VELA DE HEGAR N26</t>
  </si>
  <si>
    <t>QS.400.26</t>
  </si>
  <si>
    <t>VIBROLIPO</t>
  </si>
  <si>
    <t>PAC-0083/PAC-0136</t>
  </si>
  <si>
    <t>DERMATOMO</t>
  </si>
  <si>
    <t>GA340</t>
  </si>
  <si>
    <t>ZIMMER HALL</t>
  </si>
  <si>
    <t xml:space="preserve">BATERIA </t>
  </si>
  <si>
    <t>GA346</t>
  </si>
  <si>
    <t xml:space="preserve">TAMPA DE FECHO </t>
  </si>
  <si>
    <t>GA675</t>
  </si>
  <si>
    <t xml:space="preserve">LAMINAS WAGNER ESTÉRIL </t>
  </si>
  <si>
    <t>GB228R</t>
  </si>
  <si>
    <t xml:space="preserve">REMOVEDOR DE BATERIA </t>
  </si>
  <si>
    <t>GA679</t>
  </si>
  <si>
    <t xml:space="preserve">ACCULAN 4 CARREGADOR </t>
  </si>
  <si>
    <t>GA320</t>
  </si>
  <si>
    <t xml:space="preserve">CABO DE ENERGIA </t>
  </si>
  <si>
    <t>DIGICABO-H05VV-F3G</t>
  </si>
  <si>
    <t>ESPÉCULO NASAL HARTMANN 31MM</t>
  </si>
  <si>
    <t>QX.238.02</t>
  </si>
  <si>
    <t>ESPÉCULO NASAL HARTMANN 35MM</t>
  </si>
  <si>
    <t>QX.238.03</t>
  </si>
  <si>
    <t>ASPIRADOR FRAZIER 3MM</t>
  </si>
  <si>
    <t>PINÇA WALSHAN DIREITA</t>
  </si>
  <si>
    <t>PINÇA WALSHAN ESQUERDA</t>
  </si>
  <si>
    <t>PINÇA ASCH 22MM</t>
  </si>
  <si>
    <t>PINÇA BAIONETA  JANSEN 16CM</t>
  </si>
  <si>
    <t>HASTE SUSPENSORA PARA LARINGOSCOPIO</t>
  </si>
  <si>
    <t>LF80005</t>
  </si>
  <si>
    <t>HOLDER PARA HASTE LARINGOSCOPIO</t>
  </si>
  <si>
    <t>HOLDER PARA ESTILETES</t>
  </si>
  <si>
    <t>LF806100</t>
  </si>
  <si>
    <t>LANCETA ESTILETE</t>
  </si>
  <si>
    <t>LF80602</t>
  </si>
  <si>
    <t>FACA</t>
  </si>
  <si>
    <t>LF80603</t>
  </si>
  <si>
    <t>CORTE LATERAL</t>
  </si>
  <si>
    <t>LF.806.05.05</t>
  </si>
  <si>
    <t>DESCOLADOR</t>
  </si>
  <si>
    <t>LF.806.05.01</t>
  </si>
  <si>
    <t>ANGULADO</t>
  </si>
  <si>
    <t>LF.806.05.02</t>
  </si>
  <si>
    <t>ESTILETE AFASTADOR</t>
  </si>
  <si>
    <t>LF.806.07.00</t>
  </si>
  <si>
    <t>ARGULHA PARA ESCLEROSE</t>
  </si>
  <si>
    <t>LF.817.10.00</t>
  </si>
  <si>
    <t>ASPIRADOR 250X1,3MM</t>
  </si>
  <si>
    <t>LF.816.13.01</t>
  </si>
  <si>
    <t>ASPIRADOR 250X1,6MM</t>
  </si>
  <si>
    <t>LF.816.16.01</t>
  </si>
  <si>
    <t>ASPIRADOR 250X2.0MM</t>
  </si>
  <si>
    <t>LF.816.20.01</t>
  </si>
  <si>
    <t>ASPIRADOR 250X3.0MM</t>
  </si>
  <si>
    <t>LF.816.30.01</t>
  </si>
  <si>
    <t>ASPIRADOR DE CAUTÉRIO</t>
  </si>
  <si>
    <t>NÃO FABRIC</t>
  </si>
  <si>
    <t>FIO MONOPOLAR</t>
  </si>
  <si>
    <t>BISTURI ELÉTRICO</t>
  </si>
  <si>
    <t>PINÇA BIÓPSIA CONCHA RETA</t>
  </si>
  <si>
    <t>LF80301</t>
  </si>
  <si>
    <t>LF80305</t>
  </si>
  <si>
    <t>PINÇA BIÓPSIA CONCHA TRIANGULAR DIREITA 250X1,0MM</t>
  </si>
  <si>
    <t>LF80320</t>
  </si>
  <si>
    <t>PINÇA BIÓPSIA CONCHA TRIANGULAR ESQUERDA 250X2,0MM</t>
  </si>
  <si>
    <t>LF80319</t>
  </si>
  <si>
    <t>PINÇA JACARÉ RETA  250X8,0MM</t>
  </si>
  <si>
    <t>LF80201</t>
  </si>
  <si>
    <t>PINÇA JACARÉ ESQUERDA 250X8,0MM</t>
  </si>
  <si>
    <t>LF80202</t>
  </si>
  <si>
    <t>PINÇA JACARÉ DIREITA 250X8,0MM</t>
  </si>
  <si>
    <t>LF80203</t>
  </si>
  <si>
    <t>PINÇA APREENÇÃO TRIANGULAR RETA 250X5,0X2,8MM</t>
  </si>
  <si>
    <t>LF80212</t>
  </si>
  <si>
    <t>PINÇA DE APREENÇÃO TRIANGULAR ESQUERDA 250X5,0X2,8MM</t>
  </si>
  <si>
    <t>LF80213</t>
  </si>
  <si>
    <t>PINÇA APREENÇÃO TRIANGULAR DIREITA 250X5,0X2,8MM</t>
  </si>
  <si>
    <t>LF80214</t>
  </si>
  <si>
    <t>PINÇA APREENÇÃO TRIANGULAR P/CIMA 250X5,0X2,8MM</t>
  </si>
  <si>
    <t>LF80215</t>
  </si>
  <si>
    <t>TESOURA RETA 250X3,5MM</t>
  </si>
  <si>
    <t>LF80106</t>
  </si>
  <si>
    <t>TESOURA ESQUERDA 250X3,5MM</t>
  </si>
  <si>
    <t>LF80107</t>
  </si>
  <si>
    <t>TESOURA DIREITA 250X3,5MM</t>
  </si>
  <si>
    <t>LF80108</t>
  </si>
  <si>
    <t>TESOURA P/CIMA 250X3,5MM</t>
  </si>
  <si>
    <t>LF80109</t>
  </si>
  <si>
    <t>LARINGO ADULTO C/ASPIRAÇÃO FUKUDA 170MM</t>
  </si>
  <si>
    <t>LF80020</t>
  </si>
  <si>
    <t>LARINGO ADULTO C/ASPIRAÇÃO 180MM</t>
  </si>
  <si>
    <t>LF80002</t>
  </si>
  <si>
    <t>LARINGO ADULTO C/ASPIRAÇÃO 185MM</t>
  </si>
  <si>
    <t>LF80001</t>
  </si>
  <si>
    <t>LARINGO ADULTO S/ASPIRAÇÃO 210MM</t>
  </si>
  <si>
    <t>LF80013</t>
  </si>
  <si>
    <t>LARINGO ADULTO S/ASPIRAÇÃO MODELO PAULO PONTES 180MM</t>
  </si>
  <si>
    <t>LF80011</t>
  </si>
  <si>
    <t>CLIP DE GF ( GUIA DE LUZ )</t>
  </si>
  <si>
    <t>LF2001060</t>
  </si>
  <si>
    <t>AFASTADOR FARABEUF 150MM</t>
  </si>
  <si>
    <t>AFASTADOR RICHARDSON COM LAMINA 20 X 55MM</t>
  </si>
  <si>
    <t>ESPATULA MALEAVEL HABERER 300MM</t>
  </si>
  <si>
    <t>QG.420.30</t>
  </si>
  <si>
    <t>ESPATULA MALEAVEL HABERER 380MM</t>
  </si>
  <si>
    <t>QG.420.38</t>
  </si>
  <si>
    <t>ESPECULO VAGINAL MEDIO</t>
  </si>
  <si>
    <t>ESPECULO VAGINAL PEQUENO</t>
  </si>
  <si>
    <t>PINCA ADLERKRENTZ 200MM</t>
  </si>
  <si>
    <t>12-367-20-07</t>
  </si>
  <si>
    <t>PINCA ALLIS 190MM</t>
  </si>
  <si>
    <t>PINCA CHERON 230MM</t>
  </si>
  <si>
    <t>PINCA DEBAKEY 240MM</t>
  </si>
  <si>
    <t>PINCA DENTE DE RATO 180MM</t>
  </si>
  <si>
    <t>PINCA DUVAL 200MM</t>
  </si>
  <si>
    <t>QL.482.21</t>
  </si>
  <si>
    <t>PINCA FAURE 220MM</t>
  </si>
  <si>
    <t>QF.662.22</t>
  </si>
  <si>
    <t>PINCA FOERSTER CURVA ESTRIADA 170MM</t>
  </si>
  <si>
    <t>QF.353.19</t>
  </si>
  <si>
    <t>PINCA FOERSTER CURVA ESTRIADA 230MM</t>
  </si>
  <si>
    <t>QF.353.22</t>
  </si>
  <si>
    <t>PINCA HALSTEAD MOSQUITO RETA 120MM</t>
  </si>
  <si>
    <t>PINCA KOCHER CURVA 180MM</t>
  </si>
  <si>
    <t>PINCA MIXTER 180MM</t>
  </si>
  <si>
    <t>PINCA MIXTER 230MM</t>
  </si>
  <si>
    <t>QZ.205.23</t>
  </si>
  <si>
    <t>PINCA MOSQUITO CURVO 120MM</t>
  </si>
  <si>
    <t>PORTA AGULHA MAYO HEGAR 170MM</t>
  </si>
  <si>
    <t>PORTA AGULHA MAYO HEGAR 250MM</t>
  </si>
  <si>
    <t>PORTA AGULHA MAYO HEGAR 150MM</t>
  </si>
  <si>
    <t>SACA FIBROMA</t>
  </si>
  <si>
    <t>QS.798.00</t>
  </si>
  <si>
    <t>TESOURA MAYO RETA 140MM</t>
  </si>
  <si>
    <t>11-943-23-07</t>
  </si>
  <si>
    <t>TESOURA PARAMETRIAL</t>
  </si>
  <si>
    <t>11-235-23-07</t>
  </si>
  <si>
    <t>VALVULA DOYEN  45X120X 240MM</t>
  </si>
  <si>
    <t>VALVULA DOYEN 45 X 60 X 240MM</t>
  </si>
  <si>
    <t>VALVULA DOYEN 45 X 90X 240MM</t>
  </si>
  <si>
    <t>VALVULA KRISTELLER</t>
  </si>
  <si>
    <t>EL424</t>
  </si>
  <si>
    <t>PINÇA BAIONETA</t>
  </si>
  <si>
    <t>PINÇA ADSON C/DENTE</t>
  </si>
  <si>
    <t>PINÇA ADSON S/DENTE</t>
  </si>
  <si>
    <t>PINÇA ADSON BROWN</t>
  </si>
  <si>
    <t>PORTA AGULHA MAYO HEGAR</t>
  </si>
  <si>
    <t>O645</t>
  </si>
  <si>
    <t>PORTA AGULHA CASTROVIEJO RT</t>
  </si>
  <si>
    <t>O716</t>
  </si>
  <si>
    <t>PINÇA KELLY RETA</t>
  </si>
  <si>
    <t>13O4</t>
  </si>
  <si>
    <t>TESOURA MAYO CV</t>
  </si>
  <si>
    <t>TESOURA METZEMBAUM RT</t>
  </si>
  <si>
    <t>TESOURA METZEMBAUM CV</t>
  </si>
  <si>
    <t>TESOURA CONVERSE ANGULADA</t>
  </si>
  <si>
    <t>PINÇA BACKAUS CORTANTE</t>
  </si>
  <si>
    <t>SONDA DE ITARD</t>
  </si>
  <si>
    <t>ASPIRADOR P/ SEIO MAXILAR</t>
  </si>
  <si>
    <t xml:space="preserve">ASPIRADOR DESCOLADOR </t>
  </si>
  <si>
    <t>ASPIRADOR ATRAUMÁTICO</t>
  </si>
  <si>
    <t>ESPECULO NASAL</t>
  </si>
  <si>
    <t>ESPECULO NASAL N° 2</t>
  </si>
  <si>
    <t>ESPECULO NASAL N°3</t>
  </si>
  <si>
    <t>DESCOLADOR COTTLE</t>
  </si>
  <si>
    <t>FORMÃO LAMBOTTE</t>
  </si>
  <si>
    <t xml:space="preserve">CURETA P/SEIO FRONTAL </t>
  </si>
  <si>
    <t>MARTELO</t>
  </si>
  <si>
    <t xml:space="preserve">PINÇA KERRISON P/CIMA </t>
  </si>
  <si>
    <t>TESOURA MICROENDONASAL RETA</t>
  </si>
  <si>
    <t>TESOURA HEYMAN</t>
  </si>
  <si>
    <t>PINÇA COME P/FRENTE RT</t>
  </si>
  <si>
    <t xml:space="preserve">PINÇA COME P/FRENTE ANGULADA </t>
  </si>
  <si>
    <t>PALPADOR SEIO MAXILAR</t>
  </si>
  <si>
    <t>PINÇA NASAL BRUENINGS</t>
  </si>
  <si>
    <t>PINÇA BLASKEY RT N° 1 ADULTO</t>
  </si>
  <si>
    <t>PINÇA BLASKEY ANGULADA 45° N°0 ADULTO</t>
  </si>
  <si>
    <t>PINÇA TAKAHASHI RT INFO</t>
  </si>
  <si>
    <t>PINÇA TAKAHASHI RT ADULTO</t>
  </si>
  <si>
    <t>PINÇA SEIO FRONTAL VERTICAL</t>
  </si>
  <si>
    <t>PINÇA COGUMELO RT</t>
  </si>
  <si>
    <t>PINÇA NASAL BACK BITE DE TUBO GIRATÓRIO</t>
  </si>
  <si>
    <t>PINÇA P/SEIO MAXILAR GIRATÓRIO</t>
  </si>
  <si>
    <t>PROBE DUPLO SEEKER</t>
  </si>
  <si>
    <t>PINÇA GIRAFA HORIZONTAL</t>
  </si>
  <si>
    <t>AFAST. BECKMANN-ADSON  SEMI AGUDO 4X4 310MM</t>
  </si>
  <si>
    <t>BV271R</t>
  </si>
  <si>
    <t>AFAST. BECKMANN-ADSON  SEMI AGUDO 4X4 210MM</t>
  </si>
  <si>
    <t>BV251R</t>
  </si>
  <si>
    <t>AFASTADOR RICHARDSON 52X22MM</t>
  </si>
  <si>
    <t>AFASTADOR RICHARDSON 65X41MM</t>
  </si>
  <si>
    <t>BT479R</t>
  </si>
  <si>
    <t>BULLDOG GLOVER CURTO 25X68MM</t>
  </si>
  <si>
    <t>FB433R</t>
  </si>
  <si>
    <t>BULLDOG GLOVER RETO 33X68MM</t>
  </si>
  <si>
    <t>FB432R</t>
  </si>
  <si>
    <t>PINÇA GERALD COM DENTE 230MM</t>
  </si>
  <si>
    <t>BD664R</t>
  </si>
  <si>
    <t>PINÇA WAUGH COM DENTE 200MM</t>
  </si>
  <si>
    <t>DISSECTOR TONNIS 240MM</t>
  </si>
  <si>
    <t>FF301R</t>
  </si>
  <si>
    <t>CLAMP DEBAKEY SATINSKY 40X260MM</t>
  </si>
  <si>
    <t>FB501R</t>
  </si>
  <si>
    <t>CLAMP DEBAKEY SATINSKY  50X260MM</t>
  </si>
  <si>
    <t>FB502R</t>
  </si>
  <si>
    <t>CLAMP DEBAKEY ANEURISMA AORTA 95X250MM</t>
  </si>
  <si>
    <t>FB471R</t>
  </si>
  <si>
    <t>CLAMP DEBAKEY 60° 50X230MM</t>
  </si>
  <si>
    <t>FB511R</t>
  </si>
  <si>
    <t>CLAMP DEBAKEY 60°  40X240MM</t>
  </si>
  <si>
    <t xml:space="preserve"> FB510R</t>
  </si>
  <si>
    <t>PINÇA DEBAKEY 90°  70X250MM</t>
  </si>
  <si>
    <t>FB517R</t>
  </si>
  <si>
    <t>PINÇA DEBAKEY 90° 50X210MM</t>
  </si>
  <si>
    <t>FB516R</t>
  </si>
  <si>
    <t>PINÇA GLOVER  200MM</t>
  </si>
  <si>
    <t>FB461R</t>
  </si>
  <si>
    <t>PORTA AGULHA MICROVASCULAR DELICADO 180MM</t>
  </si>
  <si>
    <t>QW.716.18</t>
  </si>
  <si>
    <t>PORTA AGULHA RYDER  195MM</t>
  </si>
  <si>
    <t>BM046R</t>
  </si>
  <si>
    <t>PORTA AGULHA RYDER  230MM</t>
  </si>
  <si>
    <t>BM058R</t>
  </si>
  <si>
    <t>PORTA AGULHA RYDER  210MM</t>
  </si>
  <si>
    <t>BM057R</t>
  </si>
  <si>
    <t>TESOURA POTTS MARTEL 60° 220MM</t>
  </si>
  <si>
    <t>BC650R</t>
  </si>
  <si>
    <t>TESOURA POTTS MARTEL 45° 185MM</t>
  </si>
  <si>
    <t xml:space="preserve">CONTAINER COM TAMPA </t>
  </si>
  <si>
    <t>VALVULA DOYEN 45X60MM</t>
  </si>
  <si>
    <t>VALVULA DOYEN 45X90MM</t>
  </si>
  <si>
    <t>VALVULA DOYEN 60X90MM</t>
  </si>
  <si>
    <t>QS.251.01</t>
  </si>
  <si>
    <t>AFASTADOR RICHARDSON  22X52MM</t>
  </si>
  <si>
    <t>AFASTADOR RICHARDSON  28X36MM</t>
  </si>
  <si>
    <t>AFASTADOR LANGENBECK 11X40MM</t>
  </si>
  <si>
    <t>AFASTADOR LANGENBECK  11X50MM</t>
  </si>
  <si>
    <t>AFASTADOR SENN MULLER</t>
  </si>
  <si>
    <t>AFASTADOR VOLKMANN 2 DENTES ROMBOS</t>
  </si>
  <si>
    <t>QG.211.02</t>
  </si>
  <si>
    <t>AFASTADOR FARABEUF 20X170MM</t>
  </si>
  <si>
    <t>PINÇA COLLIN CORAÇÃO 17 CM</t>
  </si>
  <si>
    <t>PINÇA FOERSTER CURVA ESTRIADA 24CM</t>
  </si>
  <si>
    <t>QF.353.25</t>
  </si>
  <si>
    <t>PINÇA FOERSTER RETA ESTRIADA 24CM</t>
  </si>
  <si>
    <t>QF.352.26</t>
  </si>
  <si>
    <t>PINÇA CHERON  250MM</t>
  </si>
  <si>
    <t>PINÇA ANATÔMICA  160MM</t>
  </si>
  <si>
    <t>PINÇA ANATÔMICA  200MM</t>
  </si>
  <si>
    <t>PINÇA ANATÔMICA 300MM</t>
  </si>
  <si>
    <t>PINÇA DENTE DE RATO 160MM</t>
  </si>
  <si>
    <t>PINÇA DENTE DE RATO 200MM</t>
  </si>
  <si>
    <t>PINÇA DENTE DE RATO  250MM</t>
  </si>
  <si>
    <t>PINÇA DEBAKEY TIPO ANATÔMICA  200MM</t>
  </si>
  <si>
    <t>QZ.100.20</t>
  </si>
  <si>
    <t>PINÇA DEBAKEY TIPO ANATÔMICA  240MM</t>
  </si>
  <si>
    <t>QZ.100.24</t>
  </si>
  <si>
    <t>PINÇA DEBAKEY TIPO ANATÔMICA  300MM</t>
  </si>
  <si>
    <t>QZ.100.30</t>
  </si>
  <si>
    <t>PINÇA ADSON COM DENTE 120MM</t>
  </si>
  <si>
    <t>PINÇA ADSON SEM DENTE 120MM</t>
  </si>
  <si>
    <t>PINÇA MIXTER 230MM</t>
  </si>
  <si>
    <t>PINÇA MIXTER 200MM</t>
  </si>
  <si>
    <t>PINÇA BABY MIXTER 180MM</t>
  </si>
  <si>
    <t>PINÇA Schnidt 190MM</t>
  </si>
  <si>
    <t>PINÇA BERNHARD 160MM (ADAIR)</t>
  </si>
  <si>
    <t>QF.929.16</t>
  </si>
  <si>
    <t>PINÇA ALLIS 160MM</t>
  </si>
  <si>
    <t>PINÇA ALLIS  220MM</t>
  </si>
  <si>
    <t>PINÇA KOCHER RETA 160MM</t>
  </si>
  <si>
    <t>PINÇA KELLY RETA 140MM</t>
  </si>
  <si>
    <t>PINÇA KELLY CURVA  140MM</t>
  </si>
  <si>
    <t>PINÇA HALSTED MOSQUITO RETA 110MM</t>
  </si>
  <si>
    <t>PINÇA HALSTED MOSQUITO CURVA  110MM</t>
  </si>
  <si>
    <t>PINÇA BACKHAUS  130MM</t>
  </si>
  <si>
    <t>TESOURA METZEMBAUM CURVA  180MM</t>
  </si>
  <si>
    <t>TESOURA METZEMBAUM CURVA  150MM</t>
  </si>
  <si>
    <t>TESOURA MAYO CURVA  140MM</t>
  </si>
  <si>
    <t>PORTA AGULHA MAYO HEGAR  140MM</t>
  </si>
  <si>
    <t>PORTA AGULHA MAYO HEGAR  200MM</t>
  </si>
  <si>
    <t>PORTA AGULHA MAYO HEGAR  170MM</t>
  </si>
  <si>
    <t>PORTA AGULHA RYDER 140MM</t>
  </si>
  <si>
    <t>QW.724.14</t>
  </si>
  <si>
    <t>PORTA AGULHA RYDER 180MM</t>
  </si>
  <si>
    <t>PORTA AGULHA RYDER 230MM</t>
  </si>
  <si>
    <t>QW.724.23</t>
  </si>
  <si>
    <t xml:space="preserve">PINÇA TUTLLE </t>
  </si>
  <si>
    <t>12-460-18-07</t>
  </si>
  <si>
    <t>PINÇA POZZI</t>
  </si>
  <si>
    <t>CESTO INOX GG. 25 x 55 x 11 CM</t>
  </si>
  <si>
    <t>DILATADOR DE COLO VESICAL 280MM</t>
  </si>
  <si>
    <t>31-475-00-07</t>
  </si>
  <si>
    <t>PINCA MILLIN ATRAUMATICA 240MM</t>
  </si>
  <si>
    <t>EF163R</t>
  </si>
  <si>
    <t>PINCA MILLIN ATRAUMATICA LARGA 230MM</t>
  </si>
  <si>
    <t>EF164R</t>
  </si>
  <si>
    <t>PINÇA HANDALL RETA</t>
  </si>
  <si>
    <t>QR.101.01</t>
  </si>
  <si>
    <t>PINÇA HANDALL 60°</t>
  </si>
  <si>
    <t>PINÇA HANDALL 90°</t>
  </si>
  <si>
    <t>QR.101.03</t>
  </si>
  <si>
    <t>PINÇA HANDALL 130°</t>
  </si>
  <si>
    <t>QR.101.04</t>
  </si>
  <si>
    <t>PINÇA GUYON 240MM</t>
  </si>
  <si>
    <t>QF.531.24</t>
  </si>
  <si>
    <t>PINÇA WERTHEIM 210MM</t>
  </si>
  <si>
    <t>QF.625.21</t>
  </si>
  <si>
    <t>COSTOTOMO SAUERBRUCH</t>
  </si>
  <si>
    <t>FB882R</t>
  </si>
  <si>
    <t>CIZALHA STILLE LISTON RETA 230MM</t>
  </si>
  <si>
    <t>QO.210.23</t>
  </si>
  <si>
    <t>GOIVA STILLE LUER 230MM</t>
  </si>
  <si>
    <t>QO.239.23</t>
  </si>
  <si>
    <t xml:space="preserve">RUGINA DOYEN DIREITA </t>
  </si>
  <si>
    <t>QO.289.02</t>
  </si>
  <si>
    <t>RUGINA DOYEN ESQUERDA</t>
  </si>
  <si>
    <t>QO.289.01</t>
  </si>
  <si>
    <t>RUGINA FARABEUF CURVA</t>
  </si>
  <si>
    <t>RUGINA FARABEUF RETA</t>
  </si>
  <si>
    <t>QO.292.16</t>
  </si>
  <si>
    <t>CLAMP PROSTATA MC DOUGAL DIREITO</t>
  </si>
  <si>
    <t>CLAMP PROSTATA MC DOUGAL ESQUERDO</t>
  </si>
  <si>
    <t>VALVULA DOYEN  45X90MM</t>
  </si>
  <si>
    <t>VALVULA DOYEN VAGINAL 25X55MM</t>
  </si>
  <si>
    <t>QS.342.25</t>
  </si>
  <si>
    <t>ESPECULO VAGINAL  PEQUENO</t>
  </si>
  <si>
    <t>AFAST FARABEUF 13X150MM</t>
  </si>
  <si>
    <t>PINCA COLLIN CORACAO  160MM</t>
  </si>
  <si>
    <t>ADSON COM DENTE 120MM</t>
  </si>
  <si>
    <t>ADSON SEM DENTE 120MM</t>
  </si>
  <si>
    <t>PINCA FAURE CURVA 200MM</t>
  </si>
  <si>
    <t>PINCA KOCHER  CURVA  180MM</t>
  </si>
  <si>
    <t>PINCA KOCHER RETA  160MM</t>
  </si>
  <si>
    <t>PINCA MOSQUITO RETA  120MM</t>
  </si>
  <si>
    <t>PINCA  MOSQUITO CURVA 120MM</t>
  </si>
  <si>
    <t>PINCA BACKHAUS CORTANTE</t>
  </si>
  <si>
    <t>QT.285.14</t>
  </si>
  <si>
    <t>HISTEROMETRO SIMS</t>
  </si>
  <si>
    <t>PINCA FOERSTER CURVA ESTRIADA 250MM</t>
  </si>
  <si>
    <t>PINCA FOERSTER RETA ESTRIADA  250MM</t>
  </si>
  <si>
    <t xml:space="preserve">CESTO INOX </t>
  </si>
  <si>
    <t>PINCA ANATOMICA  300MM</t>
  </si>
  <si>
    <t>PINCA ANATOMICA  200MM</t>
  </si>
  <si>
    <t>PINCA DENTE DE RATO  300MM</t>
  </si>
  <si>
    <t>PINCA DEBAKEY 300MM</t>
  </si>
  <si>
    <t>PINCA DEBAKEY  240MM</t>
  </si>
  <si>
    <t>PINCA DEBAKEY  200MM</t>
  </si>
  <si>
    <t>PINCA ADSON SEM DENTE  120MM</t>
  </si>
  <si>
    <t>PINCA MOSQUITO CURVA  120MM</t>
  </si>
  <si>
    <t>PINCA KELLY RETA  160MM</t>
  </si>
  <si>
    <t>PINCA KELLY CURVA  160MM</t>
  </si>
  <si>
    <t>PINCA KOCHER RETA  200MM</t>
  </si>
  <si>
    <t>QF.414.20</t>
  </si>
  <si>
    <t>PINCA KOCHER CURVA  200MM</t>
  </si>
  <si>
    <t>QF.415.20</t>
  </si>
  <si>
    <t>PINCA ALLIS  150MM</t>
  </si>
  <si>
    <t>PINCA BABCOCK 150MM</t>
  </si>
  <si>
    <t>QL.192.16</t>
  </si>
  <si>
    <t>PINCA BABCOCK  200MM</t>
  </si>
  <si>
    <t>QL.192.20</t>
  </si>
  <si>
    <t>PINCA FOERSTER RETA 240MM</t>
  </si>
  <si>
    <t>QF.352.25</t>
  </si>
  <si>
    <t>PINCA FOERSTER CURVA 240MM</t>
  </si>
  <si>
    <t>PINCA CRAFOORD CURVA  240MM</t>
  </si>
  <si>
    <t>QF.439.24</t>
  </si>
  <si>
    <t>CLAMP INTESTINAL KOCHER CURVA  270MM</t>
  </si>
  <si>
    <t>QL.561.25</t>
  </si>
  <si>
    <t>TESOURA MAYO CURVA  170MM</t>
  </si>
  <si>
    <t>PORTA AGULHA CRILLE WOOD  150MM</t>
  </si>
  <si>
    <t>PORTA AGULHA MAYO HEGAR  250MM</t>
  </si>
  <si>
    <t>QW.400.15</t>
  </si>
  <si>
    <t>PINCA SCHNIDT 180MM</t>
  </si>
  <si>
    <t>PINCA MIXTER  200MM</t>
  </si>
  <si>
    <t>PINÇA FAURE 220MM</t>
  </si>
  <si>
    <t>PINÇA GEMINI 280MM</t>
  </si>
  <si>
    <t>BJ106R</t>
  </si>
  <si>
    <t>PINÇA BABY MIXTER 190MM</t>
  </si>
  <si>
    <t>PINÇA CHERON 250MM</t>
  </si>
  <si>
    <t>PINCA DEBAKEY SATINSKY  35X240MM</t>
  </si>
  <si>
    <t>QZ.327.35</t>
  </si>
  <si>
    <t>PINCA DEBAKEY SATINSKY 45X240MM</t>
  </si>
  <si>
    <t>QZ.327.45</t>
  </si>
  <si>
    <t>PINCA DEBAKEY AORTA  60° 320MM</t>
  </si>
  <si>
    <t>QZ.321.32</t>
  </si>
  <si>
    <t>PINCA CHERON  250MM</t>
  </si>
  <si>
    <t>AFAST BALFOUR 250MM</t>
  </si>
  <si>
    <t>QG.825.02</t>
  </si>
  <si>
    <t>VALVULA DOYEN 60X120MM</t>
  </si>
  <si>
    <t>ESPATULA REVERDIN</t>
  </si>
  <si>
    <t>QG.952.29</t>
  </si>
  <si>
    <t>ESPATULA MALEAVEL 30X 300MM</t>
  </si>
  <si>
    <t>ASPIRADOR YANKAUER</t>
  </si>
  <si>
    <t>AFASTADOR FARABEUF 120MM</t>
  </si>
  <si>
    <t>AFASTADOR SENN MULLER ROMBO 160MM</t>
  </si>
  <si>
    <t>AFASTADOR WEITLANER PONTIAGUDO 3X4 DENTES 130MM</t>
  </si>
  <si>
    <t>AFASTADOR WEITLANER ROMBO 2X3 DENTES 100MM</t>
  </si>
  <si>
    <t>QZ.041.14</t>
  </si>
  <si>
    <t>AMASSADOR DE FASCIA</t>
  </si>
  <si>
    <t>ASPIRADOR DE FRAZIER 2,0MM</t>
  </si>
  <si>
    <t>ASPIRADOR DE FRAZIER 3.0MM</t>
  </si>
  <si>
    <t>ASPIRADOR DE OUVIDO 0,7MM</t>
  </si>
  <si>
    <t>ASPIRADOR DE OUVIDO 1,3MM</t>
  </si>
  <si>
    <t>CABO DE BISTURI N 7 LONGO 210MM</t>
  </si>
  <si>
    <t>110.07</t>
  </si>
  <si>
    <t>CONECTOR DE ASPIRADOR PARA OUVIDO</t>
  </si>
  <si>
    <t>DESCOLADOR DE JOSEPH</t>
  </si>
  <si>
    <t>QX.585.05</t>
  </si>
  <si>
    <t>DESCOLADOR KEY 6X180MM</t>
  </si>
  <si>
    <t>FK410R</t>
  </si>
  <si>
    <t>ESPECULO AURICULAR HARTMANN 3MM</t>
  </si>
  <si>
    <t>ESPECULO AURICULAR HARTMANN 4MM</t>
  </si>
  <si>
    <t>ESPECULO AURICULAR HARTMANN 5MM</t>
  </si>
  <si>
    <t>ESPECULO AURICULAR HARTMANN 6MM</t>
  </si>
  <si>
    <t>ESPECULO AURICULAR HARTMANN 7.5MM</t>
  </si>
  <si>
    <t>ESPECULO NASAL 25MM</t>
  </si>
  <si>
    <t>PINCA BROWN</t>
  </si>
  <si>
    <t>PINCA CABECA DE MARTELO PARA BAIXO 80MM</t>
  </si>
  <si>
    <t>PINCA CABECA DE MARTELO PARA CIMA 80MM</t>
  </si>
  <si>
    <t>PINCA HARTMAN JACARE ( DELICADO) 80MM</t>
  </si>
  <si>
    <t>PINCA HARTMANN JACARE GROSSEIRO 80MM</t>
  </si>
  <si>
    <t>PINCA MOSQUITO MICRO CURVA 100MM</t>
  </si>
  <si>
    <t>BH105R</t>
  </si>
  <si>
    <t>PINCA MOSQUITO MICRO RETO 100MM</t>
  </si>
  <si>
    <t>BH104R</t>
  </si>
  <si>
    <t>PINCA MOSQUITO RETO 120MM</t>
  </si>
  <si>
    <t>PINCA WULLSTEIN DE BIOPSIA/ GROSSEIRA 1X12.5MM</t>
  </si>
  <si>
    <t>PINCA WULLSTEIN OUVIDO DELICADA 0.9X 80MM</t>
  </si>
  <si>
    <t>PORTA AGULHA MAYO 140MM</t>
  </si>
  <si>
    <t>RUGINA FARABEUF CURVA 110MM</t>
  </si>
  <si>
    <t>TESOURA BELUCCI 8X80MM</t>
  </si>
  <si>
    <t>TESOURA DE IRIS CURVA 110MM</t>
  </si>
  <si>
    <t>BC061R</t>
  </si>
  <si>
    <t>TESOURA DE MAYO RETA 140MM</t>
  </si>
  <si>
    <t>TESOURA IRIS RETA 110MM</t>
  </si>
  <si>
    <t>BC060R</t>
  </si>
  <si>
    <t>TESOURA METEZEMBAUM CURVA 140MM</t>
  </si>
  <si>
    <t>OL163R</t>
  </si>
  <si>
    <t>PINCA GEMINI 140MM</t>
  </si>
  <si>
    <t>BJ100R</t>
  </si>
  <si>
    <t>PINCA NELSON 230CM</t>
  </si>
  <si>
    <t>BD802R</t>
  </si>
  <si>
    <t>TESOURA JAMISON 150MM</t>
  </si>
  <si>
    <t>BC177R</t>
  </si>
  <si>
    <t>PINCA MOSQUITO RETA MICRO 120MM</t>
  </si>
  <si>
    <t>QF.320.12</t>
  </si>
  <si>
    <t>PINCA MOSQUITO CURVA  MICRO 120MM</t>
  </si>
  <si>
    <t>PINCA BABY MIXTER 180MM</t>
  </si>
  <si>
    <t>QG.072.01</t>
  </si>
  <si>
    <t>AFASTADOR CUSHING 10X13X205MM</t>
  </si>
  <si>
    <t>BT184R</t>
  </si>
  <si>
    <t>AFASTADOR LANGENBECK COM LAMINA 30MM</t>
  </si>
  <si>
    <t>AFASTADOR RICHARDSON 28X20MM</t>
  </si>
  <si>
    <t>AFASTADOR FARABEUF 10X 120MM</t>
  </si>
  <si>
    <t>GANCHO GILLES</t>
  </si>
  <si>
    <t>PINCA ALLIS RETA 150MM</t>
  </si>
  <si>
    <t>TESOURA KILNER 150MM</t>
  </si>
  <si>
    <t>QT.563.15</t>
  </si>
  <si>
    <t>TESOURA IRIS CURVA 110MM</t>
  </si>
  <si>
    <t>PORTA AGULHA CRILLE WOOD 180MM</t>
  </si>
  <si>
    <t>PINCA DEBAKEY 1.5X200MM</t>
  </si>
  <si>
    <t>PINCA DEBAKEY 1.5X180MM</t>
  </si>
  <si>
    <t>QZ.110.18</t>
  </si>
  <si>
    <t>PINCA DEBAKEY 2X200MM</t>
  </si>
  <si>
    <t>PINCA GEMINI 180MM</t>
  </si>
  <si>
    <t>BJ102R</t>
  </si>
  <si>
    <t>TESOURA DIETHRICH 45 190MM</t>
  </si>
  <si>
    <t>PORTA AGULHA RYDER 170MM</t>
  </si>
  <si>
    <t>afastador iluminado vesicula</t>
  </si>
  <si>
    <t>2757**</t>
  </si>
  <si>
    <t xml:space="preserve">afastador iluminado, aufrish </t>
  </si>
  <si>
    <t>1875-1</t>
  </si>
  <si>
    <t>afastador iluminado  doyen</t>
  </si>
  <si>
    <t>2956*</t>
  </si>
  <si>
    <t>afastador fumaça P</t>
  </si>
  <si>
    <t>2757*</t>
  </si>
  <si>
    <t>CESTO OTICA</t>
  </si>
  <si>
    <t>OCL 30X5mm</t>
  </si>
  <si>
    <t>26046BA</t>
  </si>
  <si>
    <t>OCL 30X10MM</t>
  </si>
  <si>
    <t>26003BA</t>
  </si>
  <si>
    <t>OCL 0X10MM</t>
  </si>
  <si>
    <t>26003AA</t>
  </si>
  <si>
    <t>OOT 30x4mm</t>
  </si>
  <si>
    <t>7230BA</t>
  </si>
  <si>
    <t>OOT Ox4mm</t>
  </si>
  <si>
    <t>7230AA</t>
  </si>
  <si>
    <t>Ótica 45°x4mm 18cm</t>
  </si>
  <si>
    <t>7230FA</t>
  </si>
  <si>
    <t>Ótica 70°x4mm 18cm</t>
  </si>
  <si>
    <t>7230CA</t>
  </si>
  <si>
    <t>OUR 30° 4MM</t>
  </si>
  <si>
    <t>27005BA</t>
  </si>
  <si>
    <t>CAIXA PEQUENA CIRURGIA</t>
  </si>
  <si>
    <t xml:space="preserve">AFASTADOR FARABEUF 8X120MM </t>
  </si>
  <si>
    <t>QT.280.14</t>
  </si>
  <si>
    <t xml:space="preserve">TESOURA ESPENSER </t>
  </si>
  <si>
    <t>QT.824.11</t>
  </si>
  <si>
    <t>PINÇA ANATOMICA</t>
  </si>
  <si>
    <t>PORTA AGULHA MAYO</t>
  </si>
  <si>
    <t>TESOURA DE GESSO ADULTO</t>
  </si>
  <si>
    <t>QT.171.20</t>
  </si>
  <si>
    <t>PINÇA KOCKER RETO</t>
  </si>
  <si>
    <t>QL.560.25</t>
  </si>
  <si>
    <t>PINÇA KELLY CURVO</t>
  </si>
  <si>
    <t>PINÇA DENTE DE RATO</t>
  </si>
  <si>
    <t xml:space="preserve">PINÇA MOSQUITO RETO </t>
  </si>
  <si>
    <t>MOSQUITO CURVO</t>
  </si>
  <si>
    <t>CÚPULA</t>
  </si>
  <si>
    <t>CURETA BILATERAL SEM FENESTRA</t>
  </si>
  <si>
    <t>CURETA BILATERAL COM FENESTRA</t>
  </si>
  <si>
    <t>CURESTAS SEM FENESTRA</t>
  </si>
  <si>
    <t>CURETAS COM FENESTRA</t>
  </si>
  <si>
    <t>BRUENINGS</t>
  </si>
  <si>
    <t>AFASTADOR DE GESSO "BICO DE PATO"</t>
  </si>
  <si>
    <t>ASPIRADOR DE OUVIDO CURVO N°3</t>
  </si>
  <si>
    <t>QN.765.30</t>
  </si>
  <si>
    <t>ASPIRADOR DE OUVIDO N°1</t>
  </si>
  <si>
    <t>ASPIRADOR DE OUVIDO N°1,5</t>
  </si>
  <si>
    <t>ASPIRADOR DE OUVIDO N°1,8</t>
  </si>
  <si>
    <t>ASPIRADOR DE OUVIDO N°2</t>
  </si>
  <si>
    <t>ASPIRADOR DE OUVIDO N°2,5</t>
  </si>
  <si>
    <t>ASPIRADOR DE OUVIDO N°3</t>
  </si>
  <si>
    <t>ASPIRADOR FROZIER COM GUIA</t>
  </si>
  <si>
    <t>QN.763.19</t>
  </si>
  <si>
    <t>BERNARDINHO</t>
  </si>
  <si>
    <t>QO.826.12</t>
  </si>
  <si>
    <t>CARPULE</t>
  </si>
  <si>
    <t>ESPÉCULO NASAL GRANDE</t>
  </si>
  <si>
    <t>ESPÉCULO NASAL LONGO</t>
  </si>
  <si>
    <t>ESPÉCULO NASAL MÉDIO</t>
  </si>
  <si>
    <t>ESPÉCULO NASAL PEQUENO</t>
  </si>
  <si>
    <t>ESPÉCULO OTOLÓGICO TAM. 2</t>
  </si>
  <si>
    <t>ESPÉCULO OTOLÓGICO TAM. 3</t>
  </si>
  <si>
    <t>ESPÉCULO OTOLÓGICO TAM. 4</t>
  </si>
  <si>
    <t>ESPÉCULO OTOLÓGICO TAM. 9</t>
  </si>
  <si>
    <t>ESPÉCULO PP</t>
  </si>
  <si>
    <t>ESTILETE DE ALGODÃO GRANDE</t>
  </si>
  <si>
    <t>QS.640.28</t>
  </si>
  <si>
    <t>ESTILETE DE ALGODÃO MÉDIO</t>
  </si>
  <si>
    <t>QS.640.16</t>
  </si>
  <si>
    <t>ESTILETE DE ALGODÃO PEQUENO</t>
  </si>
  <si>
    <t>GANCHO DE GILLES DELICADO</t>
  </si>
  <si>
    <t>JACARÉ HASTE CURTA</t>
  </si>
  <si>
    <t>JACARÉ HASTE LONGA</t>
  </si>
  <si>
    <t>KELLY CURVO</t>
  </si>
  <si>
    <t>KELLY RETA</t>
  </si>
  <si>
    <t>PORTA AGULHA HEGAR</t>
  </si>
  <si>
    <t>ADSON SEM DENTE</t>
  </si>
  <si>
    <t>TERSOURA IRIS</t>
  </si>
  <si>
    <t>KOCKER RETO</t>
  </si>
  <si>
    <t xml:space="preserve">MOSQUITO RETO </t>
  </si>
  <si>
    <t>PINÇA BIÓPSIA GINECOLOGICA</t>
  </si>
  <si>
    <t>PINÇA BIÓPSIA OUVIDO</t>
  </si>
  <si>
    <t>PINÇA PEAN CURVA</t>
  </si>
  <si>
    <t>POZZY</t>
  </si>
  <si>
    <t>SONDA ITARD COM GUIA</t>
  </si>
  <si>
    <t>SONDA ITARD </t>
  </si>
  <si>
    <t>TESOURA DE GESSO INFANTIL</t>
  </si>
  <si>
    <t>TESOURA GINECOLOGICA</t>
  </si>
  <si>
    <t>TESOURA IRIS</t>
  </si>
  <si>
    <t>QW.919.11</t>
  </si>
  <si>
    <t>TESOURA SPENSER</t>
  </si>
  <si>
    <t>Extrator de Grampos</t>
  </si>
  <si>
    <t xml:space="preserve">abaixador de língua </t>
  </si>
  <si>
    <t>Aspirador Atraumático 3</t>
  </si>
  <si>
    <t>Aspirador Atraumático 3,5</t>
  </si>
  <si>
    <t>Gancho Gilles delicado</t>
  </si>
  <si>
    <t>Quantidade</t>
  </si>
  <si>
    <t>Referência CESTO</t>
  </si>
  <si>
    <t>AMIGDALA</t>
  </si>
  <si>
    <t>JF212R</t>
  </si>
  <si>
    <t>ASPIRADOR HEMORROIDA</t>
  </si>
  <si>
    <t>BUCO ESPECIAL</t>
  </si>
  <si>
    <t>CANULAS DE LIPOASPIRAÇÃO</t>
  </si>
  <si>
    <t>JF211R</t>
  </si>
  <si>
    <t>CLAMP VASCULAR</t>
  </si>
  <si>
    <t>JF112R</t>
  </si>
  <si>
    <t>CISTOSCOPIA</t>
  </si>
  <si>
    <t>COMPL.GINECOLOGICO</t>
  </si>
  <si>
    <t>CURETAGEM</t>
  </si>
  <si>
    <t>FISTULA ARTERIAL</t>
  </si>
  <si>
    <t>VARIZES</t>
  </si>
  <si>
    <t>GERAL MÉDIA</t>
  </si>
  <si>
    <t xml:space="preserve">GERAL PEQUENA </t>
  </si>
  <si>
    <t>HEMORROIDA</t>
  </si>
  <si>
    <t>RESSECÇÃO ENDOSCÓPICA</t>
  </si>
  <si>
    <t>HISTEROSCOPIA</t>
  </si>
  <si>
    <t>HISTEROSCOPIA DIAG.2.7MM</t>
  </si>
  <si>
    <t>MICRO URO</t>
  </si>
  <si>
    <t>KIT MERINGO</t>
  </si>
  <si>
    <t>PLASTICA</t>
  </si>
  <si>
    <t>JF213R</t>
  </si>
  <si>
    <t>RINOSSEPTO</t>
  </si>
  <si>
    <t>LAPAROSCOPIA ESPECIAL</t>
  </si>
  <si>
    <t>JF214R</t>
  </si>
  <si>
    <t>VASECTOMIA</t>
  </si>
  <si>
    <t>VELAS HEGAR</t>
  </si>
  <si>
    <t>VELAS GROSSAS</t>
  </si>
  <si>
    <t>REDUÇÃO FRATURA NASAL</t>
  </si>
  <si>
    <t>MICRO LARINGE</t>
  </si>
  <si>
    <t>HISTERECTOMIA</t>
  </si>
  <si>
    <t>SEPTO ENDONASAL</t>
  </si>
  <si>
    <t>SEPTO FACTORY</t>
  </si>
  <si>
    <t>MASTECTOMIA</t>
  </si>
  <si>
    <t>COMPL. UROLOGICO</t>
  </si>
  <si>
    <t>CIRURGIA GINECOLÓGICA (PERINEO)</t>
  </si>
  <si>
    <t>URGÊNCIA GERAL</t>
  </si>
  <si>
    <t>TIMPANOMASTOIDE</t>
  </si>
  <si>
    <t>COMPL. VASCULAR</t>
  </si>
  <si>
    <t>TIREOIDECTOMIA</t>
  </si>
  <si>
    <t>PINÇAS HISTEROSCOPIA</t>
  </si>
  <si>
    <t>ESTOJO INOX PERFURADO 50X10X5CM (662.250)</t>
  </si>
  <si>
    <t>ESTOJO CAIXA PERFURADA 18X8X5CM (134.133)</t>
  </si>
  <si>
    <t>Forncedor Referencia</t>
  </si>
  <si>
    <t>ANVISA</t>
  </si>
  <si>
    <t>DESCRIÇÃO</t>
  </si>
  <si>
    <t>REFERENCIA</t>
  </si>
  <si>
    <t>PREÇO UNITARIO</t>
  </si>
  <si>
    <t>24-395-19</t>
  </si>
  <si>
    <t>24-337-02</t>
  </si>
  <si>
    <t>24-337-01</t>
  </si>
  <si>
    <t>24-182-00</t>
  </si>
  <si>
    <t>06-132-12</t>
  </si>
  <si>
    <t>06-270-12</t>
  </si>
  <si>
    <t>09-828-00</t>
  </si>
  <si>
    <t>09-575-00</t>
  </si>
  <si>
    <t>09-721-01</t>
  </si>
  <si>
    <t>09-662-13</t>
  </si>
  <si>
    <t>09-822-00</t>
  </si>
  <si>
    <t>23-726-12</t>
  </si>
  <si>
    <t>09-162-12</t>
  </si>
  <si>
    <t>09-162-14</t>
  </si>
  <si>
    <t>09-573-00</t>
  </si>
  <si>
    <t>09-572-00</t>
  </si>
  <si>
    <t>09-576-00</t>
  </si>
  <si>
    <t>09-740-19</t>
  </si>
  <si>
    <t>09-283-01</t>
  </si>
  <si>
    <t>09-283-04</t>
  </si>
  <si>
    <t>09-283-05</t>
  </si>
  <si>
    <t>24-425-15</t>
  </si>
  <si>
    <t>24-501-40</t>
  </si>
  <si>
    <t>24-505-40</t>
  </si>
  <si>
    <t>09-345-24</t>
  </si>
  <si>
    <t>09-341-01</t>
  </si>
  <si>
    <t>09-341-02</t>
  </si>
  <si>
    <t>09-187-16</t>
  </si>
  <si>
    <t>09-646-20</t>
  </si>
  <si>
    <t>09-661-10</t>
  </si>
  <si>
    <t>13-875-15</t>
  </si>
  <si>
    <t>03-180-06</t>
  </si>
  <si>
    <t>22-308-06</t>
  </si>
  <si>
    <t>22-308-08</t>
  </si>
  <si>
    <t>22-308-10</t>
  </si>
  <si>
    <t>22-308-15</t>
  </si>
  <si>
    <t>22-308-20</t>
  </si>
  <si>
    <t>22-308-12</t>
  </si>
  <si>
    <t>03-180-08</t>
  </si>
  <si>
    <t>03-180-09</t>
  </si>
  <si>
    <t>03-180-11</t>
  </si>
  <si>
    <t>03-240-27</t>
  </si>
  <si>
    <t>04-180-41</t>
  </si>
  <si>
    <t>14-612-15</t>
  </si>
  <si>
    <t>14-610-17</t>
  </si>
  <si>
    <t>14-611-16</t>
  </si>
  <si>
    <t>14-607-20</t>
  </si>
  <si>
    <t>14-612-17</t>
  </si>
  <si>
    <t>14-612-16</t>
  </si>
  <si>
    <t>14-447-16</t>
  </si>
  <si>
    <t>14-553-15</t>
  </si>
  <si>
    <t>14-456-20</t>
  </si>
  <si>
    <t>14-461-26</t>
  </si>
  <si>
    <t>14-455-15</t>
  </si>
  <si>
    <t>14-491-25</t>
  </si>
  <si>
    <t>14-491-26</t>
  </si>
  <si>
    <t>14-121-26</t>
  </si>
  <si>
    <t>13-504-10</t>
  </si>
  <si>
    <t>13-505-02</t>
  </si>
  <si>
    <t>20-854-07</t>
  </si>
  <si>
    <t>20-854-08</t>
  </si>
  <si>
    <t>20-854-09</t>
  </si>
  <si>
    <t>20-864-06</t>
  </si>
  <si>
    <t>13-502-10</t>
  </si>
  <si>
    <t>13-502-30</t>
  </si>
  <si>
    <t>13-503-01</t>
  </si>
  <si>
    <t>13-503-02</t>
  </si>
  <si>
    <t>23-556-18</t>
  </si>
  <si>
    <t>23-585-16</t>
  </si>
  <si>
    <t>25-177-06</t>
  </si>
  <si>
    <t>09-950-09</t>
  </si>
  <si>
    <t>09-950-16</t>
  </si>
  <si>
    <t>09-956-30</t>
  </si>
  <si>
    <t>09-950-17</t>
  </si>
  <si>
    <t>09-974-29</t>
  </si>
  <si>
    <t>23-109-02</t>
  </si>
  <si>
    <t>23-109-03</t>
  </si>
  <si>
    <t>23-120-01</t>
  </si>
  <si>
    <t>23-120-02</t>
  </si>
  <si>
    <t>23-120-03</t>
  </si>
  <si>
    <t>18-701-15</t>
  </si>
  <si>
    <t>20-400-19</t>
  </si>
  <si>
    <t>20-400-20</t>
  </si>
  <si>
    <t>20-400-21</t>
  </si>
  <si>
    <t>20-400-22</t>
  </si>
  <si>
    <t>20-400-23</t>
  </si>
  <si>
    <t>20-400-24</t>
  </si>
  <si>
    <t>20-400-25</t>
  </si>
  <si>
    <t>20-400-26</t>
  </si>
  <si>
    <t>20-400-11</t>
  </si>
  <si>
    <t>20-400-12</t>
  </si>
  <si>
    <t>20-400-13</t>
  </si>
  <si>
    <t>20-400-14</t>
  </si>
  <si>
    <t>20-400-15</t>
  </si>
  <si>
    <t>20-400-16</t>
  </si>
  <si>
    <t>20-400-17</t>
  </si>
  <si>
    <t>20-400-18</t>
  </si>
  <si>
    <t>20-401-11</t>
  </si>
  <si>
    <t>20-251-03</t>
  </si>
  <si>
    <t>20-251-02</t>
  </si>
  <si>
    <t>20-252-03</t>
  </si>
  <si>
    <t>20-252-04</t>
  </si>
  <si>
    <t>20-251-01</t>
  </si>
  <si>
    <t>20-252-02</t>
  </si>
  <si>
    <t>20-314-30</t>
  </si>
  <si>
    <t>20-315-30</t>
  </si>
  <si>
    <t>20-315-35</t>
  </si>
  <si>
    <t>05-794-12</t>
  </si>
  <si>
    <t>05-762-11</t>
  </si>
  <si>
    <t>20-110-01</t>
  </si>
  <si>
    <t>20-110-03</t>
  </si>
  <si>
    <t>20-110-02</t>
  </si>
  <si>
    <t>17-166-01</t>
  </si>
  <si>
    <t>09-118-01</t>
  </si>
  <si>
    <t>09-154-13</t>
  </si>
  <si>
    <t>13-860-18</t>
  </si>
  <si>
    <t>13-916-22</t>
  </si>
  <si>
    <t>20-501-32</t>
  </si>
  <si>
    <t>07-191-12</t>
  </si>
  <si>
    <t>07-190-12</t>
  </si>
  <si>
    <t>07-481-01</t>
  </si>
  <si>
    <t>06-280-12</t>
  </si>
  <si>
    <t>18-104-15</t>
  </si>
  <si>
    <t>18-104-25</t>
  </si>
  <si>
    <t>18-104-19</t>
  </si>
  <si>
    <t>06-100-14</t>
  </si>
  <si>
    <t>06-100-16</t>
  </si>
  <si>
    <t>06-100-18</t>
  </si>
  <si>
    <t>06-100-25</t>
  </si>
  <si>
    <t>06-100-20</t>
  </si>
  <si>
    <t>06-100-30</t>
  </si>
  <si>
    <t>23-801-23</t>
  </si>
  <si>
    <t>18-190-16</t>
  </si>
  <si>
    <t>07-181-01</t>
  </si>
  <si>
    <t>07-331-18</t>
  </si>
  <si>
    <t>07-681-13</t>
  </si>
  <si>
    <t>13-924-13</t>
  </si>
  <si>
    <t>22-609-16</t>
  </si>
  <si>
    <t>22-607-14</t>
  </si>
  <si>
    <t>23-257-01</t>
  </si>
  <si>
    <t>08-184-25</t>
  </si>
  <si>
    <t>07-152-16</t>
  </si>
  <si>
    <t>07-251-16</t>
  </si>
  <si>
    <t>07-250-16</t>
  </si>
  <si>
    <t>06-346-17</t>
  </si>
  <si>
    <t>06-180-17</t>
  </si>
  <si>
    <t>06-732-17</t>
  </si>
  <si>
    <t>06-650-20</t>
  </si>
  <si>
    <t>06-650-16</t>
  </si>
  <si>
    <t>06-250-14</t>
  </si>
  <si>
    <t>06-250-16</t>
  </si>
  <si>
    <t>06-250-25</t>
  </si>
  <si>
    <t>06-250-30</t>
  </si>
  <si>
    <t>06-250-18</t>
  </si>
  <si>
    <t>06-250-20</t>
  </si>
  <si>
    <t>07-573-20</t>
  </si>
  <si>
    <t>08-225-25</t>
  </si>
  <si>
    <t>08-222-18</t>
  </si>
  <si>
    <t>08-222-25</t>
  </si>
  <si>
    <t>07-407-13</t>
  </si>
  <si>
    <t>07-407-18</t>
  </si>
  <si>
    <t>06-340-18</t>
  </si>
  <si>
    <t>06-320-15</t>
  </si>
  <si>
    <t>07-521-24</t>
  </si>
  <si>
    <t>19-107-22</t>
  </si>
  <si>
    <t>19-105-22</t>
  </si>
  <si>
    <t>19-103-22</t>
  </si>
  <si>
    <t>19-101-23</t>
  </si>
  <si>
    <t>07-231-14</t>
  </si>
  <si>
    <t>07-235-16</t>
  </si>
  <si>
    <t>07-234-16</t>
  </si>
  <si>
    <t>07-230-14</t>
  </si>
  <si>
    <t>07-321-18</t>
  </si>
  <si>
    <t>07-321-16</t>
  </si>
  <si>
    <t>07-320-18</t>
  </si>
  <si>
    <t>07-320-16</t>
  </si>
  <si>
    <t>07-320-14</t>
  </si>
  <si>
    <t>06-272-12</t>
  </si>
  <si>
    <t>07-431-19</t>
  </si>
  <si>
    <t>07-437-22</t>
  </si>
  <si>
    <t>07-439-23</t>
  </si>
  <si>
    <t>20-576-08</t>
  </si>
  <si>
    <t>06-448-23</t>
  </si>
  <si>
    <t>07-170-16</t>
  </si>
  <si>
    <t>20-542-25</t>
  </si>
  <si>
    <t>07-266-20</t>
  </si>
  <si>
    <t>07-311-18</t>
  </si>
  <si>
    <t>07-310-18</t>
  </si>
  <si>
    <t>24-750-01</t>
  </si>
  <si>
    <t>24-754-01</t>
  </si>
  <si>
    <t>23-806-03</t>
  </si>
  <si>
    <t>23-806-02</t>
  </si>
  <si>
    <t>23-806-01</t>
  </si>
  <si>
    <t>07-585-21</t>
  </si>
  <si>
    <t>21-261-01</t>
  </si>
  <si>
    <t>21-260-01</t>
  </si>
  <si>
    <t>11-604-15</t>
  </si>
  <si>
    <t>11-604-18</t>
  </si>
  <si>
    <t>11-604-20</t>
  </si>
  <si>
    <t>11-540-13</t>
  </si>
  <si>
    <t>11-553-26</t>
  </si>
  <si>
    <t>11-314-14</t>
  </si>
  <si>
    <t>11-314-20</t>
  </si>
  <si>
    <t>11-314-18</t>
  </si>
  <si>
    <t>11-314-16</t>
  </si>
  <si>
    <t>11-314-26</t>
  </si>
  <si>
    <t>11-552-16</t>
  </si>
  <si>
    <t>11-552-18</t>
  </si>
  <si>
    <t>11-552-20</t>
  </si>
  <si>
    <t>11-552-26</t>
  </si>
  <si>
    <t>11-566-20</t>
  </si>
  <si>
    <t>11-566-23</t>
  </si>
  <si>
    <t>11-562-15</t>
  </si>
  <si>
    <t>11-562-18</t>
  </si>
  <si>
    <t>11-562-23</t>
  </si>
  <si>
    <t>23-688-01</t>
  </si>
  <si>
    <t>23-694-02</t>
  </si>
  <si>
    <t>23-668-01</t>
  </si>
  <si>
    <t>13-623-17</t>
  </si>
  <si>
    <t>13-625-17</t>
  </si>
  <si>
    <t>13-599-15</t>
  </si>
  <si>
    <t>13-598-15</t>
  </si>
  <si>
    <t>20-613-17</t>
  </si>
  <si>
    <t>09-186-16</t>
  </si>
  <si>
    <t>10-150-14</t>
  </si>
  <si>
    <t>05-474-16</t>
  </si>
  <si>
    <t>05-832-20</t>
  </si>
  <si>
    <t>05-830-14</t>
  </si>
  <si>
    <t>05-591-11</t>
  </si>
  <si>
    <t>05-170-14</t>
  </si>
  <si>
    <t>05-170-17</t>
  </si>
  <si>
    <t>05-240-14</t>
  </si>
  <si>
    <t>05-390-45</t>
  </si>
  <si>
    <t>05-915-23</t>
  </si>
  <si>
    <t>05-494-19</t>
  </si>
  <si>
    <t>05-590-11</t>
  </si>
  <si>
    <t>05-311-15</t>
  </si>
  <si>
    <t>05-171-14</t>
  </si>
  <si>
    <t>05-171-17</t>
  </si>
  <si>
    <t>05-211-14</t>
  </si>
  <si>
    <t>05-221-15</t>
  </si>
  <si>
    <t>05-231-18</t>
  </si>
  <si>
    <t>05-231-20</t>
  </si>
  <si>
    <t>05-231-23</t>
  </si>
  <si>
    <t>05-220-15</t>
  </si>
  <si>
    <t>05-404-19</t>
  </si>
  <si>
    <t>05-403-19</t>
  </si>
  <si>
    <t>26-430-04</t>
  </si>
  <si>
    <t>14-347-06</t>
  </si>
  <si>
    <t>14-346-07</t>
  </si>
  <si>
    <t>13-978-23</t>
  </si>
  <si>
    <t>27-304-06</t>
  </si>
  <si>
    <t>HB5618-18</t>
  </si>
  <si>
    <t>14-262-15</t>
  </si>
  <si>
    <t>14-262-20</t>
  </si>
  <si>
    <t>23-563-23</t>
  </si>
  <si>
    <t>13-414-02</t>
  </si>
  <si>
    <t>13-416-16</t>
  </si>
  <si>
    <t>13-442-18</t>
  </si>
  <si>
    <t>20-400-01</t>
  </si>
  <si>
    <t>20-400-10</t>
  </si>
  <si>
    <t>20-400-02</t>
  </si>
  <si>
    <t>20-400-03</t>
  </si>
  <si>
    <t>20-400-09</t>
  </si>
  <si>
    <t>20-400-08</t>
  </si>
  <si>
    <t>20-400-07</t>
  </si>
  <si>
    <t>20-400-06</t>
  </si>
  <si>
    <t>20-400-05</t>
  </si>
  <si>
    <t>20-400-04</t>
  </si>
  <si>
    <t>20-401-01</t>
  </si>
  <si>
    <t>20-401-10</t>
  </si>
  <si>
    <t>20-401-02</t>
  </si>
  <si>
    <t>20-401-03</t>
  </si>
  <si>
    <t>20-401-04</t>
  </si>
  <si>
    <t>20-401-05</t>
  </si>
  <si>
    <t>20-401-06</t>
  </si>
  <si>
    <t>20-401-07</t>
  </si>
  <si>
    <t>20-401-08</t>
  </si>
  <si>
    <t>20-401-09</t>
  </si>
  <si>
    <t>UPL-052S</t>
  </si>
  <si>
    <t>UPL-101</t>
  </si>
  <si>
    <t>UPL-154</t>
  </si>
  <si>
    <t>06-652-20</t>
  </si>
  <si>
    <t>06-652-24</t>
  </si>
  <si>
    <t>06-652-18</t>
  </si>
  <si>
    <t>02-150-20</t>
  </si>
  <si>
    <t>02-150-25</t>
  </si>
  <si>
    <t>AI2145</t>
  </si>
  <si>
    <t>20-292-01</t>
  </si>
  <si>
    <t>23-860-01</t>
  </si>
  <si>
    <t>23-860-02</t>
  </si>
  <si>
    <t>23-860-03</t>
  </si>
  <si>
    <t>23-860-04</t>
  </si>
  <si>
    <t>13-342-08</t>
  </si>
  <si>
    <t>13-342-10</t>
  </si>
  <si>
    <t>13-190-20</t>
  </si>
  <si>
    <t>20-544-25</t>
  </si>
  <si>
    <t>23-732-16</t>
  </si>
  <si>
    <t>09-740-14</t>
  </si>
  <si>
    <t>09-631-10</t>
  </si>
  <si>
    <t>14-341-08</t>
  </si>
  <si>
    <t>14-340-08</t>
  </si>
  <si>
    <t>06-740-20</t>
  </si>
  <si>
    <t>06-740-18</t>
  </si>
  <si>
    <t>11-514-21</t>
  </si>
  <si>
    <t>06-270-15</t>
  </si>
  <si>
    <t>04-150-03</t>
  </si>
  <si>
    <t>27-300-06</t>
  </si>
  <si>
    <t>23-545-16</t>
  </si>
  <si>
    <t>23-134-02</t>
  </si>
  <si>
    <t>13-342-04</t>
  </si>
  <si>
    <t>09-152-02</t>
  </si>
  <si>
    <t>23-281-12</t>
  </si>
  <si>
    <t>23-610-04</t>
  </si>
  <si>
    <t>23-610-07</t>
  </si>
  <si>
    <t>23-257-02</t>
  </si>
  <si>
    <t>15-772-01</t>
  </si>
  <si>
    <t>15-772-02</t>
  </si>
  <si>
    <t>15-772-03</t>
  </si>
  <si>
    <t>23-283-12</t>
  </si>
  <si>
    <t>09-968-50</t>
  </si>
  <si>
    <t>09-968-45</t>
  </si>
  <si>
    <t>18-200-20</t>
  </si>
  <si>
    <t>07-571-20</t>
  </si>
  <si>
    <t>08-225-18</t>
  </si>
  <si>
    <t>09-721-02</t>
  </si>
  <si>
    <t>09-221-02</t>
  </si>
  <si>
    <t>07-713-16</t>
  </si>
  <si>
    <t>06-652-30</t>
  </si>
  <si>
    <t>06-444-23</t>
  </si>
  <si>
    <t>18-251-28</t>
  </si>
  <si>
    <t>18-190-20</t>
  </si>
  <si>
    <t>07-349-24</t>
  </si>
  <si>
    <t>07-407-28</t>
  </si>
  <si>
    <t>07-320-20</t>
  </si>
  <si>
    <t>07-321-20</t>
  </si>
  <si>
    <t>14-491-24</t>
  </si>
  <si>
    <t>QC.400.120</t>
  </si>
  <si>
    <t>07-211-10</t>
  </si>
  <si>
    <t>07-210-10</t>
  </si>
  <si>
    <t>22-104-01</t>
  </si>
  <si>
    <t>09-190-14</t>
  </si>
  <si>
    <t>13-992-37</t>
  </si>
  <si>
    <t>07-320-26</t>
  </si>
  <si>
    <t>07-310-20</t>
  </si>
  <si>
    <t>05-215-14</t>
  </si>
  <si>
    <t>N/COTAMOS</t>
  </si>
  <si>
    <t>AI1415</t>
  </si>
  <si>
    <t>AI1797</t>
  </si>
  <si>
    <t>INCLUSO EM  AI1797</t>
  </si>
  <si>
    <t xml:space="preserve">NÃO COTAMOS </t>
  </si>
  <si>
    <t>AI0466</t>
  </si>
  <si>
    <t>NÃO COTAMOS</t>
  </si>
  <si>
    <t>AI1273</t>
  </si>
  <si>
    <t>AI00494</t>
  </si>
  <si>
    <t>AI00500</t>
  </si>
  <si>
    <t>AI00386</t>
  </si>
  <si>
    <t>20-292-02</t>
  </si>
  <si>
    <t>607-001</t>
  </si>
  <si>
    <t>351-040</t>
  </si>
  <si>
    <t>607-027</t>
  </si>
  <si>
    <t>23-221-20</t>
  </si>
  <si>
    <t>23-611-06</t>
  </si>
  <si>
    <t>AI1272</t>
  </si>
  <si>
    <t>INCLUSO AI1272</t>
  </si>
  <si>
    <t>20-250-01</t>
  </si>
  <si>
    <t>AI0465</t>
  </si>
  <si>
    <t>25-153-21</t>
  </si>
  <si>
    <t>INCLUSO NO 24-182-00</t>
  </si>
  <si>
    <t>AI00459</t>
  </si>
  <si>
    <t>AI0503</t>
  </si>
  <si>
    <t>AI0309</t>
  </si>
  <si>
    <t>AI0282</t>
  </si>
  <si>
    <t>13-540-03</t>
  </si>
  <si>
    <t>13-540-04</t>
  </si>
  <si>
    <t>13-234-22</t>
  </si>
  <si>
    <t>09-234-01</t>
  </si>
  <si>
    <t>23-632-10</t>
  </si>
  <si>
    <t>24-505-55</t>
  </si>
  <si>
    <t>AI0082</t>
  </si>
  <si>
    <t>24-525-22</t>
  </si>
  <si>
    <t>24-521-22</t>
  </si>
  <si>
    <t>AI1994</t>
  </si>
  <si>
    <t>HB7440-02</t>
  </si>
  <si>
    <t>HB2097-14</t>
  </si>
  <si>
    <t>20-222-01</t>
  </si>
  <si>
    <t>11-556-18</t>
  </si>
  <si>
    <t>19-381-23</t>
  </si>
  <si>
    <t>19-383-24</t>
  </si>
  <si>
    <t>22-411-01</t>
  </si>
  <si>
    <t>22-411-02</t>
  </si>
  <si>
    <t>22-409-02</t>
  </si>
  <si>
    <t>22-409-03</t>
  </si>
  <si>
    <t>22-409-04</t>
  </si>
  <si>
    <t>HB6401-08</t>
  </si>
  <si>
    <t>HB3614-06</t>
  </si>
  <si>
    <t>23-662-00</t>
  </si>
  <si>
    <t>AI1996</t>
  </si>
  <si>
    <t>03-340-09</t>
  </si>
  <si>
    <t>03-340-12</t>
  </si>
  <si>
    <t>10-230-12</t>
  </si>
  <si>
    <t>10-230-14</t>
  </si>
  <si>
    <t>10-230-16</t>
  </si>
  <si>
    <t>23-830-21</t>
  </si>
  <si>
    <t>23-905-30</t>
  </si>
  <si>
    <t>23-131-04</t>
  </si>
  <si>
    <t>23-131-03</t>
  </si>
  <si>
    <t>23-131-01</t>
  </si>
  <si>
    <t>23-131-02</t>
  </si>
  <si>
    <t>22-411-00</t>
  </si>
  <si>
    <t>22-411-03</t>
  </si>
  <si>
    <t>23-112-13</t>
  </si>
  <si>
    <t>22-656-08</t>
  </si>
  <si>
    <t>22-656-16</t>
  </si>
  <si>
    <t>22-666-20</t>
  </si>
  <si>
    <t>AI00501</t>
  </si>
  <si>
    <t>HB5649</t>
  </si>
  <si>
    <t>11-168-14</t>
  </si>
  <si>
    <t>23-960-11</t>
  </si>
  <si>
    <r>
      <t> </t>
    </r>
    <r>
      <rPr>
        <sz val="9"/>
        <rFont val="Arial"/>
        <family val="2"/>
      </rPr>
      <t>AI2299</t>
    </r>
  </si>
  <si>
    <t>Y300.01</t>
  </si>
  <si>
    <t>Kit de curativo                                   KELLY RETO</t>
  </si>
  <si>
    <t xml:space="preserve">                                                              ANATÔMICA DE 14 CM</t>
  </si>
  <si>
    <t xml:space="preserve">                                                            DENTE RATO 14 CM</t>
  </si>
  <si>
    <t>13-556-16</t>
  </si>
  <si>
    <t>13-510-10</t>
  </si>
  <si>
    <t>17-140-01</t>
  </si>
  <si>
    <t>CESTO</t>
  </si>
  <si>
    <t>PLAQUETA IDENTIFICAÇÃO</t>
  </si>
  <si>
    <t>14-433-22</t>
  </si>
  <si>
    <t>HB1403-01</t>
  </si>
  <si>
    <t>14-500-23</t>
  </si>
  <si>
    <t>14-500-19</t>
  </si>
  <si>
    <t>HB3962-01</t>
  </si>
  <si>
    <t>AI1881</t>
  </si>
  <si>
    <t>NÃO  COTAMOS</t>
  </si>
  <si>
    <t>23-134-01</t>
  </si>
  <si>
    <t>23-950-11</t>
  </si>
  <si>
    <t>HB5449-25</t>
  </si>
  <si>
    <t>HB5448-25</t>
  </si>
  <si>
    <t>HB5448-35</t>
  </si>
  <si>
    <t>HB5441</t>
  </si>
  <si>
    <t>HB5446</t>
  </si>
  <si>
    <t>HB5451-20</t>
  </si>
  <si>
    <t>HB5458-03</t>
  </si>
  <si>
    <t>HB5458-02</t>
  </si>
  <si>
    <t>HB1935</t>
  </si>
  <si>
    <t>HB5460</t>
  </si>
  <si>
    <t>23-735-20</t>
  </si>
  <si>
    <t>23-584-21</t>
  </si>
  <si>
    <t>23-636-02</t>
  </si>
  <si>
    <t>23-636-03</t>
  </si>
  <si>
    <t>23-522-15</t>
  </si>
  <si>
    <t>AI0729</t>
  </si>
  <si>
    <t>22-736-11</t>
  </si>
  <si>
    <t>22-821-17</t>
  </si>
  <si>
    <t>22-835-18</t>
  </si>
  <si>
    <t>22-100-26</t>
  </si>
  <si>
    <t>15-750-02</t>
  </si>
  <si>
    <t>AI2061</t>
  </si>
  <si>
    <t>23-950-12</t>
  </si>
  <si>
    <t>23-950-01</t>
  </si>
  <si>
    <t>23-970-02</t>
  </si>
  <si>
    <t>HB0107</t>
  </si>
  <si>
    <t>HB0105</t>
  </si>
  <si>
    <t>HB0375-20</t>
  </si>
  <si>
    <t>AI0997</t>
  </si>
  <si>
    <t>Afastador de Língua Bruenings 19cm,15,0x19mm</t>
  </si>
  <si>
    <t>Afastador Balfour 70,0x35,0x180mm Lâmina 45x80mm</t>
  </si>
  <si>
    <t>Gancho Converse Afiado, 12cm</t>
  </si>
  <si>
    <t>Afastador Desmarres 16cm 12mm</t>
  </si>
  <si>
    <t>Afastador Desmarres 16cm 14mm</t>
  </si>
  <si>
    <t>Afastador Farabeuf Conjunto Completo, 12cm</t>
  </si>
  <si>
    <t>Afastador Farabeuf Conjunto Completo, 15cm</t>
  </si>
  <si>
    <t>Afastador Farabeuf Conjunto Completo, 17x20cm</t>
  </si>
  <si>
    <t xml:space="preserve">Afastador Farabeuf Conjunto Completo, 10x6 </t>
  </si>
  <si>
    <t xml:space="preserve">FINOCHIETTO Afastador de Costelas, 45x65x200mm </t>
  </si>
  <si>
    <t>Afastador Gelpi 19cm</t>
  </si>
  <si>
    <t>Afastador Langenbeck 22cm 30,0x11mm</t>
  </si>
  <si>
    <t>Afastador Langenbeck 22cm 40,0x11mm</t>
  </si>
  <si>
    <t>Afastador Langenbeck 22cm 50,0x11mm</t>
  </si>
  <si>
    <t>Afastador Richardson 24cm 28,0x20mm</t>
  </si>
  <si>
    <t>Afastador Richardson 24cm 36,0x28mm</t>
  </si>
  <si>
    <t>Afastador Richardson 24cm</t>
  </si>
  <si>
    <t>Afastador Weitlaner 13cm 3,0x4,0 dentes afiados</t>
  </si>
  <si>
    <t>Afastador Weitlaner 20cm 3,0x4,0 dentes afiados</t>
  </si>
  <si>
    <t>Marcador de mama Freeman Aço Inoxidável, Dupla Face, 2 Tamanhos 34/36mm</t>
  </si>
  <si>
    <t>Canula de Sucção Frazier 19cm, 6 Fr/Ch</t>
  </si>
  <si>
    <t>Canula de Sucção Frazier 19cm, 8 Fr/Ch</t>
  </si>
  <si>
    <t>Canula de Sucção Frazier 19cm, 9 Fr/Ch</t>
  </si>
  <si>
    <t>Canula de Sucção Frazier 19cm, 11 Fr/Ch</t>
  </si>
  <si>
    <t>Canula de Sucção Yankauer 27cm</t>
  </si>
  <si>
    <t>Especulo Oftalmológico Adulto Barraquer (Colibri) 4cm</t>
  </si>
  <si>
    <t>Paquímetro Castroviejo Faixa de Medição: 20mm</t>
  </si>
  <si>
    <t>Badeja Rim , 200*95*35mm</t>
  </si>
  <si>
    <t>Cúpula Redonda, capacidade de 170ml, diamentro de 88mm</t>
  </si>
  <si>
    <t>Cureta Uterina Recamier 31cm, 7mm, Fig. 1, rombos, Rígida</t>
  </si>
  <si>
    <t>Cureta Uterina Recamier 31cm, 8mm, Fig. 2, rombos, Rígida</t>
  </si>
  <si>
    <t>Cureta Uterina Recamier 31cm, 9mm, Fig. 3, rombos, Rígida</t>
  </si>
  <si>
    <t>Cureta Óssea Volkmann 17cm Fig 0</t>
  </si>
  <si>
    <t>Cureta Óssea Volkmann 17cm Fig 000</t>
  </si>
  <si>
    <t>Cureta Óssea Volkmann 17cm Fig 1</t>
  </si>
  <si>
    <t>Cureta Óssea Volkmann 17cm Fig 2</t>
  </si>
  <si>
    <t>Elevador de septo Freer Retoafiados /Rombo, 18cm</t>
  </si>
  <si>
    <t>Elevador Periósteo Cottle Septo Curvo 23cm</t>
  </si>
  <si>
    <t>Afastador Maleavel  200,0x9.5mm</t>
  </si>
  <si>
    <t>Afastador Maleavel  200,0x17mm</t>
  </si>
  <si>
    <t>Killian Espéculo Nasal Reto 13cm, 35mm Fig 1</t>
  </si>
  <si>
    <t>Killian Espéculo Nasal Reto 13cm, 50mm Fig 2</t>
  </si>
  <si>
    <t>Killian Espéculo Nasal Reto 13cm, 75mm Fig 3</t>
  </si>
  <si>
    <t>Gancho Gillies 18cm Fig 1</t>
  </si>
  <si>
    <t>Afastador Guthrie 16cm afiado</t>
  </si>
  <si>
    <t>Sonda Uterina Sims 32cm, Maleável</t>
  </si>
  <si>
    <t>Proveta, capacidade de 1000ml, diamentro de 102*126mm</t>
  </si>
  <si>
    <t>Martelo  Williger Ø 20mm 140g 16.5cm</t>
  </si>
  <si>
    <t>Martelo Lucae Ø 25mm 260g 19cm</t>
  </si>
  <si>
    <t>Paquímetro Castroviejo Faixa de Medição: 15mm</t>
  </si>
  <si>
    <t>Pinça Arterial Halsted-Mosquito Serr Curva 12.5cm</t>
  </si>
  <si>
    <t>Pinça Arterial Halsted-Mosquito Serr Reta 12.5cm</t>
  </si>
  <si>
    <t>Pinças Hemostáticas Schnidt-Sawtell Tonsil 19cm</t>
  </si>
  <si>
    <t>Pinca de Tecido Adson-Brown 12cm</t>
  </si>
  <si>
    <t>Pinca de Tecido Adson 1:2º 12cm</t>
  </si>
  <si>
    <t>Pinca para Curativo Adson 12cm</t>
  </si>
  <si>
    <t>Pinça de retenção de tecidos e órgãos Allis 5:6 dentes, 15cm</t>
  </si>
  <si>
    <t>Pinça de retenção de tecidos e órgãos Allis 5:6 dentes, 19cm</t>
  </si>
  <si>
    <t>Pinça de retenção de tecidos e órgãos Allis 5:6 dentes, 25cm</t>
  </si>
  <si>
    <t>Pinca para Curativo Padrão 14.5cm</t>
  </si>
  <si>
    <t>Pinca para Curativo Padrão 16cm</t>
  </si>
  <si>
    <t>Pinca para Curativo Padrão 20cm</t>
  </si>
  <si>
    <t>Pinca para Curativo Padrão 25cm</t>
  </si>
  <si>
    <t>Pinca para Curativo Padrão 30cm</t>
  </si>
  <si>
    <t>Pinça Backaus ponta bolinha, 13cm</t>
  </si>
  <si>
    <t>Pinça de toalha de padrão delicado Backhaus 13cm</t>
  </si>
  <si>
    <t>Pinca para Curativo de Ouvido Lucae 14cm</t>
  </si>
  <si>
    <t>Pinça Cheron para pólipos e tecidos 25cm</t>
  </si>
  <si>
    <t>Pinca de Tecido Vascular Não Traumático De Bakey 18cm 2mm</t>
  </si>
  <si>
    <t>Pinca de Tecido Vascular Não Traumático De Bakey 20cm 2mm</t>
  </si>
  <si>
    <t>Pinca para tecidos vasculares não traumáticos De Bakey 24cm 2mm</t>
  </si>
  <si>
    <t>Pinca de Tecido 1:2º 14.5cm</t>
  </si>
  <si>
    <t>Pinca de Tecido 1:2º 16cm</t>
  </si>
  <si>
    <t>Pinca de Tecido 1:2º 20cm</t>
  </si>
  <si>
    <t>Pinca de Tecido 1:2º 25cm</t>
  </si>
  <si>
    <t>Pinca de Tecido 1:2º 30cm</t>
  </si>
  <si>
    <t>Pinca de Tecidos Gillies 1x2 dentes 15cm</t>
  </si>
  <si>
    <t>Pinça Arterial Kelly Curva 14cm</t>
  </si>
  <si>
    <t>Pinça Arterial Kelly-Rankin Curva 16cm</t>
  </si>
  <si>
    <t>Pinça Arterial Kelly-Rankin Reta 16cm</t>
  </si>
  <si>
    <t>Pinça Arterial Kelly Reta 14cm</t>
  </si>
  <si>
    <t>Pinça Arterial Kocher (Ochsner) 1/2 Curva 16cm</t>
  </si>
  <si>
    <t>Pinça Arterial Kocher (Ochsner) 1/2th Reta 14cm</t>
  </si>
  <si>
    <t>Pinça Arterial Kocher (Ochsner) 1/2 Reta 16cm</t>
  </si>
  <si>
    <t>Pinça Arterial Kocher (Ochsner) 1/2 Reta 18cm</t>
  </si>
  <si>
    <t>Pinça Magil para Cateter 20cm Pediátrica</t>
  </si>
  <si>
    <t>Pinça Magil para Cateter 25cm Adulto</t>
  </si>
  <si>
    <t>Pinça Arterial Baby-Mister 14cm</t>
  </si>
  <si>
    <t>Pinça Arterial Baby-Mixter, Pinça de Dissecção e Ligadura 18cm</t>
  </si>
  <si>
    <t>Pinça para brônquios e dutos biliares 19cm</t>
  </si>
  <si>
    <t>Pinça para brônquios e dutos biliares 22cm</t>
  </si>
  <si>
    <t>Pinca de Tecido Cushing 1x2 dentes Reto (a) 17.5cm</t>
  </si>
  <si>
    <t>Pinça Winter Placenta e Ovum 28cm, Fig. 1 sem cremalheira</t>
  </si>
  <si>
    <t>Porta-agulhas de madeira crile com mini perfil T/C 15cm</t>
  </si>
  <si>
    <t>Porta-agulhas de madeira crile com perfil normal t/c Reta 18cm</t>
  </si>
  <si>
    <t>Porta-agulhas de madeira crile com perfil normal t/c Reta 20cm</t>
  </si>
  <si>
    <t>Porta Agulhas Halsey com T/C liso 13cm</t>
  </si>
  <si>
    <t>Mayo Hegar Porta Agulha, 14cm, com videa - TC</t>
  </si>
  <si>
    <t>Porta-agulhas Mayo-Hegar com perfil normal T/C 18cm</t>
  </si>
  <si>
    <t>Porta-agulhas Mayo-Hegar com perfil normal T/C 20cm</t>
  </si>
  <si>
    <t>Porta-agulhas Mayo-Hegar com perfil normal T/C 26cm</t>
  </si>
  <si>
    <t>Pinças Pozzi Tenaculum 25.5cm</t>
  </si>
  <si>
    <t xml:space="preserve">Regua em aço cirurgico, com medidas em cm, 30cm </t>
  </si>
  <si>
    <t>Afastador Senn-Miller 16cm 7,0x8.5mm Sharp</t>
  </si>
  <si>
    <t>Afastador Senn-Miller 16cm 7,0 x 8,5 mm sem corte</t>
  </si>
  <si>
    <t>Tentacanula 14.5cm</t>
  </si>
  <si>
    <t>Tesoura para Olhos Iris Curva 11.5cm</t>
  </si>
  <si>
    <t>Tesoura para Olhos Iris Reta 11.5cm</t>
  </si>
  <si>
    <t>Tesoura de Dissecação Mayo Curva 17cm</t>
  </si>
  <si>
    <t>Tesoura de Dissecação Mayo Reta 17cm</t>
  </si>
  <si>
    <t>Tesoura de Dissecação Metzenbaum Curva Romba/Romba, 14.5cm</t>
  </si>
  <si>
    <t>Tesoura de Dissecação Metzenbaum Curva 20cm</t>
  </si>
  <si>
    <t>Tesoura de Dissecação Metzenbaum Curva 23cm</t>
  </si>
  <si>
    <t>Tesoura de Dissecação Metzenbaum Curva 18cm</t>
  </si>
  <si>
    <t>Especulo Vaginal Auvard 83,0x38mm, 0,91kg, fixo</t>
  </si>
  <si>
    <t>Especulo Vaginal Auvard 83,0x38mm, 1,14 kg, fixo</t>
  </si>
  <si>
    <t>Especulo Vaginal Doyen Ligeiramente Côncavo 115,0x45mm Fig 3</t>
  </si>
  <si>
    <t>Especulo Vaginal Doyen Ligeiramente Côncavo 115,0x60mm Fig 3</t>
  </si>
  <si>
    <t>Especulo Vaginal Doyen Ligeiramente Côncavo 160,0x60mm Fig 4</t>
  </si>
  <si>
    <t>Especulo Vaginal Doyen Ligeiramente Côncavo 55,0x45mm Fig 1</t>
  </si>
  <si>
    <t>Especulo Vaginal Doyen Ligeiramente Côncavo 85,0x45mm Fig 2</t>
  </si>
  <si>
    <t>Especulo Vaginal Doyen Ligeiramente Côncavo 85,0x60mm Fig 2</t>
  </si>
  <si>
    <t>Isento</t>
  </si>
  <si>
    <t>81897719003</t>
  </si>
  <si>
    <t>PREÇO TOTAL</t>
  </si>
  <si>
    <t>51-274-34 / 51-274-38 /51-274-42</t>
  </si>
  <si>
    <t>FX.14.465</t>
  </si>
  <si>
    <t>FX.18.436</t>
  </si>
  <si>
    <t>FX.18.072</t>
  </si>
  <si>
    <t>FX.60.640</t>
  </si>
  <si>
    <t>Mordaça de boca de Mc Ivor completa</t>
  </si>
  <si>
    <t>Cureta Adenóide Beckmann Reto22cm,13mm, Fig 1</t>
  </si>
  <si>
    <t>Cureta Adenóide Beckmann Reto22cm, 15mm, Fig 2</t>
  </si>
  <si>
    <t>Cureta Adenóide Beckmann Reto22cm, 17mm, Fig 3</t>
  </si>
  <si>
    <t>Cureta Adenóide Beckmann Reto22cm, 21mm, Fig 4</t>
  </si>
  <si>
    <t>Curva do Dissecador Hurd 22.5cm, 6mm</t>
  </si>
  <si>
    <t>Canfield Tonsil Faca Curvo 21cm</t>
  </si>
  <si>
    <t>Pinca para curativos de Ouvido Jansen 16cm</t>
  </si>
  <si>
    <t>Pinça de Pólipo Nasal Bruenings 19cm Fig 1</t>
  </si>
  <si>
    <t>Pinça Hartmann para pólipo nasal Curva 20cm</t>
  </si>
  <si>
    <t>Pinça Arterial Rochester Pean Curva 18cm</t>
  </si>
  <si>
    <t>Pinça Arterial Rochester Pean Reta 18cm</t>
  </si>
  <si>
    <t>Porta-agulhas Mayo-Hegar 20cm</t>
  </si>
  <si>
    <t>ISENTO</t>
  </si>
  <si>
    <t>FX.61.856</t>
  </si>
  <si>
    <t>Afastador de Língua Wieder 45x150mm</t>
  </si>
  <si>
    <t>Afastador de Língua Wieder 38x140mm</t>
  </si>
  <si>
    <t>Afastador Cawood Minnesota 15.5cm</t>
  </si>
  <si>
    <t>Afastador de Tecido mole Obwegeser 21.5cm, 40,0 x 11mm</t>
  </si>
  <si>
    <t>Afastador de Tecidos moles Obwegeser 22cm, 40,0 x 11mm</t>
  </si>
  <si>
    <t>Afastador de Tecido mole Obwegeser 22cm, 55,0 x 11mm</t>
  </si>
  <si>
    <t>Afastador Obwegeser Ramus 22cm, 70,0x11mm</t>
  </si>
  <si>
    <t>Afastador Obwegeser Ramus 22cm, 42,0x10mm</t>
  </si>
  <si>
    <t>Pinça Luer Bone Rongeur 15cm</t>
  </si>
  <si>
    <t>Cinelli Cinelli Reto16cm, 10mm</t>
  </si>
  <si>
    <t>Alicate de corte de fio 22 cm T/C</t>
  </si>
  <si>
    <t>Simon Cureta Óssea 24cm Fig 3</t>
  </si>
  <si>
    <t>Simon Cureta Óssea 24cm Fig 4</t>
  </si>
  <si>
    <t>Joseph Septum Elevador Periósteo Curvo 16cm 6.5mm</t>
  </si>
  <si>
    <t>Elevador Dingman (Molt), 6.5mm18cm</t>
  </si>
  <si>
    <t>Afastador Maleavel  200,0x16mm</t>
  </si>
  <si>
    <t>Afastador Kocher 1 Dente Afiado 22cm</t>
  </si>
  <si>
    <t>Pinças Jansen Bone Ronguer 18cm</t>
  </si>
  <si>
    <t>Cottle Osteótomo Curvo 18cm, 6mm</t>
  </si>
  <si>
    <t>Mini-Lambotte Osteótomo 17cm 8mm</t>
  </si>
  <si>
    <t>Osteótomo Mini-Lambotte 17cm 10mm</t>
  </si>
  <si>
    <t>Curva de pinça de septo Asch 23cm</t>
  </si>
  <si>
    <t>Pinça de Desimpactação Rowe Direito</t>
  </si>
  <si>
    <t>Pinça de Desimpactação Rowe Esquerda</t>
  </si>
  <si>
    <t>Pinça de Septo Walsham Direita 23cm</t>
  </si>
  <si>
    <t>Pinça de septo Walsham esquerda 23 cm</t>
  </si>
  <si>
    <t>Pinça de septo Walsham reta 23 cm</t>
  </si>
  <si>
    <t>Pinça de torção de fio 20cm T/C</t>
  </si>
  <si>
    <t>Grosa Lewis Fino 18cm 15,0x8mm Fino</t>
  </si>
  <si>
    <t>Farabeuf Periósteo Raspatório 15cm</t>
  </si>
  <si>
    <t>Tesoura de corte de fio universal 12cm serra borda</t>
  </si>
  <si>
    <t>Pinça Vascular Cooley Atrauma Cardiovascular Multiuso 17cm</t>
  </si>
  <si>
    <t>Pinça Vascular Cooley Atrauma Cardiovascular Multiuso 15cm</t>
  </si>
  <si>
    <t>Pinça Vascular Cooley Atrauma Cardiovascular Multiuso 16cm</t>
  </si>
  <si>
    <t>Pinça para Anastomose Cardiovascular Cooley Atrauma 20cm</t>
  </si>
  <si>
    <t>Pinça Vascular Periférica Cardiovascular DeBakey Atrauma 16cm</t>
  </si>
  <si>
    <t>Pinça Vascular Multifuncional DeBakey Atrauma Cardiovascular 15cm</t>
  </si>
  <si>
    <t>Pinça Cardiovascular Bainbridge Atrauma 15cm</t>
  </si>
  <si>
    <t>Pinças Schroeder Tenaculum 25cm</t>
  </si>
  <si>
    <t>Mayo-Hegar (Heaney) N/Suporte com T/C Perfil Normal 26cm</t>
  </si>
  <si>
    <t>Tesoura Paramétrio Com T/C Ligeiro Curva 23cm</t>
  </si>
  <si>
    <t>Especulo Vaginal Breisky e Afastador 100,0x30mm Fig 3</t>
  </si>
  <si>
    <t>Especulo Vaginal Breisky e Afastador 130,0x30mm Fig 3</t>
  </si>
  <si>
    <t>Especulo Vaginal Breisky e Afastador 130,0x35mm Fig 4</t>
  </si>
  <si>
    <t>Cureta Uterina Sims 26cm, 6mm, Fig. 0, rombos, Rígida</t>
  </si>
  <si>
    <t>Espéculos vaginais de Collin 110,0x40mm</t>
  </si>
  <si>
    <t>Espéculos vaginais de Collin 100,0x35cm</t>
  </si>
  <si>
    <t>Espéculos vaginais de Collin 85,0x30mm</t>
  </si>
  <si>
    <t>Pinça Foerster para pólipos e tecidos Reta Serr 25cm</t>
  </si>
  <si>
    <t>Pinça Museux Tenaculum Reta 24cm, 8mm</t>
  </si>
  <si>
    <t>Pinça Randall para cálculos renais 22cm Fig 3</t>
  </si>
  <si>
    <t>Pinça Winter Placenta e Ovum Reta 28cm, Fig. 1 sem cremalheira</t>
  </si>
  <si>
    <t>Afastador de extremidade de botão pontiagudo Fomon 16cm</t>
  </si>
  <si>
    <t>Afastador Gelpi 14cm</t>
  </si>
  <si>
    <t>Afastador Jansen 10.0cm 3.0x3.0 dentes rombos</t>
  </si>
  <si>
    <t>Grampo De Bakey Atraumatica Bulldog  Curvo (a) 8cm</t>
  </si>
  <si>
    <t>Grampo Bulldog  De Bakey Atraumatica Reto (a) 8.5cm</t>
  </si>
  <si>
    <t>Dilatador Vascular De Bakey Maleável 19cm, Ø 1.5mm</t>
  </si>
  <si>
    <t>Dilatador Vascular De Bakey Maleável 19cm, Ø 2mm</t>
  </si>
  <si>
    <t>Afastador Rollet Afiado 13cm</t>
  </si>
  <si>
    <t>Pinca de Dissecção Cushing com T/C Reto (a) 17.5cm (Perfil Normal)</t>
  </si>
  <si>
    <t>Pinca de Tecido Vascular Não Traumático De Bakey 16cm 1.5mm</t>
  </si>
  <si>
    <t>Pinca de Tecido Vascular Não Traumático De Bakey 20cm 1.5mm</t>
  </si>
  <si>
    <t>Pinça Foerster para pólipos e tecidos Reta Serr 18cm</t>
  </si>
  <si>
    <t>Pinca de Dissecção Potts-Smith com T/C 20cm (Perfil Normal)</t>
  </si>
  <si>
    <t>Pinca de Dissecção Potts-Smith com T/C 18cm (Perfil Normal)</t>
  </si>
  <si>
    <t>Porta Agulhas Micro Castroviejo Com T/C Reta Micro Perfil 21cm</t>
  </si>
  <si>
    <t>Porta-agulhas Mayo-Hegar 18cm</t>
  </si>
  <si>
    <t>Porta Agulhas Ryder (Martin) com mini perfil T/C 18cm</t>
  </si>
  <si>
    <t>Tesoura de Dissecação Metzenbaum Reta 14.5cm (borda da serra)</t>
  </si>
  <si>
    <t>Tesoura para Cirurgia Cardiovascular Dietrich 18cm 45º</t>
  </si>
  <si>
    <t>Tesoura de Dissecação Mayo Curva 14.5cm</t>
  </si>
  <si>
    <t>Tesoura de Dissecação Metzenbaum Curva 15cm</t>
  </si>
  <si>
    <t>Tesoura de Dissecação Metzenbaum Reta 15cm</t>
  </si>
  <si>
    <t>Pinça Arterial Crile-Rankin Serr Curva 16cm</t>
  </si>
  <si>
    <t>Pinça Arterial Crile-Rankin Serr Reta 16cm</t>
  </si>
  <si>
    <t>Tesoura de Dissecação Mayo Reta 14.5cm</t>
  </si>
  <si>
    <t>Tesoura de Cirurgia Cardiovascular Potts-Smith 19cm 60º</t>
  </si>
  <si>
    <t>Pinca para Curativo Padrão 18cm</t>
  </si>
  <si>
    <t>Pinca de Tecido 1:2º 18cm</t>
  </si>
  <si>
    <t>Pinça Arterial Kocher (Ochsner) 1/2 Curva 18cm</t>
  </si>
  <si>
    <t>Rochester-Carmalt Artéria Foceps Serr Reta 20cm</t>
  </si>
  <si>
    <t>FX.61.852</t>
  </si>
  <si>
    <t>FX.61.327</t>
  </si>
  <si>
    <t>FX.61.266</t>
  </si>
  <si>
    <t>Cureta Óssea Bruns 17cm Fig 0</t>
  </si>
  <si>
    <t>Cureta Óssea Bruns 17cm Fig 2</t>
  </si>
  <si>
    <t>Espéculo Retal Sims 15cm 70,0x15mm</t>
  </si>
  <si>
    <t>Sondas Lockhart-Mummery, levemente curvada, 16.5cm</t>
  </si>
  <si>
    <t>Pinça de retenção de órgãos e tecidos Collin 16.5cm</t>
  </si>
  <si>
    <t>Pinca para Curativo Cushing Reto (a) 17.5cm</t>
  </si>
  <si>
    <t>Porta-agulhas Mayo-Hegar 14cm</t>
  </si>
  <si>
    <t>Porta-agulhas Mayo-Hegar 26cm</t>
  </si>
  <si>
    <t>FX.61.951</t>
  </si>
  <si>
    <t>Pinça Suiça finas, No.7, 12cm</t>
  </si>
  <si>
    <t>Pinça Suiça finas, No.5, 12cm</t>
  </si>
  <si>
    <t>Porta agulha Castroviejo, serrilhado, reto, TC, 14cm, sem catraca"</t>
  </si>
  <si>
    <t>Micro tesoura, curva, 12cm,</t>
  </si>
  <si>
    <t>Canula de Sucção House 0,8mm</t>
  </si>
  <si>
    <t>Canula de Sucção House 1mm</t>
  </si>
  <si>
    <t>Canula de Sucção House 1.5mm</t>
  </si>
  <si>
    <t>Canula de Sucção House 2mm</t>
  </si>
  <si>
    <t>Freer Rinoplástico e Faca Nasal Reto15cm</t>
  </si>
  <si>
    <t>Buck Curette Str, Rombo, 16.5cm, Fig. 1</t>
  </si>
  <si>
    <t>Especulo de Ouvido Hartmann 4mm</t>
  </si>
  <si>
    <t>Especulo de Ouvido Hartmann 5.0mm</t>
  </si>
  <si>
    <t>Especulo de ouvido Hartmann 7mm</t>
  </si>
  <si>
    <t>Agulha Lucae Paracentesis Curvo 18cm</t>
  </si>
  <si>
    <t>Gerzog – Sexton Paracentesis Needle Curvo 17cm</t>
  </si>
  <si>
    <t>Micro Pinça para Ouvido Reta, serrilhado, 0,6x4mm, haste de 8cm</t>
  </si>
  <si>
    <t>Aplicadores de Algodão Mod-Martin 12cm 1,2mm</t>
  </si>
  <si>
    <t>Pinca de Tecido Adson 1:2º 15cm</t>
  </si>
  <si>
    <t>Porta-agulhas Mayo-Hegar com perfil normal T/C 16cm</t>
  </si>
  <si>
    <t>Afastador Cottle – Neivert 20cm,</t>
  </si>
  <si>
    <t>Triturador de Cartilagem Cottle 65,0x30,0x30mm</t>
  </si>
  <si>
    <t>Cabo de Bisturi 12cm # 3</t>
  </si>
  <si>
    <t>Elevador Periósteo Cottle Septo Reto21cm4,5x4.5mm</t>
  </si>
  <si>
    <t>Joseph Septo Elevador Curvo 16cm</t>
  </si>
  <si>
    <t>Beckmann Espéculo Nasal Reto 13cm 12mm</t>
  </si>
  <si>
    <t>Hartmann Espéculo Nasal Reto 15cm, 35mm Fig 2</t>
  </si>
  <si>
    <t>Osteótomo Prata Direito 18cm 5mm</t>
  </si>
  <si>
    <t>Osteótomo Prata Esquerdo 18cm 5mm</t>
  </si>
  <si>
    <t>Mini-Lambotte Osteótomo 17cm 4mm</t>
  </si>
  <si>
    <t>Afastador Joseph 16cm 2mm</t>
  </si>
  <si>
    <t>Fórceps de corte nasal Takahashi 19cm, eixo 120mm reto</t>
  </si>
  <si>
    <t>Grosa Nasal Miller – Colburn Reto (a) 19cm, Fig. 1</t>
  </si>
  <si>
    <t>Grosa Fomon Reto, 40,0x7mm 20cm, Nº 3-4</t>
  </si>
  <si>
    <t>Amígdala Cottle e Tesoura Nasal 16cm</t>
  </si>
  <si>
    <t>Heymann Tonsil &amp; Tesoura Nasal 19cm</t>
  </si>
  <si>
    <t>Hartmann Espéculo Nasal Reto 15cm, 30mm Fig 1</t>
  </si>
  <si>
    <t>Martelo Ø 25mm 140g 18cm</t>
  </si>
  <si>
    <t>Cottle Osteótomo Reto18cm, 4mm</t>
  </si>
  <si>
    <t>Cottle Osteótomo Reto18cm, 7mm</t>
  </si>
  <si>
    <t>Pinças Sinuscópio Stanzen Punches 1,5x6mm 12cm</t>
  </si>
  <si>
    <t>Pinça de punção Blakesley, (corte direto), 45° curvado para cima, 2.5mm, 110mm</t>
  </si>
  <si>
    <t>Pinça de punção Blakesley, (corte direto), reta, 2.5mm, 110mm</t>
  </si>
  <si>
    <t>Pinça de punção Blakesley, (corte direto), reta, 3.5mm, 110mm</t>
  </si>
  <si>
    <t>Pinça de Pólipo Nasal Bruenings 19cm Fig 2</t>
  </si>
  <si>
    <t>Pinça nasal (biópsia), 70° curvado para cima, 3x4.5mm, 8cm</t>
  </si>
  <si>
    <t>Pinça de punção (corte), 70° curvado para cima, 1,5x5mm, 8cm</t>
  </si>
  <si>
    <t>Pinça de punção Gruenwald-Henke, (corte direto), reta, 3mm, 120mm</t>
  </si>
  <si>
    <t>Kerrison Internertebral Disc Rongeur 18cm, 1mm 40° para cima</t>
  </si>
  <si>
    <t>Kerrison Internertebral Disc Rongeur 18cm, 2mm 40° para cima</t>
  </si>
  <si>
    <t>Kerrison Internertebral Disc Rongeur 18cm, 3mm 40° para cima</t>
  </si>
  <si>
    <t>Pinça para Punção de antro Stammberger, curva à esquerda de 90°, 1 mm</t>
  </si>
  <si>
    <t>Pinça para Punção de antro Stammberger, 90° curvado à direita, 1mm</t>
  </si>
  <si>
    <t>Fórceps de corte nasal Takahashi 19cm, eixo de 120mm Curva do para cima</t>
  </si>
  <si>
    <t>Gancho Ostium Seeker para narinas posteriores, 20cm</t>
  </si>
  <si>
    <t>Tesoura nasal Heymann, 18cm</t>
  </si>
  <si>
    <t>Tesoura nasal, reta, 13.5cm</t>
  </si>
  <si>
    <t>Pinca de Tecido Micro-Adson 1x2 dentes 12cm, 0,12mm</t>
  </si>
  <si>
    <t>Pinça Arterial Pean (Murphy) 16cm</t>
  </si>
  <si>
    <t>Dilatador Uterino Hegar Ø 1mm com extremidade simples com alça inclinada</t>
  </si>
  <si>
    <t>Dilatador Uterino Hegar Ø 1,5 mm com extremidade simples com alça inclinada</t>
  </si>
  <si>
    <t>Dilatador Uterino Hegar Ø 2mm com extremidade simples com alça inclinada</t>
  </si>
  <si>
    <t>Dilatador Uterino Hegar Ø 2,5 mm com extremidade simples com alça inclinada</t>
  </si>
  <si>
    <t>Dilatador Uterino Hegar Ø 3mm com extremidade simples com alça inclinada</t>
  </si>
  <si>
    <t>Dilatador Uterino Hegar Ø 3,5 mm com extremidade simples com alça inclinada</t>
  </si>
  <si>
    <t>Dilatador Uterino Hegar Ø 4mm com extremidade simples com alça inclinada</t>
  </si>
  <si>
    <t>Dilatador Uterino Hegar Ø 4,5 mm com extremidade simples com alça inclinada</t>
  </si>
  <si>
    <t>Dilatador Uterino Hegar Ø 5mm com extremidade simples com alça inclinada</t>
  </si>
  <si>
    <t>Dilatador Uterino Hegar Ø 5,5 mm com extremidade simples com alça inclinada</t>
  </si>
  <si>
    <t>Dilatador Uterino Hegar Ø 6mm com extremidade simples com alça inclinada</t>
  </si>
  <si>
    <t>Dilatador Uterino Hegar Ø 6,5 mm com extremidade simples com alça inclinada</t>
  </si>
  <si>
    <t>Dilatador Uterino Hegar Ø 7mm com extremidade simples com alça inclinada</t>
  </si>
  <si>
    <t>Dilatador Uterino Hegar Ø 7,5 mm com extremidade simples com alça inclinada</t>
  </si>
  <si>
    <t>Dilatador Uterino Hegar Ø 8mm com extremidade simples com cabo inclinado</t>
  </si>
  <si>
    <t>Dilatador Uterino Hegar Ø 8,5 mm com extremidade simples com alça inclinada</t>
  </si>
  <si>
    <t>Dilatador Uterino Hegar Ø 9mm com extremidade simples com alça inclinada</t>
  </si>
  <si>
    <t>Dilatador Uterino Hegar Ø 9,5 mm com extremidade simples com alça inclinada</t>
  </si>
  <si>
    <t>Dilatador Uterino Hegar Ø 10mm com extremidade simples com alça inclinada</t>
  </si>
  <si>
    <t>Dilatador Uterino Hegar Ø 10,5 mm com extremidade simples com alça inclinada</t>
  </si>
  <si>
    <t>Dilatador Uterino Hegar Ø 11mm com extremidade simples com cabo inclinado</t>
  </si>
  <si>
    <t>Dilatador Uterino Hegar Ø 11,5 mm com extremidade simples com alça inclinada</t>
  </si>
  <si>
    <t>Dilatador Uterino Hegar Ø 12mm com extremidade simples com alça inclinada</t>
  </si>
  <si>
    <t>Dilatador Uterino Hegar Ø 13mm com extremidade simples com alça inclinada</t>
  </si>
  <si>
    <t>Dilatador Uterino Hegar Ø 14mm com extremidade simples com alça inclinada</t>
  </si>
  <si>
    <t>Dilatador Uterino Hegar Ø 15mm com extremidade simples com alça inclinada</t>
  </si>
  <si>
    <t>Dilatador Uterino Hegar Ø 16mm com extremidade simples com alça inclinada</t>
  </si>
  <si>
    <t>Dilatador Uterino Hegar Ø 17mm com extremidade simples com alça inclinada</t>
  </si>
  <si>
    <t>Dilatador Uterino Hegar Ø 18mm com extremidade simples com alça inclinada</t>
  </si>
  <si>
    <t>Dilatador Uterino Hegar Ø 19mm com extremidade simples com alça inclinada</t>
  </si>
  <si>
    <t>Dilatador Uterino Hegar Ø 20mm com extremidade simples com alça inclinada</t>
  </si>
  <si>
    <t>Dilatador Uterino Hegar Ø 21mm com extremidade simples com cabo inclinado</t>
  </si>
  <si>
    <t>Dilatador Uterino Hegar Ø 22mm com extremidade simples com alça inclinada</t>
  </si>
  <si>
    <t>Dilatador Uterino Hegar Ø 23mm com extremidade simples com alça inclinada</t>
  </si>
  <si>
    <t>Dilatador Uterino Hegar Ø 24mm com extremidade simples com alça inclinada</t>
  </si>
  <si>
    <t>Dilatador Uterino Hegar Ø 25mm com extremidade simples com cabo inclinado</t>
  </si>
  <si>
    <t>Dilatador Uterino Hegar Ø 26mm com extremidade simples com alça inclinada</t>
  </si>
  <si>
    <t>FX.60.648</t>
  </si>
  <si>
    <t>Afastador Maleavel  Haberer 37,0/45mm 30cm</t>
  </si>
  <si>
    <t>Afastador Maleavel  Haberer 40,0/50mm 30cm</t>
  </si>
  <si>
    <t>Pinça Tecido, Adlerkreutz, 4x5 dentes, 20cm</t>
  </si>
  <si>
    <t>Pinça de retenção de órgãos e tecidos duvais 20cm</t>
  </si>
  <si>
    <t>Pinça de pinça peritoneal Faure 1/2 20cm</t>
  </si>
  <si>
    <t>Pinça Foerster para pólipos e tecidos Curva Serr 18cm</t>
  </si>
  <si>
    <t>Pinça Foerster para pólipos e tecidos Curva Serr 25cm</t>
  </si>
  <si>
    <t>Pinça para brônquios e dutos biliares 23cm</t>
  </si>
  <si>
    <t>Porta-agulhas Mayo-Hegar 16cm</t>
  </si>
  <si>
    <t>Instrumento Doyen Myoma 17cm Ø 14mm</t>
  </si>
  <si>
    <t>Especulo Vaginal Kristeller 110,0x27mm Fig 1</t>
  </si>
  <si>
    <t>FX.61.848</t>
  </si>
  <si>
    <t>Pinças Sinuscópio Stanzen Punches 2,0x6mm 12cm</t>
  </si>
  <si>
    <t>Pinça para Sinuscópio Stammberger Corte Horizontal 90° 3,5x4mm</t>
  </si>
  <si>
    <t>Kerrison Internertebral Disc Rongeur 15cm, 2mm Up Ward</t>
  </si>
  <si>
    <t>Castroviejo Micro Porta Agulhas Reta 14cm Serrilhado com Trava</t>
  </si>
  <si>
    <t>Cateter de Lavagem Siebenmann Curvo (a) 15cm, Ø 3mm</t>
  </si>
  <si>
    <t>Tesoura Sinuscópio Padrão Serrada 12cm</t>
  </si>
  <si>
    <t>FX.60.831</t>
  </si>
  <si>
    <t>FX.60.792</t>
  </si>
  <si>
    <t>FX.61.219</t>
  </si>
  <si>
    <t>FX.62.227</t>
  </si>
  <si>
    <t>Afastador Beckmann-Adson 31cm 25,0x25mm 4,0x4,0 Dentes rombos</t>
  </si>
  <si>
    <t>Afastador Beckmann-Adson 31cm 25,0x31mm 4,0x4,0 Dentes rombos</t>
  </si>
  <si>
    <t>Clamp Glover Atrauma Bulldog Curva 6.5cm</t>
  </si>
  <si>
    <t>Clamp Glover Atrauma Bulldog Reta 7cm</t>
  </si>
  <si>
    <t>Pinça multiuso cardiovascular DeBakey Atrauma 20cm</t>
  </si>
  <si>
    <t>Pinça Potts Atrauma Cardiovascular Coarctação 22cm</t>
  </si>
  <si>
    <t>Pinça DeBakey Atrauma Cardiovascular Aneurisma da Aorta 26cm</t>
  </si>
  <si>
    <t>Pinça de Oclusão Tangencial Cardiovascular Satinsky Atrauma 26.5cm</t>
  </si>
  <si>
    <t>Pinça de Oclusão Tangencial Cardiovascular Satinsky Atrauma 25cm</t>
  </si>
  <si>
    <t>Dissecador Toennis, 3,5/5mm, 24cm</t>
  </si>
  <si>
    <t>Pinça Vascular Multifuncional DeBakey Atrauma Cardiovascular 23cm</t>
  </si>
  <si>
    <t>Pinça Vascular Multifuncional DeBakey Atrauma Cardiovascular 19cm</t>
  </si>
  <si>
    <t>Pinca de Tecidos Gerald 1x2 dentes Reto (a) 18cm</t>
  </si>
  <si>
    <t>Clamp de anastonose Glover, curvado, 70mm, 19.5cm, dentes "DeBakey"</t>
  </si>
  <si>
    <t>Porta-agulhas De Baky com mini perfil T/C 18cm</t>
  </si>
  <si>
    <t>Porta-agulha Ryder-Vascular com micro perfil T/C 20cm</t>
  </si>
  <si>
    <t>Porta Agulhas Ryder-Vascular com micro perfil T/C 23cm</t>
  </si>
  <si>
    <t>Tesoura de Cirurgia Cardiovascular Potts-Smith 19cm 40º</t>
  </si>
  <si>
    <t>FX.60.665</t>
  </si>
  <si>
    <t>Afastador Volkmann 2 pinos sem corte 22cm</t>
  </si>
  <si>
    <t>Pinça de toalha Bernhard 16.5cm</t>
  </si>
  <si>
    <t>Pinca de Tecido Vascular Não Traumático De Bakey 30cm 2mm</t>
  </si>
  <si>
    <t>Pinca de Apreensão de tuttle único 23cm</t>
  </si>
  <si>
    <t>Porta Agulhas Ryder (Martin) com mini perfil T/C 15cm</t>
  </si>
  <si>
    <t>Porta Agulhas Ryder (Martin) com mini perfil T/C 23cm</t>
  </si>
  <si>
    <t>Pinça de corte de osso Stille-Liston Reta 23cm</t>
  </si>
  <si>
    <t>Tesoura de esterno Sauerbruch 26cm</t>
  </si>
  <si>
    <t>Pinça Stille-Luer Bone Rongeur 22cm</t>
  </si>
  <si>
    <t>Pinça de pedículo de rim Guyon 24cm</t>
  </si>
  <si>
    <t>Pinça Randall para cálculos renais 22cm Fig 4</t>
  </si>
  <si>
    <t>Pinça Randall para cálculos renais 22cm Fig 2</t>
  </si>
  <si>
    <t>Pinça Randall para cálculos renais 23cm Fig 1</t>
  </si>
  <si>
    <t>Pinça Millin Atraumatica Capsular Curvar, 23.5cm</t>
  </si>
  <si>
    <t>Pinça Millin Capsular Curva, 24.5cm</t>
  </si>
  <si>
    <t>Pinça Vaginal Wertheim-Cullen 21.5cm</t>
  </si>
  <si>
    <t>Doyen Periósteo Raspatório Direito 17cm</t>
  </si>
  <si>
    <t>Doyen Periósteo Raspatório Esquerdo 17cm</t>
  </si>
  <si>
    <t>FX.60.644</t>
  </si>
  <si>
    <t>Especulo Vaginal Doyen Ligeiramente Côncavo 55,0x35mm Fig 1</t>
  </si>
  <si>
    <t>Afastador Balfour 100,0x35,0x250mm Lâmina 70,0x85mm</t>
  </si>
  <si>
    <t>Pinça Intestinal Kocher Forcep Curva 28cm</t>
  </si>
  <si>
    <t>Afastador Maleavel  33cm 30mm</t>
  </si>
  <si>
    <t>Afastador Reverdin 45/60mm 29cm</t>
  </si>
  <si>
    <t>Pinças de retenção de tecidos e órgãos Babcock 20cm</t>
  </si>
  <si>
    <t>Pinças de retenção de tecidos e órgãos Babcock 16cm</t>
  </si>
  <si>
    <t>Pinça Arterial Crafoord, Pinça de Dissecção e Ligadura 24cm</t>
  </si>
  <si>
    <t>Pinça de Oclusão Tangencial Cardiovascular Satinsky Atrauma 24cm</t>
  </si>
  <si>
    <t>Pinça de Dissecção e Ligadura Gêmeos 28cm</t>
  </si>
  <si>
    <t>Pinça Arterial Kocher (Ochsner) 1/2 Curva 20cm</t>
  </si>
  <si>
    <t>Pinça Arterial Kocher (Ochsner) 1/2th Reta 20cm</t>
  </si>
  <si>
    <t>Afastador Weitlaner-Loktite 10.5cm 2,0x3,0 dentes rombos</t>
  </si>
  <si>
    <t>Canula de Sucção House 0,6 mm</t>
  </si>
  <si>
    <t>Canula de Sucção House 1,2 mm</t>
  </si>
  <si>
    <t>Cabo de Bisturi 21.5cm # 4L</t>
  </si>
  <si>
    <t>Chave periosteal raspadora, ligeiramente curvada, 6mm, 19cm</t>
  </si>
  <si>
    <t>Especulo de Ouvido Hartmann 6,5 mm</t>
  </si>
  <si>
    <t>Especulo de Ouvido Hartmann 7,5 mm</t>
  </si>
  <si>
    <t>Hartmann – Halle Espéculo Nasal 15cm 31mm Fig 2</t>
  </si>
  <si>
    <t>Pinça para pólipos de orelha Hartmann, 2,4x1,6x7mm, 8cm</t>
  </si>
  <si>
    <t>Pinça Arterial de Micromosquitos Serr Curva 10cm</t>
  </si>
  <si>
    <t>Pinça Arterial de Micromosquitos Serr Reta 10cm</t>
  </si>
  <si>
    <t>Bellucci Micro tesoura para ouvido Reta, 0,8 x 4mm, haste de 8cm, muito delicada</t>
  </si>
  <si>
    <t>05-316-15</t>
  </si>
  <si>
    <t>Afastador Cushing 20cm 14mm</t>
  </si>
  <si>
    <t>Pinça de Dissecção e Ligadura Gêmeos 13cm</t>
  </si>
  <si>
    <t>Pinça de Dissecção e Ligadura Gêmeos 18cm</t>
  </si>
  <si>
    <t>Pinca de Apreensão Nelson 23cm</t>
  </si>
  <si>
    <t>Tesoura de operação fina Reynold Reta 15cm</t>
  </si>
  <si>
    <t>Tesoura de operação fina Kilner Curva 15cm</t>
  </si>
  <si>
    <t>FX.08.952</t>
  </si>
  <si>
    <t>81897710034</t>
  </si>
  <si>
    <t>Canula de Sucção Fergusson, 9 Fr/Ch</t>
  </si>
  <si>
    <t>Canula de Sucção Fergusson, 12 Fr/Ch</t>
  </si>
  <si>
    <t xml:space="preserve">Frazier/McGuckin Canula de Sucção, 9.FG, 3.0mm, 30°, 19cm </t>
  </si>
  <si>
    <t>Cortador de pino lateral T/C 37.5cm para fios de até Ø 4mm</t>
  </si>
  <si>
    <t>Cureta Óssea Williger 17.5cm Fig 0</t>
  </si>
  <si>
    <t>Cureta Faulkner Reto21cm</t>
  </si>
  <si>
    <t>Cureta Óssea Jansen 16cm</t>
  </si>
  <si>
    <t>Fox Lupus Curette 14cm Fig 1</t>
  </si>
  <si>
    <t>Cottle Espéculo Nasal Curvo 15cm, 90mm Fig 4 com parafuso</t>
  </si>
  <si>
    <t>Cottle Espéculo Nasal Curvo 15cm, 75mm Fig 3 com parafuso</t>
  </si>
  <si>
    <t>Cottle Espéculo Nasal Curvo 15cm, 50mm Fig 2 com parafuso</t>
  </si>
  <si>
    <t>Cottle Espéculo Nasal Curvo 15cm, 35mm Fig 1 com parafuso</t>
  </si>
  <si>
    <t>Especulo de Ouvido Hartmann 3mm</t>
  </si>
  <si>
    <t>Aplicadores de Algodão Mod-Martin 16cm 1,2mm</t>
  </si>
  <si>
    <t>Aplicadores de Algodão Mod-Martin 14cm 1,2mm</t>
  </si>
  <si>
    <t>Pinças Hartmann para Pólipo Auricular Reta 8.5cm</t>
  </si>
  <si>
    <t>Pinças Hartmann para Pólipo Auricular Reta 16.5cm</t>
  </si>
  <si>
    <t>Pinças Hartmann para Pólipo Auricular Reta Ø 2mm</t>
  </si>
  <si>
    <t>Pinça Arterial Kocher (Ochsner) 1/2th Reta 26cm</t>
  </si>
  <si>
    <t>Pinça Arterial Rochester Pean Reta 20cm</t>
  </si>
  <si>
    <t>Tesoura de curativo Esmarch 20cm</t>
  </si>
  <si>
    <t>Tesoura para atadura Lister 14cm</t>
  </si>
  <si>
    <t>Tesoura para Ligadura Spencer 11cm</t>
  </si>
  <si>
    <t>Tesoura de Dissecação Metzenbaum Curva Fina/Fina,  14.5cm</t>
  </si>
  <si>
    <t>FX.60.641</t>
  </si>
  <si>
    <t>FX.60.637</t>
  </si>
  <si>
    <t>FX.61.849</t>
  </si>
  <si>
    <t>FX.61.853</t>
  </si>
  <si>
    <t>FX.60.645</t>
  </si>
  <si>
    <t>FX.60.649</t>
  </si>
  <si>
    <t>FX.62.154</t>
  </si>
  <si>
    <t>10-201-16 / 10-203-16 / 10-205-16</t>
  </si>
  <si>
    <t>Cesto aramado tamanho DIN, sem pés, 484x252x45 mm</t>
  </si>
  <si>
    <t>Cesto aramado compatível com box tamanho 1/2, com pés, dimensões  242x252x95 mm</t>
  </si>
  <si>
    <t>Cesto aramado compatível com box tamanho 1/2, sem pés, dimensões  242x252x65 mm</t>
  </si>
  <si>
    <t>Box de container tamanho 1/2, em alumínio anodizado, dimensões internas 260x260x115 mm</t>
  </si>
  <si>
    <t>Tampa para container tamanho 1/2, com retentor para filtro descartável, silicone em toda extensão para perfeita vedação, cor prata</t>
  </si>
  <si>
    <t>Cesto para mini container, dimensões 270x123x45 mm</t>
  </si>
  <si>
    <t>Hartmann – Halle Espéculo Nasal 15cm 35mm Fig 3</t>
  </si>
  <si>
    <t>Cesto aramado compatível com box tamanho 1/2, sem pés, dimensões  242x252x45 mm</t>
  </si>
  <si>
    <t>Box de container tamanho 3/4, em alumínio anodizado, dimensões internas 430x260x115 mm</t>
  </si>
  <si>
    <t>Tampa para container tamanho 3/4, com sistema de barreira permanente, silicone em toda extensão para perfeita vedação, cor vermelha</t>
  </si>
  <si>
    <t>Cesto aramado compatível com box tamanho 3/4, com pés, dimensões 405x252x95 mm</t>
  </si>
  <si>
    <t>Plaqueta identificação para container, cor vermelha</t>
  </si>
  <si>
    <t>Cesto aramado compatível com box tamanho 1/1, com pés, dimensões  539x252x95 mm</t>
  </si>
  <si>
    <t>Cesto aramado tamanho DIN, sem pés, 484x252x65 mm</t>
  </si>
  <si>
    <t>Cesto aramado tamanho DIN, sem pés, 484x252x95 mm</t>
  </si>
  <si>
    <t>Cesto aramado, com tampa e sistema de fechamento por trava plana deslizante, dimensões externas 195x70x40 mm</t>
  </si>
  <si>
    <t>Cesto aramado tamanho DIN, comm pés, 484x252x60 mm</t>
  </si>
  <si>
    <t>Cesto aramado tamanho DIN, com pés, 484x252x40 mm</t>
  </si>
  <si>
    <t>Cesto aramado compatível com box tamanho 1/2, com pés, dimensões  242x252x60 mm</t>
  </si>
  <si>
    <t>Cesto aramado compatível com box tamanho 1/2, com pés, dimensões  242x252x80 mm</t>
  </si>
  <si>
    <t>Cesto aramado tamanho DIN, com pés, 484x252x80 mm</t>
  </si>
  <si>
    <t>Cesto aramado tamanho DIN, com pés, 484x252x110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</si>
</sst>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41" x14ac:knownFonts="1">
    <font>
      <sz val="11"/>
      <color theme="1"/>
      <name val="Aptos Narrow"/>
      <family val="2"/>
      <scheme val="minor"/>
    </font>
    <font>
      <b/>
      <sz val="12"/>
      <color rgb="FFFFFFFF"/>
      <name val="Aptos Narrow"/>
      <family val="2"/>
    </font>
    <font>
      <sz val="10"/>
      <color rgb="FF000000"/>
      <name val="Aptos Narrow"/>
      <family val="2"/>
    </font>
    <font>
      <sz val="11"/>
      <color rgb="FF000000"/>
      <name val="Aptos Narrow"/>
      <family val="2"/>
    </font>
    <font>
      <sz val="10"/>
      <name val="Aptos Narrow"/>
      <family val="2"/>
    </font>
    <font>
      <sz val="11"/>
      <color rgb="FF000000"/>
      <name val="Calibri"/>
      <family val="2"/>
    </font>
    <font>
      <sz val="9"/>
      <name val="Arial"/>
      <family val="2"/>
    </font>
    <font>
      <sz val="11"/>
      <color rgb="FF212529"/>
      <name val="Aptos Narrow"/>
      <family val="2"/>
    </font>
    <font>
      <sz val="11"/>
      <name val="Aptos Narrow"/>
      <family val="2"/>
    </font>
    <font>
      <sz val="10"/>
      <name val="Arial"/>
      <family val="2"/>
    </font>
    <font>
      <sz val="8"/>
      <color rgb="FF000000"/>
      <name val="Arial"/>
      <family val="2"/>
    </font>
    <font>
      <sz val="11"/>
      <color rgb="FF000000"/>
      <name val="Aptos Narrow"/>
      <family val="2"/>
    </font>
    <font>
      <sz val="11"/>
      <color rgb="FF333333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ptos Narrow"/>
      <family val="2"/>
      <scheme val="minor"/>
    </font>
    <font>
      <b/>
      <sz val="12"/>
      <color rgb="FFFFFFFF"/>
      <name val="Aptos Narrow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FFFFFF"/>
      <name val="Aptos Narrow"/>
      <family val="2"/>
    </font>
    <font>
      <sz val="11"/>
      <name val="Arial"/>
      <family val="2"/>
    </font>
    <font>
      <sz val="9"/>
      <name val="Arial"/>
      <family val="2"/>
    </font>
    <font>
      <sz val="10"/>
      <color rgb="FFFF0000"/>
      <name val="Aptos Narrow"/>
      <family val="2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b/>
      <sz val="9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1"/>
      <color rgb="FF212529"/>
      <name val="Arial"/>
      <family val="2"/>
    </font>
    <font>
      <sz val="11"/>
      <color rgb="FF000000"/>
      <name val="Aptos Narrow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2"/>
      <color theme="0"/>
      <name val="Aptos Narrow"/>
      <family val="2"/>
    </font>
    <font>
      <b/>
      <sz val="10"/>
      <color theme="1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153D64"/>
        <bgColor rgb="FF00008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rgb="FF00008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0" fillId="0" borderId="0" applyNumberFormat="0" applyFill="0" applyBorder="0" applyAlignment="0" applyProtection="0"/>
    <xf numFmtId="44" fontId="16" fillId="0" borderId="0" applyFont="0" applyFill="0" applyBorder="0" applyAlignment="0" applyProtection="0"/>
  </cellStyleXfs>
  <cellXfs count="516">
    <xf numFmtId="0" fontId="0" fillId="0" borderId="0" xfId="0"/>
    <xf numFmtId="0" fontId="2" fillId="0" borderId="1" xfId="0" applyFont="1" applyBorder="1"/>
    <xf numFmtId="0" fontId="3" fillId="0" borderId="2" xfId="0" applyFont="1" applyBorder="1"/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3" fillId="0" borderId="1" xfId="0" applyFont="1" applyBorder="1"/>
    <xf numFmtId="0" fontId="1" fillId="2" borderId="3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2" fillId="0" borderId="6" xfId="0" applyFont="1" applyBorder="1"/>
    <xf numFmtId="0" fontId="2" fillId="0" borderId="7" xfId="0" applyFont="1" applyBorder="1"/>
    <xf numFmtId="0" fontId="2" fillId="0" borderId="10" xfId="0" applyFont="1" applyBorder="1"/>
    <xf numFmtId="0" fontId="2" fillId="0" borderId="11" xfId="0" applyFont="1" applyBorder="1"/>
    <xf numFmtId="0" fontId="3" fillId="0" borderId="1" xfId="0" applyFont="1" applyBorder="1" applyAlignment="1">
      <alignment wrapText="1"/>
    </xf>
    <xf numFmtId="0" fontId="3" fillId="0" borderId="3" xfId="0" applyFont="1" applyBorder="1"/>
    <xf numFmtId="0" fontId="0" fillId="0" borderId="7" xfId="0" applyBorder="1"/>
    <xf numFmtId="0" fontId="4" fillId="6" borderId="1" xfId="0" applyFont="1" applyFill="1" applyBorder="1" applyAlignment="1">
      <alignment wrapText="1"/>
    </xf>
    <xf numFmtId="0" fontId="3" fillId="6" borderId="2" xfId="0" applyFont="1" applyFill="1" applyBorder="1"/>
    <xf numFmtId="0" fontId="0" fillId="6" borderId="0" xfId="0" applyFill="1"/>
    <xf numFmtId="0" fontId="2" fillId="0" borderId="7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7" xfId="0" applyFont="1" applyBorder="1"/>
    <xf numFmtId="0" fontId="0" fillId="0" borderId="7" xfId="0" applyBorder="1" applyAlignment="1">
      <alignment horizontal="center"/>
    </xf>
    <xf numFmtId="0" fontId="2" fillId="6" borderId="1" xfId="0" applyFont="1" applyFill="1" applyBorder="1"/>
    <xf numFmtId="0" fontId="0" fillId="6" borderId="7" xfId="0" applyFill="1" applyBorder="1"/>
    <xf numFmtId="0" fontId="3" fillId="0" borderId="2" xfId="0" applyFont="1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2" borderId="20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3" fillId="6" borderId="2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6" borderId="2" xfId="0" applyFont="1" applyFill="1" applyBorder="1" applyAlignment="1">
      <alignment horizontal="center" wrapText="1"/>
    </xf>
    <xf numFmtId="0" fontId="15" fillId="0" borderId="1" xfId="0" applyFont="1" applyBorder="1" applyAlignment="1">
      <alignment wrapText="1"/>
    </xf>
    <xf numFmtId="0" fontId="3" fillId="0" borderId="18" xfId="0" applyFont="1" applyBorder="1" applyAlignment="1">
      <alignment horizontal="right"/>
    </xf>
    <xf numFmtId="0" fontId="11" fillId="0" borderId="2" xfId="0" applyFont="1" applyBorder="1" applyAlignment="1">
      <alignment horizontal="right"/>
    </xf>
    <xf numFmtId="0" fontId="2" fillId="6" borderId="2" xfId="0" applyFont="1" applyFill="1" applyBorder="1" applyAlignment="1">
      <alignment horizontal="center"/>
    </xf>
    <xf numFmtId="0" fontId="3" fillId="0" borderId="7" xfId="0" applyFont="1" applyBorder="1" applyAlignment="1">
      <alignment horizontal="right"/>
    </xf>
    <xf numFmtId="0" fontId="2" fillId="6" borderId="6" xfId="0" applyFont="1" applyFill="1" applyBorder="1"/>
    <xf numFmtId="0" fontId="2" fillId="6" borderId="1" xfId="0" applyFont="1" applyFill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6" borderId="1" xfId="0" applyFont="1" applyFill="1" applyBorder="1"/>
    <xf numFmtId="0" fontId="3" fillId="6" borderId="2" xfId="0" applyFont="1" applyFill="1" applyBorder="1" applyAlignment="1">
      <alignment horizontal="center"/>
    </xf>
    <xf numFmtId="0" fontId="3" fillId="6" borderId="7" xfId="0" applyFont="1" applyFill="1" applyBorder="1"/>
    <xf numFmtId="0" fontId="2" fillId="6" borderId="1" xfId="0" applyFont="1" applyFill="1" applyBorder="1" applyAlignment="1">
      <alignment wrapText="1"/>
    </xf>
    <xf numFmtId="0" fontId="2" fillId="6" borderId="15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" fillId="6" borderId="12" xfId="0" applyFont="1" applyFill="1" applyBorder="1"/>
    <xf numFmtId="0" fontId="0" fillId="6" borderId="13" xfId="0" applyFill="1" applyBorder="1" applyAlignment="1">
      <alignment horizontal="center"/>
    </xf>
    <xf numFmtId="0" fontId="2" fillId="6" borderId="2" xfId="0" applyFont="1" applyFill="1" applyBorder="1" applyAlignment="1">
      <alignment horizontal="center" wrapText="1"/>
    </xf>
    <xf numFmtId="0" fontId="2" fillId="6" borderId="6" xfId="0" applyFont="1" applyFill="1" applyBorder="1" applyAlignment="1">
      <alignment wrapText="1"/>
    </xf>
    <xf numFmtId="0" fontId="0" fillId="6" borderId="7" xfId="0" applyFill="1" applyBorder="1" applyAlignment="1">
      <alignment horizontal="center"/>
    </xf>
    <xf numFmtId="0" fontId="3" fillId="6" borderId="3" xfId="0" applyFont="1" applyFill="1" applyBorder="1" applyAlignment="1">
      <alignment horizontal="right"/>
    </xf>
    <xf numFmtId="0" fontId="3" fillId="6" borderId="18" xfId="0" applyFont="1" applyFill="1" applyBorder="1" applyAlignment="1">
      <alignment horizontal="right"/>
    </xf>
    <xf numFmtId="0" fontId="2" fillId="6" borderId="7" xfId="0" applyFont="1" applyFill="1" applyBorder="1" applyAlignment="1">
      <alignment wrapText="1"/>
    </xf>
    <xf numFmtId="0" fontId="0" fillId="6" borderId="8" xfId="0" applyFill="1" applyBorder="1" applyAlignment="1">
      <alignment horizontal="center"/>
    </xf>
    <xf numFmtId="0" fontId="0" fillId="6" borderId="7" xfId="0" applyFill="1" applyBorder="1" applyAlignment="1">
      <alignment horizontal="right"/>
    </xf>
    <xf numFmtId="0" fontId="0" fillId="6" borderId="15" xfId="0" applyFill="1" applyBorder="1" applyAlignment="1">
      <alignment horizontal="right"/>
    </xf>
    <xf numFmtId="0" fontId="2" fillId="6" borderId="18" xfId="0" applyFont="1" applyFill="1" applyBorder="1" applyAlignment="1">
      <alignment horizontal="center"/>
    </xf>
    <xf numFmtId="0" fontId="14" fillId="6" borderId="3" xfId="0" applyFont="1" applyFill="1" applyBorder="1" applyAlignment="1">
      <alignment horizontal="center" vertical="center" wrapText="1"/>
    </xf>
    <xf numFmtId="0" fontId="14" fillId="6" borderId="3" xfId="0" applyFont="1" applyFill="1" applyBorder="1" applyAlignment="1">
      <alignment horizontal="right"/>
    </xf>
    <xf numFmtId="0" fontId="14" fillId="6" borderId="3" xfId="0" applyFont="1" applyFill="1" applyBorder="1" applyAlignment="1">
      <alignment horizontal="left" vertical="center" wrapText="1"/>
    </xf>
    <xf numFmtId="0" fontId="13" fillId="6" borderId="1" xfId="0" applyFont="1" applyFill="1" applyBorder="1"/>
    <xf numFmtId="0" fontId="13" fillId="6" borderId="2" xfId="0" applyFont="1" applyFill="1" applyBorder="1" applyAlignment="1">
      <alignment horizontal="right"/>
    </xf>
    <xf numFmtId="0" fontId="2" fillId="6" borderId="5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horizontal="center" wrapText="1"/>
    </xf>
    <xf numFmtId="0" fontId="0" fillId="0" borderId="15" xfId="0" applyBorder="1" applyAlignment="1">
      <alignment horizontal="right"/>
    </xf>
    <xf numFmtId="0" fontId="11" fillId="0" borderId="18" xfId="0" applyFont="1" applyBorder="1" applyAlignment="1">
      <alignment horizontal="right"/>
    </xf>
    <xf numFmtId="0" fontId="15" fillId="0" borderId="2" xfId="0" applyFont="1" applyBorder="1" applyAlignment="1">
      <alignment horizontal="center" wrapText="1"/>
    </xf>
    <xf numFmtId="0" fontId="20" fillId="0" borderId="0" xfId="1"/>
    <xf numFmtId="0" fontId="3" fillId="0" borderId="6" xfId="0" applyFont="1" applyBorder="1" applyAlignment="1">
      <alignment wrapText="1"/>
    </xf>
    <xf numFmtId="0" fontId="1" fillId="3" borderId="14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3" borderId="19" xfId="0" applyFont="1" applyFill="1" applyBorder="1" applyAlignment="1">
      <alignment horizontal="center" wrapText="1"/>
    </xf>
    <xf numFmtId="0" fontId="1" fillId="3" borderId="7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2" borderId="20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21" xfId="0" applyFont="1" applyFill="1" applyBorder="1" applyAlignment="1">
      <alignment horizontal="center" wrapText="1"/>
    </xf>
    <xf numFmtId="0" fontId="1" fillId="3" borderId="17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9" fillId="3" borderId="4" xfId="0" applyFont="1" applyFill="1" applyBorder="1" applyAlignment="1">
      <alignment horizontal="center" wrapText="1"/>
    </xf>
    <xf numFmtId="0" fontId="4" fillId="6" borderId="12" xfId="0" applyFont="1" applyFill="1" applyBorder="1" applyAlignment="1">
      <alignment wrapText="1"/>
    </xf>
    <xf numFmtId="0" fontId="0" fillId="0" borderId="15" xfId="0" applyBorder="1"/>
    <xf numFmtId="0" fontId="3" fillId="0" borderId="9" xfId="0" applyFont="1" applyBorder="1" applyAlignment="1">
      <alignment wrapText="1"/>
    </xf>
    <xf numFmtId="0" fontId="3" fillId="0" borderId="3" xfId="0" applyFont="1" applyBorder="1" applyAlignment="1">
      <alignment horizontal="right"/>
    </xf>
    <xf numFmtId="0" fontId="2" fillId="0" borderId="7" xfId="0" applyFont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5" fillId="6" borderId="1" xfId="0" applyFont="1" applyFill="1" applyBorder="1" applyAlignment="1">
      <alignment wrapText="1"/>
    </xf>
    <xf numFmtId="0" fontId="2" fillId="0" borderId="13" xfId="0" applyFont="1" applyBorder="1" applyAlignment="1">
      <alignment wrapText="1"/>
    </xf>
    <xf numFmtId="0" fontId="5" fillId="4" borderId="13" xfId="0" applyFont="1" applyFill="1" applyBorder="1" applyAlignment="1">
      <alignment horizontal="center" wrapText="1"/>
    </xf>
    <xf numFmtId="0" fontId="11" fillId="0" borderId="15" xfId="0" applyFont="1" applyBorder="1" applyAlignment="1">
      <alignment horizontal="right"/>
    </xf>
    <xf numFmtId="0" fontId="11" fillId="6" borderId="3" xfId="0" applyFont="1" applyFill="1" applyBorder="1"/>
    <xf numFmtId="0" fontId="2" fillId="6" borderId="2" xfId="0" applyFont="1" applyFill="1" applyBorder="1" applyAlignment="1">
      <alignment horizontal="right"/>
    </xf>
    <xf numFmtId="0" fontId="15" fillId="6" borderId="2" xfId="0" applyFont="1" applyFill="1" applyBorder="1" applyAlignment="1">
      <alignment horizontal="right"/>
    </xf>
    <xf numFmtId="0" fontId="15" fillId="6" borderId="7" xfId="0" applyFont="1" applyFill="1" applyBorder="1"/>
    <xf numFmtId="0" fontId="15" fillId="6" borderId="2" xfId="0" applyFont="1" applyFill="1" applyBorder="1" applyAlignment="1">
      <alignment horizontal="center"/>
    </xf>
    <xf numFmtId="0" fontId="19" fillId="2" borderId="3" xfId="0" applyFont="1" applyFill="1" applyBorder="1" applyAlignment="1">
      <alignment horizontal="center" wrapText="1"/>
    </xf>
    <xf numFmtId="0" fontId="19" fillId="2" borderId="4" xfId="0" applyFont="1" applyFill="1" applyBorder="1" applyAlignment="1">
      <alignment horizontal="center" wrapText="1"/>
    </xf>
    <xf numFmtId="0" fontId="11" fillId="0" borderId="0" xfId="0" applyFont="1"/>
    <xf numFmtId="0" fontId="15" fillId="6" borderId="1" xfId="0" applyFont="1" applyFill="1" applyBorder="1"/>
    <xf numFmtId="0" fontId="1" fillId="3" borderId="23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15" xfId="0" applyFont="1" applyBorder="1" applyAlignment="1">
      <alignment horizontal="right"/>
    </xf>
    <xf numFmtId="0" fontId="2" fillId="0" borderId="0" xfId="0" applyFont="1"/>
    <xf numFmtId="0" fontId="20" fillId="0" borderId="0" xfId="1" applyBorder="1"/>
    <xf numFmtId="0" fontId="2" fillId="0" borderId="12" xfId="0" applyFont="1" applyBorder="1"/>
    <xf numFmtId="0" fontId="3" fillId="0" borderId="0" xfId="0" applyFont="1" applyAlignment="1">
      <alignment wrapText="1"/>
    </xf>
    <xf numFmtId="0" fontId="3" fillId="0" borderId="6" xfId="0" applyFont="1" applyBorder="1" applyAlignment="1">
      <alignment horizontal="right" wrapText="1"/>
    </xf>
    <xf numFmtId="0" fontId="3" fillId="0" borderId="0" xfId="0" applyFont="1" applyAlignment="1">
      <alignment horizontal="right" wrapText="1"/>
    </xf>
    <xf numFmtId="0" fontId="3" fillId="0" borderId="6" xfId="0" applyFont="1" applyBorder="1" applyAlignment="1">
      <alignment horizontal="center" wrapText="1"/>
    </xf>
    <xf numFmtId="0" fontId="3" fillId="0" borderId="25" xfId="0" applyFont="1" applyBorder="1" applyAlignment="1">
      <alignment horizontal="center" wrapText="1"/>
    </xf>
    <xf numFmtId="0" fontId="2" fillId="6" borderId="25" xfId="0" applyFont="1" applyFill="1" applyBorder="1" applyAlignment="1">
      <alignment wrapText="1"/>
    </xf>
    <xf numFmtId="0" fontId="17" fillId="6" borderId="3" xfId="0" applyFont="1" applyFill="1" applyBorder="1" applyAlignment="1">
      <alignment horizontal="left" vertical="center" wrapText="1"/>
    </xf>
    <xf numFmtId="0" fontId="15" fillId="6" borderId="2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right" wrapText="1"/>
    </xf>
    <xf numFmtId="0" fontId="2" fillId="0" borderId="1" xfId="0" applyFont="1" applyBorder="1" applyAlignment="1">
      <alignment horizontal="center" wrapText="1"/>
    </xf>
    <xf numFmtId="0" fontId="2" fillId="0" borderId="25" xfId="0" applyFont="1" applyBorder="1" applyAlignment="1">
      <alignment horizontal="center" wrapText="1"/>
    </xf>
    <xf numFmtId="0" fontId="3" fillId="6" borderId="15" xfId="0" applyFont="1" applyFill="1" applyBorder="1" applyAlignment="1">
      <alignment horizontal="right"/>
    </xf>
    <xf numFmtId="0" fontId="10" fillId="6" borderId="7" xfId="0" applyFont="1" applyFill="1" applyBorder="1" applyAlignment="1">
      <alignment wrapText="1"/>
    </xf>
    <xf numFmtId="0" fontId="10" fillId="6" borderId="7" xfId="0" applyFont="1" applyFill="1" applyBorder="1"/>
    <xf numFmtId="0" fontId="19" fillId="2" borderId="7" xfId="0" applyFont="1" applyFill="1" applyBorder="1" applyAlignment="1">
      <alignment horizontal="center" wrapText="1"/>
    </xf>
    <xf numFmtId="0" fontId="3" fillId="6" borderId="18" xfId="0" applyFont="1" applyFill="1" applyBorder="1" applyAlignment="1">
      <alignment horizontal="center"/>
    </xf>
    <xf numFmtId="0" fontId="11" fillId="6" borderId="15" xfId="0" applyFont="1" applyFill="1" applyBorder="1" applyAlignment="1">
      <alignment horizontal="right"/>
    </xf>
    <xf numFmtId="0" fontId="15" fillId="0" borderId="7" xfId="0" applyFont="1" applyBorder="1"/>
    <xf numFmtId="0" fontId="19" fillId="2" borderId="20" xfId="0" applyFont="1" applyFill="1" applyBorder="1" applyAlignment="1">
      <alignment horizontal="center" wrapText="1"/>
    </xf>
    <xf numFmtId="0" fontId="3" fillId="0" borderId="24" xfId="0" applyFont="1" applyBorder="1" applyAlignment="1">
      <alignment horizontal="center" wrapText="1"/>
    </xf>
    <xf numFmtId="0" fontId="3" fillId="0" borderId="15" xfId="0" applyFont="1" applyBorder="1" applyAlignment="1">
      <alignment horizontal="right" wrapText="1"/>
    </xf>
    <xf numFmtId="0" fontId="0" fillId="6" borderId="15" xfId="0" applyFill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15" fillId="0" borderId="0" xfId="0" applyFont="1"/>
    <xf numFmtId="0" fontId="21" fillId="4" borderId="0" xfId="0" applyFont="1" applyFill="1"/>
    <xf numFmtId="0" fontId="22" fillId="0" borderId="0" xfId="0" applyFont="1"/>
    <xf numFmtId="0" fontId="19" fillId="2" borderId="14" xfId="0" applyFont="1" applyFill="1" applyBorder="1" applyAlignment="1">
      <alignment horizontal="center" wrapText="1"/>
    </xf>
    <xf numFmtId="0" fontId="19" fillId="3" borderId="23" xfId="0" applyFont="1" applyFill="1" applyBorder="1" applyAlignment="1">
      <alignment horizontal="center" wrapText="1"/>
    </xf>
    <xf numFmtId="0" fontId="15" fillId="0" borderId="7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15" fillId="6" borderId="7" xfId="0" applyFont="1" applyFill="1" applyBorder="1" applyAlignment="1">
      <alignment horizontal="center"/>
    </xf>
    <xf numFmtId="0" fontId="3" fillId="0" borderId="6" xfId="0" applyFont="1" applyBorder="1" applyAlignment="1">
      <alignment horizontal="right"/>
    </xf>
    <xf numFmtId="0" fontId="2" fillId="6" borderId="11" xfId="0" applyFont="1" applyFill="1" applyBorder="1" applyAlignment="1">
      <alignment horizontal="right"/>
    </xf>
    <xf numFmtId="0" fontId="2" fillId="6" borderId="18" xfId="0" applyFont="1" applyFill="1" applyBorder="1" applyAlignment="1">
      <alignment horizontal="right"/>
    </xf>
    <xf numFmtId="0" fontId="3" fillId="6" borderId="11" xfId="0" applyFont="1" applyFill="1" applyBorder="1" applyAlignment="1">
      <alignment horizontal="right"/>
    </xf>
    <xf numFmtId="0" fontId="1" fillId="3" borderId="15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wrapText="1"/>
    </xf>
    <xf numFmtId="0" fontId="3" fillId="6" borderId="6" xfId="0" applyFont="1" applyFill="1" applyBorder="1" applyAlignment="1">
      <alignment horizontal="center" wrapText="1"/>
    </xf>
    <xf numFmtId="0" fontId="3" fillId="6" borderId="7" xfId="0" applyFont="1" applyFill="1" applyBorder="1" applyAlignment="1">
      <alignment horizontal="center"/>
    </xf>
    <xf numFmtId="0" fontId="0" fillId="6" borderId="7" xfId="0" applyFill="1" applyBorder="1" applyAlignment="1">
      <alignment horizontal="right" vertical="center"/>
    </xf>
    <xf numFmtId="0" fontId="21" fillId="6" borderId="7" xfId="0" applyFont="1" applyFill="1" applyBorder="1" applyAlignment="1">
      <alignment horizontal="center"/>
    </xf>
    <xf numFmtId="0" fontId="3" fillId="0" borderId="3" xfId="0" applyFont="1" applyBorder="1" applyAlignment="1">
      <alignment horizontal="right" wrapText="1"/>
    </xf>
    <xf numFmtId="0" fontId="3" fillId="6" borderId="3" xfId="0" applyFont="1" applyFill="1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6" fillId="0" borderId="7" xfId="0" applyFont="1" applyBorder="1"/>
    <xf numFmtId="0" fontId="9" fillId="0" borderId="7" xfId="0" applyFont="1" applyBorder="1" applyAlignment="1">
      <alignment horizontal="center"/>
    </xf>
    <xf numFmtId="0" fontId="6" fillId="0" borderId="7" xfId="0" applyFont="1" applyBorder="1" applyAlignment="1">
      <alignment horizontal="right"/>
    </xf>
    <xf numFmtId="0" fontId="24" fillId="0" borderId="7" xfId="0" applyFont="1" applyBorder="1" applyAlignment="1">
      <alignment horizontal="center"/>
    </xf>
    <xf numFmtId="0" fontId="25" fillId="0" borderId="7" xfId="0" applyFont="1" applyBorder="1" applyAlignment="1">
      <alignment horizontal="right"/>
    </xf>
    <xf numFmtId="0" fontId="25" fillId="6" borderId="7" xfId="0" applyFont="1" applyFill="1" applyBorder="1" applyAlignment="1">
      <alignment horizontal="right"/>
    </xf>
    <xf numFmtId="0" fontId="3" fillId="6" borderId="0" xfId="0" applyFont="1" applyFill="1" applyAlignment="1">
      <alignment horizontal="right"/>
    </xf>
    <xf numFmtId="0" fontId="3" fillId="0" borderId="11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0" fillId="6" borderId="3" xfId="0" applyFill="1" applyBorder="1" applyAlignment="1">
      <alignment horizontal="center"/>
    </xf>
    <xf numFmtId="0" fontId="25" fillId="0" borderId="15" xfId="0" applyFont="1" applyBorder="1" applyAlignment="1">
      <alignment horizontal="right"/>
    </xf>
    <xf numFmtId="0" fontId="0" fillId="6" borderId="3" xfId="0" applyFill="1" applyBorder="1" applyAlignment="1">
      <alignment horizontal="right"/>
    </xf>
    <xf numFmtId="0" fontId="0" fillId="0" borderId="9" xfId="0" applyBorder="1"/>
    <xf numFmtId="0" fontId="25" fillId="0" borderId="3" xfId="0" applyFont="1" applyBorder="1" applyAlignment="1">
      <alignment horizontal="right"/>
    </xf>
    <xf numFmtId="0" fontId="11" fillId="0" borderId="6" xfId="0" applyFont="1" applyBorder="1" applyAlignment="1">
      <alignment horizontal="right"/>
    </xf>
    <xf numFmtId="0" fontId="11" fillId="6" borderId="6" xfId="0" applyFont="1" applyFill="1" applyBorder="1" applyAlignment="1">
      <alignment horizontal="right"/>
    </xf>
    <xf numFmtId="0" fontId="11" fillId="0" borderId="3" xfId="0" applyFont="1" applyBorder="1" applyAlignment="1">
      <alignment horizontal="right"/>
    </xf>
    <xf numFmtId="0" fontId="1" fillId="2" borderId="20" xfId="0" applyFont="1" applyFill="1" applyBorder="1" applyAlignment="1">
      <alignment horizontal="center" vertical="center"/>
    </xf>
    <xf numFmtId="0" fontId="23" fillId="2" borderId="14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right"/>
    </xf>
    <xf numFmtId="0" fontId="9" fillId="6" borderId="7" xfId="0" applyFont="1" applyFill="1" applyBorder="1" applyAlignment="1">
      <alignment horizontal="center"/>
    </xf>
    <xf numFmtId="0" fontId="24" fillId="6" borderId="7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3" xfId="0" applyBorder="1"/>
    <xf numFmtId="0" fontId="7" fillId="0" borderId="15" xfId="0" applyFont="1" applyBorder="1" applyAlignment="1">
      <alignment horizontal="right"/>
    </xf>
    <xf numFmtId="0" fontId="1" fillId="3" borderId="3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right"/>
    </xf>
    <xf numFmtId="0" fontId="9" fillId="0" borderId="15" xfId="0" applyFont="1" applyBorder="1" applyAlignment="1">
      <alignment horizontal="right"/>
    </xf>
    <xf numFmtId="0" fontId="9" fillId="6" borderId="15" xfId="0" applyFont="1" applyFill="1" applyBorder="1" applyAlignment="1">
      <alignment horizontal="right"/>
    </xf>
    <xf numFmtId="0" fontId="1" fillId="3" borderId="11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right"/>
    </xf>
    <xf numFmtId="0" fontId="2" fillId="6" borderId="3" xfId="0" applyFont="1" applyFill="1" applyBorder="1" applyAlignment="1">
      <alignment wrapText="1"/>
    </xf>
    <xf numFmtId="0" fontId="2" fillId="6" borderId="3" xfId="0" applyFont="1" applyFill="1" applyBorder="1" applyAlignment="1">
      <alignment horizontal="center" wrapText="1"/>
    </xf>
    <xf numFmtId="0" fontId="2" fillId="6" borderId="3" xfId="0" applyFont="1" applyFill="1" applyBorder="1" applyAlignment="1">
      <alignment horizontal="right" wrapText="1"/>
    </xf>
    <xf numFmtId="0" fontId="3" fillId="0" borderId="11" xfId="0" applyFont="1" applyBorder="1"/>
    <xf numFmtId="0" fontId="3" fillId="6" borderId="22" xfId="0" applyFont="1" applyFill="1" applyBorder="1" applyAlignment="1">
      <alignment horizontal="right"/>
    </xf>
    <xf numFmtId="0" fontId="12" fillId="6" borderId="15" xfId="0" applyFont="1" applyFill="1" applyBorder="1" applyAlignment="1">
      <alignment horizontal="right" wrapText="1"/>
    </xf>
    <xf numFmtId="0" fontId="12" fillId="6" borderId="15" xfId="0" applyFont="1" applyFill="1" applyBorder="1" applyAlignment="1">
      <alignment horizontal="right"/>
    </xf>
    <xf numFmtId="0" fontId="0" fillId="6" borderId="3" xfId="0" applyFill="1" applyBorder="1"/>
    <xf numFmtId="0" fontId="3" fillId="0" borderId="27" xfId="0" applyFont="1" applyBorder="1" applyAlignment="1">
      <alignment horizontal="right"/>
    </xf>
    <xf numFmtId="0" fontId="18" fillId="6" borderId="11" xfId="0" applyFont="1" applyFill="1" applyBorder="1" applyAlignment="1">
      <alignment horizontal="right" vertical="center" wrapText="1"/>
    </xf>
    <xf numFmtId="0" fontId="11" fillId="6" borderId="3" xfId="0" applyFont="1" applyFill="1" applyBorder="1" applyAlignment="1">
      <alignment horizontal="right"/>
    </xf>
    <xf numFmtId="0" fontId="5" fillId="4" borderId="15" xfId="0" applyFont="1" applyFill="1" applyBorder="1" applyAlignment="1">
      <alignment horizontal="right"/>
    </xf>
    <xf numFmtId="0" fontId="11" fillId="6" borderId="15" xfId="0" applyFont="1" applyFill="1" applyBorder="1"/>
    <xf numFmtId="0" fontId="1" fillId="2" borderId="23" xfId="0" applyFont="1" applyFill="1" applyBorder="1" applyAlignment="1">
      <alignment horizontal="center" wrapText="1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right"/>
    </xf>
    <xf numFmtId="0" fontId="11" fillId="0" borderId="6" xfId="0" applyFont="1" applyBorder="1" applyAlignment="1">
      <alignment horizontal="right" wrapText="1"/>
    </xf>
    <xf numFmtId="0" fontId="3" fillId="6" borderId="15" xfId="0" applyFont="1" applyFill="1" applyBorder="1" applyAlignment="1">
      <alignment horizontal="right" wrapText="1"/>
    </xf>
    <xf numFmtId="0" fontId="21" fillId="6" borderId="15" xfId="0" applyFont="1" applyFill="1" applyBorder="1" applyAlignment="1">
      <alignment horizontal="right"/>
    </xf>
    <xf numFmtId="0" fontId="2" fillId="0" borderId="9" xfId="0" applyFont="1" applyBorder="1" applyAlignment="1">
      <alignment horizontal="right" wrapText="1"/>
    </xf>
    <xf numFmtId="0" fontId="2" fillId="0" borderId="3" xfId="0" applyFont="1" applyBorder="1"/>
    <xf numFmtId="0" fontId="2" fillId="0" borderId="12" xfId="0" applyFont="1" applyBorder="1" applyAlignment="1">
      <alignment horizontal="center"/>
    </xf>
    <xf numFmtId="0" fontId="2" fillId="0" borderId="20" xfId="0" applyFont="1" applyBorder="1"/>
    <xf numFmtId="0" fontId="0" fillId="0" borderId="20" xfId="0" applyBorder="1"/>
    <xf numFmtId="0" fontId="2" fillId="0" borderId="3" xfId="0" applyFont="1" applyBorder="1" applyAlignment="1">
      <alignment horizontal="center"/>
    </xf>
    <xf numFmtId="0" fontId="3" fillId="0" borderId="24" xfId="0" applyFont="1" applyBorder="1" applyAlignment="1">
      <alignment horizontal="right" wrapText="1"/>
    </xf>
    <xf numFmtId="0" fontId="3" fillId="0" borderId="12" xfId="0" applyFont="1" applyBorder="1" applyAlignment="1">
      <alignment wrapText="1"/>
    </xf>
    <xf numFmtId="0" fontId="0" fillId="0" borderId="20" xfId="0" applyBorder="1" applyAlignment="1">
      <alignment horizontal="right"/>
    </xf>
    <xf numFmtId="0" fontId="3" fillId="0" borderId="3" xfId="0" applyFont="1" applyBorder="1" applyAlignment="1">
      <alignment horizontal="center" wrapText="1"/>
    </xf>
    <xf numFmtId="0" fontId="3" fillId="0" borderId="19" xfId="0" applyFont="1" applyBorder="1" applyAlignment="1">
      <alignment horizontal="right"/>
    </xf>
    <xf numFmtId="0" fontId="19" fillId="2" borderId="15" xfId="0" applyFont="1" applyFill="1" applyBorder="1" applyAlignment="1">
      <alignment horizontal="center" wrapText="1"/>
    </xf>
    <xf numFmtId="3" fontId="3" fillId="6" borderId="15" xfId="0" applyNumberFormat="1" applyFont="1" applyFill="1" applyBorder="1" applyAlignment="1">
      <alignment horizontal="right"/>
    </xf>
    <xf numFmtId="0" fontId="1" fillId="2" borderId="15" xfId="0" applyFont="1" applyFill="1" applyBorder="1" applyAlignment="1">
      <alignment horizontal="center" wrapText="1"/>
    </xf>
    <xf numFmtId="0" fontId="0" fillId="6" borderId="16" xfId="0" applyFill="1" applyBorder="1"/>
    <xf numFmtId="0" fontId="0" fillId="5" borderId="15" xfId="0" applyFill="1" applyBorder="1"/>
    <xf numFmtId="0" fontId="0" fillId="6" borderId="15" xfId="0" applyFill="1" applyBorder="1"/>
    <xf numFmtId="3" fontId="0" fillId="6" borderId="3" xfId="0" applyNumberFormat="1" applyFill="1" applyBorder="1" applyAlignment="1">
      <alignment horizontal="right"/>
    </xf>
    <xf numFmtId="0" fontId="0" fillId="5" borderId="3" xfId="0" applyFill="1" applyBorder="1" applyAlignment="1">
      <alignment horizontal="center"/>
    </xf>
    <xf numFmtId="3" fontId="0" fillId="5" borderId="3" xfId="0" applyNumberFormat="1" applyFill="1" applyBorder="1" applyAlignment="1">
      <alignment horizontal="right"/>
    </xf>
    <xf numFmtId="0" fontId="0" fillId="5" borderId="3" xfId="0" applyFill="1" applyBorder="1" applyAlignment="1">
      <alignment horizontal="right"/>
    </xf>
    <xf numFmtId="3" fontId="0" fillId="0" borderId="3" xfId="0" applyNumberFormat="1" applyBorder="1"/>
    <xf numFmtId="3" fontId="0" fillId="6" borderId="3" xfId="0" applyNumberFormat="1" applyFill="1" applyBorder="1"/>
    <xf numFmtId="3" fontId="0" fillId="6" borderId="3" xfId="0" applyNumberFormat="1" applyFill="1" applyBorder="1" applyAlignment="1">
      <alignment horizontal="center" vertical="top" wrapText="1"/>
    </xf>
    <xf numFmtId="3" fontId="0" fillId="6" borderId="3" xfId="0" applyNumberFormat="1" applyFill="1" applyBorder="1" applyAlignment="1">
      <alignment horizontal="center"/>
    </xf>
    <xf numFmtId="0" fontId="6" fillId="0" borderId="15" xfId="0" applyFont="1" applyBorder="1" applyAlignment="1">
      <alignment horizontal="right"/>
    </xf>
    <xf numFmtId="0" fontId="25" fillId="6" borderId="15" xfId="0" applyFont="1" applyFill="1" applyBorder="1" applyAlignment="1">
      <alignment horizontal="right"/>
    </xf>
    <xf numFmtId="0" fontId="25" fillId="0" borderId="24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6" fillId="6" borderId="3" xfId="0" applyFont="1" applyFill="1" applyBorder="1" applyAlignment="1">
      <alignment horizontal="right"/>
    </xf>
    <xf numFmtId="0" fontId="2" fillId="0" borderId="1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3" fillId="0" borderId="22" xfId="0" applyFont="1" applyBorder="1" applyAlignment="1">
      <alignment horizontal="right"/>
    </xf>
    <xf numFmtId="0" fontId="3" fillId="6" borderId="20" xfId="0" applyFont="1" applyFill="1" applyBorder="1" applyAlignment="1">
      <alignment horizontal="right"/>
    </xf>
    <xf numFmtId="0" fontId="0" fillId="0" borderId="1" xfId="0" applyBorder="1"/>
    <xf numFmtId="0" fontId="10" fillId="6" borderId="3" xfId="0" applyFont="1" applyFill="1" applyBorder="1"/>
    <xf numFmtId="0" fontId="2" fillId="0" borderId="5" xfId="0" applyFont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3" fillId="0" borderId="15" xfId="0" applyFont="1" applyBorder="1" applyAlignment="1">
      <alignment horizontal="center" wrapText="1"/>
    </xf>
    <xf numFmtId="0" fontId="0" fillId="6" borderId="18" xfId="0" applyFill="1" applyBorder="1" applyAlignment="1">
      <alignment horizontal="right"/>
    </xf>
    <xf numFmtId="0" fontId="2" fillId="6" borderId="4" xfId="0" applyFont="1" applyFill="1" applyBorder="1" applyAlignment="1">
      <alignment horizontal="center"/>
    </xf>
    <xf numFmtId="0" fontId="2" fillId="0" borderId="25" xfId="0" applyFont="1" applyBorder="1"/>
    <xf numFmtId="0" fontId="26" fillId="0" borderId="1" xfId="0" applyFont="1" applyBorder="1"/>
    <xf numFmtId="0" fontId="9" fillId="0" borderId="0" xfId="0" applyFont="1" applyAlignment="1">
      <alignment horizontal="center"/>
    </xf>
    <xf numFmtId="0" fontId="10" fillId="6" borderId="7" xfId="0" applyFont="1" applyFill="1" applyBorder="1" applyAlignment="1">
      <alignment horizontal="center"/>
    </xf>
    <xf numFmtId="0" fontId="2" fillId="6" borderId="13" xfId="0" applyFont="1" applyFill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0" fillId="0" borderId="18" xfId="0" applyBorder="1" applyAlignment="1">
      <alignment horizontal="center"/>
    </xf>
    <xf numFmtId="0" fontId="3" fillId="6" borderId="2" xfId="0" applyFont="1" applyFill="1" applyBorder="1" applyAlignment="1">
      <alignment horizontal="center" wrapText="1"/>
    </xf>
    <xf numFmtId="0" fontId="8" fillId="6" borderId="18" xfId="0" applyFont="1" applyFill="1" applyBorder="1" applyAlignment="1">
      <alignment horizontal="right"/>
    </xf>
    <xf numFmtId="0" fontId="9" fillId="0" borderId="13" xfId="0" applyFont="1" applyBorder="1" applyAlignment="1">
      <alignment horizontal="center"/>
    </xf>
    <xf numFmtId="0" fontId="0" fillId="6" borderId="3" xfId="0" applyFill="1" applyBorder="1" applyAlignment="1">
      <alignment horizontal="right" vertical="center"/>
    </xf>
    <xf numFmtId="0" fontId="6" fillId="0" borderId="9" xfId="0" applyFont="1" applyBorder="1" applyAlignment="1">
      <alignment horizontal="right"/>
    </xf>
    <xf numFmtId="0" fontId="0" fillId="0" borderId="3" xfId="0" applyBorder="1" applyAlignment="1">
      <alignment horizontal="right" vertical="center"/>
    </xf>
    <xf numFmtId="0" fontId="3" fillId="0" borderId="5" xfId="0" applyFont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7" fillId="6" borderId="18" xfId="0" applyFont="1" applyFill="1" applyBorder="1" applyAlignment="1">
      <alignment horizontal="right"/>
    </xf>
    <xf numFmtId="0" fontId="7" fillId="6" borderId="0" xfId="0" applyFont="1" applyFill="1" applyAlignment="1">
      <alignment horizontal="right" wrapText="1"/>
    </xf>
    <xf numFmtId="0" fontId="3" fillId="4" borderId="18" xfId="0" applyFont="1" applyFill="1" applyBorder="1" applyAlignment="1">
      <alignment horizontal="right"/>
    </xf>
    <xf numFmtId="0" fontId="2" fillId="0" borderId="0" xfId="0" applyFont="1" applyAlignment="1">
      <alignment horizontal="center"/>
    </xf>
    <xf numFmtId="0" fontId="3" fillId="4" borderId="11" xfId="0" applyFont="1" applyFill="1" applyBorder="1" applyAlignment="1">
      <alignment horizontal="right"/>
    </xf>
    <xf numFmtId="0" fontId="3" fillId="6" borderId="24" xfId="0" applyFont="1" applyFill="1" applyBorder="1" applyAlignment="1">
      <alignment horizontal="right"/>
    </xf>
    <xf numFmtId="0" fontId="11" fillId="6" borderId="18" xfId="0" applyFont="1" applyFill="1" applyBorder="1"/>
    <xf numFmtId="0" fontId="15" fillId="0" borderId="12" xfId="0" applyFont="1" applyBorder="1" applyAlignment="1">
      <alignment wrapText="1"/>
    </xf>
    <xf numFmtId="0" fontId="15" fillId="0" borderId="5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3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left"/>
    </xf>
    <xf numFmtId="0" fontId="3" fillId="6" borderId="7" xfId="0" applyFont="1" applyFill="1" applyBorder="1" applyAlignment="1">
      <alignment wrapText="1"/>
    </xf>
    <xf numFmtId="0" fontId="3" fillId="6" borderId="7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3" fillId="6" borderId="22" xfId="0" applyFont="1" applyFill="1" applyBorder="1" applyAlignment="1">
      <alignment horizontal="right" wrapText="1"/>
    </xf>
    <xf numFmtId="0" fontId="3" fillId="0" borderId="25" xfId="0" applyFont="1" applyBorder="1" applyAlignment="1">
      <alignment horizontal="right" wrapText="1"/>
    </xf>
    <xf numFmtId="0" fontId="3" fillId="0" borderId="28" xfId="0" applyFont="1" applyBorder="1" applyAlignment="1">
      <alignment horizontal="right"/>
    </xf>
    <xf numFmtId="0" fontId="10" fillId="6" borderId="3" xfId="0" applyFont="1" applyFill="1" applyBorder="1" applyAlignment="1">
      <alignment wrapText="1"/>
    </xf>
    <xf numFmtId="0" fontId="10" fillId="6" borderId="13" xfId="0" applyFont="1" applyFill="1" applyBorder="1" applyAlignment="1">
      <alignment wrapText="1"/>
    </xf>
    <xf numFmtId="0" fontId="29" fillId="6" borderId="1" xfId="0" applyFont="1" applyFill="1" applyBorder="1" applyAlignment="1">
      <alignment wrapText="1"/>
    </xf>
    <xf numFmtId="0" fontId="26" fillId="6" borderId="6" xfId="0" applyFont="1" applyFill="1" applyBorder="1"/>
    <xf numFmtId="0" fontId="30" fillId="0" borderId="1" xfId="0" applyFont="1" applyBorder="1"/>
    <xf numFmtId="0" fontId="3" fillId="6" borderId="1" xfId="0" applyFont="1" applyFill="1" applyBorder="1" applyAlignment="1">
      <alignment horizontal="center" wrapText="1"/>
    </xf>
    <xf numFmtId="0" fontId="3" fillId="6" borderId="6" xfId="0" applyFont="1" applyFill="1" applyBorder="1" applyAlignment="1">
      <alignment horizontal="right" wrapText="1"/>
    </xf>
    <xf numFmtId="3" fontId="5" fillId="6" borderId="15" xfId="0" applyNumberFormat="1" applyFont="1" applyFill="1" applyBorder="1" applyAlignment="1">
      <alignment horizontal="right"/>
    </xf>
    <xf numFmtId="164" fontId="0" fillId="0" borderId="3" xfId="0" applyNumberFormat="1" applyBorder="1"/>
    <xf numFmtId="0" fontId="0" fillId="0" borderId="3" xfId="0" applyBorder="1" applyAlignment="1">
      <alignment horizontal="center"/>
    </xf>
    <xf numFmtId="0" fontId="28" fillId="0" borderId="3" xfId="0" applyFont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25" fillId="0" borderId="15" xfId="0" applyFont="1" applyBorder="1" applyAlignment="1">
      <alignment horizontal="center"/>
    </xf>
    <xf numFmtId="0" fontId="25" fillId="6" borderId="15" xfId="0" applyFont="1" applyFill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4" fillId="6" borderId="7" xfId="0" applyFont="1" applyFill="1" applyBorder="1" applyAlignment="1">
      <alignment horizontal="center" wrapText="1"/>
    </xf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8" fillId="4" borderId="15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6" borderId="15" xfId="0" applyFont="1" applyFill="1" applyBorder="1" applyAlignment="1">
      <alignment horizontal="center"/>
    </xf>
    <xf numFmtId="44" fontId="1" fillId="7" borderId="3" xfId="0" applyNumberFormat="1" applyFont="1" applyFill="1" applyBorder="1" applyAlignment="1">
      <alignment horizontal="center" vertical="center"/>
    </xf>
    <xf numFmtId="44" fontId="0" fillId="0" borderId="3" xfId="0" applyNumberFormat="1" applyBorder="1"/>
    <xf numFmtId="44" fontId="0" fillId="0" borderId="7" xfId="0" applyNumberFormat="1" applyBorder="1"/>
    <xf numFmtId="44" fontId="0" fillId="0" borderId="0" xfId="0" applyNumberFormat="1"/>
    <xf numFmtId="0" fontId="17" fillId="0" borderId="3" xfId="0" applyFont="1" applyBorder="1" applyAlignment="1">
      <alignment horizontal="center"/>
    </xf>
    <xf numFmtId="0" fontId="32" fillId="0" borderId="3" xfId="0" applyFont="1" applyBorder="1" applyAlignment="1">
      <alignment horizontal="center"/>
    </xf>
    <xf numFmtId="0" fontId="2" fillId="6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164" fontId="1" fillId="7" borderId="3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6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8" fillId="6" borderId="18" xfId="0" applyFont="1" applyFill="1" applyBorder="1" applyAlignment="1">
      <alignment horizontal="center" wrapText="1"/>
    </xf>
    <xf numFmtId="0" fontId="8" fillId="6" borderId="2" xfId="0" applyFont="1" applyFill="1" applyBorder="1" applyAlignment="1">
      <alignment horizontal="center" wrapText="1"/>
    </xf>
    <xf numFmtId="0" fontId="8" fillId="0" borderId="2" xfId="0" applyFont="1" applyBorder="1" applyAlignment="1">
      <alignment horizontal="center"/>
    </xf>
    <xf numFmtId="0" fontId="8" fillId="6" borderId="7" xfId="0" applyFont="1" applyFill="1" applyBorder="1" applyAlignment="1">
      <alignment horizontal="center"/>
    </xf>
    <xf numFmtId="0" fontId="8" fillId="6" borderId="7" xfId="0" applyFont="1" applyFill="1" applyBorder="1" applyAlignment="1">
      <alignment horizontal="center" wrapText="1"/>
    </xf>
    <xf numFmtId="0" fontId="31" fillId="0" borderId="0" xfId="0" applyFont="1" applyAlignment="1">
      <alignment horizontal="center"/>
    </xf>
    <xf numFmtId="0" fontId="2" fillId="0" borderId="29" xfId="0" applyFont="1" applyBorder="1" applyAlignment="1">
      <alignment horizontal="center" wrapText="1"/>
    </xf>
    <xf numFmtId="0" fontId="4" fillId="6" borderId="3" xfId="0" applyFont="1" applyFill="1" applyBorder="1" applyAlignment="1">
      <alignment horizontal="center" wrapText="1"/>
    </xf>
    <xf numFmtId="0" fontId="10" fillId="6" borderId="3" xfId="0" applyFont="1" applyFill="1" applyBorder="1" applyAlignment="1">
      <alignment horizontal="center"/>
    </xf>
    <xf numFmtId="0" fontId="10" fillId="6" borderId="2" xfId="0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4" fillId="6" borderId="3" xfId="0" applyFont="1" applyFill="1" applyBorder="1" applyAlignment="1">
      <alignment horizontal="center"/>
    </xf>
    <xf numFmtId="0" fontId="8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2" fillId="6" borderId="16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33" fillId="6" borderId="3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 wrapText="1"/>
    </xf>
    <xf numFmtId="0" fontId="33" fillId="6" borderId="3" xfId="0" applyFont="1" applyFill="1" applyBorder="1" applyAlignment="1">
      <alignment horizontal="center" wrapText="1"/>
    </xf>
    <xf numFmtId="0" fontId="33" fillId="6" borderId="7" xfId="0" applyFont="1" applyFill="1" applyBorder="1" applyAlignment="1">
      <alignment horizontal="center" wrapText="1"/>
    </xf>
    <xf numFmtId="0" fontId="33" fillId="6" borderId="7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3" fillId="0" borderId="20" xfId="0" applyFont="1" applyBorder="1" applyAlignment="1">
      <alignment horizontal="right" wrapText="1"/>
    </xf>
    <xf numFmtId="0" fontId="0" fillId="0" borderId="3" xfId="0" applyBorder="1" applyAlignment="1" applyProtection="1">
      <alignment horizontal="center" vertical="center" wrapText="1"/>
      <protection locked="0"/>
    </xf>
    <xf numFmtId="0" fontId="35" fillId="0" borderId="3" xfId="0" applyFont="1" applyBorder="1" applyAlignment="1">
      <alignment horizontal="center" vertical="center" wrapText="1"/>
    </xf>
    <xf numFmtId="0" fontId="36" fillId="0" borderId="7" xfId="0" applyFont="1" applyBorder="1" applyAlignment="1">
      <alignment horizontal="center"/>
    </xf>
    <xf numFmtId="0" fontId="0" fillId="0" borderId="3" xfId="0" applyFont="1" applyBorder="1"/>
    <xf numFmtId="44" fontId="0" fillId="0" borderId="3" xfId="0" applyNumberFormat="1" applyFont="1" applyBorder="1"/>
    <xf numFmtId="0" fontId="30" fillId="6" borderId="7" xfId="0" applyFont="1" applyFill="1" applyBorder="1" applyAlignment="1">
      <alignment horizontal="center"/>
    </xf>
    <xf numFmtId="0" fontId="29" fillId="0" borderId="7" xfId="0" applyFont="1" applyBorder="1" applyAlignment="1">
      <alignment horizontal="center" wrapText="1"/>
    </xf>
    <xf numFmtId="0" fontId="29" fillId="0" borderId="7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7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 wrapText="1"/>
    </xf>
    <xf numFmtId="0" fontId="30" fillId="6" borderId="7" xfId="0" applyFont="1" applyFill="1" applyBorder="1" applyAlignment="1">
      <alignment horizontal="center" wrapText="1"/>
    </xf>
    <xf numFmtId="44" fontId="0" fillId="0" borderId="3" xfId="0" applyNumberFormat="1" applyFont="1" applyBorder="1" applyAlignment="1">
      <alignment horizontal="center"/>
    </xf>
    <xf numFmtId="0" fontId="30" fillId="0" borderId="7" xfId="0" applyFont="1" applyBorder="1" applyAlignment="1">
      <alignment horizontal="center"/>
    </xf>
    <xf numFmtId="0" fontId="30" fillId="0" borderId="7" xfId="0" applyFont="1" applyBorder="1" applyAlignment="1">
      <alignment horizontal="center" wrapText="1"/>
    </xf>
    <xf numFmtId="0" fontId="0" fillId="0" borderId="0" xfId="0" applyFont="1" applyAlignment="1">
      <alignment horizontal="center"/>
    </xf>
    <xf numFmtId="0" fontId="37" fillId="6" borderId="7" xfId="0" applyFont="1" applyFill="1" applyBorder="1" applyAlignment="1">
      <alignment horizontal="center"/>
    </xf>
    <xf numFmtId="44" fontId="0" fillId="0" borderId="9" xfId="0" applyNumberFormat="1" applyFont="1" applyBorder="1"/>
    <xf numFmtId="44" fontId="0" fillId="0" borderId="7" xfId="0" applyNumberFormat="1" applyFont="1" applyBorder="1"/>
    <xf numFmtId="0" fontId="36" fillId="0" borderId="13" xfId="0" applyFont="1" applyBorder="1" applyAlignment="1">
      <alignment horizontal="center"/>
    </xf>
    <xf numFmtId="44" fontId="0" fillId="0" borderId="13" xfId="0" applyNumberFormat="1" applyFont="1" applyBorder="1"/>
    <xf numFmtId="0" fontId="36" fillId="0" borderId="9" xfId="0" applyFont="1" applyBorder="1" applyAlignment="1">
      <alignment horizontal="center"/>
    </xf>
    <xf numFmtId="0" fontId="36" fillId="0" borderId="3" xfId="0" applyFont="1" applyBorder="1" applyAlignment="1">
      <alignment horizontal="center"/>
    </xf>
    <xf numFmtId="0" fontId="36" fillId="0" borderId="2" xfId="0" applyFont="1" applyBorder="1" applyAlignment="1">
      <alignment horizontal="center"/>
    </xf>
    <xf numFmtId="0" fontId="30" fillId="0" borderId="2" xfId="0" applyFont="1" applyBorder="1" applyAlignment="1">
      <alignment horizontal="center" wrapText="1"/>
    </xf>
    <xf numFmtId="0" fontId="30" fillId="0" borderId="3" xfId="0" applyFont="1" applyBorder="1" applyAlignment="1">
      <alignment horizontal="center" wrapText="1"/>
    </xf>
    <xf numFmtId="0" fontId="30" fillId="6" borderId="2" xfId="0" applyFont="1" applyFill="1" applyBorder="1" applyAlignment="1">
      <alignment horizontal="center" wrapText="1"/>
    </xf>
    <xf numFmtId="0" fontId="30" fillId="0" borderId="2" xfId="0" applyFont="1" applyBorder="1" applyAlignment="1">
      <alignment horizontal="center"/>
    </xf>
    <xf numFmtId="0" fontId="30" fillId="6" borderId="2" xfId="0" applyFont="1" applyFill="1" applyBorder="1" applyAlignment="1">
      <alignment horizontal="center"/>
    </xf>
    <xf numFmtId="0" fontId="29" fillId="0" borderId="3" xfId="0" applyFont="1" applyBorder="1" applyAlignment="1">
      <alignment horizontal="center" wrapText="1"/>
    </xf>
    <xf numFmtId="44" fontId="0" fillId="0" borderId="0" xfId="0" applyNumberFormat="1" applyAlignment="1">
      <alignment horizontal="center"/>
    </xf>
    <xf numFmtId="0" fontId="36" fillId="0" borderId="7" xfId="0" applyFont="1" applyBorder="1"/>
    <xf numFmtId="0" fontId="0" fillId="6" borderId="7" xfId="0" applyFont="1" applyFill="1" applyBorder="1" applyAlignment="1">
      <alignment horizontal="left" vertical="center"/>
    </xf>
    <xf numFmtId="0" fontId="0" fillId="0" borderId="7" xfId="0" applyFont="1" applyBorder="1" applyAlignment="1">
      <alignment horizontal="left" vertical="center"/>
    </xf>
    <xf numFmtId="0" fontId="36" fillId="6" borderId="7" xfId="0" applyFont="1" applyFill="1" applyBorder="1"/>
    <xf numFmtId="0" fontId="36" fillId="0" borderId="13" xfId="0" applyFont="1" applyBorder="1"/>
    <xf numFmtId="0" fontId="0" fillId="0" borderId="0" xfId="0" applyFont="1" applyAlignment="1">
      <alignment horizontal="left" vertical="center"/>
    </xf>
    <xf numFmtId="44" fontId="1" fillId="7" borderId="7" xfId="0" applyNumberFormat="1" applyFont="1" applyFill="1" applyBorder="1" applyAlignment="1">
      <alignment horizontal="center" vertical="center"/>
    </xf>
    <xf numFmtId="0" fontId="0" fillId="0" borderId="9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0" fontId="30" fillId="0" borderId="7" xfId="0" applyFont="1" applyBorder="1" applyAlignment="1">
      <alignment wrapText="1"/>
    </xf>
    <xf numFmtId="0" fontId="29" fillId="6" borderId="1" xfId="0" applyFont="1" applyFill="1" applyBorder="1"/>
    <xf numFmtId="0" fontId="29" fillId="0" borderId="1" xfId="0" applyFont="1" applyBorder="1"/>
    <xf numFmtId="0" fontId="29" fillId="0" borderId="6" xfId="0" applyFont="1" applyBorder="1"/>
    <xf numFmtId="0" fontId="29" fillId="0" borderId="2" xfId="0" applyFont="1" applyBorder="1" applyAlignment="1">
      <alignment horizontal="center"/>
    </xf>
    <xf numFmtId="0" fontId="29" fillId="0" borderId="7" xfId="0" applyFont="1" applyBorder="1"/>
    <xf numFmtId="44" fontId="6" fillId="0" borderId="3" xfId="0" applyNumberFormat="1" applyFont="1" applyBorder="1" applyAlignment="1">
      <alignment horizontal="center"/>
    </xf>
    <xf numFmtId="44" fontId="0" fillId="0" borderId="1" xfId="0" applyNumberFormat="1" applyBorder="1"/>
    <xf numFmtId="0" fontId="0" fillId="0" borderId="3" xfId="2" applyNumberFormat="1" applyFont="1" applyBorder="1" applyAlignment="1" applyProtection="1">
      <alignment horizontal="center" vertical="center" wrapText="1"/>
      <protection hidden="1"/>
    </xf>
    <xf numFmtId="0" fontId="30" fillId="0" borderId="1" xfId="0" applyFont="1" applyBorder="1" applyAlignment="1">
      <alignment wrapText="1"/>
    </xf>
    <xf numFmtId="44" fontId="0" fillId="0" borderId="3" xfId="2" applyNumberFormat="1" applyFont="1" applyBorder="1" applyAlignment="1" applyProtection="1">
      <alignment horizontal="center" vertical="center" wrapText="1"/>
      <protection hidden="1"/>
    </xf>
    <xf numFmtId="44" fontId="0" fillId="0" borderId="12" xfId="0" applyNumberFormat="1" applyFill="1" applyBorder="1"/>
    <xf numFmtId="44" fontId="0" fillId="6" borderId="3" xfId="0" applyNumberFormat="1" applyFill="1" applyBorder="1"/>
    <xf numFmtId="0" fontId="30" fillId="6" borderId="1" xfId="0" applyFont="1" applyFill="1" applyBorder="1" applyAlignment="1">
      <alignment wrapText="1"/>
    </xf>
    <xf numFmtId="0" fontId="29" fillId="0" borderId="18" xfId="0" applyFont="1" applyBorder="1" applyAlignment="1">
      <alignment horizontal="right"/>
    </xf>
    <xf numFmtId="0" fontId="29" fillId="0" borderId="3" xfId="0" applyFont="1" applyBorder="1" applyAlignment="1">
      <alignment horizontal="right"/>
    </xf>
    <xf numFmtId="0" fontId="30" fillId="0" borderId="1" xfId="0" applyFont="1" applyBorder="1" applyAlignment="1">
      <alignment horizontal="center"/>
    </xf>
    <xf numFmtId="0" fontId="29" fillId="0" borderId="18" xfId="0" applyFont="1" applyBorder="1"/>
    <xf numFmtId="0" fontId="30" fillId="0" borderId="3" xfId="0" applyFont="1" applyBorder="1" applyAlignment="1">
      <alignment horizontal="center"/>
    </xf>
    <xf numFmtId="0" fontId="30" fillId="6" borderId="1" xfId="0" applyFont="1" applyFill="1" applyBorder="1"/>
    <xf numFmtId="0" fontId="29" fillId="6" borderId="18" xfId="0" applyFont="1" applyFill="1" applyBorder="1"/>
    <xf numFmtId="0" fontId="29" fillId="6" borderId="3" xfId="0" applyFont="1" applyFill="1" applyBorder="1" applyAlignment="1">
      <alignment horizontal="right"/>
    </xf>
    <xf numFmtId="0" fontId="38" fillId="0" borderId="3" xfId="0" applyFont="1" applyBorder="1" applyAlignment="1">
      <alignment horizontal="center"/>
    </xf>
    <xf numFmtId="0" fontId="30" fillId="6" borderId="3" xfId="0" applyFont="1" applyFill="1" applyBorder="1" applyAlignment="1">
      <alignment horizontal="center"/>
    </xf>
    <xf numFmtId="0" fontId="30" fillId="6" borderId="1" xfId="0" applyFont="1" applyFill="1" applyBorder="1" applyAlignment="1">
      <alignment horizontal="center"/>
    </xf>
    <xf numFmtId="0" fontId="29" fillId="6" borderId="11" xfId="0" applyFont="1" applyFill="1" applyBorder="1"/>
    <xf numFmtId="0" fontId="0" fillId="6" borderId="2" xfId="0" applyFont="1" applyFill="1" applyBorder="1" applyAlignment="1">
      <alignment horizontal="center"/>
    </xf>
    <xf numFmtId="0" fontId="0" fillId="6" borderId="3" xfId="0" applyFont="1" applyFill="1" applyBorder="1" applyAlignment="1">
      <alignment horizontal="right"/>
    </xf>
    <xf numFmtId="0" fontId="29" fillId="0" borderId="0" xfId="0" applyFont="1" applyAlignment="1">
      <alignment horizontal="right"/>
    </xf>
    <xf numFmtId="0" fontId="30" fillId="0" borderId="18" xfId="0" applyFont="1" applyBorder="1" applyAlignment="1">
      <alignment horizontal="center"/>
    </xf>
    <xf numFmtId="0" fontId="29" fillId="0" borderId="15" xfId="0" applyFont="1" applyBorder="1"/>
    <xf numFmtId="0" fontId="30" fillId="0" borderId="1" xfId="0" applyFont="1" applyBorder="1" applyAlignment="1">
      <alignment horizontal="center" wrapText="1"/>
    </xf>
    <xf numFmtId="0" fontId="29" fillId="0" borderId="1" xfId="0" applyFont="1" applyBorder="1" applyAlignment="1">
      <alignment horizontal="center" wrapText="1"/>
    </xf>
    <xf numFmtId="0" fontId="29" fillId="6" borderId="18" xfId="0" applyFont="1" applyFill="1" applyBorder="1" applyAlignment="1">
      <alignment horizontal="right"/>
    </xf>
    <xf numFmtId="0" fontId="30" fillId="6" borderId="12" xfId="0" applyFont="1" applyFill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0" fillId="6" borderId="1" xfId="0" applyFont="1" applyFill="1" applyBorder="1"/>
    <xf numFmtId="0" fontId="0" fillId="6" borderId="18" xfId="0" applyFont="1" applyFill="1" applyBorder="1" applyAlignment="1">
      <alignment horizontal="right"/>
    </xf>
    <xf numFmtId="0" fontId="0" fillId="6" borderId="1" xfId="0" applyFont="1" applyFill="1" applyBorder="1" applyAlignment="1">
      <alignment horizontal="center"/>
    </xf>
    <xf numFmtId="0" fontId="29" fillId="0" borderId="6" xfId="0" applyFont="1" applyBorder="1" applyAlignment="1">
      <alignment wrapText="1"/>
    </xf>
    <xf numFmtId="0" fontId="38" fillId="0" borderId="3" xfId="0" applyFont="1" applyBorder="1"/>
    <xf numFmtId="0" fontId="30" fillId="6" borderId="12" xfId="0" applyFont="1" applyFill="1" applyBorder="1"/>
    <xf numFmtId="0" fontId="30" fillId="6" borderId="13" xfId="0" applyFont="1" applyFill="1" applyBorder="1" applyAlignment="1">
      <alignment horizontal="center"/>
    </xf>
    <xf numFmtId="0" fontId="29" fillId="6" borderId="24" xfId="0" applyFont="1" applyFill="1" applyBorder="1" applyAlignment="1">
      <alignment horizontal="right"/>
    </xf>
    <xf numFmtId="0" fontId="30" fillId="6" borderId="7" xfId="0" applyFont="1" applyFill="1" applyBorder="1"/>
    <xf numFmtId="0" fontId="29" fillId="6" borderId="19" xfId="0" applyFont="1" applyFill="1" applyBorder="1" applyAlignment="1">
      <alignment horizontal="right"/>
    </xf>
    <xf numFmtId="0" fontId="0" fillId="6" borderId="19" xfId="0" applyFont="1" applyFill="1" applyBorder="1" applyAlignment="1">
      <alignment horizontal="right" wrapText="1"/>
    </xf>
    <xf numFmtId="0" fontId="30" fillId="6" borderId="13" xfId="0" applyFont="1" applyFill="1" applyBorder="1"/>
    <xf numFmtId="0" fontId="0" fillId="6" borderId="13" xfId="0" applyFont="1" applyFill="1" applyBorder="1" applyAlignment="1">
      <alignment horizontal="center"/>
    </xf>
    <xf numFmtId="0" fontId="0" fillId="6" borderId="19" xfId="0" applyFont="1" applyFill="1" applyBorder="1"/>
    <xf numFmtId="0" fontId="30" fillId="0" borderId="7" xfId="0" applyFont="1" applyBorder="1"/>
    <xf numFmtId="0" fontId="29" fillId="0" borderId="1" xfId="0" applyFont="1" applyBorder="1" applyAlignment="1">
      <alignment wrapText="1"/>
    </xf>
    <xf numFmtId="0" fontId="29" fillId="0" borderId="2" xfId="0" applyFont="1" applyBorder="1" applyAlignment="1">
      <alignment horizontal="center" wrapText="1"/>
    </xf>
    <xf numFmtId="0" fontId="29" fillId="0" borderId="15" xfId="0" applyFont="1" applyBorder="1" applyAlignment="1">
      <alignment horizontal="right"/>
    </xf>
    <xf numFmtId="0" fontId="29" fillId="0" borderId="6" xfId="0" applyFont="1" applyBorder="1" applyAlignment="1">
      <alignment horizontal="center" wrapText="1"/>
    </xf>
    <xf numFmtId="0" fontId="29" fillId="6" borderId="7" xfId="0" applyFont="1" applyFill="1" applyBorder="1" applyAlignment="1">
      <alignment horizontal="center" wrapText="1"/>
    </xf>
    <xf numFmtId="0" fontId="38" fillId="0" borderId="0" xfId="0" applyFont="1" applyAlignment="1">
      <alignment horizontal="center"/>
    </xf>
    <xf numFmtId="0" fontId="29" fillId="0" borderId="13" xfId="0" applyFont="1" applyBorder="1" applyAlignment="1">
      <alignment horizontal="center" wrapText="1"/>
    </xf>
    <xf numFmtId="0" fontId="30" fillId="0" borderId="18" xfId="0" applyFont="1" applyBorder="1" applyAlignment="1">
      <alignment horizontal="right"/>
    </xf>
    <xf numFmtId="0" fontId="30" fillId="6" borderId="3" xfId="0" applyFont="1" applyFill="1" applyBorder="1" applyAlignment="1">
      <alignment horizontal="center" wrapText="1"/>
    </xf>
    <xf numFmtId="0" fontId="30" fillId="6" borderId="6" xfId="0" applyFont="1" applyFill="1" applyBorder="1" applyAlignment="1">
      <alignment horizontal="center" wrapText="1"/>
    </xf>
    <xf numFmtId="0" fontId="29" fillId="0" borderId="25" xfId="0" applyFont="1" applyBorder="1" applyAlignment="1">
      <alignment horizontal="center" wrapText="1"/>
    </xf>
    <xf numFmtId="0" fontId="30" fillId="0" borderId="18" xfId="0" applyFont="1" applyBorder="1" applyAlignment="1">
      <alignment horizontal="center" wrapText="1"/>
    </xf>
    <xf numFmtId="0" fontId="30" fillId="6" borderId="18" xfId="0" applyFont="1" applyFill="1" applyBorder="1" applyAlignment="1">
      <alignment horizontal="center" wrapText="1"/>
    </xf>
    <xf numFmtId="0" fontId="29" fillId="6" borderId="6" xfId="0" applyFont="1" applyFill="1" applyBorder="1" applyAlignment="1">
      <alignment horizontal="center" wrapText="1"/>
    </xf>
    <xf numFmtId="0" fontId="30" fillId="0" borderId="1" xfId="0" applyFont="1" applyBorder="1" applyAlignment="1">
      <alignment horizontal="right" wrapText="1"/>
    </xf>
    <xf numFmtId="0" fontId="30" fillId="0" borderId="3" xfId="0" applyFont="1" applyBorder="1" applyAlignment="1">
      <alignment horizontal="right" wrapText="1"/>
    </xf>
    <xf numFmtId="0" fontId="30" fillId="0" borderId="12" xfId="0" applyFont="1" applyBorder="1" applyAlignment="1">
      <alignment horizontal="right" wrapText="1"/>
    </xf>
    <xf numFmtId="44" fontId="0" fillId="0" borderId="20" xfId="0" applyNumberFormat="1" applyBorder="1"/>
    <xf numFmtId="0" fontId="29" fillId="0" borderId="3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39" fillId="7" borderId="3" xfId="0" applyFont="1" applyFill="1" applyBorder="1" applyAlignment="1">
      <alignment horizontal="center" vertical="center"/>
    </xf>
    <xf numFmtId="44" fontId="29" fillId="0" borderId="3" xfId="0" applyNumberFormat="1" applyFont="1" applyBorder="1" applyAlignment="1">
      <alignment horizontal="center"/>
    </xf>
    <xf numFmtId="44" fontId="29" fillId="0" borderId="0" xfId="0" applyNumberFormat="1" applyFont="1" applyAlignment="1">
      <alignment horizontal="center"/>
    </xf>
    <xf numFmtId="0" fontId="29" fillId="0" borderId="7" xfId="0" applyFont="1" applyBorder="1" applyAlignment="1">
      <alignment wrapText="1"/>
    </xf>
    <xf numFmtId="0" fontId="29" fillId="0" borderId="15" xfId="0" applyFont="1" applyBorder="1" applyAlignment="1">
      <alignment horizontal="right" wrapText="1"/>
    </xf>
    <xf numFmtId="0" fontId="29" fillId="0" borderId="3" xfId="0" applyFont="1" applyBorder="1" applyAlignment="1">
      <alignment horizontal="right" wrapText="1"/>
    </xf>
    <xf numFmtId="0" fontId="1" fillId="7" borderId="3" xfId="0" applyFont="1" applyFill="1" applyBorder="1" applyAlignment="1">
      <alignment vertical="center"/>
    </xf>
    <xf numFmtId="0" fontId="0" fillId="0" borderId="3" xfId="0" applyBorder="1" applyAlignment="1"/>
    <xf numFmtId="0" fontId="0" fillId="0" borderId="0" xfId="0" applyAlignment="1"/>
    <xf numFmtId="0" fontId="0" fillId="6" borderId="0" xfId="0" applyFont="1" applyFill="1" applyAlignment="1">
      <alignment horizontal="right"/>
    </xf>
    <xf numFmtId="0" fontId="0" fillId="6" borderId="15" xfId="0" applyFont="1" applyFill="1" applyBorder="1" applyAlignment="1">
      <alignment horizontal="right"/>
    </xf>
    <xf numFmtId="0" fontId="29" fillId="6" borderId="15" xfId="0" applyFont="1" applyFill="1" applyBorder="1"/>
    <xf numFmtId="0" fontId="29" fillId="6" borderId="15" xfId="0" applyFont="1" applyFill="1" applyBorder="1" applyAlignment="1">
      <alignment horizontal="right"/>
    </xf>
    <xf numFmtId="0" fontId="29" fillId="6" borderId="11" xfId="0" applyFont="1" applyFill="1" applyBorder="1" applyAlignment="1">
      <alignment horizontal="right"/>
    </xf>
    <xf numFmtId="0" fontId="0" fillId="6" borderId="3" xfId="0" applyFont="1" applyFill="1" applyBorder="1"/>
    <xf numFmtId="0" fontId="30" fillId="6" borderId="0" xfId="0" applyFont="1" applyFill="1" applyAlignment="1">
      <alignment horizontal="center" wrapText="1"/>
    </xf>
    <xf numFmtId="0" fontId="30" fillId="6" borderId="6" xfId="0" applyFont="1" applyFill="1" applyBorder="1" applyAlignment="1">
      <alignment wrapText="1"/>
    </xf>
    <xf numFmtId="0" fontId="29" fillId="6" borderId="0" xfId="0" applyFont="1" applyFill="1" applyAlignment="1">
      <alignment horizontal="right" wrapText="1"/>
    </xf>
    <xf numFmtId="0" fontId="29" fillId="6" borderId="15" xfId="0" applyFont="1" applyFill="1" applyBorder="1" applyAlignment="1">
      <alignment horizontal="right" wrapText="1"/>
    </xf>
    <xf numFmtId="0" fontId="40" fillId="6" borderId="2" xfId="0" applyFont="1" applyFill="1" applyBorder="1" applyAlignment="1">
      <alignment horizontal="center" wrapText="1"/>
    </xf>
    <xf numFmtId="0" fontId="29" fillId="6" borderId="2" xfId="0" applyFont="1" applyFill="1" applyBorder="1" applyAlignment="1">
      <alignment horizontal="center" wrapText="1"/>
    </xf>
    <xf numFmtId="0" fontId="30" fillId="0" borderId="12" xfId="0" applyFont="1" applyBorder="1" applyAlignment="1">
      <alignment wrapText="1"/>
    </xf>
    <xf numFmtId="0" fontId="30" fillId="0" borderId="5" xfId="0" applyFont="1" applyBorder="1" applyAlignment="1">
      <alignment horizontal="center" wrapText="1"/>
    </xf>
    <xf numFmtId="0" fontId="29" fillId="0" borderId="19" xfId="0" applyFont="1" applyBorder="1" applyAlignment="1">
      <alignment horizontal="right"/>
    </xf>
    <xf numFmtId="44" fontId="0" fillId="0" borderId="3" xfId="0" applyNumberFormat="1" applyBorder="1" applyAlignment="1"/>
    <xf numFmtId="44" fontId="0" fillId="0" borderId="0" xfId="0" applyNumberFormat="1" applyAlignment="1"/>
    <xf numFmtId="0" fontId="19" fillId="2" borderId="7" xfId="0" applyFont="1" applyFill="1" applyBorder="1" applyAlignment="1">
      <alignment wrapText="1"/>
    </xf>
    <xf numFmtId="0" fontId="0" fillId="0" borderId="7" xfId="0" applyBorder="1" applyAlignment="1"/>
    <xf numFmtId="0" fontId="10" fillId="6" borderId="7" xfId="0" applyFont="1" applyFill="1" applyBorder="1" applyAlignment="1"/>
    <xf numFmtId="0" fontId="0" fillId="6" borderId="7" xfId="0" applyFill="1" applyBorder="1" applyAlignment="1"/>
    <xf numFmtId="0" fontId="3" fillId="6" borderId="7" xfId="0" applyFont="1" applyFill="1" applyBorder="1" applyAlignment="1"/>
    <xf numFmtId="0" fontId="10" fillId="6" borderId="13" xfId="0" applyFont="1" applyFill="1" applyBorder="1" applyAlignment="1"/>
    <xf numFmtId="0" fontId="10" fillId="6" borderId="3" xfId="0" applyFont="1" applyFill="1" applyBorder="1" applyAlignment="1"/>
    <xf numFmtId="0" fontId="37" fillId="6" borderId="7" xfId="0" applyFont="1" applyFill="1" applyBorder="1" applyAlignment="1">
      <alignment wrapText="1"/>
    </xf>
    <xf numFmtId="0" fontId="37" fillId="6" borderId="7" xfId="0" applyFont="1" applyFill="1" applyBorder="1"/>
    <xf numFmtId="0" fontId="0" fillId="0" borderId="7" xfId="0" applyFont="1" applyBorder="1"/>
    <xf numFmtId="0" fontId="0" fillId="6" borderId="7" xfId="0" applyFont="1" applyFill="1" applyBorder="1"/>
    <xf numFmtId="0" fontId="29" fillId="0" borderId="15" xfId="0" applyFont="1" applyBorder="1" applyAlignment="1">
      <alignment wrapText="1"/>
    </xf>
    <xf numFmtId="0" fontId="30" fillId="6" borderId="18" xfId="0" applyFont="1" applyFill="1" applyBorder="1" applyAlignment="1">
      <alignment horizontal="right"/>
    </xf>
    <xf numFmtId="0" fontId="0" fillId="0" borderId="3" xfId="0" applyBorder="1" applyAlignment="1" applyProtection="1">
      <alignment horizontal="left" vertical="center" wrapText="1"/>
      <protection hidden="1"/>
    </xf>
    <xf numFmtId="0" fontId="0" fillId="0" borderId="30" xfId="0" applyBorder="1"/>
    <xf numFmtId="0" fontId="0" fillId="0" borderId="31" xfId="0" applyBorder="1"/>
    <xf numFmtId="0" fontId="34" fillId="0" borderId="0" xfId="0" applyFont="1" applyAlignment="1">
      <alignment horizontal="center"/>
    </xf>
    <xf numFmtId="0" fontId="23" fillId="7" borderId="3" xfId="0" applyFont="1" applyFill="1" applyBorder="1" applyAlignment="1">
      <alignment horizontal="center" vertical="center"/>
    </xf>
  </cellXfs>
  <cellStyles count="3">
    <cellStyle name="Hyperlink" xfId="1" xr:uid="{00000000-000B-0000-0000-000008000000}"/>
    <cellStyle name="Moeda" xfId="2" builtinId="4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55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23</xdr:row>
      <xdr:rowOff>25400</xdr:rowOff>
    </xdr:from>
    <xdr:ext cx="9525" cy="0"/>
    <xdr:pic>
      <xdr:nvPicPr>
        <xdr:cNvPr id="2" name="Imagem 1" descr="http://sistemaswebhom.einstein.br/CME/Imagens/nada.gif">
          <a:extLst>
            <a:ext uri="{FF2B5EF4-FFF2-40B4-BE49-F238E27FC236}">
              <a16:creationId xmlns:a16="http://schemas.microsoft.com/office/drawing/2014/main" id="{60DA3874-C803-4CD4-A1F8-7554A64FB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25400</xdr:rowOff>
    </xdr:from>
    <xdr:ext cx="9525" cy="0"/>
    <xdr:pic>
      <xdr:nvPicPr>
        <xdr:cNvPr id="3" name="Imagem 2" descr="http://sistemaswebhom.einstein.br/CME/Imagens/nada.gif">
          <a:extLst>
            <a:ext uri="{FF2B5EF4-FFF2-40B4-BE49-F238E27FC236}">
              <a16:creationId xmlns:a16="http://schemas.microsoft.com/office/drawing/2014/main" id="{570FA819-2C38-4E60-9272-7C5B0022E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25400</xdr:rowOff>
    </xdr:from>
    <xdr:ext cx="9525" cy="0"/>
    <xdr:pic>
      <xdr:nvPicPr>
        <xdr:cNvPr id="4" name="Imagem 3" descr="http://sistemaswebhom.einstein.br/CME/Imagens/nada.gif">
          <a:extLst>
            <a:ext uri="{FF2B5EF4-FFF2-40B4-BE49-F238E27FC236}">
              <a16:creationId xmlns:a16="http://schemas.microsoft.com/office/drawing/2014/main" id="{46BF6FCD-5404-4585-9D89-1294FD757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25400</xdr:rowOff>
    </xdr:from>
    <xdr:ext cx="9525" cy="0"/>
    <xdr:pic>
      <xdr:nvPicPr>
        <xdr:cNvPr id="5" name="Imagem 4" descr="http://sistemaswebhom.einstein.br/CME/Imagens/nada.gif">
          <a:extLst>
            <a:ext uri="{FF2B5EF4-FFF2-40B4-BE49-F238E27FC236}">
              <a16:creationId xmlns:a16="http://schemas.microsoft.com/office/drawing/2014/main" id="{63C04351-4543-4B79-A758-ABD335B50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23</xdr:row>
      <xdr:rowOff>25400</xdr:rowOff>
    </xdr:from>
    <xdr:ext cx="9525" cy="0"/>
    <xdr:pic>
      <xdr:nvPicPr>
        <xdr:cNvPr id="6" name="Imagem 5" descr="http://sistemaswebhom.einstein.br/CME/Imagens/nada.gif">
          <a:extLst>
            <a:ext uri="{FF2B5EF4-FFF2-40B4-BE49-F238E27FC236}">
              <a16:creationId xmlns:a16="http://schemas.microsoft.com/office/drawing/2014/main" id="{B68940B9-95EA-4C64-8BAF-ED0F5349B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1598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24</xdr:row>
      <xdr:rowOff>0</xdr:rowOff>
    </xdr:from>
    <xdr:ext cx="9525" cy="0"/>
    <xdr:pic>
      <xdr:nvPicPr>
        <xdr:cNvPr id="7" name="Imagem 6" descr="http://sistemaswebhom.einstein.br/CME/Imagens/nada.gif">
          <a:extLst>
            <a:ext uri="{FF2B5EF4-FFF2-40B4-BE49-F238E27FC236}">
              <a16:creationId xmlns:a16="http://schemas.microsoft.com/office/drawing/2014/main" id="{99D803B8-99D4-4D9A-B413-C72466CFC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24</xdr:row>
      <xdr:rowOff>0</xdr:rowOff>
    </xdr:from>
    <xdr:ext cx="9525" cy="0"/>
    <xdr:pic>
      <xdr:nvPicPr>
        <xdr:cNvPr id="8" name="Imagem 7" descr="http://sistemaswebhom.einstein.br/CME/Imagens/nada.gif">
          <a:extLst>
            <a:ext uri="{FF2B5EF4-FFF2-40B4-BE49-F238E27FC236}">
              <a16:creationId xmlns:a16="http://schemas.microsoft.com/office/drawing/2014/main" id="{914A0222-CE91-4274-BD8B-0ACBF492A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24</xdr:row>
      <xdr:rowOff>0</xdr:rowOff>
    </xdr:from>
    <xdr:ext cx="9525" cy="0"/>
    <xdr:pic>
      <xdr:nvPicPr>
        <xdr:cNvPr id="9" name="Imagem 8" descr="http://sistemaswebhom.einstein.br/CME/Imagens/nada.gif">
          <a:extLst>
            <a:ext uri="{FF2B5EF4-FFF2-40B4-BE49-F238E27FC236}">
              <a16:creationId xmlns:a16="http://schemas.microsoft.com/office/drawing/2014/main" id="{A6557C26-7DFC-4332-AC52-9628C57BC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24</xdr:row>
      <xdr:rowOff>0</xdr:rowOff>
    </xdr:from>
    <xdr:ext cx="9525" cy="0"/>
    <xdr:pic>
      <xdr:nvPicPr>
        <xdr:cNvPr id="10" name="Imagem 9" descr="http://sistemaswebhom.einstein.br/CME/Imagens/nada.gif">
          <a:extLst>
            <a:ext uri="{FF2B5EF4-FFF2-40B4-BE49-F238E27FC236}">
              <a16:creationId xmlns:a16="http://schemas.microsoft.com/office/drawing/2014/main" id="{0DAE35F8-F0F6-45C3-A298-CD9B6E646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24</xdr:row>
      <xdr:rowOff>0</xdr:rowOff>
    </xdr:from>
    <xdr:ext cx="9525" cy="0"/>
    <xdr:pic>
      <xdr:nvPicPr>
        <xdr:cNvPr id="11" name="Imagem 10" descr="http://sistemaswebhom.einstein.br/CME/Imagens/nada.gif">
          <a:extLst>
            <a:ext uri="{FF2B5EF4-FFF2-40B4-BE49-F238E27FC236}">
              <a16:creationId xmlns:a16="http://schemas.microsoft.com/office/drawing/2014/main" id="{F51A0449-905D-4CF4-8C15-4F21DFBFF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123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24</xdr:row>
      <xdr:rowOff>0</xdr:rowOff>
    </xdr:from>
    <xdr:ext cx="9525" cy="0"/>
    <xdr:pic>
      <xdr:nvPicPr>
        <xdr:cNvPr id="12" name="Imagem 11" descr="http://sistemaswebhom.einstein.br/CME/Imagens/nada.gif">
          <a:extLst>
            <a:ext uri="{FF2B5EF4-FFF2-40B4-BE49-F238E27FC236}">
              <a16:creationId xmlns:a16="http://schemas.microsoft.com/office/drawing/2014/main" id="{BED6B2CF-539A-4B97-9740-99FE18A5A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24</xdr:row>
      <xdr:rowOff>0</xdr:rowOff>
    </xdr:from>
    <xdr:ext cx="9525" cy="0"/>
    <xdr:pic>
      <xdr:nvPicPr>
        <xdr:cNvPr id="13" name="Imagem 12" descr="http://sistemaswebhom.einstein.br/CME/Imagens/nada.gif">
          <a:extLst>
            <a:ext uri="{FF2B5EF4-FFF2-40B4-BE49-F238E27FC236}">
              <a16:creationId xmlns:a16="http://schemas.microsoft.com/office/drawing/2014/main" id="{7579E416-D721-4961-99D1-D55D954FD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24</xdr:row>
      <xdr:rowOff>0</xdr:rowOff>
    </xdr:from>
    <xdr:ext cx="9525" cy="0"/>
    <xdr:pic>
      <xdr:nvPicPr>
        <xdr:cNvPr id="14" name="Imagem 13" descr="http://sistemaswebhom.einstein.br/CME/Imagens/nada.gif">
          <a:extLst>
            <a:ext uri="{FF2B5EF4-FFF2-40B4-BE49-F238E27FC236}">
              <a16:creationId xmlns:a16="http://schemas.microsoft.com/office/drawing/2014/main" id="{7A4E5223-5FC3-4A43-9195-2FCFEFC29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24</xdr:row>
      <xdr:rowOff>0</xdr:rowOff>
    </xdr:from>
    <xdr:ext cx="9525" cy="0"/>
    <xdr:pic>
      <xdr:nvPicPr>
        <xdr:cNvPr id="15" name="Imagem 14" descr="http://sistemaswebhom.einstein.br/CME/Imagens/nada.gif">
          <a:extLst>
            <a:ext uri="{FF2B5EF4-FFF2-40B4-BE49-F238E27FC236}">
              <a16:creationId xmlns:a16="http://schemas.microsoft.com/office/drawing/2014/main" id="{353FA54B-BB06-4FE0-90EC-3BDF3D532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24</xdr:row>
      <xdr:rowOff>0</xdr:rowOff>
    </xdr:from>
    <xdr:ext cx="9525" cy="0"/>
    <xdr:pic>
      <xdr:nvPicPr>
        <xdr:cNvPr id="16" name="Imagem 15" descr="http://sistemaswebhom.einstein.br/CME/Imagens/nada.gif">
          <a:extLst>
            <a:ext uri="{FF2B5EF4-FFF2-40B4-BE49-F238E27FC236}">
              <a16:creationId xmlns:a16="http://schemas.microsoft.com/office/drawing/2014/main" id="{FD3B4EAD-F95A-4D18-A656-3BAF12C62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8647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6AB4-D2F9-445F-B928-B88943BB37F4}">
  <sheetPr codeName="Planilha2">
    <tabColor rgb="FF92D050"/>
  </sheetPr>
  <dimension ref="A1:I155"/>
  <sheetViews>
    <sheetView tabSelected="1" workbookViewId="0">
      <pane ySplit="1" topLeftCell="A2" activePane="bottomLeft" state="frozen"/>
      <selection activeCell="A53" sqref="A53"/>
      <selection pane="bottomLeft" activeCell="K5" sqref="K5"/>
    </sheetView>
  </sheetViews>
  <sheetFormatPr defaultColWidth="8.85546875" defaultRowHeight="15" x14ac:dyDescent="0.25"/>
  <cols>
    <col min="1" max="1" width="51.5703125" style="27" bestFit="1" customWidth="1"/>
    <col min="2" max="2" width="15.42578125" style="28" customWidth="1"/>
    <col min="3" max="3" width="13.42578125" style="40" customWidth="1"/>
    <col min="4" max="4" width="13.42578125" style="28" customWidth="1"/>
    <col min="5" max="5" width="26.7109375" style="40" customWidth="1"/>
    <col min="6" max="6" width="15.42578125" style="40" customWidth="1"/>
    <col min="7" max="7" width="14.7109375" style="40" customWidth="1"/>
    <col min="8" max="8" width="16.7109375" style="324" bestFit="1" customWidth="1"/>
    <col min="9" max="9" width="15.28515625" style="40" customWidth="1"/>
  </cols>
  <sheetData>
    <row r="1" spans="1:9" ht="15.75" x14ac:dyDescent="0.25">
      <c r="A1" s="184" t="s">
        <v>0</v>
      </c>
      <c r="B1" s="185" t="s">
        <v>1</v>
      </c>
      <c r="C1" s="310" t="s">
        <v>2</v>
      </c>
      <c r="D1" s="197" t="s">
        <v>1721</v>
      </c>
      <c r="E1" s="194" t="s">
        <v>1723</v>
      </c>
      <c r="F1" s="194" t="s">
        <v>1724</v>
      </c>
      <c r="G1" s="194" t="s">
        <v>1722</v>
      </c>
      <c r="H1" s="321" t="s">
        <v>1725</v>
      </c>
      <c r="I1" s="194" t="s">
        <v>2317</v>
      </c>
    </row>
    <row r="2" spans="1:9" x14ac:dyDescent="0.25">
      <c r="A2" s="166" t="s">
        <v>175</v>
      </c>
      <c r="B2" s="167">
        <v>3</v>
      </c>
      <c r="C2" s="177" t="s">
        <v>176</v>
      </c>
      <c r="D2" s="251" t="s">
        <v>8</v>
      </c>
      <c r="E2" s="195" t="s">
        <v>2193</v>
      </c>
      <c r="F2" s="22" t="s">
        <v>1726</v>
      </c>
      <c r="G2" s="308">
        <v>81897710023</v>
      </c>
      <c r="H2" s="322">
        <v>137.8291304347826</v>
      </c>
      <c r="I2" s="322">
        <f>H2*B2</f>
        <v>413.4873913043478</v>
      </c>
    </row>
    <row r="3" spans="1:9" x14ac:dyDescent="0.25">
      <c r="A3" s="389" t="s">
        <v>195</v>
      </c>
      <c r="B3" s="167">
        <v>2</v>
      </c>
      <c r="C3" s="177" t="s">
        <v>196</v>
      </c>
      <c r="D3" s="251" t="s">
        <v>8</v>
      </c>
      <c r="E3" s="195" t="s">
        <v>2194</v>
      </c>
      <c r="F3" s="360" t="s">
        <v>1736</v>
      </c>
      <c r="G3" s="366">
        <v>81897710001</v>
      </c>
      <c r="H3" s="362">
        <v>1827.7943478260872</v>
      </c>
      <c r="I3" s="322">
        <f t="shared" ref="I3:I64" si="0">H3*B3</f>
        <v>3655.5886956521745</v>
      </c>
    </row>
    <row r="4" spans="1:9" x14ac:dyDescent="0.25">
      <c r="A4" s="389" t="s">
        <v>163</v>
      </c>
      <c r="B4" s="169">
        <v>3</v>
      </c>
      <c r="C4" s="177">
        <v>2997</v>
      </c>
      <c r="D4" s="251" t="s">
        <v>4</v>
      </c>
      <c r="E4" s="195" t="s">
        <v>2195</v>
      </c>
      <c r="F4" s="360" t="s">
        <v>1737</v>
      </c>
      <c r="G4" s="366">
        <v>81897710023</v>
      </c>
      <c r="H4" s="362">
        <v>206.39739130434782</v>
      </c>
      <c r="I4" s="322">
        <f t="shared" si="0"/>
        <v>619.19217391304346</v>
      </c>
    </row>
    <row r="5" spans="1:9" x14ac:dyDescent="0.25">
      <c r="A5" s="389" t="s">
        <v>189</v>
      </c>
      <c r="B5" s="169">
        <v>6</v>
      </c>
      <c r="C5" s="177" t="s">
        <v>190</v>
      </c>
      <c r="D5" s="251" t="s">
        <v>8</v>
      </c>
      <c r="E5" s="195" t="s">
        <v>2196</v>
      </c>
      <c r="F5" s="360" t="s">
        <v>1738</v>
      </c>
      <c r="G5" s="366">
        <v>81897710023</v>
      </c>
      <c r="H5" s="362">
        <v>225.79043478260868</v>
      </c>
      <c r="I5" s="322">
        <f t="shared" si="0"/>
        <v>1354.7426086956521</v>
      </c>
    </row>
    <row r="6" spans="1:9" x14ac:dyDescent="0.25">
      <c r="A6" s="389" t="s">
        <v>191</v>
      </c>
      <c r="B6" s="167">
        <v>7</v>
      </c>
      <c r="C6" s="177" t="s">
        <v>192</v>
      </c>
      <c r="D6" s="251" t="s">
        <v>8</v>
      </c>
      <c r="E6" s="195" t="s">
        <v>2197</v>
      </c>
      <c r="F6" s="360" t="s">
        <v>1739</v>
      </c>
      <c r="G6" s="366">
        <v>81897710023</v>
      </c>
      <c r="H6" s="362">
        <v>225.79043478260868</v>
      </c>
      <c r="I6" s="322">
        <f t="shared" si="0"/>
        <v>1580.5330434782609</v>
      </c>
    </row>
    <row r="7" spans="1:9" x14ac:dyDescent="0.25">
      <c r="A7" s="389" t="s">
        <v>11</v>
      </c>
      <c r="B7" s="169">
        <v>10</v>
      </c>
      <c r="C7" s="177" t="s">
        <v>12</v>
      </c>
      <c r="D7" s="251" t="s">
        <v>8</v>
      </c>
      <c r="E7" s="195" t="s">
        <v>2198</v>
      </c>
      <c r="F7" s="363" t="s">
        <v>1740</v>
      </c>
      <c r="G7" s="366">
        <v>81897710023</v>
      </c>
      <c r="H7" s="362">
        <v>270.4636956521739</v>
      </c>
      <c r="I7" s="322">
        <f t="shared" si="0"/>
        <v>2704.6369565217392</v>
      </c>
    </row>
    <row r="8" spans="1:9" x14ac:dyDescent="0.25">
      <c r="A8" s="389" t="s">
        <v>13</v>
      </c>
      <c r="B8" s="167">
        <v>10</v>
      </c>
      <c r="C8" s="177" t="s">
        <v>14</v>
      </c>
      <c r="D8" s="251" t="s">
        <v>8</v>
      </c>
      <c r="E8" s="195" t="s">
        <v>2199</v>
      </c>
      <c r="F8" s="364" t="s">
        <v>1733</v>
      </c>
      <c r="G8" s="366">
        <v>81897710023</v>
      </c>
      <c r="H8" s="362">
        <v>270.4636956521739</v>
      </c>
      <c r="I8" s="322">
        <f t="shared" si="0"/>
        <v>2704.6369565217392</v>
      </c>
    </row>
    <row r="9" spans="1:9" x14ac:dyDescent="0.25">
      <c r="A9" s="389" t="s">
        <v>15</v>
      </c>
      <c r="B9" s="169">
        <v>5</v>
      </c>
      <c r="C9" s="177" t="s">
        <v>16</v>
      </c>
      <c r="D9" s="251" t="s">
        <v>8</v>
      </c>
      <c r="E9" s="195" t="s">
        <v>2200</v>
      </c>
      <c r="F9" s="360" t="s">
        <v>1742</v>
      </c>
      <c r="G9" s="366">
        <v>81897710021</v>
      </c>
      <c r="H9" s="362">
        <v>270.4636956521739</v>
      </c>
      <c r="I9" s="322">
        <f t="shared" si="0"/>
        <v>1352.3184782608696</v>
      </c>
    </row>
    <row r="10" spans="1:9" x14ac:dyDescent="0.25">
      <c r="A10" s="389" t="s">
        <v>6</v>
      </c>
      <c r="B10" s="167">
        <v>5</v>
      </c>
      <c r="C10" s="177" t="s">
        <v>7</v>
      </c>
      <c r="D10" s="251" t="s">
        <v>8</v>
      </c>
      <c r="E10" s="195" t="s">
        <v>2201</v>
      </c>
      <c r="F10" s="365" t="s">
        <v>1741</v>
      </c>
      <c r="G10" s="366">
        <v>81897710021</v>
      </c>
      <c r="H10" s="362">
        <v>270.4636956521739</v>
      </c>
      <c r="I10" s="322">
        <f t="shared" si="0"/>
        <v>1352.3184782608696</v>
      </c>
    </row>
    <row r="11" spans="1:9" x14ac:dyDescent="0.25">
      <c r="A11" s="389" t="s">
        <v>253</v>
      </c>
      <c r="B11" s="167">
        <v>1</v>
      </c>
      <c r="C11" s="311" t="s">
        <v>254</v>
      </c>
      <c r="D11" s="251" t="s">
        <v>8</v>
      </c>
      <c r="E11" s="308" t="s">
        <v>2202</v>
      </c>
      <c r="F11" s="360" t="s">
        <v>2319</v>
      </c>
      <c r="G11" s="366">
        <v>81897719002</v>
      </c>
      <c r="H11" s="362">
        <v>3001.2119999999995</v>
      </c>
      <c r="I11" s="322">
        <f t="shared" si="0"/>
        <v>3001.2119999999995</v>
      </c>
    </row>
    <row r="12" spans="1:9" x14ac:dyDescent="0.25">
      <c r="A12" s="389" t="s">
        <v>255</v>
      </c>
      <c r="B12" s="169">
        <v>4</v>
      </c>
      <c r="C12" s="177" t="s">
        <v>256</v>
      </c>
      <c r="D12" s="251" t="s">
        <v>8</v>
      </c>
      <c r="E12" s="195" t="s">
        <v>2203</v>
      </c>
      <c r="F12" s="360" t="s">
        <v>1743</v>
      </c>
      <c r="G12" s="366">
        <v>81897710001</v>
      </c>
      <c r="H12" s="362">
        <v>1002.8973913043478</v>
      </c>
      <c r="I12" s="322">
        <f t="shared" si="0"/>
        <v>4011.5895652173913</v>
      </c>
    </row>
    <row r="13" spans="1:9" x14ac:dyDescent="0.25">
      <c r="A13" s="389" t="s">
        <v>197</v>
      </c>
      <c r="B13" s="169">
        <v>1</v>
      </c>
      <c r="C13" s="177" t="s">
        <v>198</v>
      </c>
      <c r="D13" s="251" t="s">
        <v>8</v>
      </c>
      <c r="E13" s="195" t="s">
        <v>197</v>
      </c>
      <c r="F13" s="360">
        <v>10425</v>
      </c>
      <c r="G13" s="366">
        <v>81087610008</v>
      </c>
      <c r="H13" s="362">
        <v>1545.6521739130433</v>
      </c>
      <c r="I13" s="322">
        <f t="shared" si="0"/>
        <v>1545.6521739130433</v>
      </c>
    </row>
    <row r="14" spans="1:9" x14ac:dyDescent="0.25">
      <c r="A14" s="389" t="s">
        <v>199</v>
      </c>
      <c r="B14" s="167">
        <v>5</v>
      </c>
      <c r="C14" s="177" t="s">
        <v>200</v>
      </c>
      <c r="D14" s="251" t="s">
        <v>8</v>
      </c>
      <c r="E14" s="195" t="s">
        <v>2204</v>
      </c>
      <c r="F14" s="360" t="s">
        <v>1744</v>
      </c>
      <c r="G14" s="366">
        <v>81897710023</v>
      </c>
      <c r="H14" s="362">
        <v>223.02</v>
      </c>
      <c r="I14" s="322">
        <f t="shared" si="0"/>
        <v>1115.1000000000001</v>
      </c>
    </row>
    <row r="15" spans="1:9" x14ac:dyDescent="0.25">
      <c r="A15" s="389" t="s">
        <v>201</v>
      </c>
      <c r="B15" s="169">
        <v>3</v>
      </c>
      <c r="C15" s="177" t="s">
        <v>202</v>
      </c>
      <c r="D15" s="251" t="s">
        <v>8</v>
      </c>
      <c r="E15" s="195" t="s">
        <v>2205</v>
      </c>
      <c r="F15" s="360" t="s">
        <v>1745</v>
      </c>
      <c r="G15" s="366">
        <v>81897710023</v>
      </c>
      <c r="H15" s="362">
        <v>233.40913043478258</v>
      </c>
      <c r="I15" s="322">
        <f t="shared" si="0"/>
        <v>700.22739130434775</v>
      </c>
    </row>
    <row r="16" spans="1:9" x14ac:dyDescent="0.25">
      <c r="A16" s="389" t="s">
        <v>203</v>
      </c>
      <c r="B16" s="167">
        <v>3</v>
      </c>
      <c r="C16" s="177" t="s">
        <v>204</v>
      </c>
      <c r="D16" s="180" t="s">
        <v>8</v>
      </c>
      <c r="E16" s="195" t="s">
        <v>2206</v>
      </c>
      <c r="F16" s="360" t="s">
        <v>1746</v>
      </c>
      <c r="G16" s="366">
        <v>81897710023</v>
      </c>
      <c r="H16" s="362">
        <v>233.40913043478258</v>
      </c>
      <c r="I16" s="322">
        <f t="shared" si="0"/>
        <v>700.22739130434775</v>
      </c>
    </row>
    <row r="17" spans="1:9" x14ac:dyDescent="0.25">
      <c r="A17" s="389" t="s">
        <v>17</v>
      </c>
      <c r="B17" s="167">
        <v>3</v>
      </c>
      <c r="C17" s="177" t="s">
        <v>18</v>
      </c>
      <c r="D17" s="251" t="s">
        <v>8</v>
      </c>
      <c r="E17" s="195" t="s">
        <v>2207</v>
      </c>
      <c r="F17" s="360" t="s">
        <v>1751</v>
      </c>
      <c r="G17" s="366">
        <v>81897710023</v>
      </c>
      <c r="H17" s="362">
        <v>388.89978260869566</v>
      </c>
      <c r="I17" s="322">
        <f t="shared" si="0"/>
        <v>1166.699347826087</v>
      </c>
    </row>
    <row r="18" spans="1:9" x14ac:dyDescent="0.25">
      <c r="A18" s="389" t="s">
        <v>19</v>
      </c>
      <c r="B18" s="169">
        <v>3</v>
      </c>
      <c r="C18" s="177" t="s">
        <v>20</v>
      </c>
      <c r="D18" s="251" t="s">
        <v>8</v>
      </c>
      <c r="E18" s="195" t="s">
        <v>2208</v>
      </c>
      <c r="F18" s="360" t="s">
        <v>1752</v>
      </c>
      <c r="G18" s="366">
        <v>81897710023</v>
      </c>
      <c r="H18" s="362">
        <v>421.10608695652172</v>
      </c>
      <c r="I18" s="322">
        <f t="shared" si="0"/>
        <v>1263.3182608695652</v>
      </c>
    </row>
    <row r="19" spans="1:9" x14ac:dyDescent="0.25">
      <c r="A19" s="389" t="s">
        <v>21</v>
      </c>
      <c r="B19" s="167">
        <v>3</v>
      </c>
      <c r="C19" s="177" t="s">
        <v>22</v>
      </c>
      <c r="D19" s="251" t="s">
        <v>8</v>
      </c>
      <c r="E19" s="195" t="s">
        <v>2209</v>
      </c>
      <c r="F19" s="363" t="s">
        <v>1750</v>
      </c>
      <c r="G19" s="366">
        <v>81897710023</v>
      </c>
      <c r="H19" s="362">
        <v>451.58086956521737</v>
      </c>
      <c r="I19" s="322">
        <f t="shared" si="0"/>
        <v>1354.7426086956521</v>
      </c>
    </row>
    <row r="20" spans="1:9" x14ac:dyDescent="0.25">
      <c r="A20" s="389" t="s">
        <v>231</v>
      </c>
      <c r="B20" s="169">
        <v>4</v>
      </c>
      <c r="C20" s="177" t="s">
        <v>232</v>
      </c>
      <c r="D20" s="251" t="s">
        <v>8</v>
      </c>
      <c r="E20" s="195" t="s">
        <v>2210</v>
      </c>
      <c r="F20" s="360" t="s">
        <v>1735</v>
      </c>
      <c r="G20" s="366">
        <v>81897710001</v>
      </c>
      <c r="H20" s="362">
        <v>947.83500000000015</v>
      </c>
      <c r="I20" s="322">
        <f t="shared" si="0"/>
        <v>3791.3400000000006</v>
      </c>
    </row>
    <row r="21" spans="1:9" x14ac:dyDescent="0.25">
      <c r="A21" s="389" t="s">
        <v>233</v>
      </c>
      <c r="B21" s="167">
        <v>4</v>
      </c>
      <c r="C21" s="177" t="s">
        <v>234</v>
      </c>
      <c r="D21" s="251" t="s">
        <v>8</v>
      </c>
      <c r="E21" s="195" t="s">
        <v>2211</v>
      </c>
      <c r="F21" s="360" t="s">
        <v>1754</v>
      </c>
      <c r="G21" s="366">
        <v>81897710001</v>
      </c>
      <c r="H21" s="362">
        <v>1294.1393478260868</v>
      </c>
      <c r="I21" s="322">
        <f t="shared" si="0"/>
        <v>5176.5573913043472</v>
      </c>
    </row>
    <row r="22" spans="1:9" x14ac:dyDescent="0.25">
      <c r="A22" s="390" t="s">
        <v>297</v>
      </c>
      <c r="B22" s="190">
        <v>2</v>
      </c>
      <c r="C22" s="69" t="s">
        <v>298</v>
      </c>
      <c r="D22" s="276" t="s">
        <v>299</v>
      </c>
      <c r="E22" s="195" t="s">
        <v>297</v>
      </c>
      <c r="F22" s="367" t="s">
        <v>2076</v>
      </c>
      <c r="G22" s="366" t="e">
        <v>#N/A</v>
      </c>
      <c r="H22" s="362">
        <v>0</v>
      </c>
      <c r="I22" s="322">
        <f t="shared" si="0"/>
        <v>0</v>
      </c>
    </row>
    <row r="23" spans="1:9" x14ac:dyDescent="0.25">
      <c r="A23" s="390" t="s">
        <v>302</v>
      </c>
      <c r="B23" s="190">
        <v>2</v>
      </c>
      <c r="C23" s="69" t="s">
        <v>303</v>
      </c>
      <c r="D23" s="276" t="s">
        <v>299</v>
      </c>
      <c r="E23" s="195" t="s">
        <v>302</v>
      </c>
      <c r="F23" s="367" t="s">
        <v>2076</v>
      </c>
      <c r="G23" s="366" t="e">
        <v>#N/A</v>
      </c>
      <c r="H23" s="362">
        <v>0</v>
      </c>
      <c r="I23" s="322">
        <f t="shared" si="0"/>
        <v>0</v>
      </c>
    </row>
    <row r="24" spans="1:9" ht="45" x14ac:dyDescent="0.25">
      <c r="A24" s="391" t="s">
        <v>293</v>
      </c>
      <c r="B24" s="189">
        <v>6</v>
      </c>
      <c r="C24" s="78" t="s">
        <v>294</v>
      </c>
      <c r="D24" s="278" t="s">
        <v>146</v>
      </c>
      <c r="E24" s="195" t="s">
        <v>2212</v>
      </c>
      <c r="F24" s="368" t="s">
        <v>2318</v>
      </c>
      <c r="G24" s="366">
        <v>81897710023</v>
      </c>
      <c r="H24" s="362">
        <v>748.01</v>
      </c>
      <c r="I24" s="322">
        <f t="shared" si="0"/>
        <v>4488.0599999999995</v>
      </c>
    </row>
    <row r="25" spans="1:9" x14ac:dyDescent="0.25">
      <c r="A25" s="389" t="s">
        <v>164</v>
      </c>
      <c r="B25" s="167">
        <v>10</v>
      </c>
      <c r="C25" s="177"/>
      <c r="D25" s="251" t="s">
        <v>4</v>
      </c>
      <c r="E25" s="308" t="s">
        <v>164</v>
      </c>
      <c r="F25" s="360" t="s">
        <v>2077</v>
      </c>
      <c r="G25" s="366">
        <v>80476380016</v>
      </c>
      <c r="H25" s="362">
        <v>521.73913043478262</v>
      </c>
      <c r="I25" s="322">
        <f t="shared" si="0"/>
        <v>5217.391304347826</v>
      </c>
    </row>
    <row r="26" spans="1:9" x14ac:dyDescent="0.25">
      <c r="A26" s="389" t="s">
        <v>151</v>
      </c>
      <c r="B26" s="169">
        <v>8</v>
      </c>
      <c r="C26" s="177">
        <v>2045</v>
      </c>
      <c r="D26" s="251" t="s">
        <v>4</v>
      </c>
      <c r="E26" s="195" t="s">
        <v>2213</v>
      </c>
      <c r="F26" s="369" t="s">
        <v>1757</v>
      </c>
      <c r="G26" s="366">
        <v>81897719001</v>
      </c>
      <c r="H26" s="362">
        <v>205.01217391304351</v>
      </c>
      <c r="I26" s="322">
        <f t="shared" si="0"/>
        <v>1640.0973913043481</v>
      </c>
    </row>
    <row r="27" spans="1:9" x14ac:dyDescent="0.25">
      <c r="A27" s="389" t="s">
        <v>152</v>
      </c>
      <c r="B27" s="167">
        <v>8</v>
      </c>
      <c r="C27" s="177">
        <v>2047</v>
      </c>
      <c r="D27" s="251" t="s">
        <v>4</v>
      </c>
      <c r="E27" s="195" t="s">
        <v>2214</v>
      </c>
      <c r="F27" s="360" t="s">
        <v>1764</v>
      </c>
      <c r="G27" s="366">
        <v>81897719001</v>
      </c>
      <c r="H27" s="362">
        <v>205.01217391304351</v>
      </c>
      <c r="I27" s="322">
        <f t="shared" si="0"/>
        <v>1640.0973913043481</v>
      </c>
    </row>
    <row r="28" spans="1:9" x14ac:dyDescent="0.25">
      <c r="A28" s="389" t="s">
        <v>153</v>
      </c>
      <c r="B28" s="169">
        <v>8</v>
      </c>
      <c r="C28" s="177">
        <v>2049</v>
      </c>
      <c r="D28" s="251" t="s">
        <v>4</v>
      </c>
      <c r="E28" s="195" t="s">
        <v>2215</v>
      </c>
      <c r="F28" s="363" t="s">
        <v>1765</v>
      </c>
      <c r="G28" s="366">
        <v>81897719001</v>
      </c>
      <c r="H28" s="362">
        <v>205.01217391304351</v>
      </c>
      <c r="I28" s="322">
        <f t="shared" si="0"/>
        <v>1640.0973913043481</v>
      </c>
    </row>
    <row r="29" spans="1:9" x14ac:dyDescent="0.25">
      <c r="A29" s="389" t="s">
        <v>154</v>
      </c>
      <c r="B29" s="167">
        <v>6</v>
      </c>
      <c r="C29" s="177">
        <v>2050</v>
      </c>
      <c r="D29" s="251" t="s">
        <v>4</v>
      </c>
      <c r="E29" s="195" t="s">
        <v>2216</v>
      </c>
      <c r="F29" s="363" t="s">
        <v>1766</v>
      </c>
      <c r="G29" s="366">
        <v>81897719001</v>
      </c>
      <c r="H29" s="362">
        <v>205.01217391304351</v>
      </c>
      <c r="I29" s="322">
        <f t="shared" si="0"/>
        <v>1230.0730434782611</v>
      </c>
    </row>
    <row r="30" spans="1:9" x14ac:dyDescent="0.25">
      <c r="A30" s="389" t="s">
        <v>130</v>
      </c>
      <c r="B30" s="169">
        <v>5</v>
      </c>
      <c r="C30" s="177" t="s">
        <v>131</v>
      </c>
      <c r="D30" s="251" t="s">
        <v>8</v>
      </c>
      <c r="E30" s="195" t="s">
        <v>2217</v>
      </c>
      <c r="F30" s="364" t="s">
        <v>1767</v>
      </c>
      <c r="G30" s="366">
        <v>81897719001</v>
      </c>
      <c r="H30" s="362">
        <v>306.825652173913</v>
      </c>
      <c r="I30" s="322">
        <f t="shared" si="0"/>
        <v>1534.1282608695651</v>
      </c>
    </row>
    <row r="31" spans="1:9" x14ac:dyDescent="0.25">
      <c r="A31" s="389" t="s">
        <v>215</v>
      </c>
      <c r="B31" s="169">
        <v>10</v>
      </c>
      <c r="C31" s="311"/>
      <c r="D31" s="251" t="s">
        <v>216</v>
      </c>
      <c r="E31" s="308" t="s">
        <v>215</v>
      </c>
      <c r="F31" s="360" t="s">
        <v>2086</v>
      </c>
      <c r="G31" s="366">
        <v>81532930011</v>
      </c>
      <c r="H31" s="370">
        <v>7748.934782608696</v>
      </c>
      <c r="I31" s="322">
        <f t="shared" si="0"/>
        <v>77489.34782608696</v>
      </c>
    </row>
    <row r="32" spans="1:9" x14ac:dyDescent="0.25">
      <c r="A32" s="389" t="s">
        <v>275</v>
      </c>
      <c r="B32" s="167">
        <v>2</v>
      </c>
      <c r="C32" s="311" t="s">
        <v>276</v>
      </c>
      <c r="D32" s="180" t="s">
        <v>10</v>
      </c>
      <c r="E32" s="308" t="s">
        <v>275</v>
      </c>
      <c r="F32" s="360" t="s">
        <v>2084</v>
      </c>
      <c r="G32" s="366">
        <v>81532930011</v>
      </c>
      <c r="H32" s="370">
        <v>7748.934782608696</v>
      </c>
      <c r="I32" s="322">
        <f t="shared" si="0"/>
        <v>15497.869565217392</v>
      </c>
    </row>
    <row r="33" spans="1:9" x14ac:dyDescent="0.25">
      <c r="A33" s="389" t="s">
        <v>285</v>
      </c>
      <c r="B33" s="169">
        <v>2</v>
      </c>
      <c r="C33" s="177" t="s">
        <v>286</v>
      </c>
      <c r="D33" s="180" t="s">
        <v>287</v>
      </c>
      <c r="E33" s="195" t="s">
        <v>285</v>
      </c>
      <c r="F33" s="360" t="s">
        <v>2078</v>
      </c>
      <c r="G33" s="366" t="e">
        <v>#N/A</v>
      </c>
      <c r="H33" s="362">
        <v>0</v>
      </c>
      <c r="I33" s="322">
        <f t="shared" si="0"/>
        <v>0</v>
      </c>
    </row>
    <row r="34" spans="1:9" x14ac:dyDescent="0.25">
      <c r="A34" s="389" t="s">
        <v>221</v>
      </c>
      <c r="B34" s="167">
        <v>5</v>
      </c>
      <c r="C34" s="177" t="s">
        <v>222</v>
      </c>
      <c r="D34" s="251" t="s">
        <v>216</v>
      </c>
      <c r="E34" s="195" t="s">
        <v>221</v>
      </c>
      <c r="F34" s="360" t="s">
        <v>2078</v>
      </c>
      <c r="G34" s="366" t="e">
        <v>#N/A</v>
      </c>
      <c r="H34" s="362">
        <v>0</v>
      </c>
      <c r="I34" s="322">
        <f t="shared" si="0"/>
        <v>0</v>
      </c>
    </row>
    <row r="35" spans="1:9" x14ac:dyDescent="0.25">
      <c r="A35" s="389" t="s">
        <v>185</v>
      </c>
      <c r="B35" s="169">
        <v>4</v>
      </c>
      <c r="C35" s="177" t="s">
        <v>186</v>
      </c>
      <c r="D35" s="251" t="s">
        <v>146</v>
      </c>
      <c r="E35" s="195" t="s">
        <v>2218</v>
      </c>
      <c r="F35" s="360" t="s">
        <v>1973</v>
      </c>
      <c r="G35" s="366">
        <v>81897710023</v>
      </c>
      <c r="H35" s="362">
        <v>66.144130434782596</v>
      </c>
      <c r="I35" s="322">
        <f t="shared" si="0"/>
        <v>264.57652173913038</v>
      </c>
    </row>
    <row r="36" spans="1:9" x14ac:dyDescent="0.25">
      <c r="A36" s="389" t="s">
        <v>290</v>
      </c>
      <c r="B36" s="169">
        <v>1</v>
      </c>
      <c r="C36" s="311" t="s">
        <v>291</v>
      </c>
      <c r="D36" s="180" t="s">
        <v>292</v>
      </c>
      <c r="E36" s="308" t="s">
        <v>290</v>
      </c>
      <c r="F36" s="360" t="s">
        <v>2078</v>
      </c>
      <c r="G36" s="366" t="e">
        <v>#N/A</v>
      </c>
      <c r="H36" s="362">
        <v>0</v>
      </c>
      <c r="I36" s="322">
        <f t="shared" si="0"/>
        <v>0</v>
      </c>
    </row>
    <row r="37" spans="1:9" x14ac:dyDescent="0.25">
      <c r="A37" s="389" t="s">
        <v>288</v>
      </c>
      <c r="B37" s="167">
        <v>2</v>
      </c>
      <c r="C37" s="177" t="s">
        <v>289</v>
      </c>
      <c r="D37" s="180" t="s">
        <v>287</v>
      </c>
      <c r="E37" s="195" t="s">
        <v>288</v>
      </c>
      <c r="F37" s="360" t="s">
        <v>2078</v>
      </c>
      <c r="G37" s="366" t="e">
        <v>#N/A</v>
      </c>
      <c r="H37" s="362">
        <v>0</v>
      </c>
      <c r="I37" s="322">
        <f t="shared" si="0"/>
        <v>0</v>
      </c>
    </row>
    <row r="38" spans="1:9" x14ac:dyDescent="0.25">
      <c r="A38" s="389" t="s">
        <v>277</v>
      </c>
      <c r="B38" s="169">
        <v>2</v>
      </c>
      <c r="C38" s="177" t="s">
        <v>278</v>
      </c>
      <c r="D38" s="180" t="s">
        <v>10</v>
      </c>
      <c r="E38" s="195" t="s">
        <v>277</v>
      </c>
      <c r="F38" s="360" t="s">
        <v>2085</v>
      </c>
      <c r="G38" s="366">
        <v>81532930011</v>
      </c>
      <c r="H38" s="362">
        <v>1548.9130434782605</v>
      </c>
      <c r="I38" s="322">
        <f t="shared" si="0"/>
        <v>3097.8260869565211</v>
      </c>
    </row>
    <row r="39" spans="1:9" x14ac:dyDescent="0.25">
      <c r="A39" s="389" t="s">
        <v>181</v>
      </c>
      <c r="B39" s="169">
        <v>4</v>
      </c>
      <c r="C39" s="177" t="s">
        <v>182</v>
      </c>
      <c r="D39" s="251" t="s">
        <v>8</v>
      </c>
      <c r="E39" s="195" t="s">
        <v>2219</v>
      </c>
      <c r="F39" s="360" t="s">
        <v>1977</v>
      </c>
      <c r="G39" s="366">
        <v>81897710018</v>
      </c>
      <c r="H39" s="362">
        <v>906.97108695652173</v>
      </c>
      <c r="I39" s="322">
        <f t="shared" si="0"/>
        <v>3627.8843478260869</v>
      </c>
    </row>
    <row r="40" spans="1:9" x14ac:dyDescent="0.25">
      <c r="A40" s="389" t="s">
        <v>183</v>
      </c>
      <c r="B40" s="167">
        <v>6</v>
      </c>
      <c r="C40" s="311" t="s">
        <v>184</v>
      </c>
      <c r="D40" s="251" t="s">
        <v>146</v>
      </c>
      <c r="E40" s="308" t="s">
        <v>183</v>
      </c>
      <c r="F40" s="360">
        <v>99</v>
      </c>
      <c r="G40" s="366">
        <v>80310620016</v>
      </c>
      <c r="H40" s="362">
        <v>616.304347826087</v>
      </c>
      <c r="I40" s="322">
        <f t="shared" si="0"/>
        <v>3697.826086956522</v>
      </c>
    </row>
    <row r="41" spans="1:9" x14ac:dyDescent="0.25">
      <c r="A41" s="389" t="s">
        <v>213</v>
      </c>
      <c r="B41" s="169">
        <v>40</v>
      </c>
      <c r="C41" s="177"/>
      <c r="D41" s="251" t="s">
        <v>206</v>
      </c>
      <c r="E41" s="195" t="s">
        <v>2220</v>
      </c>
      <c r="F41" s="360" t="s">
        <v>2005</v>
      </c>
      <c r="G41" s="366" t="s">
        <v>2315</v>
      </c>
      <c r="H41" s="362">
        <v>88.115217391304355</v>
      </c>
      <c r="I41" s="322">
        <f t="shared" si="0"/>
        <v>3524.608695652174</v>
      </c>
    </row>
    <row r="42" spans="1:9" x14ac:dyDescent="0.25">
      <c r="A42" s="389" t="s">
        <v>214</v>
      </c>
      <c r="B42" s="167">
        <v>30</v>
      </c>
      <c r="C42" s="177"/>
      <c r="D42" s="251" t="s">
        <v>206</v>
      </c>
      <c r="E42" s="195" t="s">
        <v>2221</v>
      </c>
      <c r="F42" s="360" t="s">
        <v>2006</v>
      </c>
      <c r="G42" s="366" t="s">
        <v>2315</v>
      </c>
      <c r="H42" s="362">
        <v>43.865217391304348</v>
      </c>
      <c r="I42" s="322">
        <f t="shared" si="0"/>
        <v>1315.9565217391305</v>
      </c>
    </row>
    <row r="43" spans="1:9" x14ac:dyDescent="0.25">
      <c r="A43" s="389" t="s">
        <v>279</v>
      </c>
      <c r="B43" s="167">
        <v>2</v>
      </c>
      <c r="C43" s="177" t="s">
        <v>280</v>
      </c>
      <c r="D43" s="180" t="s">
        <v>8</v>
      </c>
      <c r="E43" s="195" t="s">
        <v>2222</v>
      </c>
      <c r="F43" s="360" t="s">
        <v>1785</v>
      </c>
      <c r="G43" s="366">
        <v>81897710018</v>
      </c>
      <c r="H43" s="362">
        <v>234.10173913043479</v>
      </c>
      <c r="I43" s="322">
        <f t="shared" si="0"/>
        <v>468.20347826086959</v>
      </c>
    </row>
    <row r="44" spans="1:9" x14ac:dyDescent="0.25">
      <c r="A44" s="389" t="s">
        <v>281</v>
      </c>
      <c r="B44" s="169">
        <v>2</v>
      </c>
      <c r="C44" s="177" t="s">
        <v>282</v>
      </c>
      <c r="D44" s="180" t="s">
        <v>8</v>
      </c>
      <c r="E44" s="195" t="s">
        <v>2223</v>
      </c>
      <c r="F44" s="360" t="s">
        <v>1786</v>
      </c>
      <c r="G44" s="366">
        <v>81897710018</v>
      </c>
      <c r="H44" s="362">
        <v>234.10173913043479</v>
      </c>
      <c r="I44" s="322">
        <f t="shared" si="0"/>
        <v>468.20347826086959</v>
      </c>
    </row>
    <row r="45" spans="1:9" x14ac:dyDescent="0.25">
      <c r="A45" s="389" t="s">
        <v>283</v>
      </c>
      <c r="B45" s="167">
        <v>2</v>
      </c>
      <c r="C45" s="177" t="s">
        <v>284</v>
      </c>
      <c r="D45" s="180" t="s">
        <v>8</v>
      </c>
      <c r="E45" s="195" t="s">
        <v>2224</v>
      </c>
      <c r="F45" s="360" t="s">
        <v>1787</v>
      </c>
      <c r="G45" s="366">
        <v>81897710018</v>
      </c>
      <c r="H45" s="362">
        <v>234.10173913043479</v>
      </c>
      <c r="I45" s="322">
        <f t="shared" si="0"/>
        <v>468.20347826086959</v>
      </c>
    </row>
    <row r="46" spans="1:9" x14ac:dyDescent="0.25">
      <c r="A46" s="389" t="s">
        <v>237</v>
      </c>
      <c r="B46" s="167">
        <v>4</v>
      </c>
      <c r="C46" s="177" t="s">
        <v>238</v>
      </c>
      <c r="D46" s="251" t="s">
        <v>8</v>
      </c>
      <c r="E46" s="195" t="s">
        <v>2225</v>
      </c>
      <c r="F46" s="360" t="s">
        <v>1789</v>
      </c>
      <c r="G46" s="366">
        <v>81897710018</v>
      </c>
      <c r="H46" s="362">
        <v>197.73978260869566</v>
      </c>
      <c r="I46" s="322">
        <f t="shared" si="0"/>
        <v>790.95913043478265</v>
      </c>
    </row>
    <row r="47" spans="1:9" x14ac:dyDescent="0.25">
      <c r="A47" s="389" t="s">
        <v>235</v>
      </c>
      <c r="B47" s="169">
        <v>4</v>
      </c>
      <c r="C47" s="177" t="s">
        <v>236</v>
      </c>
      <c r="D47" s="251" t="s">
        <v>8</v>
      </c>
      <c r="E47" s="195" t="s">
        <v>2226</v>
      </c>
      <c r="F47" s="360" t="s">
        <v>1790</v>
      </c>
      <c r="G47" s="366">
        <v>81897710018</v>
      </c>
      <c r="H47" s="362">
        <v>197.73978260869566</v>
      </c>
      <c r="I47" s="322">
        <f t="shared" si="0"/>
        <v>790.95913043478265</v>
      </c>
    </row>
    <row r="48" spans="1:9" x14ac:dyDescent="0.25">
      <c r="A48" s="389" t="s">
        <v>239</v>
      </c>
      <c r="B48" s="169">
        <v>4</v>
      </c>
      <c r="C48" s="177" t="s">
        <v>240</v>
      </c>
      <c r="D48" s="251" t="s">
        <v>8</v>
      </c>
      <c r="E48" s="195" t="s">
        <v>2227</v>
      </c>
      <c r="F48" s="360" t="s">
        <v>1791</v>
      </c>
      <c r="G48" s="366">
        <v>81897710018</v>
      </c>
      <c r="H48" s="362">
        <v>197.73978260869566</v>
      </c>
      <c r="I48" s="322">
        <f t="shared" si="0"/>
        <v>790.95913043478265</v>
      </c>
    </row>
    <row r="49" spans="1:9" x14ac:dyDescent="0.25">
      <c r="A49" s="389" t="s">
        <v>241</v>
      </c>
      <c r="B49" s="167">
        <v>4</v>
      </c>
      <c r="C49" s="177" t="s">
        <v>242</v>
      </c>
      <c r="D49" s="251" t="s">
        <v>8</v>
      </c>
      <c r="E49" s="195" t="s">
        <v>2228</v>
      </c>
      <c r="F49" s="360" t="s">
        <v>1792</v>
      </c>
      <c r="G49" s="366">
        <v>81897710018</v>
      </c>
      <c r="H49" s="362">
        <v>197.73978260869566</v>
      </c>
      <c r="I49" s="322">
        <f t="shared" si="0"/>
        <v>790.95913043478265</v>
      </c>
    </row>
    <row r="50" spans="1:9" x14ac:dyDescent="0.25">
      <c r="A50" s="389" t="s">
        <v>157</v>
      </c>
      <c r="B50" s="167">
        <v>8</v>
      </c>
      <c r="C50" s="177" t="s">
        <v>158</v>
      </c>
      <c r="D50" s="251" t="s">
        <v>8</v>
      </c>
      <c r="E50" s="195" t="s">
        <v>2229</v>
      </c>
      <c r="F50" s="360" t="s">
        <v>1793</v>
      </c>
      <c r="G50" s="366">
        <v>81897710018</v>
      </c>
      <c r="H50" s="362">
        <v>294.70499999999998</v>
      </c>
      <c r="I50" s="322">
        <f t="shared" si="0"/>
        <v>2357.64</v>
      </c>
    </row>
    <row r="51" spans="1:9" x14ac:dyDescent="0.25">
      <c r="A51" s="389" t="s">
        <v>161</v>
      </c>
      <c r="B51" s="167">
        <v>3</v>
      </c>
      <c r="C51" s="177">
        <v>479100</v>
      </c>
      <c r="D51" s="251" t="s">
        <v>162</v>
      </c>
      <c r="E51" s="195" t="s">
        <v>2230</v>
      </c>
      <c r="F51" s="360" t="s">
        <v>1981</v>
      </c>
      <c r="G51" s="366">
        <v>81897710018</v>
      </c>
      <c r="H51" s="362">
        <v>308.21086956521742</v>
      </c>
      <c r="I51" s="322">
        <f t="shared" si="0"/>
        <v>924.63260869565227</v>
      </c>
    </row>
    <row r="52" spans="1:9" x14ac:dyDescent="0.25">
      <c r="A52" s="389" t="s">
        <v>122</v>
      </c>
      <c r="B52" s="169">
        <v>5</v>
      </c>
      <c r="C52" s="177" t="s">
        <v>123</v>
      </c>
      <c r="D52" s="251" t="s">
        <v>8</v>
      </c>
      <c r="E52" s="195" t="s">
        <v>2231</v>
      </c>
      <c r="F52" s="360" t="s">
        <v>1796</v>
      </c>
      <c r="G52" s="366">
        <v>81897710023</v>
      </c>
      <c r="H52" s="362">
        <v>137.8291304347826</v>
      </c>
      <c r="I52" s="322">
        <f t="shared" si="0"/>
        <v>689.14565217391305</v>
      </c>
    </row>
    <row r="53" spans="1:9" x14ac:dyDescent="0.25">
      <c r="A53" s="389" t="s">
        <v>124</v>
      </c>
      <c r="B53" s="167">
        <v>5</v>
      </c>
      <c r="C53" s="177" t="s">
        <v>125</v>
      </c>
      <c r="D53" s="251" t="s">
        <v>8</v>
      </c>
      <c r="E53" s="195" t="s">
        <v>2232</v>
      </c>
      <c r="F53" s="360" t="s">
        <v>1799</v>
      </c>
      <c r="G53" s="366">
        <v>81897710023</v>
      </c>
      <c r="H53" s="362">
        <v>148.5645652173913</v>
      </c>
      <c r="I53" s="322">
        <f t="shared" si="0"/>
        <v>742.82282608695652</v>
      </c>
    </row>
    <row r="54" spans="1:9" x14ac:dyDescent="0.25">
      <c r="A54" s="389" t="s">
        <v>169</v>
      </c>
      <c r="B54" s="169">
        <v>4</v>
      </c>
      <c r="C54" s="177" t="s">
        <v>170</v>
      </c>
      <c r="D54" s="251" t="s">
        <v>4</v>
      </c>
      <c r="E54" s="195" t="s">
        <v>2233</v>
      </c>
      <c r="F54" s="360" t="s">
        <v>1803</v>
      </c>
      <c r="G54" s="366">
        <v>81897710001</v>
      </c>
      <c r="H54" s="362">
        <v>388.20717391304356</v>
      </c>
      <c r="I54" s="322">
        <f t="shared" si="0"/>
        <v>1552.8286956521742</v>
      </c>
    </row>
    <row r="55" spans="1:9" x14ac:dyDescent="0.25">
      <c r="A55" s="389" t="s">
        <v>171</v>
      </c>
      <c r="B55" s="167">
        <v>4</v>
      </c>
      <c r="C55" s="177" t="s">
        <v>172</v>
      </c>
      <c r="D55" s="251" t="s">
        <v>4</v>
      </c>
      <c r="E55" s="195" t="s">
        <v>2234</v>
      </c>
      <c r="F55" s="360" t="s">
        <v>1804</v>
      </c>
      <c r="G55" s="366">
        <v>81897710001</v>
      </c>
      <c r="H55" s="362">
        <v>402.05934782608699</v>
      </c>
      <c r="I55" s="322">
        <f t="shared" si="0"/>
        <v>1608.237391304348</v>
      </c>
    </row>
    <row r="56" spans="1:9" x14ac:dyDescent="0.25">
      <c r="A56" s="389" t="s">
        <v>173</v>
      </c>
      <c r="B56" s="169">
        <v>4</v>
      </c>
      <c r="C56" s="177" t="s">
        <v>174</v>
      </c>
      <c r="D56" s="251" t="s">
        <v>4</v>
      </c>
      <c r="E56" s="195" t="s">
        <v>2235</v>
      </c>
      <c r="F56" s="360" t="s">
        <v>1805</v>
      </c>
      <c r="G56" s="366">
        <v>81897710001</v>
      </c>
      <c r="H56" s="362">
        <v>413.1410869565218</v>
      </c>
      <c r="I56" s="322">
        <f t="shared" si="0"/>
        <v>1652.5643478260872</v>
      </c>
    </row>
    <row r="57" spans="1:9" x14ac:dyDescent="0.25">
      <c r="A57" s="389" t="s">
        <v>179</v>
      </c>
      <c r="B57" s="167">
        <v>15</v>
      </c>
      <c r="C57" s="177" t="s">
        <v>180</v>
      </c>
      <c r="D57" s="251" t="s">
        <v>162</v>
      </c>
      <c r="E57" s="195" t="s">
        <v>179</v>
      </c>
      <c r="F57" s="360" t="s">
        <v>2078</v>
      </c>
      <c r="G57" s="366" t="e">
        <v>#N/A</v>
      </c>
      <c r="H57" s="362">
        <v>0</v>
      </c>
      <c r="I57" s="322">
        <f t="shared" si="0"/>
        <v>0</v>
      </c>
    </row>
    <row r="58" spans="1:9" x14ac:dyDescent="0.25">
      <c r="A58" s="389" t="s">
        <v>177</v>
      </c>
      <c r="B58" s="169">
        <v>4</v>
      </c>
      <c r="C58" s="177" t="s">
        <v>178</v>
      </c>
      <c r="D58" s="251" t="s">
        <v>162</v>
      </c>
      <c r="E58" s="195" t="s">
        <v>177</v>
      </c>
      <c r="F58" s="360" t="s">
        <v>2078</v>
      </c>
      <c r="G58" s="366" t="e">
        <v>#N/A</v>
      </c>
      <c r="H58" s="362">
        <v>0</v>
      </c>
      <c r="I58" s="322">
        <f t="shared" si="0"/>
        <v>0</v>
      </c>
    </row>
    <row r="59" spans="1:9" x14ac:dyDescent="0.25">
      <c r="A59" s="389" t="s">
        <v>225</v>
      </c>
      <c r="B59" s="167">
        <v>10</v>
      </c>
      <c r="C59" s="177" t="s">
        <v>226</v>
      </c>
      <c r="D59" s="251" t="s">
        <v>8</v>
      </c>
      <c r="E59" s="195" t="s">
        <v>2236</v>
      </c>
      <c r="F59" s="360" t="s">
        <v>1838</v>
      </c>
      <c r="G59" s="366">
        <v>81897710023</v>
      </c>
      <c r="H59" s="362">
        <v>159.64630434782609</v>
      </c>
      <c r="I59" s="322">
        <f t="shared" si="0"/>
        <v>1596.4630434782609</v>
      </c>
    </row>
    <row r="60" spans="1:9" x14ac:dyDescent="0.25">
      <c r="A60" s="389" t="s">
        <v>223</v>
      </c>
      <c r="B60" s="169">
        <v>10</v>
      </c>
      <c r="C60" s="177" t="s">
        <v>224</v>
      </c>
      <c r="D60" s="251" t="s">
        <v>8</v>
      </c>
      <c r="E60" s="195" t="s">
        <v>2237</v>
      </c>
      <c r="F60" s="360" t="s">
        <v>1839</v>
      </c>
      <c r="G60" s="366">
        <v>81897710023</v>
      </c>
      <c r="H60" s="362">
        <v>182.15608695652173</v>
      </c>
      <c r="I60" s="322">
        <f t="shared" si="0"/>
        <v>1821.5608695652172</v>
      </c>
    </row>
    <row r="61" spans="1:9" x14ac:dyDescent="0.25">
      <c r="A61" s="392" t="s">
        <v>207</v>
      </c>
      <c r="B61" s="187">
        <v>2</v>
      </c>
      <c r="C61" s="249"/>
      <c r="D61" s="252" t="s">
        <v>208</v>
      </c>
      <c r="E61" s="195" t="s">
        <v>207</v>
      </c>
      <c r="F61" s="360" t="s">
        <v>2078</v>
      </c>
      <c r="G61" s="366" t="e">
        <v>#N/A</v>
      </c>
      <c r="H61" s="362">
        <v>0</v>
      </c>
      <c r="I61" s="322">
        <f t="shared" si="0"/>
        <v>0</v>
      </c>
    </row>
    <row r="62" spans="1:9" x14ac:dyDescent="0.25">
      <c r="A62" s="389" t="s">
        <v>249</v>
      </c>
      <c r="B62" s="167">
        <v>4</v>
      </c>
      <c r="C62" s="177" t="s">
        <v>250</v>
      </c>
      <c r="D62" s="251" t="s">
        <v>10</v>
      </c>
      <c r="E62" s="195" t="s">
        <v>2238</v>
      </c>
      <c r="F62" s="360" t="s">
        <v>1843</v>
      </c>
      <c r="G62" s="366">
        <v>81897710023</v>
      </c>
      <c r="H62" s="362">
        <v>163.45565217391302</v>
      </c>
      <c r="I62" s="322">
        <f t="shared" si="0"/>
        <v>653.82260869565209</v>
      </c>
    </row>
    <row r="63" spans="1:9" x14ac:dyDescent="0.25">
      <c r="A63" s="389" t="s">
        <v>209</v>
      </c>
      <c r="B63" s="169">
        <v>15</v>
      </c>
      <c r="C63" s="177"/>
      <c r="D63" s="251" t="s">
        <v>206</v>
      </c>
      <c r="E63" s="195" t="s">
        <v>2239</v>
      </c>
      <c r="F63" s="360" t="s">
        <v>2007</v>
      </c>
      <c r="G63" s="366" t="s">
        <v>2315</v>
      </c>
      <c r="H63" s="362">
        <v>264.34565217391304</v>
      </c>
      <c r="I63" s="322">
        <f t="shared" si="0"/>
        <v>3965.1847826086955</v>
      </c>
    </row>
    <row r="64" spans="1:9" x14ac:dyDescent="0.25">
      <c r="A64" s="390" t="s">
        <v>300</v>
      </c>
      <c r="B64" s="190">
        <v>2</v>
      </c>
      <c r="C64" s="69" t="s">
        <v>301</v>
      </c>
      <c r="D64" s="276" t="s">
        <v>299</v>
      </c>
      <c r="E64" s="195" t="s">
        <v>300</v>
      </c>
      <c r="F64" s="367" t="s">
        <v>2078</v>
      </c>
      <c r="G64" s="366" t="e">
        <v>#N/A</v>
      </c>
      <c r="H64" s="362">
        <v>0</v>
      </c>
      <c r="I64" s="322">
        <f t="shared" si="0"/>
        <v>0</v>
      </c>
    </row>
    <row r="65" spans="1:9" x14ac:dyDescent="0.25">
      <c r="A65" s="389" t="s">
        <v>168</v>
      </c>
      <c r="B65" s="167">
        <v>4</v>
      </c>
      <c r="C65" s="177" t="s">
        <v>167</v>
      </c>
      <c r="D65" s="251" t="s">
        <v>8</v>
      </c>
      <c r="E65" s="195" t="s">
        <v>2240</v>
      </c>
      <c r="F65" s="360" t="s">
        <v>1983</v>
      </c>
      <c r="G65" s="366">
        <v>81897710023</v>
      </c>
      <c r="H65" s="362">
        <v>726.89282608695646</v>
      </c>
      <c r="I65" s="322">
        <f t="shared" ref="I65:I128" si="1">H65*B65</f>
        <v>2907.5713043478258</v>
      </c>
    </row>
    <row r="66" spans="1:9" x14ac:dyDescent="0.25">
      <c r="A66" s="389" t="s">
        <v>165</v>
      </c>
      <c r="B66" s="169">
        <v>4</v>
      </c>
      <c r="C66" s="177" t="s">
        <v>166</v>
      </c>
      <c r="D66" s="251" t="s">
        <v>8</v>
      </c>
      <c r="E66" s="195" t="s">
        <v>2241</v>
      </c>
      <c r="F66" s="360" t="s">
        <v>1982</v>
      </c>
      <c r="G66" s="366">
        <v>81897710023</v>
      </c>
      <c r="H66" s="362">
        <v>858.48847826086967</v>
      </c>
      <c r="I66" s="322">
        <f t="shared" si="1"/>
        <v>3433.9539130434787</v>
      </c>
    </row>
    <row r="67" spans="1:9" x14ac:dyDescent="0.25">
      <c r="A67" s="392" t="s">
        <v>219</v>
      </c>
      <c r="B67" s="188">
        <v>2</v>
      </c>
      <c r="C67" s="312"/>
      <c r="D67" s="252" t="s">
        <v>220</v>
      </c>
      <c r="E67" s="308" t="s">
        <v>2242</v>
      </c>
      <c r="F67" s="360" t="s">
        <v>2033</v>
      </c>
      <c r="G67" s="366">
        <v>81897710018</v>
      </c>
      <c r="H67" s="362">
        <v>906.97108695652173</v>
      </c>
      <c r="I67" s="322">
        <f t="shared" si="1"/>
        <v>1813.9421739130435</v>
      </c>
    </row>
    <row r="68" spans="1:9" x14ac:dyDescent="0.25">
      <c r="A68" s="389" t="s">
        <v>23</v>
      </c>
      <c r="B68" s="169">
        <v>20</v>
      </c>
      <c r="C68" s="177" t="s">
        <v>24</v>
      </c>
      <c r="D68" s="251" t="s">
        <v>8</v>
      </c>
      <c r="E68" s="195" t="s">
        <v>2243</v>
      </c>
      <c r="F68" s="360" t="s">
        <v>1844</v>
      </c>
      <c r="G68" s="366">
        <v>81897710001</v>
      </c>
      <c r="H68" s="362">
        <v>111.8563043478261</v>
      </c>
      <c r="I68" s="322">
        <f t="shared" si="1"/>
        <v>2237.1260869565222</v>
      </c>
    </row>
    <row r="69" spans="1:9" x14ac:dyDescent="0.25">
      <c r="A69" s="389" t="s">
        <v>25</v>
      </c>
      <c r="B69" s="167">
        <v>20</v>
      </c>
      <c r="C69" s="177" t="s">
        <v>26</v>
      </c>
      <c r="D69" s="251" t="s">
        <v>8</v>
      </c>
      <c r="E69" s="195" t="s">
        <v>2244</v>
      </c>
      <c r="F69" s="360" t="s">
        <v>1845</v>
      </c>
      <c r="G69" s="366">
        <v>81897710001</v>
      </c>
      <c r="H69" s="362">
        <v>109.08586956521739</v>
      </c>
      <c r="I69" s="322">
        <f t="shared" si="1"/>
        <v>2181.717391304348</v>
      </c>
    </row>
    <row r="70" spans="1:9" x14ac:dyDescent="0.25">
      <c r="A70" s="389" t="s">
        <v>27</v>
      </c>
      <c r="B70" s="169">
        <v>6</v>
      </c>
      <c r="C70" s="177" t="s">
        <v>28</v>
      </c>
      <c r="D70" s="251" t="s">
        <v>8</v>
      </c>
      <c r="E70" s="195" t="s">
        <v>2245</v>
      </c>
      <c r="F70" s="360" t="s">
        <v>1846</v>
      </c>
      <c r="G70" s="366">
        <v>81897710001</v>
      </c>
      <c r="H70" s="362">
        <v>205.35847826086956</v>
      </c>
      <c r="I70" s="322">
        <f t="shared" si="1"/>
        <v>1232.1508695652174</v>
      </c>
    </row>
    <row r="71" spans="1:9" x14ac:dyDescent="0.25">
      <c r="A71" s="389" t="s">
        <v>159</v>
      </c>
      <c r="B71" s="169">
        <v>10</v>
      </c>
      <c r="C71" s="177" t="s">
        <v>160</v>
      </c>
      <c r="D71" s="251" t="s">
        <v>8</v>
      </c>
      <c r="E71" s="195" t="s">
        <v>2246</v>
      </c>
      <c r="F71" s="360" t="s">
        <v>1847</v>
      </c>
      <c r="G71" s="366">
        <v>81897710023</v>
      </c>
      <c r="H71" s="362">
        <v>156.87586956521739</v>
      </c>
      <c r="I71" s="322">
        <f t="shared" si="1"/>
        <v>1568.7586956521739</v>
      </c>
    </row>
    <row r="72" spans="1:9" x14ac:dyDescent="0.25">
      <c r="A72" s="389" t="s">
        <v>29</v>
      </c>
      <c r="B72" s="167">
        <v>15</v>
      </c>
      <c r="C72" s="177" t="s">
        <v>30</v>
      </c>
      <c r="D72" s="251" t="s">
        <v>8</v>
      </c>
      <c r="E72" s="195" t="s">
        <v>2247</v>
      </c>
      <c r="F72" s="360" t="s">
        <v>1731</v>
      </c>
      <c r="G72" s="366">
        <v>81897710023</v>
      </c>
      <c r="H72" s="362">
        <v>93.502173913043478</v>
      </c>
      <c r="I72" s="322">
        <f t="shared" si="1"/>
        <v>1402.5326086956522</v>
      </c>
    </row>
    <row r="73" spans="1:9" x14ac:dyDescent="0.25">
      <c r="A73" s="389" t="s">
        <v>32</v>
      </c>
      <c r="B73" s="169">
        <v>10</v>
      </c>
      <c r="C73" s="177" t="s">
        <v>33</v>
      </c>
      <c r="D73" s="251" t="s">
        <v>8</v>
      </c>
      <c r="E73" s="195" t="s">
        <v>2248</v>
      </c>
      <c r="F73" s="360" t="s">
        <v>1730</v>
      </c>
      <c r="G73" s="366">
        <v>81897710023</v>
      </c>
      <c r="H73" s="362">
        <v>90.385434782608684</v>
      </c>
      <c r="I73" s="322">
        <f t="shared" si="1"/>
        <v>903.85434782608684</v>
      </c>
    </row>
    <row r="74" spans="1:9" x14ac:dyDescent="0.25">
      <c r="A74" s="389" t="s">
        <v>35</v>
      </c>
      <c r="B74" s="167">
        <v>15</v>
      </c>
      <c r="C74" s="177" t="s">
        <v>36</v>
      </c>
      <c r="D74" s="251" t="s">
        <v>8</v>
      </c>
      <c r="E74" s="195" t="s">
        <v>2249</v>
      </c>
      <c r="F74" s="369" t="s">
        <v>1848</v>
      </c>
      <c r="G74" s="366">
        <v>81897710001</v>
      </c>
      <c r="H74" s="362">
        <v>205.01217391304351</v>
      </c>
      <c r="I74" s="322">
        <f t="shared" si="1"/>
        <v>3075.1826086956526</v>
      </c>
    </row>
    <row r="75" spans="1:9" x14ac:dyDescent="0.25">
      <c r="A75" s="389" t="s">
        <v>38</v>
      </c>
      <c r="B75" s="169">
        <v>15</v>
      </c>
      <c r="C75" s="177" t="s">
        <v>39</v>
      </c>
      <c r="D75" s="251" t="s">
        <v>8</v>
      </c>
      <c r="E75" s="195" t="s">
        <v>2250</v>
      </c>
      <c r="F75" s="371" t="s">
        <v>1850</v>
      </c>
      <c r="G75" s="366">
        <v>81897710001</v>
      </c>
      <c r="H75" s="362">
        <v>277.04347826086962</v>
      </c>
      <c r="I75" s="322">
        <f t="shared" si="1"/>
        <v>4155.652173913044</v>
      </c>
    </row>
    <row r="76" spans="1:9" x14ac:dyDescent="0.25">
      <c r="A76" s="392" t="s">
        <v>40</v>
      </c>
      <c r="B76" s="187">
        <v>6</v>
      </c>
      <c r="C76" s="249" t="s">
        <v>41</v>
      </c>
      <c r="D76" s="252" t="s">
        <v>8</v>
      </c>
      <c r="E76" s="195" t="s">
        <v>2251</v>
      </c>
      <c r="F76" s="360" t="s">
        <v>1849</v>
      </c>
      <c r="G76" s="366">
        <v>81897710001</v>
      </c>
      <c r="H76" s="362">
        <v>358.07869565217391</v>
      </c>
      <c r="I76" s="322">
        <f t="shared" si="1"/>
        <v>2148.4721739130437</v>
      </c>
    </row>
    <row r="77" spans="1:9" x14ac:dyDescent="0.25">
      <c r="A77" s="389" t="s">
        <v>42</v>
      </c>
      <c r="B77" s="169">
        <v>10</v>
      </c>
      <c r="C77" s="177" t="s">
        <v>43</v>
      </c>
      <c r="D77" s="251" t="s">
        <v>8</v>
      </c>
      <c r="E77" s="195" t="s">
        <v>2252</v>
      </c>
      <c r="F77" s="360" t="s">
        <v>1851</v>
      </c>
      <c r="G77" s="366">
        <v>81897710023</v>
      </c>
      <c r="H77" s="362">
        <v>90.731739130434789</v>
      </c>
      <c r="I77" s="322">
        <f t="shared" si="1"/>
        <v>907.31739130434789</v>
      </c>
    </row>
    <row r="78" spans="1:9" x14ac:dyDescent="0.25">
      <c r="A78" s="389" t="s">
        <v>44</v>
      </c>
      <c r="B78" s="167">
        <v>10</v>
      </c>
      <c r="C78" s="177" t="s">
        <v>45</v>
      </c>
      <c r="D78" s="251" t="s">
        <v>8</v>
      </c>
      <c r="E78" s="195" t="s">
        <v>2253</v>
      </c>
      <c r="F78" s="360" t="s">
        <v>1852</v>
      </c>
      <c r="G78" s="366">
        <v>81897710023</v>
      </c>
      <c r="H78" s="362">
        <v>100.77456521739131</v>
      </c>
      <c r="I78" s="322">
        <f t="shared" si="1"/>
        <v>1007.7456521739132</v>
      </c>
    </row>
    <row r="79" spans="1:9" x14ac:dyDescent="0.25">
      <c r="A79" s="389" t="s">
        <v>46</v>
      </c>
      <c r="B79" s="169">
        <v>8</v>
      </c>
      <c r="C79" s="177" t="s">
        <v>47</v>
      </c>
      <c r="D79" s="251" t="s">
        <v>8</v>
      </c>
      <c r="E79" s="195" t="s">
        <v>2254</v>
      </c>
      <c r="F79" s="360" t="s">
        <v>1855</v>
      </c>
      <c r="G79" s="366">
        <v>81897710023</v>
      </c>
      <c r="H79" s="362">
        <v>126.74739130434781</v>
      </c>
      <c r="I79" s="322">
        <f t="shared" si="1"/>
        <v>1013.9791304347825</v>
      </c>
    </row>
    <row r="80" spans="1:9" x14ac:dyDescent="0.25">
      <c r="A80" s="389" t="s">
        <v>48</v>
      </c>
      <c r="B80" s="167">
        <v>5</v>
      </c>
      <c r="C80" s="177" t="s">
        <v>49</v>
      </c>
      <c r="D80" s="251" t="s">
        <v>8</v>
      </c>
      <c r="E80" s="195" t="s">
        <v>2255</v>
      </c>
      <c r="F80" s="360" t="s">
        <v>1854</v>
      </c>
      <c r="G80" s="366">
        <v>81897710023</v>
      </c>
      <c r="H80" s="362">
        <v>170.72804347826082</v>
      </c>
      <c r="I80" s="322">
        <f t="shared" si="1"/>
        <v>853.64021739130408</v>
      </c>
    </row>
    <row r="81" spans="1:9" x14ac:dyDescent="0.25">
      <c r="A81" s="389" t="s">
        <v>50</v>
      </c>
      <c r="B81" s="169">
        <v>3</v>
      </c>
      <c r="C81" s="177" t="s">
        <v>51</v>
      </c>
      <c r="D81" s="251" t="s">
        <v>8</v>
      </c>
      <c r="E81" s="195" t="s">
        <v>2256</v>
      </c>
      <c r="F81" s="360" t="s">
        <v>1856</v>
      </c>
      <c r="G81" s="366">
        <v>81897710023</v>
      </c>
      <c r="H81" s="362">
        <v>205.01217391304351</v>
      </c>
      <c r="I81" s="322">
        <f t="shared" si="1"/>
        <v>615.03652173913054</v>
      </c>
    </row>
    <row r="82" spans="1:9" x14ac:dyDescent="0.25">
      <c r="A82" s="389" t="s">
        <v>3</v>
      </c>
      <c r="B82" s="167">
        <v>50</v>
      </c>
      <c r="C82" s="248">
        <v>971</v>
      </c>
      <c r="D82" s="251" t="s">
        <v>4</v>
      </c>
      <c r="E82" s="195" t="s">
        <v>2257</v>
      </c>
      <c r="F82" s="372" t="s">
        <v>1862</v>
      </c>
      <c r="G82" s="366">
        <v>81897710001</v>
      </c>
      <c r="H82" s="362">
        <v>305.9021739130435</v>
      </c>
      <c r="I82" s="322">
        <f t="shared" si="1"/>
        <v>15295.108695652176</v>
      </c>
    </row>
    <row r="83" spans="1:9" x14ac:dyDescent="0.25">
      <c r="A83" s="389" t="s">
        <v>5</v>
      </c>
      <c r="B83" s="169">
        <v>30</v>
      </c>
      <c r="C83" s="177">
        <v>957</v>
      </c>
      <c r="D83" s="251" t="s">
        <v>4</v>
      </c>
      <c r="E83" s="195" t="s">
        <v>2258</v>
      </c>
      <c r="F83" s="364" t="s">
        <v>1861</v>
      </c>
      <c r="G83" s="366">
        <v>81897710001</v>
      </c>
      <c r="H83" s="362">
        <v>145.7941304347826</v>
      </c>
      <c r="I83" s="322">
        <f t="shared" si="1"/>
        <v>4373.8239130434777</v>
      </c>
    </row>
    <row r="84" spans="1:9" x14ac:dyDescent="0.25">
      <c r="A84" s="389" t="s">
        <v>155</v>
      </c>
      <c r="B84" s="169">
        <v>5</v>
      </c>
      <c r="C84" s="177" t="s">
        <v>156</v>
      </c>
      <c r="D84" s="251" t="s">
        <v>8</v>
      </c>
      <c r="E84" s="195" t="s">
        <v>2259</v>
      </c>
      <c r="F84" s="360" t="s">
        <v>1864</v>
      </c>
      <c r="G84" s="366">
        <v>81897710023</v>
      </c>
      <c r="H84" s="362">
        <v>135.05869565217392</v>
      </c>
      <c r="I84" s="322">
        <f t="shared" si="1"/>
        <v>675.29347826086962</v>
      </c>
    </row>
    <row r="85" spans="1:9" x14ac:dyDescent="0.25">
      <c r="A85" s="389" t="s">
        <v>52</v>
      </c>
      <c r="B85" s="167">
        <v>10</v>
      </c>
      <c r="C85" s="177" t="s">
        <v>53</v>
      </c>
      <c r="D85" s="251" t="s">
        <v>8</v>
      </c>
      <c r="E85" s="195" t="s">
        <v>2260</v>
      </c>
      <c r="F85" s="360" t="s">
        <v>1866</v>
      </c>
      <c r="G85" s="366">
        <v>81897710001</v>
      </c>
      <c r="H85" s="362">
        <v>545.08304347826083</v>
      </c>
      <c r="I85" s="322">
        <f t="shared" si="1"/>
        <v>5450.8304347826088</v>
      </c>
    </row>
    <row r="86" spans="1:9" x14ac:dyDescent="0.25">
      <c r="A86" s="392" t="s">
        <v>257</v>
      </c>
      <c r="B86" s="187">
        <v>4</v>
      </c>
      <c r="C86" s="249" t="s">
        <v>258</v>
      </c>
      <c r="D86" s="252" t="s">
        <v>8</v>
      </c>
      <c r="E86" s="195" t="s">
        <v>2261</v>
      </c>
      <c r="F86" s="373" t="s">
        <v>2010</v>
      </c>
      <c r="G86" s="366">
        <v>81897710023</v>
      </c>
      <c r="H86" s="362">
        <v>545.08304347826083</v>
      </c>
      <c r="I86" s="322">
        <f t="shared" si="1"/>
        <v>2180.3321739130433</v>
      </c>
    </row>
    <row r="87" spans="1:9" x14ac:dyDescent="0.25">
      <c r="A87" s="392" t="s">
        <v>257</v>
      </c>
      <c r="B87" s="188">
        <v>4</v>
      </c>
      <c r="C87" s="249" t="s">
        <v>263</v>
      </c>
      <c r="D87" s="252" t="s">
        <v>8</v>
      </c>
      <c r="E87" s="195" t="s">
        <v>2261</v>
      </c>
      <c r="F87" s="373" t="s">
        <v>2010</v>
      </c>
      <c r="G87" s="366">
        <v>81897710023</v>
      </c>
      <c r="H87" s="362">
        <v>545.08304347826083</v>
      </c>
      <c r="I87" s="322">
        <f t="shared" si="1"/>
        <v>2180.3321739130433</v>
      </c>
    </row>
    <row r="88" spans="1:9" x14ac:dyDescent="0.25">
      <c r="A88" s="389" t="s">
        <v>259</v>
      </c>
      <c r="B88" s="169">
        <v>4</v>
      </c>
      <c r="C88" s="177" t="s">
        <v>260</v>
      </c>
      <c r="D88" s="251" t="s">
        <v>8</v>
      </c>
      <c r="E88" s="195" t="s">
        <v>2262</v>
      </c>
      <c r="F88" s="360" t="s">
        <v>2008</v>
      </c>
      <c r="G88" s="366">
        <v>81897710023</v>
      </c>
      <c r="H88" s="362">
        <v>545.08304347826083</v>
      </c>
      <c r="I88" s="322">
        <f t="shared" si="1"/>
        <v>2180.3321739130433</v>
      </c>
    </row>
    <row r="89" spans="1:9" x14ac:dyDescent="0.25">
      <c r="A89" s="389" t="s">
        <v>259</v>
      </c>
      <c r="B89" s="167">
        <v>4</v>
      </c>
      <c r="C89" s="177" t="s">
        <v>264</v>
      </c>
      <c r="D89" s="251" t="s">
        <v>8</v>
      </c>
      <c r="E89" s="195" t="s">
        <v>2262</v>
      </c>
      <c r="F89" s="360" t="s">
        <v>2008</v>
      </c>
      <c r="G89" s="366">
        <v>81897710023</v>
      </c>
      <c r="H89" s="362">
        <v>545.08304347826083</v>
      </c>
      <c r="I89" s="322">
        <f t="shared" si="1"/>
        <v>2180.3321739130433</v>
      </c>
    </row>
    <row r="90" spans="1:9" x14ac:dyDescent="0.25">
      <c r="A90" s="389" t="s">
        <v>261</v>
      </c>
      <c r="B90" s="167">
        <v>2</v>
      </c>
      <c r="C90" s="177" t="s">
        <v>262</v>
      </c>
      <c r="D90" s="251" t="s">
        <v>8</v>
      </c>
      <c r="E90" s="195" t="s">
        <v>2263</v>
      </c>
      <c r="F90" s="360" t="s">
        <v>2009</v>
      </c>
      <c r="G90" s="366">
        <v>81897710023</v>
      </c>
      <c r="H90" s="362">
        <v>655.20782608695663</v>
      </c>
      <c r="I90" s="322">
        <f t="shared" si="1"/>
        <v>1310.4156521739133</v>
      </c>
    </row>
    <row r="91" spans="1:9" x14ac:dyDescent="0.25">
      <c r="A91" s="389" t="s">
        <v>261</v>
      </c>
      <c r="B91" s="169">
        <v>2</v>
      </c>
      <c r="C91" s="177" t="s">
        <v>265</v>
      </c>
      <c r="D91" s="251" t="s">
        <v>8</v>
      </c>
      <c r="E91" s="195" t="s">
        <v>2263</v>
      </c>
      <c r="F91" s="360" t="s">
        <v>2009</v>
      </c>
      <c r="G91" s="366">
        <v>81897710023</v>
      </c>
      <c r="H91" s="362">
        <v>655.20782608695663</v>
      </c>
      <c r="I91" s="322">
        <f t="shared" si="1"/>
        <v>1310.4156521739133</v>
      </c>
    </row>
    <row r="92" spans="1:9" x14ac:dyDescent="0.25">
      <c r="A92" s="389" t="s">
        <v>54</v>
      </c>
      <c r="B92" s="169">
        <v>10</v>
      </c>
      <c r="C92" s="177" t="s">
        <v>55</v>
      </c>
      <c r="D92" s="251" t="s">
        <v>8</v>
      </c>
      <c r="E92" s="195" t="s">
        <v>2264</v>
      </c>
      <c r="F92" s="374" t="s">
        <v>1875</v>
      </c>
      <c r="G92" s="366">
        <v>81897710023</v>
      </c>
      <c r="H92" s="362">
        <v>94.541086956521738</v>
      </c>
      <c r="I92" s="322">
        <f t="shared" si="1"/>
        <v>945.41086956521735</v>
      </c>
    </row>
    <row r="93" spans="1:9" x14ac:dyDescent="0.25">
      <c r="A93" s="389" t="s">
        <v>56</v>
      </c>
      <c r="B93" s="167">
        <v>10</v>
      </c>
      <c r="C93" s="177" t="s">
        <v>57</v>
      </c>
      <c r="D93" s="251" t="s">
        <v>8</v>
      </c>
      <c r="E93" s="195" t="s">
        <v>2265</v>
      </c>
      <c r="F93" s="374" t="s">
        <v>1876</v>
      </c>
      <c r="G93" s="366">
        <v>81897710023</v>
      </c>
      <c r="H93" s="362">
        <v>104.93021739130435</v>
      </c>
      <c r="I93" s="322">
        <f t="shared" si="1"/>
        <v>1049.3021739130436</v>
      </c>
    </row>
    <row r="94" spans="1:9" x14ac:dyDescent="0.25">
      <c r="A94" s="389" t="s">
        <v>58</v>
      </c>
      <c r="B94" s="169">
        <v>8</v>
      </c>
      <c r="C94" s="177" t="s">
        <v>59</v>
      </c>
      <c r="D94" s="251" t="s">
        <v>8</v>
      </c>
      <c r="E94" s="195" t="s">
        <v>2266</v>
      </c>
      <c r="F94" s="360" t="s">
        <v>1880</v>
      </c>
      <c r="G94" s="366">
        <v>81897710023</v>
      </c>
      <c r="H94" s="362">
        <v>130.90304347826086</v>
      </c>
      <c r="I94" s="322">
        <f t="shared" si="1"/>
        <v>1047.2243478260868</v>
      </c>
    </row>
    <row r="95" spans="1:9" x14ac:dyDescent="0.25">
      <c r="A95" s="389" t="s">
        <v>60</v>
      </c>
      <c r="B95" s="167">
        <v>4</v>
      </c>
      <c r="C95" s="177" t="s">
        <v>61</v>
      </c>
      <c r="D95" s="251" t="s">
        <v>8</v>
      </c>
      <c r="E95" s="195" t="s">
        <v>2267</v>
      </c>
      <c r="F95" s="360" t="s">
        <v>1877</v>
      </c>
      <c r="G95" s="366">
        <v>81897710023</v>
      </c>
      <c r="H95" s="362">
        <v>175.22999999999996</v>
      </c>
      <c r="I95" s="322">
        <f t="shared" si="1"/>
        <v>700.91999999999985</v>
      </c>
    </row>
    <row r="96" spans="1:9" x14ac:dyDescent="0.25">
      <c r="A96" s="389" t="s">
        <v>62</v>
      </c>
      <c r="B96" s="169">
        <v>3</v>
      </c>
      <c r="C96" s="177" t="s">
        <v>63</v>
      </c>
      <c r="D96" s="251" t="s">
        <v>8</v>
      </c>
      <c r="E96" s="195" t="s">
        <v>2268</v>
      </c>
      <c r="F96" s="360" t="s">
        <v>1878</v>
      </c>
      <c r="G96" s="366">
        <v>81897710023</v>
      </c>
      <c r="H96" s="362">
        <v>208.12891304347824</v>
      </c>
      <c r="I96" s="322">
        <f t="shared" si="1"/>
        <v>624.38673913043476</v>
      </c>
    </row>
    <row r="97" spans="1:9" x14ac:dyDescent="0.25">
      <c r="A97" s="389" t="s">
        <v>108</v>
      </c>
      <c r="B97" s="167">
        <v>6</v>
      </c>
      <c r="C97" s="177" t="s">
        <v>109</v>
      </c>
      <c r="D97" s="251" t="s">
        <v>10</v>
      </c>
      <c r="E97" s="195" t="s">
        <v>2269</v>
      </c>
      <c r="F97" s="360" t="s">
        <v>1888</v>
      </c>
      <c r="G97" s="366">
        <v>81897710023</v>
      </c>
      <c r="H97" s="362">
        <v>126.74739130434781</v>
      </c>
      <c r="I97" s="322">
        <f t="shared" si="1"/>
        <v>760.48434782608683</v>
      </c>
    </row>
    <row r="98" spans="1:9" x14ac:dyDescent="0.25">
      <c r="A98" s="389" t="s">
        <v>64</v>
      </c>
      <c r="B98" s="167">
        <v>20</v>
      </c>
      <c r="C98" s="177" t="s">
        <v>65</v>
      </c>
      <c r="D98" s="251" t="s">
        <v>8</v>
      </c>
      <c r="E98" s="195" t="s">
        <v>2270</v>
      </c>
      <c r="F98" s="369" t="s">
        <v>1894</v>
      </c>
      <c r="G98" s="366">
        <v>81897710001</v>
      </c>
      <c r="H98" s="362">
        <v>111.8563043478261</v>
      </c>
      <c r="I98" s="322">
        <f t="shared" si="1"/>
        <v>2237.1260869565222</v>
      </c>
    </row>
    <row r="99" spans="1:9" x14ac:dyDescent="0.25">
      <c r="A99" s="389" t="s">
        <v>64</v>
      </c>
      <c r="B99" s="169">
        <v>20</v>
      </c>
      <c r="C99" s="177" t="s">
        <v>66</v>
      </c>
      <c r="D99" s="251" t="s">
        <v>8</v>
      </c>
      <c r="E99" s="195" t="s">
        <v>2271</v>
      </c>
      <c r="F99" s="369" t="s">
        <v>1895</v>
      </c>
      <c r="G99" s="366">
        <v>81897710001</v>
      </c>
      <c r="H99" s="362">
        <v>137.13652173913044</v>
      </c>
      <c r="I99" s="322">
        <f t="shared" si="1"/>
        <v>2742.7304347826089</v>
      </c>
    </row>
    <row r="100" spans="1:9" x14ac:dyDescent="0.25">
      <c r="A100" s="389" t="s">
        <v>67</v>
      </c>
      <c r="B100" s="167">
        <v>10</v>
      </c>
      <c r="C100" s="177" t="s">
        <v>68</v>
      </c>
      <c r="D100" s="251" t="s">
        <v>8</v>
      </c>
      <c r="E100" s="195" t="s">
        <v>2272</v>
      </c>
      <c r="F100" s="360" t="s">
        <v>1896</v>
      </c>
      <c r="G100" s="366">
        <v>81897710001</v>
      </c>
      <c r="H100" s="362">
        <v>134.36608695652174</v>
      </c>
      <c r="I100" s="322">
        <f t="shared" si="1"/>
        <v>1343.6608695652174</v>
      </c>
    </row>
    <row r="101" spans="1:9" x14ac:dyDescent="0.25">
      <c r="A101" s="389" t="s">
        <v>67</v>
      </c>
      <c r="B101" s="169">
        <v>10</v>
      </c>
      <c r="C101" s="177" t="s">
        <v>69</v>
      </c>
      <c r="D101" s="251" t="s">
        <v>8</v>
      </c>
      <c r="E101" s="195" t="s">
        <v>2273</v>
      </c>
      <c r="F101" s="360" t="s">
        <v>1897</v>
      </c>
      <c r="G101" s="366">
        <v>81897710001</v>
      </c>
      <c r="H101" s="362">
        <v>109.08586956521739</v>
      </c>
      <c r="I101" s="322">
        <f t="shared" si="1"/>
        <v>1090.858695652174</v>
      </c>
    </row>
    <row r="102" spans="1:9" x14ac:dyDescent="0.25">
      <c r="A102" s="389" t="s">
        <v>70</v>
      </c>
      <c r="B102" s="167">
        <v>10</v>
      </c>
      <c r="C102" s="177" t="s">
        <v>71</v>
      </c>
      <c r="D102" s="251" t="s">
        <v>8</v>
      </c>
      <c r="E102" s="195" t="s">
        <v>2274</v>
      </c>
      <c r="F102" s="360" t="s">
        <v>1899</v>
      </c>
      <c r="G102" s="366">
        <v>81897710001</v>
      </c>
      <c r="H102" s="362">
        <v>150.98869565217393</v>
      </c>
      <c r="I102" s="322">
        <f t="shared" si="1"/>
        <v>1509.8869565217392</v>
      </c>
    </row>
    <row r="103" spans="1:9" x14ac:dyDescent="0.25">
      <c r="A103" s="393" t="s">
        <v>75</v>
      </c>
      <c r="B103" s="275">
        <v>10</v>
      </c>
      <c r="C103" s="250" t="s">
        <v>76</v>
      </c>
      <c r="D103" s="251" t="s">
        <v>8</v>
      </c>
      <c r="E103" s="195" t="s">
        <v>2275</v>
      </c>
      <c r="F103" s="360" t="s">
        <v>1902</v>
      </c>
      <c r="G103" s="366">
        <v>81897710001</v>
      </c>
      <c r="H103" s="362">
        <v>116.70456521739129</v>
      </c>
      <c r="I103" s="322">
        <f t="shared" si="1"/>
        <v>1167.0456521739129</v>
      </c>
    </row>
    <row r="104" spans="1:9" x14ac:dyDescent="0.25">
      <c r="A104" s="389" t="s">
        <v>72</v>
      </c>
      <c r="B104" s="169">
        <v>20</v>
      </c>
      <c r="C104" s="177" t="s">
        <v>73</v>
      </c>
      <c r="D104" s="251" t="s">
        <v>8</v>
      </c>
      <c r="E104" s="195" t="s">
        <v>2276</v>
      </c>
      <c r="F104" s="371" t="s">
        <v>1901</v>
      </c>
      <c r="G104" s="366">
        <v>81897710001</v>
      </c>
      <c r="H104" s="362">
        <v>148.21826086956526</v>
      </c>
      <c r="I104" s="322">
        <f t="shared" si="1"/>
        <v>2964.3652173913051</v>
      </c>
    </row>
    <row r="105" spans="1:9" x14ac:dyDescent="0.25">
      <c r="A105" s="389" t="s">
        <v>77</v>
      </c>
      <c r="B105" s="169">
        <v>15</v>
      </c>
      <c r="C105" s="177" t="s">
        <v>78</v>
      </c>
      <c r="D105" s="251" t="s">
        <v>8</v>
      </c>
      <c r="E105" s="195" t="s">
        <v>2277</v>
      </c>
      <c r="F105" s="371" t="s">
        <v>1900</v>
      </c>
      <c r="G105" s="366">
        <v>81897710001</v>
      </c>
      <c r="H105" s="362">
        <v>171.76695652173916</v>
      </c>
      <c r="I105" s="322">
        <f t="shared" si="1"/>
        <v>2576.5043478260873</v>
      </c>
    </row>
    <row r="106" spans="1:9" x14ac:dyDescent="0.25">
      <c r="A106" s="389" t="s">
        <v>266</v>
      </c>
      <c r="B106" s="167">
        <v>2</v>
      </c>
      <c r="C106" s="170" t="s">
        <v>267</v>
      </c>
      <c r="D106" s="277" t="s">
        <v>8</v>
      </c>
      <c r="E106" s="179" t="s">
        <v>2278</v>
      </c>
      <c r="F106" s="360" t="s">
        <v>2011</v>
      </c>
      <c r="G106" s="396">
        <v>81897710001</v>
      </c>
      <c r="H106" s="375">
        <v>248.30021739130433</v>
      </c>
      <c r="I106" s="322">
        <f t="shared" si="1"/>
        <v>496.60043478260866</v>
      </c>
    </row>
    <row r="107" spans="1:9" x14ac:dyDescent="0.25">
      <c r="A107" s="389" t="s">
        <v>268</v>
      </c>
      <c r="B107" s="169">
        <v>2</v>
      </c>
      <c r="C107" s="170" t="s">
        <v>269</v>
      </c>
      <c r="D107" s="168" t="s">
        <v>8</v>
      </c>
      <c r="E107" s="14" t="s">
        <v>2279</v>
      </c>
      <c r="F107" s="360" t="s">
        <v>2012</v>
      </c>
      <c r="G107" s="397">
        <v>81897710001</v>
      </c>
      <c r="H107" s="376">
        <v>270.4636956521739</v>
      </c>
      <c r="I107" s="322">
        <f t="shared" si="1"/>
        <v>540.92739130434779</v>
      </c>
    </row>
    <row r="108" spans="1:9" x14ac:dyDescent="0.25">
      <c r="A108" s="389" t="s">
        <v>85</v>
      </c>
      <c r="B108" s="169">
        <v>8</v>
      </c>
      <c r="C108" s="170" t="s">
        <v>86</v>
      </c>
      <c r="D108" s="168" t="s">
        <v>8</v>
      </c>
      <c r="E108" s="14" t="s">
        <v>2280</v>
      </c>
      <c r="F108" s="360" t="s">
        <v>1859</v>
      </c>
      <c r="G108" s="397">
        <v>81897710001</v>
      </c>
      <c r="H108" s="376">
        <v>167.95760869565214</v>
      </c>
      <c r="I108" s="322">
        <f t="shared" si="1"/>
        <v>1343.6608695652171</v>
      </c>
    </row>
    <row r="109" spans="1:9" x14ac:dyDescent="0.25">
      <c r="A109" s="389" t="s">
        <v>83</v>
      </c>
      <c r="B109" s="167">
        <v>8</v>
      </c>
      <c r="C109" s="170" t="s">
        <v>84</v>
      </c>
      <c r="D109" s="168" t="s">
        <v>8</v>
      </c>
      <c r="E109" s="14" t="s">
        <v>2281</v>
      </c>
      <c r="F109" s="360" t="s">
        <v>1860</v>
      </c>
      <c r="G109" s="397">
        <v>81897710001</v>
      </c>
      <c r="H109" s="376">
        <v>234.10173913043479</v>
      </c>
      <c r="I109" s="322">
        <f t="shared" si="1"/>
        <v>1872.8139130434784</v>
      </c>
    </row>
    <row r="110" spans="1:9" x14ac:dyDescent="0.25">
      <c r="A110" s="389" t="s">
        <v>81</v>
      </c>
      <c r="B110" s="169">
        <v>10</v>
      </c>
      <c r="C110" s="170" t="s">
        <v>82</v>
      </c>
      <c r="D110" s="168" t="s">
        <v>8</v>
      </c>
      <c r="E110" s="14" t="s">
        <v>2282</v>
      </c>
      <c r="F110" s="363" t="s">
        <v>1904</v>
      </c>
      <c r="G110" s="397">
        <v>81897710001</v>
      </c>
      <c r="H110" s="376">
        <v>253.14847826086952</v>
      </c>
      <c r="I110" s="322">
        <f t="shared" si="1"/>
        <v>2531.4847826086952</v>
      </c>
    </row>
    <row r="111" spans="1:9" x14ac:dyDescent="0.25">
      <c r="A111" s="389" t="s">
        <v>79</v>
      </c>
      <c r="B111" s="167">
        <v>10</v>
      </c>
      <c r="C111" s="170" t="s">
        <v>80</v>
      </c>
      <c r="D111" s="168" t="s">
        <v>8</v>
      </c>
      <c r="E111" s="14" t="s">
        <v>2283</v>
      </c>
      <c r="F111" s="377" t="s">
        <v>1905</v>
      </c>
      <c r="G111" s="398">
        <v>81897710001</v>
      </c>
      <c r="H111" s="378">
        <v>261.45978260869566</v>
      </c>
      <c r="I111" s="322">
        <f t="shared" si="1"/>
        <v>2614.5978260869565</v>
      </c>
    </row>
    <row r="112" spans="1:9" x14ac:dyDescent="0.25">
      <c r="A112" s="390" t="s">
        <v>295</v>
      </c>
      <c r="B112" s="190">
        <v>2</v>
      </c>
      <c r="C112" s="68" t="s">
        <v>296</v>
      </c>
      <c r="D112" s="161" t="s">
        <v>146</v>
      </c>
      <c r="E112" s="97" t="s">
        <v>295</v>
      </c>
      <c r="F112" s="366" t="s">
        <v>2013</v>
      </c>
      <c r="G112" s="366">
        <v>80476380011</v>
      </c>
      <c r="H112" s="362">
        <v>1500</v>
      </c>
      <c r="I112" s="322">
        <f t="shared" si="1"/>
        <v>3000</v>
      </c>
    </row>
    <row r="113" spans="1:9" x14ac:dyDescent="0.25">
      <c r="A113" s="389" t="s">
        <v>187</v>
      </c>
      <c r="B113" s="167">
        <v>10</v>
      </c>
      <c r="C113" s="170" t="s">
        <v>188</v>
      </c>
      <c r="D113" s="168" t="s">
        <v>10</v>
      </c>
      <c r="E113" s="14" t="s">
        <v>2284</v>
      </c>
      <c r="F113" s="379" t="s">
        <v>1870</v>
      </c>
      <c r="G113" s="396">
        <v>81897710023</v>
      </c>
      <c r="H113" s="375">
        <v>149.25717391304346</v>
      </c>
      <c r="I113" s="322">
        <f t="shared" si="1"/>
        <v>1492.5717391304347</v>
      </c>
    </row>
    <row r="114" spans="1:9" x14ac:dyDescent="0.25">
      <c r="A114" s="389" t="s">
        <v>247</v>
      </c>
      <c r="B114" s="169">
        <v>6</v>
      </c>
      <c r="C114" s="170" t="s">
        <v>248</v>
      </c>
      <c r="D114" s="168" t="s">
        <v>8</v>
      </c>
      <c r="E114" s="14" t="s">
        <v>2285</v>
      </c>
      <c r="F114" s="360" t="s">
        <v>1920</v>
      </c>
      <c r="G114" s="397">
        <v>81897710001</v>
      </c>
      <c r="H114" s="376">
        <v>297.47543478260872</v>
      </c>
      <c r="I114" s="322">
        <f t="shared" si="1"/>
        <v>1784.8526086956522</v>
      </c>
    </row>
    <row r="115" spans="1:9" x14ac:dyDescent="0.25">
      <c r="A115" s="389" t="s">
        <v>205</v>
      </c>
      <c r="B115" s="169">
        <v>20</v>
      </c>
      <c r="C115" s="170"/>
      <c r="D115" s="168" t="s">
        <v>206</v>
      </c>
      <c r="E115" s="14" t="s">
        <v>205</v>
      </c>
      <c r="F115" s="360" t="s">
        <v>2078</v>
      </c>
      <c r="G115" s="397" t="e">
        <v>#N/A</v>
      </c>
      <c r="H115" s="376">
        <v>0</v>
      </c>
      <c r="I115" s="322">
        <f t="shared" si="1"/>
        <v>0</v>
      </c>
    </row>
    <row r="116" spans="1:9" x14ac:dyDescent="0.25">
      <c r="A116" s="389" t="s">
        <v>87</v>
      </c>
      <c r="B116" s="167">
        <v>15</v>
      </c>
      <c r="C116" s="170" t="s">
        <v>88</v>
      </c>
      <c r="D116" s="168" t="s">
        <v>8</v>
      </c>
      <c r="E116" s="14" t="s">
        <v>2286</v>
      </c>
      <c r="F116" s="360" t="s">
        <v>1922</v>
      </c>
      <c r="G116" s="397">
        <v>81897710001</v>
      </c>
      <c r="H116" s="376">
        <v>729.66326086956531</v>
      </c>
      <c r="I116" s="322">
        <f t="shared" si="1"/>
        <v>10944.948913043479</v>
      </c>
    </row>
    <row r="117" spans="1:9" x14ac:dyDescent="0.25">
      <c r="A117" s="389" t="s">
        <v>89</v>
      </c>
      <c r="B117" s="169">
        <v>15</v>
      </c>
      <c r="C117" s="170" t="s">
        <v>90</v>
      </c>
      <c r="D117" s="168" t="s">
        <v>10</v>
      </c>
      <c r="E117" s="14" t="s">
        <v>2287</v>
      </c>
      <c r="F117" s="360" t="s">
        <v>1923</v>
      </c>
      <c r="G117" s="397">
        <v>81897710001</v>
      </c>
      <c r="H117" s="376">
        <v>806.88913043478249</v>
      </c>
      <c r="I117" s="322">
        <f t="shared" si="1"/>
        <v>12103.336956521738</v>
      </c>
    </row>
    <row r="118" spans="1:9" x14ac:dyDescent="0.25">
      <c r="A118" s="389" t="s">
        <v>91</v>
      </c>
      <c r="B118" s="167">
        <v>10</v>
      </c>
      <c r="C118" s="170" t="s">
        <v>92</v>
      </c>
      <c r="D118" s="168" t="s">
        <v>10</v>
      </c>
      <c r="E118" s="14" t="s">
        <v>2288</v>
      </c>
      <c r="F118" s="360" t="s">
        <v>1924</v>
      </c>
      <c r="G118" s="397">
        <v>81897710001</v>
      </c>
      <c r="H118" s="376">
        <v>930.51978260869555</v>
      </c>
      <c r="I118" s="322">
        <f t="shared" si="1"/>
        <v>9305.1978260869546</v>
      </c>
    </row>
    <row r="119" spans="1:9" x14ac:dyDescent="0.25">
      <c r="A119" s="389" t="s">
        <v>93</v>
      </c>
      <c r="B119" s="169">
        <v>10</v>
      </c>
      <c r="C119" s="170" t="s">
        <v>94</v>
      </c>
      <c r="D119" s="168" t="s">
        <v>10</v>
      </c>
      <c r="E119" s="14" t="s">
        <v>2289</v>
      </c>
      <c r="F119" s="360" t="s">
        <v>1925</v>
      </c>
      <c r="G119" s="397">
        <v>81897710001</v>
      </c>
      <c r="H119" s="376">
        <v>674.60086956521741</v>
      </c>
      <c r="I119" s="322">
        <f t="shared" si="1"/>
        <v>6746.0086956521736</v>
      </c>
    </row>
    <row r="120" spans="1:9" x14ac:dyDescent="0.25">
      <c r="A120" s="389" t="s">
        <v>270</v>
      </c>
      <c r="B120" s="167">
        <v>2</v>
      </c>
      <c r="C120" s="170" t="s">
        <v>271</v>
      </c>
      <c r="D120" s="170" t="s">
        <v>272</v>
      </c>
      <c r="E120" s="14" t="s">
        <v>270</v>
      </c>
      <c r="F120" s="360" t="s">
        <v>2078</v>
      </c>
      <c r="G120" s="397" t="e">
        <v>#N/A</v>
      </c>
      <c r="H120" s="376">
        <v>0</v>
      </c>
      <c r="I120" s="322">
        <f t="shared" si="1"/>
        <v>0</v>
      </c>
    </row>
    <row r="121" spans="1:9" x14ac:dyDescent="0.25">
      <c r="A121" s="389" t="s">
        <v>273</v>
      </c>
      <c r="B121" s="169">
        <v>2</v>
      </c>
      <c r="C121" s="170" t="s">
        <v>274</v>
      </c>
      <c r="D121" s="170" t="s">
        <v>272</v>
      </c>
      <c r="E121" s="14" t="s">
        <v>273</v>
      </c>
      <c r="F121" s="360" t="s">
        <v>2078</v>
      </c>
      <c r="G121" s="397" t="e">
        <v>#N/A</v>
      </c>
      <c r="H121" s="376">
        <v>0</v>
      </c>
      <c r="I121" s="322">
        <f t="shared" si="1"/>
        <v>0</v>
      </c>
    </row>
    <row r="122" spans="1:9" x14ac:dyDescent="0.25">
      <c r="A122" s="389" t="s">
        <v>110</v>
      </c>
      <c r="B122" s="169">
        <v>15</v>
      </c>
      <c r="C122" s="170" t="s">
        <v>111</v>
      </c>
      <c r="D122" s="168" t="s">
        <v>8</v>
      </c>
      <c r="E122" s="14" t="s">
        <v>2290</v>
      </c>
      <c r="F122" s="360" t="s">
        <v>2320</v>
      </c>
      <c r="G122" s="397" t="s">
        <v>2316</v>
      </c>
      <c r="H122" s="376">
        <v>484.82608695652175</v>
      </c>
      <c r="I122" s="322">
        <f t="shared" si="1"/>
        <v>7272.391304347826</v>
      </c>
    </row>
    <row r="123" spans="1:9" x14ac:dyDescent="0.25">
      <c r="A123" s="389" t="s">
        <v>112</v>
      </c>
      <c r="B123" s="167">
        <v>15</v>
      </c>
      <c r="C123" s="170" t="s">
        <v>113</v>
      </c>
      <c r="D123" s="168" t="s">
        <v>8</v>
      </c>
      <c r="E123" s="14" t="s">
        <v>2291</v>
      </c>
      <c r="F123" s="360" t="s">
        <v>1933</v>
      </c>
      <c r="G123" s="397">
        <v>81897710001</v>
      </c>
      <c r="H123" s="376">
        <v>806.88913043478249</v>
      </c>
      <c r="I123" s="322">
        <f t="shared" si="1"/>
        <v>12103.336956521738</v>
      </c>
    </row>
    <row r="124" spans="1:9" x14ac:dyDescent="0.25">
      <c r="A124" s="389" t="s">
        <v>114</v>
      </c>
      <c r="B124" s="169">
        <v>10</v>
      </c>
      <c r="C124" s="170" t="s">
        <v>115</v>
      </c>
      <c r="D124" s="168" t="s">
        <v>8</v>
      </c>
      <c r="E124" s="14" t="s">
        <v>2292</v>
      </c>
      <c r="F124" s="360" t="s">
        <v>1934</v>
      </c>
      <c r="G124" s="397">
        <v>81897710001</v>
      </c>
      <c r="H124" s="376">
        <v>930.51978260869555</v>
      </c>
      <c r="I124" s="322">
        <f t="shared" si="1"/>
        <v>9305.1978260869546</v>
      </c>
    </row>
    <row r="125" spans="1:9" x14ac:dyDescent="0.25">
      <c r="A125" s="389" t="s">
        <v>116</v>
      </c>
      <c r="B125" s="167">
        <v>3</v>
      </c>
      <c r="C125" s="170" t="s">
        <v>117</v>
      </c>
      <c r="D125" s="168" t="s">
        <v>8</v>
      </c>
      <c r="E125" s="14" t="s">
        <v>2293</v>
      </c>
      <c r="F125" s="360" t="s">
        <v>1935</v>
      </c>
      <c r="G125" s="397">
        <v>81897710001</v>
      </c>
      <c r="H125" s="376">
        <v>1106.7886956521738</v>
      </c>
      <c r="I125" s="322">
        <f t="shared" si="1"/>
        <v>3320.3660869565215</v>
      </c>
    </row>
    <row r="126" spans="1:9" x14ac:dyDescent="0.25">
      <c r="A126" s="389" t="s">
        <v>251</v>
      </c>
      <c r="B126" s="169">
        <v>6</v>
      </c>
      <c r="C126" s="170" t="s">
        <v>252</v>
      </c>
      <c r="D126" s="168" t="s">
        <v>8</v>
      </c>
      <c r="E126" s="14" t="s">
        <v>2294</v>
      </c>
      <c r="F126" s="377" t="s">
        <v>1910</v>
      </c>
      <c r="G126" s="397">
        <v>81897710001</v>
      </c>
      <c r="H126" s="376">
        <v>221.28847826086957</v>
      </c>
      <c r="I126" s="322">
        <f t="shared" si="1"/>
        <v>1327.7308695652173</v>
      </c>
    </row>
    <row r="127" spans="1:9" x14ac:dyDescent="0.25">
      <c r="A127" s="392" t="s">
        <v>217</v>
      </c>
      <c r="B127" s="187">
        <v>2</v>
      </c>
      <c r="C127" s="171"/>
      <c r="D127" s="186" t="s">
        <v>218</v>
      </c>
      <c r="E127" s="14" t="s">
        <v>217</v>
      </c>
      <c r="F127" s="380" t="s">
        <v>2078</v>
      </c>
      <c r="G127" s="397" t="e">
        <v>#N/A</v>
      </c>
      <c r="H127" s="376">
        <v>0</v>
      </c>
      <c r="I127" s="322">
        <f t="shared" si="1"/>
        <v>0</v>
      </c>
    </row>
    <row r="128" spans="1:9" x14ac:dyDescent="0.25">
      <c r="A128" s="392" t="s">
        <v>212</v>
      </c>
      <c r="B128" s="187">
        <v>3</v>
      </c>
      <c r="C128" s="171"/>
      <c r="D128" s="186"/>
      <c r="E128" s="14" t="s">
        <v>212</v>
      </c>
      <c r="F128" s="380" t="s">
        <v>2078</v>
      </c>
      <c r="G128" s="397" t="e">
        <v>#N/A</v>
      </c>
      <c r="H128" s="376">
        <v>0</v>
      </c>
      <c r="I128" s="322">
        <f t="shared" si="1"/>
        <v>0</v>
      </c>
    </row>
    <row r="129" spans="1:9" x14ac:dyDescent="0.25">
      <c r="A129" s="392" t="s">
        <v>211</v>
      </c>
      <c r="B129" s="188">
        <v>6</v>
      </c>
      <c r="C129" s="171"/>
      <c r="D129" s="186"/>
      <c r="E129" s="14" t="s">
        <v>211</v>
      </c>
      <c r="F129" s="380" t="s">
        <v>2078</v>
      </c>
      <c r="G129" s="397" t="e">
        <v>#N/A</v>
      </c>
      <c r="H129" s="376">
        <v>0</v>
      </c>
      <c r="I129" s="322">
        <f t="shared" ref="I129:I154" si="2">H129*B129</f>
        <v>0</v>
      </c>
    </row>
    <row r="130" spans="1:9" x14ac:dyDescent="0.25">
      <c r="A130" s="392" t="s">
        <v>210</v>
      </c>
      <c r="B130" s="187">
        <v>3</v>
      </c>
      <c r="C130" s="171"/>
      <c r="D130" s="186"/>
      <c r="E130" s="14" t="s">
        <v>210</v>
      </c>
      <c r="F130" s="380" t="s">
        <v>2078</v>
      </c>
      <c r="G130" s="397" t="e">
        <v>#N/A</v>
      </c>
      <c r="H130" s="376">
        <v>0</v>
      </c>
      <c r="I130" s="322">
        <f t="shared" si="2"/>
        <v>0</v>
      </c>
    </row>
    <row r="131" spans="1:9" x14ac:dyDescent="0.25">
      <c r="A131" s="389" t="s">
        <v>193</v>
      </c>
      <c r="B131" s="169">
        <v>15</v>
      </c>
      <c r="C131" s="170" t="s">
        <v>194</v>
      </c>
      <c r="D131" s="168" t="s">
        <v>146</v>
      </c>
      <c r="E131" s="14" t="s">
        <v>2295</v>
      </c>
      <c r="F131" s="366" t="s">
        <v>2321</v>
      </c>
      <c r="G131" s="397">
        <v>81897719002</v>
      </c>
      <c r="H131" s="376">
        <v>83.113043478260877</v>
      </c>
      <c r="I131" s="322">
        <f t="shared" si="2"/>
        <v>1246.6956521739132</v>
      </c>
    </row>
    <row r="132" spans="1:9" x14ac:dyDescent="0.25">
      <c r="A132" s="389" t="s">
        <v>229</v>
      </c>
      <c r="B132" s="167">
        <v>15</v>
      </c>
      <c r="C132" s="170" t="s">
        <v>230</v>
      </c>
      <c r="D132" s="168" t="s">
        <v>8</v>
      </c>
      <c r="E132" s="14" t="s">
        <v>2296</v>
      </c>
      <c r="F132" s="381" t="s">
        <v>1949</v>
      </c>
      <c r="G132" s="397">
        <v>81897710023</v>
      </c>
      <c r="H132" s="376">
        <v>202.58804347826089</v>
      </c>
      <c r="I132" s="322">
        <f t="shared" si="2"/>
        <v>3038.8206521739135</v>
      </c>
    </row>
    <row r="133" spans="1:9" x14ac:dyDescent="0.25">
      <c r="A133" s="389" t="s">
        <v>227</v>
      </c>
      <c r="B133" s="169">
        <v>6</v>
      </c>
      <c r="C133" s="170" t="s">
        <v>228</v>
      </c>
      <c r="D133" s="168" t="s">
        <v>8</v>
      </c>
      <c r="E133" s="14" t="s">
        <v>2297</v>
      </c>
      <c r="F133" s="381" t="s">
        <v>1753</v>
      </c>
      <c r="G133" s="397">
        <v>81897710023</v>
      </c>
      <c r="H133" s="376">
        <v>202.58804347826089</v>
      </c>
      <c r="I133" s="322">
        <f t="shared" si="2"/>
        <v>1215.5282608695652</v>
      </c>
    </row>
    <row r="134" spans="1:9" x14ac:dyDescent="0.25">
      <c r="A134" s="389" t="s">
        <v>128</v>
      </c>
      <c r="B134" s="167">
        <v>5</v>
      </c>
      <c r="C134" s="170" t="s">
        <v>129</v>
      </c>
      <c r="D134" s="168" t="s">
        <v>8</v>
      </c>
      <c r="E134" s="14" t="s">
        <v>128</v>
      </c>
      <c r="F134" s="381" t="s">
        <v>2079</v>
      </c>
      <c r="G134" s="397">
        <v>80476380014</v>
      </c>
      <c r="H134" s="376">
        <v>407.60869565217394</v>
      </c>
      <c r="I134" s="322">
        <f t="shared" si="2"/>
        <v>2038.0434782608697</v>
      </c>
    </row>
    <row r="135" spans="1:9" x14ac:dyDescent="0.25">
      <c r="A135" s="389" t="s">
        <v>126</v>
      </c>
      <c r="B135" s="169">
        <v>5</v>
      </c>
      <c r="C135" s="170" t="s">
        <v>127</v>
      </c>
      <c r="D135" s="168" t="s">
        <v>8</v>
      </c>
      <c r="E135" s="14" t="s">
        <v>2298</v>
      </c>
      <c r="F135" s="381" t="s">
        <v>1950</v>
      </c>
      <c r="G135" s="397">
        <v>81897710023</v>
      </c>
      <c r="H135" s="376">
        <v>49.521521739130435</v>
      </c>
      <c r="I135" s="322">
        <f t="shared" si="2"/>
        <v>247.60760869565217</v>
      </c>
    </row>
    <row r="136" spans="1:9" x14ac:dyDescent="0.25">
      <c r="A136" s="389" t="s">
        <v>118</v>
      </c>
      <c r="B136" s="169">
        <v>15</v>
      </c>
      <c r="C136" s="170" t="s">
        <v>119</v>
      </c>
      <c r="D136" s="168" t="s">
        <v>10</v>
      </c>
      <c r="E136" s="14" t="s">
        <v>2299</v>
      </c>
      <c r="F136" s="382" t="s">
        <v>1954</v>
      </c>
      <c r="G136" s="397">
        <v>81897710017</v>
      </c>
      <c r="H136" s="376">
        <v>83.805652173913046</v>
      </c>
      <c r="I136" s="322">
        <f t="shared" si="2"/>
        <v>1257.0847826086956</v>
      </c>
    </row>
    <row r="137" spans="1:9" x14ac:dyDescent="0.25">
      <c r="A137" s="389" t="s">
        <v>120</v>
      </c>
      <c r="B137" s="167">
        <v>10</v>
      </c>
      <c r="C137" s="170" t="s">
        <v>121</v>
      </c>
      <c r="D137" s="168" t="s">
        <v>10</v>
      </c>
      <c r="E137" s="97" t="s">
        <v>2300</v>
      </c>
      <c r="F137" s="383" t="s">
        <v>1961</v>
      </c>
      <c r="G137" s="399">
        <v>81897710017</v>
      </c>
      <c r="H137" s="376">
        <v>81.035217391304343</v>
      </c>
      <c r="I137" s="322">
        <f t="shared" si="2"/>
        <v>810.35217391304343</v>
      </c>
    </row>
    <row r="138" spans="1:9" x14ac:dyDescent="0.25">
      <c r="A138" s="389" t="s">
        <v>95</v>
      </c>
      <c r="B138" s="167">
        <v>10</v>
      </c>
      <c r="C138" s="170" t="s">
        <v>96</v>
      </c>
      <c r="D138" s="168" t="s">
        <v>8</v>
      </c>
      <c r="E138" s="97" t="s">
        <v>2301</v>
      </c>
      <c r="F138" s="383" t="s">
        <v>1964</v>
      </c>
      <c r="G138" s="399">
        <v>81897710017</v>
      </c>
      <c r="H138" s="376">
        <v>130.2104347826087</v>
      </c>
      <c r="I138" s="322">
        <f t="shared" si="2"/>
        <v>1302.104347826087</v>
      </c>
    </row>
    <row r="139" spans="1:9" x14ac:dyDescent="0.25">
      <c r="A139" s="389" t="s">
        <v>97</v>
      </c>
      <c r="B139" s="169">
        <v>15</v>
      </c>
      <c r="C139" s="170" t="s">
        <v>98</v>
      </c>
      <c r="D139" s="168" t="s">
        <v>8</v>
      </c>
      <c r="E139" s="14" t="s">
        <v>2302</v>
      </c>
      <c r="F139" s="384" t="s">
        <v>1956</v>
      </c>
      <c r="G139" s="397">
        <v>81897710017</v>
      </c>
      <c r="H139" s="376">
        <v>126.74739130434781</v>
      </c>
      <c r="I139" s="322">
        <f t="shared" si="2"/>
        <v>1901.2108695652173</v>
      </c>
    </row>
    <row r="140" spans="1:9" x14ac:dyDescent="0.25">
      <c r="A140" s="389" t="s">
        <v>102</v>
      </c>
      <c r="B140" s="169">
        <v>10</v>
      </c>
      <c r="C140" s="170" t="s">
        <v>103</v>
      </c>
      <c r="D140" s="168" t="s">
        <v>10</v>
      </c>
      <c r="E140" s="14" t="s">
        <v>2303</v>
      </c>
      <c r="F140" s="381" t="s">
        <v>1965</v>
      </c>
      <c r="G140" s="397">
        <v>81897710017</v>
      </c>
      <c r="H140" s="376">
        <v>121.55282608695654</v>
      </c>
      <c r="I140" s="322">
        <f t="shared" si="2"/>
        <v>1215.5282608695654</v>
      </c>
    </row>
    <row r="141" spans="1:9" x14ac:dyDescent="0.25">
      <c r="A141" s="392" t="s">
        <v>104</v>
      </c>
      <c r="B141" s="187">
        <v>10</v>
      </c>
      <c r="C141" s="171" t="s">
        <v>105</v>
      </c>
      <c r="D141" s="186" t="s">
        <v>10</v>
      </c>
      <c r="E141" s="14" t="s">
        <v>2304</v>
      </c>
      <c r="F141" s="381" t="s">
        <v>1968</v>
      </c>
      <c r="G141" s="397">
        <v>81897710017</v>
      </c>
      <c r="H141" s="376">
        <v>171.42065217391303</v>
      </c>
      <c r="I141" s="322">
        <f t="shared" si="2"/>
        <v>1714.2065217391303</v>
      </c>
    </row>
    <row r="142" spans="1:9" x14ac:dyDescent="0.25">
      <c r="A142" s="392" t="s">
        <v>106</v>
      </c>
      <c r="B142" s="188">
        <v>5</v>
      </c>
      <c r="C142" s="171" t="s">
        <v>107</v>
      </c>
      <c r="D142" s="186" t="s">
        <v>10</v>
      </c>
      <c r="E142" s="14" t="s">
        <v>2305</v>
      </c>
      <c r="F142" s="381" t="s">
        <v>1969</v>
      </c>
      <c r="G142" s="397">
        <v>81897710017</v>
      </c>
      <c r="H142" s="376">
        <v>197.04717391304348</v>
      </c>
      <c r="I142" s="322">
        <f t="shared" si="2"/>
        <v>985.2358695652174</v>
      </c>
    </row>
    <row r="143" spans="1:9" x14ac:dyDescent="0.25">
      <c r="A143" s="389" t="s">
        <v>99</v>
      </c>
      <c r="B143" s="167">
        <v>15</v>
      </c>
      <c r="C143" s="170" t="s">
        <v>100</v>
      </c>
      <c r="D143" s="168" t="s">
        <v>10</v>
      </c>
      <c r="E143" s="14" t="s">
        <v>2306</v>
      </c>
      <c r="F143" s="385" t="s">
        <v>1967</v>
      </c>
      <c r="G143" s="397">
        <v>81897710017</v>
      </c>
      <c r="H143" s="376">
        <v>157.91478260869562</v>
      </c>
      <c r="I143" s="322">
        <f t="shared" si="2"/>
        <v>2368.7217391304343</v>
      </c>
    </row>
    <row r="144" spans="1:9" x14ac:dyDescent="0.25">
      <c r="A144" s="389" t="s">
        <v>245</v>
      </c>
      <c r="B144" s="167">
        <v>1</v>
      </c>
      <c r="C144" s="170" t="s">
        <v>246</v>
      </c>
      <c r="D144" s="168" t="s">
        <v>8</v>
      </c>
      <c r="E144" s="14" t="s">
        <v>2307</v>
      </c>
      <c r="F144" s="381" t="s">
        <v>2014</v>
      </c>
      <c r="G144" s="397">
        <v>81897710023</v>
      </c>
      <c r="H144" s="376">
        <v>1271.6295652173912</v>
      </c>
      <c r="I144" s="322">
        <f t="shared" si="2"/>
        <v>1271.6295652173912</v>
      </c>
    </row>
    <row r="145" spans="1:9" x14ac:dyDescent="0.25">
      <c r="A145" s="389" t="s">
        <v>243</v>
      </c>
      <c r="B145" s="169">
        <v>1</v>
      </c>
      <c r="C145" s="170" t="s">
        <v>244</v>
      </c>
      <c r="D145" s="168" t="s">
        <v>8</v>
      </c>
      <c r="E145" s="14" t="s">
        <v>2308</v>
      </c>
      <c r="F145" s="381" t="s">
        <v>2083</v>
      </c>
      <c r="G145" s="397">
        <v>81897710023</v>
      </c>
      <c r="H145" s="376">
        <v>1398.030652173913</v>
      </c>
      <c r="I145" s="322">
        <f t="shared" si="2"/>
        <v>1398.030652173913</v>
      </c>
    </row>
    <row r="146" spans="1:9" x14ac:dyDescent="0.25">
      <c r="A146" s="389" t="s">
        <v>132</v>
      </c>
      <c r="B146" s="167">
        <v>6</v>
      </c>
      <c r="C146" s="170" t="s">
        <v>133</v>
      </c>
      <c r="D146" s="168" t="s">
        <v>8</v>
      </c>
      <c r="E146" s="14" t="s">
        <v>2309</v>
      </c>
      <c r="F146" s="386" t="s">
        <v>1824</v>
      </c>
      <c r="G146" s="397">
        <v>81897710023</v>
      </c>
      <c r="H146" s="376">
        <v>497.63934782608692</v>
      </c>
      <c r="I146" s="322">
        <f t="shared" si="2"/>
        <v>2985.8360869565213</v>
      </c>
    </row>
    <row r="147" spans="1:9" x14ac:dyDescent="0.25">
      <c r="A147" s="389" t="s">
        <v>134</v>
      </c>
      <c r="B147" s="169">
        <v>4</v>
      </c>
      <c r="C147" s="170" t="s">
        <v>135</v>
      </c>
      <c r="D147" s="168" t="s">
        <v>8</v>
      </c>
      <c r="E147" s="14" t="s">
        <v>2310</v>
      </c>
      <c r="F147" s="381" t="s">
        <v>1826</v>
      </c>
      <c r="G147" s="397">
        <v>81897710023</v>
      </c>
      <c r="H147" s="376">
        <v>572.0947826086956</v>
      </c>
      <c r="I147" s="322">
        <f t="shared" si="2"/>
        <v>2288.3791304347824</v>
      </c>
    </row>
    <row r="148" spans="1:9" x14ac:dyDescent="0.25">
      <c r="A148" s="389" t="s">
        <v>138</v>
      </c>
      <c r="B148" s="169">
        <v>2</v>
      </c>
      <c r="C148" s="170" t="s">
        <v>139</v>
      </c>
      <c r="D148" s="168" t="s">
        <v>8</v>
      </c>
      <c r="E148" s="14" t="s">
        <v>2311</v>
      </c>
      <c r="F148" s="381" t="s">
        <v>1827</v>
      </c>
      <c r="G148" s="397">
        <v>81897710023</v>
      </c>
      <c r="H148" s="376">
        <v>657.63195652173897</v>
      </c>
      <c r="I148" s="322">
        <f t="shared" si="2"/>
        <v>1315.2639130434779</v>
      </c>
    </row>
    <row r="149" spans="1:9" x14ac:dyDescent="0.25">
      <c r="A149" s="389" t="s">
        <v>149</v>
      </c>
      <c r="B149" s="167">
        <v>4</v>
      </c>
      <c r="C149" s="170" t="s">
        <v>150</v>
      </c>
      <c r="D149" s="168" t="s">
        <v>146</v>
      </c>
      <c r="E149" s="14" t="s">
        <v>149</v>
      </c>
      <c r="F149" s="381" t="s">
        <v>2080</v>
      </c>
      <c r="G149" s="397">
        <v>80476380011</v>
      </c>
      <c r="H149" s="376">
        <v>1434.782608695652</v>
      </c>
      <c r="I149" s="322">
        <f t="shared" si="2"/>
        <v>5739.1304347826081</v>
      </c>
    </row>
    <row r="150" spans="1:9" x14ac:dyDescent="0.25">
      <c r="A150" s="389" t="s">
        <v>142</v>
      </c>
      <c r="B150" s="169">
        <v>6</v>
      </c>
      <c r="C150" s="170" t="s">
        <v>143</v>
      </c>
      <c r="D150" s="168" t="s">
        <v>8</v>
      </c>
      <c r="E150" s="14" t="s">
        <v>2312</v>
      </c>
      <c r="F150" s="386" t="s">
        <v>1828</v>
      </c>
      <c r="G150" s="397">
        <v>81897710023</v>
      </c>
      <c r="H150" s="376">
        <v>451.58086956521737</v>
      </c>
      <c r="I150" s="322">
        <f t="shared" si="2"/>
        <v>2709.4852173913041</v>
      </c>
    </row>
    <row r="151" spans="1:9" x14ac:dyDescent="0.25">
      <c r="A151" s="389" t="s">
        <v>147</v>
      </c>
      <c r="B151" s="169">
        <v>4</v>
      </c>
      <c r="C151" s="170" t="s">
        <v>148</v>
      </c>
      <c r="D151" s="168" t="s">
        <v>146</v>
      </c>
      <c r="E151" s="14" t="s">
        <v>147</v>
      </c>
      <c r="F151" s="381" t="s">
        <v>2082</v>
      </c>
      <c r="G151" s="397">
        <v>80476380011</v>
      </c>
      <c r="H151" s="376">
        <v>1500</v>
      </c>
      <c r="I151" s="322">
        <f t="shared" si="2"/>
        <v>6000</v>
      </c>
    </row>
    <row r="152" spans="1:9" x14ac:dyDescent="0.25">
      <c r="A152" s="389" t="s">
        <v>144</v>
      </c>
      <c r="B152" s="167">
        <v>4</v>
      </c>
      <c r="C152" s="170" t="s">
        <v>145</v>
      </c>
      <c r="D152" s="168" t="s">
        <v>146</v>
      </c>
      <c r="E152" s="14" t="s">
        <v>144</v>
      </c>
      <c r="F152" s="381" t="s">
        <v>2081</v>
      </c>
      <c r="G152" s="397">
        <v>80476380011</v>
      </c>
      <c r="H152" s="376">
        <v>1597.8260869565215</v>
      </c>
      <c r="I152" s="322">
        <f t="shared" si="2"/>
        <v>6391.3043478260861</v>
      </c>
    </row>
    <row r="153" spans="1:9" x14ac:dyDescent="0.25">
      <c r="A153" s="389" t="s">
        <v>140</v>
      </c>
      <c r="B153" s="167">
        <v>6</v>
      </c>
      <c r="C153" s="170" t="s">
        <v>141</v>
      </c>
      <c r="D153" s="168" t="s">
        <v>8</v>
      </c>
      <c r="E153" s="97" t="s">
        <v>2313</v>
      </c>
      <c r="F153" s="387" t="s">
        <v>1825</v>
      </c>
      <c r="G153" s="399">
        <v>81897710023</v>
      </c>
      <c r="H153" s="376">
        <v>474.09065217391304</v>
      </c>
      <c r="I153" s="322">
        <f t="shared" si="2"/>
        <v>2844.5439130434784</v>
      </c>
    </row>
    <row r="154" spans="1:9" x14ac:dyDescent="0.25">
      <c r="A154" s="389" t="s">
        <v>136</v>
      </c>
      <c r="B154" s="167">
        <v>4</v>
      </c>
      <c r="C154" s="170" t="s">
        <v>137</v>
      </c>
      <c r="D154" s="168" t="s">
        <v>8</v>
      </c>
      <c r="E154" s="97" t="s">
        <v>2314</v>
      </c>
      <c r="F154" s="387" t="s">
        <v>1829</v>
      </c>
      <c r="G154" s="399">
        <v>81897710023</v>
      </c>
      <c r="H154" s="376">
        <v>497.63934782608692</v>
      </c>
      <c r="I154" s="322">
        <f t="shared" si="2"/>
        <v>1990.5573913043477</v>
      </c>
    </row>
    <row r="155" spans="1:9" x14ac:dyDescent="0.25">
      <c r="A155" s="394"/>
      <c r="I155" s="388">
        <f>SUM(I2:I154)</f>
        <v>419340.39352173894</v>
      </c>
    </row>
  </sheetData>
  <autoFilter ref="A1:H154" xr:uid="{264A6AB4-D2F9-445F-B928-B88943BB37F4}"/>
  <sortState xmlns:xlrd2="http://schemas.microsoft.com/office/spreadsheetml/2017/richdata2" ref="A2:D154">
    <sortCondition ref="A1:A154"/>
  </sortState>
  <conditionalFormatting sqref="F131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3">
    <tabColor rgb="FF92D050"/>
  </sheetPr>
  <dimension ref="A1:I33"/>
  <sheetViews>
    <sheetView workbookViewId="0">
      <pane ySplit="1" topLeftCell="A2" activePane="bottomLeft" state="frozen"/>
      <selection activeCell="A53" sqref="A53"/>
      <selection pane="bottomLeft" activeCell="K7" sqref="K7"/>
    </sheetView>
  </sheetViews>
  <sheetFormatPr defaultRowHeight="15" x14ac:dyDescent="0.25"/>
  <cols>
    <col min="1" max="1" width="46.42578125" customWidth="1"/>
    <col min="2" max="2" width="13.5703125" customWidth="1"/>
    <col min="3" max="4" width="12.7109375" customWidth="1"/>
    <col min="5" max="5" width="35.5703125" style="40" customWidth="1"/>
    <col min="6" max="6" width="12.5703125" style="40" customWidth="1"/>
    <col min="7" max="7" width="16.42578125" style="40" customWidth="1"/>
    <col min="8" max="8" width="12.42578125" style="324" customWidth="1"/>
    <col min="9" max="9" width="16.42578125" customWidth="1"/>
  </cols>
  <sheetData>
    <row r="1" spans="1:9" ht="31.5" x14ac:dyDescent="0.25">
      <c r="A1" s="94" t="s">
        <v>0</v>
      </c>
      <c r="B1" s="94" t="s">
        <v>305</v>
      </c>
      <c r="C1" s="87" t="s">
        <v>2</v>
      </c>
      <c r="D1" s="191" t="s">
        <v>1721</v>
      </c>
      <c r="E1" s="192" t="s">
        <v>1723</v>
      </c>
      <c r="F1" s="192" t="s">
        <v>1724</v>
      </c>
      <c r="G1" s="192" t="s">
        <v>1722</v>
      </c>
      <c r="H1" s="395" t="s">
        <v>1725</v>
      </c>
      <c r="I1" s="194" t="s">
        <v>2317</v>
      </c>
    </row>
    <row r="2" spans="1:9" x14ac:dyDescent="0.25">
      <c r="A2" s="401" t="s">
        <v>309</v>
      </c>
      <c r="B2" s="34">
        <v>1</v>
      </c>
      <c r="C2" s="49" t="s">
        <v>310</v>
      </c>
      <c r="D2" s="49" t="s">
        <v>8</v>
      </c>
      <c r="E2" s="22" t="s">
        <v>2193</v>
      </c>
      <c r="F2" s="22" t="s">
        <v>1726</v>
      </c>
      <c r="G2" s="22">
        <v>81897710023</v>
      </c>
      <c r="H2" s="323">
        <v>137.8291304347826</v>
      </c>
      <c r="I2" s="323">
        <f>H2*B2</f>
        <v>137.8291304347826</v>
      </c>
    </row>
    <row r="3" spans="1:9" x14ac:dyDescent="0.25">
      <c r="A3" s="401" t="s">
        <v>312</v>
      </c>
      <c r="B3" s="34">
        <v>1</v>
      </c>
      <c r="C3" s="49">
        <v>744600</v>
      </c>
      <c r="D3" s="49" t="s">
        <v>162</v>
      </c>
      <c r="E3" s="22" t="s">
        <v>2323</v>
      </c>
      <c r="F3" s="100" t="s">
        <v>1729</v>
      </c>
      <c r="G3" s="22">
        <v>81897710001</v>
      </c>
      <c r="H3" s="323">
        <v>2073.3241304347825</v>
      </c>
      <c r="I3" s="323">
        <f t="shared" ref="I3:I32" si="0">H3*B3</f>
        <v>2073.3241304347825</v>
      </c>
    </row>
    <row r="4" spans="1:9" x14ac:dyDescent="0.25">
      <c r="A4" s="401" t="s">
        <v>311</v>
      </c>
      <c r="B4" s="35">
        <v>1</v>
      </c>
      <c r="C4" s="49">
        <v>752200</v>
      </c>
      <c r="D4" s="49" t="s">
        <v>162</v>
      </c>
      <c r="E4" s="22" t="s">
        <v>311</v>
      </c>
      <c r="F4" s="331" t="s">
        <v>2092</v>
      </c>
      <c r="G4" s="22">
        <v>80476380016</v>
      </c>
      <c r="H4" s="323">
        <v>521.73913043478262</v>
      </c>
      <c r="I4" s="323">
        <f t="shared" si="0"/>
        <v>521.73913043478262</v>
      </c>
    </row>
    <row r="5" spans="1:9" ht="30" x14ac:dyDescent="0.25">
      <c r="A5" s="401" t="s">
        <v>313</v>
      </c>
      <c r="B5" s="34">
        <v>1</v>
      </c>
      <c r="C5" s="49">
        <v>662250</v>
      </c>
      <c r="D5" s="49" t="s">
        <v>314</v>
      </c>
      <c r="E5" s="511" t="s">
        <v>2653</v>
      </c>
      <c r="F5" s="100" t="s">
        <v>2322</v>
      </c>
      <c r="G5" s="22" t="s">
        <v>2336</v>
      </c>
      <c r="H5" s="323">
        <v>2378.3413043478263</v>
      </c>
      <c r="I5" s="323">
        <f t="shared" si="0"/>
        <v>2378.3413043478263</v>
      </c>
    </row>
    <row r="6" spans="1:9" x14ac:dyDescent="0.25">
      <c r="A6" s="401" t="s">
        <v>315</v>
      </c>
      <c r="B6" s="34">
        <v>1</v>
      </c>
      <c r="C6" s="49" t="s">
        <v>316</v>
      </c>
      <c r="D6" s="49" t="s">
        <v>8</v>
      </c>
      <c r="E6" s="22" t="s">
        <v>2324</v>
      </c>
      <c r="F6" s="100" t="s">
        <v>2015</v>
      </c>
      <c r="G6" s="22">
        <v>81897710018</v>
      </c>
      <c r="H6" s="323">
        <v>428.37847826086949</v>
      </c>
      <c r="I6" s="323">
        <f t="shared" si="0"/>
        <v>428.37847826086949</v>
      </c>
    </row>
    <row r="7" spans="1:9" x14ac:dyDescent="0.25">
      <c r="A7" s="401" t="s">
        <v>317</v>
      </c>
      <c r="B7" s="34">
        <v>1</v>
      </c>
      <c r="C7" s="49" t="s">
        <v>318</v>
      </c>
      <c r="D7" s="49" t="s">
        <v>8</v>
      </c>
      <c r="E7" s="22" t="s">
        <v>2325</v>
      </c>
      <c r="F7" s="100" t="s">
        <v>2016</v>
      </c>
      <c r="G7" s="22">
        <v>81897710018</v>
      </c>
      <c r="H7" s="323">
        <v>428.37847826086949</v>
      </c>
      <c r="I7" s="323">
        <f t="shared" si="0"/>
        <v>428.37847826086949</v>
      </c>
    </row>
    <row r="8" spans="1:9" x14ac:dyDescent="0.25">
      <c r="A8" s="401" t="s">
        <v>319</v>
      </c>
      <c r="B8" s="34">
        <v>1</v>
      </c>
      <c r="C8" s="49" t="s">
        <v>320</v>
      </c>
      <c r="D8" s="49" t="s">
        <v>8</v>
      </c>
      <c r="E8" s="22" t="s">
        <v>2326</v>
      </c>
      <c r="F8" s="100" t="s">
        <v>2017</v>
      </c>
      <c r="G8" s="22">
        <v>81897710018</v>
      </c>
      <c r="H8" s="323">
        <v>439.46021739130424</v>
      </c>
      <c r="I8" s="323">
        <f t="shared" si="0"/>
        <v>439.46021739130424</v>
      </c>
    </row>
    <row r="9" spans="1:9" x14ac:dyDescent="0.25">
      <c r="A9" s="401" t="s">
        <v>323</v>
      </c>
      <c r="B9" s="34">
        <v>1</v>
      </c>
      <c r="C9" s="49" t="s">
        <v>324</v>
      </c>
      <c r="D9" s="49" t="s">
        <v>8</v>
      </c>
      <c r="E9" s="22" t="s">
        <v>2327</v>
      </c>
      <c r="F9" s="100" t="s">
        <v>2018</v>
      </c>
      <c r="G9" s="22">
        <v>81897710010</v>
      </c>
      <c r="H9" s="323">
        <v>448.65652173913054</v>
      </c>
      <c r="I9" s="323">
        <f t="shared" si="0"/>
        <v>448.65652173913054</v>
      </c>
    </row>
    <row r="10" spans="1:9" x14ac:dyDescent="0.25">
      <c r="A10" s="401" t="s">
        <v>321</v>
      </c>
      <c r="B10" s="34">
        <v>1</v>
      </c>
      <c r="C10" s="49" t="s">
        <v>322</v>
      </c>
      <c r="D10" s="49" t="s">
        <v>8</v>
      </c>
      <c r="E10" s="22" t="s">
        <v>2328</v>
      </c>
      <c r="F10" s="100" t="s">
        <v>1795</v>
      </c>
      <c r="G10" s="22">
        <v>81897710018</v>
      </c>
      <c r="H10" s="323">
        <v>234.10173913043479</v>
      </c>
      <c r="I10" s="323">
        <f t="shared" si="0"/>
        <v>234.10173913043479</v>
      </c>
    </row>
    <row r="11" spans="1:9" x14ac:dyDescent="0.25">
      <c r="A11" s="401" t="s">
        <v>325</v>
      </c>
      <c r="B11" s="34">
        <v>1</v>
      </c>
      <c r="C11" s="49" t="s">
        <v>326</v>
      </c>
      <c r="D11" s="49" t="s">
        <v>162</v>
      </c>
      <c r="E11" s="22" t="s">
        <v>2329</v>
      </c>
      <c r="F11" s="100" t="s">
        <v>2093</v>
      </c>
      <c r="G11" s="22">
        <v>81897710018</v>
      </c>
      <c r="H11" s="323">
        <v>310.9813043478261</v>
      </c>
      <c r="I11" s="323">
        <f t="shared" si="0"/>
        <v>310.9813043478261</v>
      </c>
    </row>
    <row r="12" spans="1:9" x14ac:dyDescent="0.25">
      <c r="A12" s="401" t="s">
        <v>327</v>
      </c>
      <c r="B12" s="34">
        <v>1</v>
      </c>
      <c r="C12" s="49">
        <v>744401</v>
      </c>
      <c r="D12" s="49" t="s">
        <v>162</v>
      </c>
      <c r="E12" s="22" t="s">
        <v>2323</v>
      </c>
      <c r="F12" s="100" t="s">
        <v>1729</v>
      </c>
      <c r="G12" s="22">
        <v>81897710001</v>
      </c>
      <c r="H12" s="323">
        <v>2073.3241304347825</v>
      </c>
      <c r="I12" s="323">
        <f t="shared" si="0"/>
        <v>2073.3241304347825</v>
      </c>
    </row>
    <row r="13" spans="1:9" ht="27" x14ac:dyDescent="0.25">
      <c r="A13" s="401" t="s">
        <v>328</v>
      </c>
      <c r="B13" s="34">
        <v>1</v>
      </c>
      <c r="C13" s="49">
        <v>744402</v>
      </c>
      <c r="D13" s="49" t="s">
        <v>162</v>
      </c>
      <c r="E13" s="22" t="e">
        <v>#N/A</v>
      </c>
      <c r="F13" s="100" t="s">
        <v>2094</v>
      </c>
      <c r="G13" s="22" t="e">
        <v>#N/A</v>
      </c>
      <c r="H13" s="323">
        <v>0</v>
      </c>
      <c r="I13" s="323">
        <f t="shared" si="0"/>
        <v>0</v>
      </c>
    </row>
    <row r="14" spans="1:9" ht="27" x14ac:dyDescent="0.25">
      <c r="A14" s="401" t="s">
        <v>329</v>
      </c>
      <c r="B14" s="34">
        <v>1</v>
      </c>
      <c r="C14" s="49">
        <v>744403</v>
      </c>
      <c r="D14" s="49" t="s">
        <v>162</v>
      </c>
      <c r="E14" s="22" t="e">
        <v>#N/A</v>
      </c>
      <c r="F14" s="100" t="s">
        <v>2094</v>
      </c>
      <c r="G14" s="22" t="e">
        <v>#N/A</v>
      </c>
      <c r="H14" s="323">
        <v>0</v>
      </c>
      <c r="I14" s="323">
        <f t="shared" si="0"/>
        <v>0</v>
      </c>
    </row>
    <row r="15" spans="1:9" x14ac:dyDescent="0.25">
      <c r="A15" s="401" t="s">
        <v>38</v>
      </c>
      <c r="B15" s="34">
        <v>2</v>
      </c>
      <c r="C15" s="49" t="s">
        <v>39</v>
      </c>
      <c r="D15" s="49" t="s">
        <v>8</v>
      </c>
      <c r="E15" s="22" t="s">
        <v>2250</v>
      </c>
      <c r="F15" s="34" t="s">
        <v>1850</v>
      </c>
      <c r="G15" s="22">
        <v>81897710001</v>
      </c>
      <c r="H15" s="323">
        <v>277.04347826086962</v>
      </c>
      <c r="I15" s="323">
        <f t="shared" si="0"/>
        <v>554.08695652173924</v>
      </c>
    </row>
    <row r="16" spans="1:9" x14ac:dyDescent="0.25">
      <c r="A16" s="401" t="s">
        <v>46</v>
      </c>
      <c r="B16" s="34">
        <v>1</v>
      </c>
      <c r="C16" s="49" t="s">
        <v>47</v>
      </c>
      <c r="D16" s="49" t="s">
        <v>8</v>
      </c>
      <c r="E16" s="22" t="s">
        <v>2254</v>
      </c>
      <c r="F16" s="313" t="s">
        <v>1855</v>
      </c>
      <c r="G16" s="22">
        <v>81897710023</v>
      </c>
      <c r="H16" s="323">
        <v>126.74739130434781</v>
      </c>
      <c r="I16" s="323">
        <f t="shared" si="0"/>
        <v>126.74739130434781</v>
      </c>
    </row>
    <row r="17" spans="1:9" x14ac:dyDescent="0.25">
      <c r="A17" s="401" t="s">
        <v>306</v>
      </c>
      <c r="B17" s="34">
        <v>2</v>
      </c>
      <c r="C17" s="49">
        <v>971</v>
      </c>
      <c r="D17" s="49" t="s">
        <v>4</v>
      </c>
      <c r="E17" s="22" t="s">
        <v>2257</v>
      </c>
      <c r="F17" s="100" t="s">
        <v>1862</v>
      </c>
      <c r="G17" s="22">
        <v>81897710001</v>
      </c>
      <c r="H17" s="323">
        <v>305.9021739130435</v>
      </c>
      <c r="I17" s="323">
        <f t="shared" si="0"/>
        <v>611.804347826087</v>
      </c>
    </row>
    <row r="18" spans="1:9" ht="19.5" customHeight="1" x14ac:dyDescent="0.25">
      <c r="A18" s="401" t="s">
        <v>308</v>
      </c>
      <c r="B18" s="34">
        <v>2</v>
      </c>
      <c r="C18" s="49">
        <v>957</v>
      </c>
      <c r="D18" s="49" t="s">
        <v>4</v>
      </c>
      <c r="E18" s="22" t="s">
        <v>2258</v>
      </c>
      <c r="F18" s="102" t="s">
        <v>1861</v>
      </c>
      <c r="G18" s="22">
        <v>81897710001</v>
      </c>
      <c r="H18" s="323">
        <v>145.7941304347826</v>
      </c>
      <c r="I18" s="323">
        <f t="shared" si="0"/>
        <v>291.5882608695652</v>
      </c>
    </row>
    <row r="19" spans="1:9" x14ac:dyDescent="0.25">
      <c r="A19" s="401" t="s">
        <v>330</v>
      </c>
      <c r="B19" s="34">
        <v>1</v>
      </c>
      <c r="C19" s="49" t="s">
        <v>331</v>
      </c>
      <c r="D19" s="49" t="s">
        <v>8</v>
      </c>
      <c r="E19" s="22" t="s">
        <v>2330</v>
      </c>
      <c r="F19" s="100" t="s">
        <v>1863</v>
      </c>
      <c r="G19" s="22">
        <v>81897710023</v>
      </c>
      <c r="H19" s="323">
        <v>156.87586956521739</v>
      </c>
      <c r="I19" s="323">
        <f t="shared" si="0"/>
        <v>156.87586956521739</v>
      </c>
    </row>
    <row r="20" spans="1:9" x14ac:dyDescent="0.25">
      <c r="A20" s="401" t="s">
        <v>332</v>
      </c>
      <c r="B20" s="34">
        <v>1</v>
      </c>
      <c r="C20" s="49" t="s">
        <v>333</v>
      </c>
      <c r="D20" s="49" t="s">
        <v>8</v>
      </c>
      <c r="E20" s="22" t="s">
        <v>2331</v>
      </c>
      <c r="F20" s="100" t="s">
        <v>1865</v>
      </c>
      <c r="G20" s="22">
        <v>81897710001</v>
      </c>
      <c r="H20" s="323">
        <v>743.51543478260862</v>
      </c>
      <c r="I20" s="323">
        <f t="shared" si="0"/>
        <v>743.51543478260862</v>
      </c>
    </row>
    <row r="21" spans="1:9" x14ac:dyDescent="0.25">
      <c r="A21" s="401" t="s">
        <v>335</v>
      </c>
      <c r="B21" s="34">
        <v>1</v>
      </c>
      <c r="C21" s="49" t="s">
        <v>53</v>
      </c>
      <c r="D21" s="49" t="s">
        <v>8</v>
      </c>
      <c r="E21" s="22" t="s">
        <v>2260</v>
      </c>
      <c r="F21" s="58" t="s">
        <v>1866</v>
      </c>
      <c r="G21" s="22">
        <v>81897710001</v>
      </c>
      <c r="H21" s="323">
        <v>545.08304347826083</v>
      </c>
      <c r="I21" s="323">
        <f t="shared" si="0"/>
        <v>545.08304347826083</v>
      </c>
    </row>
    <row r="22" spans="1:9" x14ac:dyDescent="0.25">
      <c r="A22" s="401" t="s">
        <v>58</v>
      </c>
      <c r="B22" s="34">
        <v>1</v>
      </c>
      <c r="C22" s="49" t="s">
        <v>59</v>
      </c>
      <c r="D22" s="49" t="s">
        <v>8</v>
      </c>
      <c r="E22" s="22" t="s">
        <v>2266</v>
      </c>
      <c r="F22" s="313" t="s">
        <v>1880</v>
      </c>
      <c r="G22" s="22">
        <v>81897710023</v>
      </c>
      <c r="H22" s="323">
        <v>130.90304347826086</v>
      </c>
      <c r="I22" s="323">
        <f t="shared" si="0"/>
        <v>130.90304347826086</v>
      </c>
    </row>
    <row r="23" spans="1:9" x14ac:dyDescent="0.25">
      <c r="A23" s="401" t="s">
        <v>336</v>
      </c>
      <c r="B23" s="34">
        <v>1</v>
      </c>
      <c r="C23" s="49" t="s">
        <v>337</v>
      </c>
      <c r="D23" s="49" t="s">
        <v>4</v>
      </c>
      <c r="E23" s="22" t="s">
        <v>2332</v>
      </c>
      <c r="F23" s="100" t="s">
        <v>2087</v>
      </c>
      <c r="G23" s="22">
        <v>81897710001</v>
      </c>
      <c r="H23" s="323">
        <v>509.41369565217394</v>
      </c>
      <c r="I23" s="323">
        <f t="shared" si="0"/>
        <v>509.41369565217394</v>
      </c>
    </row>
    <row r="24" spans="1:9" x14ac:dyDescent="0.25">
      <c r="A24" s="401" t="s">
        <v>338</v>
      </c>
      <c r="B24" s="34">
        <v>2</v>
      </c>
      <c r="C24" s="49" t="s">
        <v>66</v>
      </c>
      <c r="D24" s="49" t="s">
        <v>8</v>
      </c>
      <c r="E24" s="22" t="s">
        <v>2271</v>
      </c>
      <c r="F24" s="314" t="s">
        <v>1895</v>
      </c>
      <c r="G24" s="22">
        <v>81897710001</v>
      </c>
      <c r="H24" s="323">
        <v>137.13652173913044</v>
      </c>
      <c r="I24" s="323">
        <f t="shared" si="0"/>
        <v>274.27304347826089</v>
      </c>
    </row>
    <row r="25" spans="1:9" x14ac:dyDescent="0.25">
      <c r="A25" s="401" t="s">
        <v>339</v>
      </c>
      <c r="B25" s="34">
        <v>2</v>
      </c>
      <c r="C25" s="49" t="s">
        <v>68</v>
      </c>
      <c r="D25" s="49" t="s">
        <v>8</v>
      </c>
      <c r="E25" s="22" t="s">
        <v>2272</v>
      </c>
      <c r="F25" s="313" t="s">
        <v>1896</v>
      </c>
      <c r="G25" s="22">
        <v>81897710001</v>
      </c>
      <c r="H25" s="323">
        <v>134.36608695652174</v>
      </c>
      <c r="I25" s="323">
        <f t="shared" si="0"/>
        <v>268.73217391304348</v>
      </c>
    </row>
    <row r="26" spans="1:9" x14ac:dyDescent="0.25">
      <c r="A26" s="401" t="s">
        <v>340</v>
      </c>
      <c r="B26" s="34">
        <v>1</v>
      </c>
      <c r="C26" s="49" t="s">
        <v>341</v>
      </c>
      <c r="D26" s="49" t="s">
        <v>8</v>
      </c>
      <c r="E26" s="22" t="s">
        <v>2333</v>
      </c>
      <c r="F26" s="100" t="s">
        <v>1912</v>
      </c>
      <c r="G26" s="22">
        <v>81897710001</v>
      </c>
      <c r="H26" s="323">
        <v>156.52956521739131</v>
      </c>
      <c r="I26" s="323">
        <f t="shared" si="0"/>
        <v>156.52956521739131</v>
      </c>
    </row>
    <row r="27" spans="1:9" x14ac:dyDescent="0.25">
      <c r="A27" s="401" t="s">
        <v>342</v>
      </c>
      <c r="B27" s="34">
        <v>1</v>
      </c>
      <c r="C27" s="49" t="s">
        <v>343</v>
      </c>
      <c r="D27" s="49" t="s">
        <v>8</v>
      </c>
      <c r="E27" s="22" t="s">
        <v>2334</v>
      </c>
      <c r="F27" s="100" t="s">
        <v>1913</v>
      </c>
      <c r="G27" s="22">
        <v>81897710001</v>
      </c>
      <c r="H27" s="323">
        <v>153.06652173913042</v>
      </c>
      <c r="I27" s="323">
        <f t="shared" si="0"/>
        <v>153.06652173913042</v>
      </c>
    </row>
    <row r="28" spans="1:9" x14ac:dyDescent="0.25">
      <c r="A28" s="401" t="s">
        <v>344</v>
      </c>
      <c r="B28" s="34">
        <v>2</v>
      </c>
      <c r="C28" s="49" t="s">
        <v>345</v>
      </c>
      <c r="D28" s="49" t="s">
        <v>8</v>
      </c>
      <c r="E28" s="22" t="s">
        <v>2245</v>
      </c>
      <c r="F28" s="100" t="s">
        <v>1846</v>
      </c>
      <c r="G28" s="22">
        <v>81897710001</v>
      </c>
      <c r="H28" s="323">
        <v>205.35847826086956</v>
      </c>
      <c r="I28" s="323">
        <f t="shared" si="0"/>
        <v>410.71695652173912</v>
      </c>
    </row>
    <row r="29" spans="1:9" x14ac:dyDescent="0.25">
      <c r="A29" s="401" t="s">
        <v>347</v>
      </c>
      <c r="B29" s="34">
        <v>1</v>
      </c>
      <c r="C29" s="49" t="s">
        <v>131</v>
      </c>
      <c r="D29" s="49" t="s">
        <v>8</v>
      </c>
      <c r="E29" s="22" t="s">
        <v>2217</v>
      </c>
      <c r="F29" s="100" t="s">
        <v>1767</v>
      </c>
      <c r="G29" s="22">
        <v>81897719001</v>
      </c>
      <c r="H29" s="323">
        <v>306.825652173913</v>
      </c>
      <c r="I29" s="323">
        <f t="shared" si="0"/>
        <v>306.825652173913</v>
      </c>
    </row>
    <row r="30" spans="1:9" x14ac:dyDescent="0.25">
      <c r="A30" s="401" t="s">
        <v>348</v>
      </c>
      <c r="B30" s="34">
        <v>1</v>
      </c>
      <c r="C30" s="49" t="s">
        <v>115</v>
      </c>
      <c r="D30" s="49" t="s">
        <v>8</v>
      </c>
      <c r="E30" s="22" t="s">
        <v>2335</v>
      </c>
      <c r="F30" s="100" t="s">
        <v>1928</v>
      </c>
      <c r="G30" s="22">
        <v>81897710001</v>
      </c>
      <c r="H30" s="323">
        <v>184.92652173913044</v>
      </c>
      <c r="I30" s="323">
        <f t="shared" si="0"/>
        <v>184.92652173913044</v>
      </c>
    </row>
    <row r="31" spans="1:9" x14ac:dyDescent="0.25">
      <c r="A31" s="401" t="s">
        <v>349</v>
      </c>
      <c r="B31" s="34">
        <v>1</v>
      </c>
      <c r="C31" s="49" t="s">
        <v>350</v>
      </c>
      <c r="D31" s="49" t="s">
        <v>8</v>
      </c>
      <c r="E31" s="22" t="s">
        <v>2301</v>
      </c>
      <c r="F31" s="100" t="s">
        <v>1964</v>
      </c>
      <c r="G31" s="22">
        <v>81897710017</v>
      </c>
      <c r="H31" s="323">
        <v>130.2104347826087</v>
      </c>
      <c r="I31" s="323">
        <f t="shared" si="0"/>
        <v>130.2104347826087</v>
      </c>
    </row>
    <row r="32" spans="1:9" x14ac:dyDescent="0.25">
      <c r="A32" s="401" t="s">
        <v>99</v>
      </c>
      <c r="B32" s="34">
        <v>1</v>
      </c>
      <c r="C32" s="49" t="s">
        <v>351</v>
      </c>
      <c r="D32" s="49" t="s">
        <v>8</v>
      </c>
      <c r="E32" s="22" t="s">
        <v>2306</v>
      </c>
      <c r="F32" s="34" t="s">
        <v>1967</v>
      </c>
      <c r="G32" s="22">
        <v>81897710017</v>
      </c>
      <c r="H32" s="323">
        <v>157.91478260869562</v>
      </c>
      <c r="I32" s="323">
        <f t="shared" si="0"/>
        <v>157.91478260869562</v>
      </c>
    </row>
    <row r="33" spans="9:9" x14ac:dyDescent="0.25">
      <c r="I33" s="324">
        <f>SUM(I2:I32)</f>
        <v>15187.728260869568</v>
      </c>
    </row>
  </sheetData>
  <sortState xmlns:xlrd2="http://schemas.microsoft.com/office/spreadsheetml/2017/richdata2" ref="A2:D32">
    <sortCondition ref="A1:A32"/>
  </sortState>
  <phoneticPr fontId="2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ADA40-EB67-49CD-8E9B-EAB1D3E42480}">
  <sheetPr codeName="Planilha4">
    <tabColor rgb="FFFF0000"/>
  </sheetPr>
  <dimension ref="A1:G4"/>
  <sheetViews>
    <sheetView workbookViewId="0">
      <pane ySplit="1" topLeftCell="A2" activePane="bottomLeft" state="frozen"/>
      <selection activeCell="A53" sqref="A53"/>
      <selection pane="bottomLeft" activeCell="E2" sqref="E2:E4"/>
    </sheetView>
  </sheetViews>
  <sheetFormatPr defaultRowHeight="15" x14ac:dyDescent="0.25"/>
  <cols>
    <col min="1" max="1" width="39.28515625" bestFit="1" customWidth="1"/>
    <col min="2" max="2" width="11.7109375" bestFit="1" customWidth="1"/>
    <col min="3" max="3" width="21.28515625" bestFit="1" customWidth="1"/>
    <col min="4" max="4" width="12.140625" bestFit="1" customWidth="1"/>
    <col min="5" max="5" width="12.5703125" bestFit="1" customWidth="1"/>
    <col min="6" max="6" width="7.85546875" bestFit="1" customWidth="1"/>
    <col min="7" max="7" width="16.7109375" bestFit="1" customWidth="1"/>
  </cols>
  <sheetData>
    <row r="1" spans="1:7" ht="18.75" customHeight="1" x14ac:dyDescent="0.25">
      <c r="A1" s="92" t="s">
        <v>0</v>
      </c>
      <c r="B1" s="93" t="s">
        <v>352</v>
      </c>
      <c r="C1" s="193" t="s">
        <v>1721</v>
      </c>
      <c r="D1" s="194" t="s">
        <v>1723</v>
      </c>
      <c r="E1" s="194" t="s">
        <v>1724</v>
      </c>
      <c r="F1" s="194" t="s">
        <v>1722</v>
      </c>
      <c r="G1" s="194" t="s">
        <v>1725</v>
      </c>
    </row>
    <row r="2" spans="1:7" x14ac:dyDescent="0.25">
      <c r="A2" s="18" t="s">
        <v>353</v>
      </c>
      <c r="B2" s="49">
        <v>662550</v>
      </c>
      <c r="C2" s="118" t="s">
        <v>314</v>
      </c>
      <c r="D2" s="195"/>
      <c r="E2" s="195" t="s">
        <v>2072</v>
      </c>
      <c r="F2" s="195"/>
      <c r="G2" s="195"/>
    </row>
    <row r="3" spans="1:7" ht="13.5" customHeight="1" x14ac:dyDescent="0.25">
      <c r="A3" s="18" t="s">
        <v>354</v>
      </c>
      <c r="B3" s="49" t="s">
        <v>355</v>
      </c>
      <c r="C3" s="118" t="s">
        <v>356</v>
      </c>
      <c r="D3" s="195"/>
      <c r="E3" s="195" t="s">
        <v>2072</v>
      </c>
      <c r="F3" s="195"/>
      <c r="G3" s="195"/>
    </row>
    <row r="4" spans="1:7" x14ac:dyDescent="0.25">
      <c r="A4" s="18" t="s">
        <v>357</v>
      </c>
      <c r="B4" s="49" t="s">
        <v>358</v>
      </c>
      <c r="C4" s="118" t="s">
        <v>356</v>
      </c>
      <c r="D4" s="195"/>
      <c r="E4" s="195" t="s">
        <v>2072</v>
      </c>
      <c r="F4" s="195"/>
      <c r="G4" s="19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C9A41-0CC2-4E6F-BB01-5C44DD9704CC}">
  <sheetPr codeName="Planilha5">
    <tabColor rgb="FF92D050"/>
  </sheetPr>
  <dimension ref="A1:I55"/>
  <sheetViews>
    <sheetView workbookViewId="0">
      <pane ySplit="1" topLeftCell="A2" activePane="bottomLeft" state="frozen"/>
      <selection activeCell="A53" sqref="A53"/>
      <selection pane="bottomLeft" activeCell="J19" sqref="J19"/>
    </sheetView>
  </sheetViews>
  <sheetFormatPr defaultRowHeight="15" x14ac:dyDescent="0.25"/>
  <cols>
    <col min="1" max="1" width="50.42578125" customWidth="1"/>
    <col min="2" max="2" width="14.85546875" customWidth="1"/>
    <col min="3" max="4" width="14.28515625" customWidth="1"/>
    <col min="5" max="5" width="32.140625" style="40" customWidth="1"/>
    <col min="6" max="6" width="15" style="40" bestFit="1" customWidth="1"/>
    <col min="7" max="7" width="19" customWidth="1"/>
    <col min="8" max="8" width="14.85546875" style="324" customWidth="1"/>
    <col min="9" max="9" width="19" customWidth="1"/>
  </cols>
  <sheetData>
    <row r="1" spans="1:9" ht="31.5" x14ac:dyDescent="0.25">
      <c r="A1" s="84" t="s">
        <v>0</v>
      </c>
      <c r="B1" s="42" t="s">
        <v>359</v>
      </c>
      <c r="C1" s="86" t="s">
        <v>360</v>
      </c>
      <c r="D1" s="197" t="s">
        <v>1721</v>
      </c>
      <c r="E1" s="194" t="s">
        <v>1723</v>
      </c>
      <c r="F1" s="194" t="s">
        <v>1724</v>
      </c>
      <c r="G1" s="194" t="s">
        <v>1722</v>
      </c>
      <c r="H1" s="321" t="s">
        <v>1725</v>
      </c>
      <c r="I1" s="194" t="s">
        <v>2317</v>
      </c>
    </row>
    <row r="2" spans="1:9" x14ac:dyDescent="0.25">
      <c r="A2" s="5" t="s">
        <v>370</v>
      </c>
      <c r="B2" s="29">
        <v>1</v>
      </c>
      <c r="C2" s="46" t="s">
        <v>310</v>
      </c>
      <c r="D2" s="99" t="s">
        <v>8</v>
      </c>
      <c r="E2" s="308" t="s">
        <v>2193</v>
      </c>
      <c r="F2" s="272" t="s">
        <v>1726</v>
      </c>
      <c r="G2" s="308">
        <v>81897710023</v>
      </c>
      <c r="H2" s="322">
        <v>137.8291304347826</v>
      </c>
      <c r="I2" s="400">
        <f>H2*B2</f>
        <v>137.8291304347826</v>
      </c>
    </row>
    <row r="3" spans="1:9" x14ac:dyDescent="0.25">
      <c r="A3" s="402" t="s">
        <v>421</v>
      </c>
      <c r="B3" s="54">
        <v>1</v>
      </c>
      <c r="C3" s="281" t="s">
        <v>422</v>
      </c>
      <c r="D3" s="99" t="s">
        <v>8</v>
      </c>
      <c r="E3" s="308" t="s">
        <v>2338</v>
      </c>
      <c r="F3" s="137" t="s">
        <v>1727</v>
      </c>
      <c r="G3" s="308">
        <v>81897710023</v>
      </c>
      <c r="H3" s="322">
        <v>324.83347826086958</v>
      </c>
      <c r="I3" s="400">
        <f t="shared" ref="I3:I54" si="0">H3*B3</f>
        <v>324.83347826086958</v>
      </c>
    </row>
    <row r="4" spans="1:9" x14ac:dyDescent="0.25">
      <c r="A4" s="402" t="s">
        <v>423</v>
      </c>
      <c r="B4" s="54">
        <v>1</v>
      </c>
      <c r="C4" s="65" t="s">
        <v>424</v>
      </c>
      <c r="D4" s="64" t="s">
        <v>4</v>
      </c>
      <c r="E4" s="176" t="s">
        <v>2339</v>
      </c>
      <c r="F4" s="137" t="s">
        <v>1728</v>
      </c>
      <c r="G4" s="308">
        <v>81897710023</v>
      </c>
      <c r="H4" s="322">
        <v>324.83347826086958</v>
      </c>
      <c r="I4" s="400">
        <f t="shared" si="0"/>
        <v>324.83347826086958</v>
      </c>
    </row>
    <row r="5" spans="1:9" x14ac:dyDescent="0.25">
      <c r="A5" s="403" t="s">
        <v>365</v>
      </c>
      <c r="B5" s="29">
        <v>2</v>
      </c>
      <c r="C5" s="46" t="s">
        <v>12</v>
      </c>
      <c r="D5" s="99" t="s">
        <v>8</v>
      </c>
      <c r="E5" s="308" t="s">
        <v>2198</v>
      </c>
      <c r="F5" s="70" t="s">
        <v>1740</v>
      </c>
      <c r="G5" s="308">
        <v>81897710023</v>
      </c>
      <c r="H5" s="322">
        <v>270.4636956521739</v>
      </c>
      <c r="I5" s="400">
        <f t="shared" si="0"/>
        <v>540.92739130434779</v>
      </c>
    </row>
    <row r="6" spans="1:9" x14ac:dyDescent="0.25">
      <c r="A6" s="403" t="s">
        <v>366</v>
      </c>
      <c r="B6" s="29">
        <v>2</v>
      </c>
      <c r="C6" s="46" t="s">
        <v>7</v>
      </c>
      <c r="D6" s="99" t="s">
        <v>8</v>
      </c>
      <c r="E6" s="308" t="s">
        <v>2201</v>
      </c>
      <c r="F6" s="29" t="s">
        <v>1741</v>
      </c>
      <c r="G6" s="308">
        <v>81897710021</v>
      </c>
      <c r="H6" s="322">
        <v>270.4636956521739</v>
      </c>
      <c r="I6" s="400">
        <f t="shared" si="0"/>
        <v>540.92739130434779</v>
      </c>
    </row>
    <row r="7" spans="1:9" x14ac:dyDescent="0.25">
      <c r="A7" s="403" t="s">
        <v>369</v>
      </c>
      <c r="B7" s="29">
        <v>2</v>
      </c>
      <c r="C7" s="46" t="s">
        <v>200</v>
      </c>
      <c r="D7" s="99" t="s">
        <v>8</v>
      </c>
      <c r="E7" s="308" t="s">
        <v>2204</v>
      </c>
      <c r="F7" s="52" t="s">
        <v>1744</v>
      </c>
      <c r="G7" s="308">
        <v>81897710023</v>
      </c>
      <c r="H7" s="322">
        <v>223.02</v>
      </c>
      <c r="I7" s="400">
        <f t="shared" si="0"/>
        <v>446.04</v>
      </c>
    </row>
    <row r="8" spans="1:9" x14ac:dyDescent="0.25">
      <c r="A8" s="402" t="s">
        <v>368</v>
      </c>
      <c r="B8" s="54">
        <v>2</v>
      </c>
      <c r="C8" s="172" t="s">
        <v>204</v>
      </c>
      <c r="D8" s="99" t="s">
        <v>8</v>
      </c>
      <c r="E8" s="308" t="s">
        <v>2206</v>
      </c>
      <c r="F8" s="137" t="s">
        <v>1746</v>
      </c>
      <c r="G8" s="308">
        <v>81897710023</v>
      </c>
      <c r="H8" s="322">
        <v>233.40913043478258</v>
      </c>
      <c r="I8" s="400">
        <f t="shared" si="0"/>
        <v>466.81826086956517</v>
      </c>
    </row>
    <row r="9" spans="1:9" x14ac:dyDescent="0.25">
      <c r="A9" s="402" t="s">
        <v>381</v>
      </c>
      <c r="B9" s="280">
        <v>3</v>
      </c>
      <c r="C9" s="133" t="s">
        <v>382</v>
      </c>
      <c r="D9" s="99" t="s">
        <v>8</v>
      </c>
      <c r="E9" s="308" t="s">
        <v>2340</v>
      </c>
      <c r="F9" s="137" t="s">
        <v>1747</v>
      </c>
      <c r="G9" s="308">
        <v>81897710023</v>
      </c>
      <c r="H9" s="322">
        <v>143.0236956521739</v>
      </c>
      <c r="I9" s="400">
        <f t="shared" si="0"/>
        <v>429.0710869565217</v>
      </c>
    </row>
    <row r="10" spans="1:9" x14ac:dyDescent="0.25">
      <c r="A10" s="301" t="s">
        <v>445</v>
      </c>
      <c r="B10" s="31">
        <v>2</v>
      </c>
      <c r="C10" s="46" t="s">
        <v>446</v>
      </c>
      <c r="D10" s="99" t="s">
        <v>8</v>
      </c>
      <c r="E10" s="308" t="s">
        <v>2341</v>
      </c>
      <c r="F10" s="334" t="s">
        <v>1748</v>
      </c>
      <c r="G10" s="308">
        <v>81897710023</v>
      </c>
      <c r="H10" s="322">
        <v>269.77108695652174</v>
      </c>
      <c r="I10" s="400">
        <f t="shared" si="0"/>
        <v>539.54217391304348</v>
      </c>
    </row>
    <row r="11" spans="1:9" x14ac:dyDescent="0.25">
      <c r="A11" s="301" t="s">
        <v>428</v>
      </c>
      <c r="B11" s="29">
        <v>2</v>
      </c>
      <c r="C11" s="46" t="s">
        <v>429</v>
      </c>
      <c r="D11" s="99" t="s">
        <v>8</v>
      </c>
      <c r="E11" s="308" t="s">
        <v>2342</v>
      </c>
      <c r="F11" s="334" t="s">
        <v>1749</v>
      </c>
      <c r="G11" s="308">
        <v>81897710023</v>
      </c>
      <c r="H11" s="322">
        <v>269.77108695652174</v>
      </c>
      <c r="I11" s="400">
        <f t="shared" si="0"/>
        <v>539.54217391304348</v>
      </c>
    </row>
    <row r="12" spans="1:9" x14ac:dyDescent="0.25">
      <c r="A12" s="301" t="s">
        <v>426</v>
      </c>
      <c r="B12" s="29">
        <v>2</v>
      </c>
      <c r="C12" s="46" t="s">
        <v>427</v>
      </c>
      <c r="D12" s="99" t="s">
        <v>8</v>
      </c>
      <c r="E12" s="308" t="s">
        <v>2343</v>
      </c>
      <c r="F12" s="335" t="s">
        <v>2104</v>
      </c>
      <c r="G12" s="308">
        <v>81897710023</v>
      </c>
      <c r="H12" s="322">
        <v>303.01630434782612</v>
      </c>
      <c r="I12" s="400">
        <f t="shared" si="0"/>
        <v>606.03260869565224</v>
      </c>
    </row>
    <row r="13" spans="1:9" x14ac:dyDescent="0.25">
      <c r="A13" s="301" t="s">
        <v>430</v>
      </c>
      <c r="B13" s="29">
        <v>1</v>
      </c>
      <c r="C13" s="46" t="s">
        <v>431</v>
      </c>
      <c r="D13" s="99" t="s">
        <v>8</v>
      </c>
      <c r="E13" s="308" t="s">
        <v>430</v>
      </c>
      <c r="F13" s="335" t="s">
        <v>2105</v>
      </c>
      <c r="G13" s="308">
        <v>80476380011</v>
      </c>
      <c r="H13" s="322">
        <v>798.91304347826076</v>
      </c>
      <c r="I13" s="400">
        <f t="shared" si="0"/>
        <v>798.91304347826076</v>
      </c>
    </row>
    <row r="14" spans="1:9" x14ac:dyDescent="0.25">
      <c r="A14" s="301" t="s">
        <v>432</v>
      </c>
      <c r="B14" s="29">
        <v>2</v>
      </c>
      <c r="C14" s="46" t="s">
        <v>433</v>
      </c>
      <c r="D14" s="99" t="s">
        <v>8</v>
      </c>
      <c r="E14" s="308" t="s">
        <v>2344</v>
      </c>
      <c r="F14" s="335" t="s">
        <v>2106</v>
      </c>
      <c r="G14" s="308">
        <v>81897710023</v>
      </c>
      <c r="H14" s="322">
        <v>371.58456521739129</v>
      </c>
      <c r="I14" s="400">
        <f t="shared" si="0"/>
        <v>743.16913043478257</v>
      </c>
    </row>
    <row r="15" spans="1:9" x14ac:dyDescent="0.25">
      <c r="A15" s="301" t="s">
        <v>434</v>
      </c>
      <c r="B15" s="29">
        <v>1</v>
      </c>
      <c r="C15" s="46" t="s">
        <v>435</v>
      </c>
      <c r="D15" s="99" t="s">
        <v>8</v>
      </c>
      <c r="E15" s="308" t="s">
        <v>2345</v>
      </c>
      <c r="F15" s="335" t="s">
        <v>2107</v>
      </c>
      <c r="G15" s="308">
        <v>81897710023</v>
      </c>
      <c r="H15" s="322">
        <v>303.01630434782612</v>
      </c>
      <c r="I15" s="400">
        <f t="shared" si="0"/>
        <v>303.01630434782612</v>
      </c>
    </row>
    <row r="16" spans="1:9" x14ac:dyDescent="0.25">
      <c r="A16" s="403" t="s">
        <v>367</v>
      </c>
      <c r="B16" s="29">
        <v>2</v>
      </c>
      <c r="C16" s="46" t="s">
        <v>230</v>
      </c>
      <c r="D16" s="99" t="s">
        <v>8</v>
      </c>
      <c r="E16" s="308" t="s">
        <v>2297</v>
      </c>
      <c r="F16" s="29" t="s">
        <v>1753</v>
      </c>
      <c r="G16" s="308">
        <v>81897710023</v>
      </c>
      <c r="H16" s="322">
        <v>202.58804347826089</v>
      </c>
      <c r="I16" s="400">
        <f t="shared" si="0"/>
        <v>405.17608695652177</v>
      </c>
    </row>
    <row r="17" spans="1:9" x14ac:dyDescent="0.25">
      <c r="A17" s="402" t="s">
        <v>419</v>
      </c>
      <c r="B17" s="54">
        <v>1</v>
      </c>
      <c r="C17" s="65" t="s">
        <v>420</v>
      </c>
      <c r="D17" s="99" t="s">
        <v>8</v>
      </c>
      <c r="E17" s="308" t="s">
        <v>2346</v>
      </c>
      <c r="F17" s="54" t="s">
        <v>1756</v>
      </c>
      <c r="G17" s="308">
        <v>81897710001</v>
      </c>
      <c r="H17" s="322">
        <v>671.48413043478263</v>
      </c>
      <c r="I17" s="400">
        <f t="shared" si="0"/>
        <v>671.48413043478263</v>
      </c>
    </row>
    <row r="18" spans="1:9" x14ac:dyDescent="0.25">
      <c r="A18" s="403" t="s">
        <v>364</v>
      </c>
      <c r="B18" s="48">
        <v>1</v>
      </c>
      <c r="C18" s="65">
        <v>2050</v>
      </c>
      <c r="D18" s="99" t="s">
        <v>4</v>
      </c>
      <c r="E18" s="308" t="s">
        <v>2216</v>
      </c>
      <c r="F18" s="48" t="s">
        <v>1766</v>
      </c>
      <c r="G18" s="308">
        <v>81897719001</v>
      </c>
      <c r="H18" s="322">
        <v>205.01217391304351</v>
      </c>
      <c r="I18" s="400">
        <f t="shared" si="0"/>
        <v>205.01217391304351</v>
      </c>
    </row>
    <row r="19" spans="1:9" ht="45" x14ac:dyDescent="0.25">
      <c r="A19" s="403" t="s">
        <v>361</v>
      </c>
      <c r="B19" s="29">
        <v>1</v>
      </c>
      <c r="C19" s="46">
        <v>662590</v>
      </c>
      <c r="D19" s="99" t="s">
        <v>362</v>
      </c>
      <c r="E19" s="511" t="s">
        <v>2654</v>
      </c>
      <c r="F19" s="29" t="s">
        <v>2337</v>
      </c>
      <c r="G19" s="308" t="s">
        <v>2336</v>
      </c>
      <c r="H19" s="322">
        <v>2370.2608695652179</v>
      </c>
      <c r="I19" s="400">
        <f t="shared" si="0"/>
        <v>2370.2608695652179</v>
      </c>
    </row>
    <row r="20" spans="1:9" x14ac:dyDescent="0.25">
      <c r="A20" s="301" t="s">
        <v>449</v>
      </c>
      <c r="B20" s="29">
        <v>1</v>
      </c>
      <c r="C20" s="46" t="s">
        <v>450</v>
      </c>
      <c r="D20" s="99" t="s">
        <v>8</v>
      </c>
      <c r="E20" s="308" t="s">
        <v>449</v>
      </c>
      <c r="F20" s="335" t="s">
        <v>2078</v>
      </c>
      <c r="G20" s="308" t="e">
        <v>#N/A</v>
      </c>
      <c r="H20" s="322">
        <v>0</v>
      </c>
      <c r="I20" s="400">
        <f t="shared" si="0"/>
        <v>0</v>
      </c>
    </row>
    <row r="21" spans="1:9" x14ac:dyDescent="0.25">
      <c r="A21" s="301" t="s">
        <v>447</v>
      </c>
      <c r="B21" s="29">
        <v>1</v>
      </c>
      <c r="C21" s="46" t="s">
        <v>448</v>
      </c>
      <c r="D21" s="99" t="s">
        <v>8</v>
      </c>
      <c r="E21" s="308" t="s">
        <v>2347</v>
      </c>
      <c r="F21" s="335" t="s">
        <v>2103</v>
      </c>
      <c r="G21" s="308">
        <v>81897710018</v>
      </c>
      <c r="H21" s="322">
        <v>303.01630434782612</v>
      </c>
      <c r="I21" s="400">
        <f t="shared" si="0"/>
        <v>303.01630434782612</v>
      </c>
    </row>
    <row r="22" spans="1:9" x14ac:dyDescent="0.25">
      <c r="A22" s="402" t="s">
        <v>383</v>
      </c>
      <c r="B22" s="54">
        <v>1</v>
      </c>
      <c r="C22" s="65" t="s">
        <v>384</v>
      </c>
      <c r="D22" s="99" t="s">
        <v>8</v>
      </c>
      <c r="E22" s="308" t="s">
        <v>383</v>
      </c>
      <c r="F22" s="315" t="s">
        <v>2097</v>
      </c>
      <c r="G22" s="308">
        <v>80476380011</v>
      </c>
      <c r="H22" s="322">
        <v>652.17391304347825</v>
      </c>
      <c r="I22" s="400">
        <f t="shared" si="0"/>
        <v>652.17391304347825</v>
      </c>
    </row>
    <row r="23" spans="1:9" x14ac:dyDescent="0.25">
      <c r="A23" s="403" t="s">
        <v>385</v>
      </c>
      <c r="B23" s="29">
        <v>1</v>
      </c>
      <c r="C23" s="46" t="s">
        <v>386</v>
      </c>
      <c r="D23" s="99" t="s">
        <v>8</v>
      </c>
      <c r="E23" s="308" t="s">
        <v>385</v>
      </c>
      <c r="F23" s="315" t="s">
        <v>2098</v>
      </c>
      <c r="G23" s="308">
        <v>80476380011</v>
      </c>
      <c r="H23" s="322">
        <v>652.17391304347825</v>
      </c>
      <c r="I23" s="400">
        <f t="shared" si="0"/>
        <v>652.17391304347825</v>
      </c>
    </row>
    <row r="24" spans="1:9" x14ac:dyDescent="0.25">
      <c r="A24" s="301" t="s">
        <v>425</v>
      </c>
      <c r="B24" s="54">
        <v>1</v>
      </c>
      <c r="C24" s="65" t="s">
        <v>424</v>
      </c>
      <c r="D24" s="64" t="s">
        <v>8</v>
      </c>
      <c r="E24" s="176" t="s">
        <v>2348</v>
      </c>
      <c r="F24" s="335" t="s">
        <v>2101</v>
      </c>
      <c r="G24" s="308">
        <v>81897710018</v>
      </c>
      <c r="H24" s="322">
        <v>2584.469347826087</v>
      </c>
      <c r="I24" s="400">
        <f t="shared" si="0"/>
        <v>2584.469347826087</v>
      </c>
    </row>
    <row r="25" spans="1:9" x14ac:dyDescent="0.25">
      <c r="A25" s="403" t="s">
        <v>387</v>
      </c>
      <c r="B25" s="279">
        <v>1</v>
      </c>
      <c r="C25" s="175" t="s">
        <v>388</v>
      </c>
      <c r="D25" s="99" t="s">
        <v>8</v>
      </c>
      <c r="E25" s="308" t="s">
        <v>2349</v>
      </c>
      <c r="F25" s="29" t="s">
        <v>2099</v>
      </c>
      <c r="G25" s="308">
        <v>81897710018</v>
      </c>
      <c r="H25" s="322">
        <v>286.0473913043478</v>
      </c>
      <c r="I25" s="400">
        <f t="shared" si="0"/>
        <v>286.0473913043478</v>
      </c>
    </row>
    <row r="26" spans="1:9" x14ac:dyDescent="0.25">
      <c r="A26" s="404" t="s">
        <v>389</v>
      </c>
      <c r="B26" s="36">
        <v>1</v>
      </c>
      <c r="C26" s="255" t="s">
        <v>390</v>
      </c>
      <c r="D26" s="99" t="s">
        <v>8</v>
      </c>
      <c r="E26" s="308" t="s">
        <v>2350</v>
      </c>
      <c r="F26" s="29" t="s">
        <v>2100</v>
      </c>
      <c r="G26" s="308">
        <v>81897710018</v>
      </c>
      <c r="H26" s="322">
        <v>286.0473913043478</v>
      </c>
      <c r="I26" s="400">
        <f t="shared" si="0"/>
        <v>286.0473913043478</v>
      </c>
    </row>
    <row r="27" spans="1:9" x14ac:dyDescent="0.25">
      <c r="A27" s="403" t="s">
        <v>391</v>
      </c>
      <c r="B27" s="52">
        <v>1</v>
      </c>
      <c r="C27" s="118" t="s">
        <v>392</v>
      </c>
      <c r="D27" s="99" t="s">
        <v>8</v>
      </c>
      <c r="E27" s="308" t="s">
        <v>2351</v>
      </c>
      <c r="F27" s="336" t="s">
        <v>1794</v>
      </c>
      <c r="G27" s="308">
        <v>81897710018</v>
      </c>
      <c r="H27" s="322">
        <v>250.72434782608696</v>
      </c>
      <c r="I27" s="400">
        <f t="shared" si="0"/>
        <v>250.72434782608696</v>
      </c>
    </row>
    <row r="28" spans="1:9" x14ac:dyDescent="0.25">
      <c r="A28" s="403" t="s">
        <v>394</v>
      </c>
      <c r="B28" s="52">
        <v>1</v>
      </c>
      <c r="C28" s="118" t="s">
        <v>395</v>
      </c>
      <c r="D28" s="99" t="s">
        <v>8</v>
      </c>
      <c r="E28" s="308" t="s">
        <v>394</v>
      </c>
      <c r="F28" s="61" t="s">
        <v>2096</v>
      </c>
      <c r="G28" s="308">
        <v>80476380011</v>
      </c>
      <c r="H28" s="322">
        <v>456.52173913043475</v>
      </c>
      <c r="I28" s="400">
        <f t="shared" si="0"/>
        <v>456.52173913043475</v>
      </c>
    </row>
    <row r="29" spans="1:9" x14ac:dyDescent="0.25">
      <c r="A29" s="301" t="s">
        <v>436</v>
      </c>
      <c r="B29" s="52">
        <v>1</v>
      </c>
      <c r="C29" s="118" t="s">
        <v>158</v>
      </c>
      <c r="D29" s="99" t="s">
        <v>8</v>
      </c>
      <c r="E29" s="308" t="s">
        <v>2229</v>
      </c>
      <c r="F29" s="61" t="s">
        <v>1793</v>
      </c>
      <c r="G29" s="308">
        <v>81897710018</v>
      </c>
      <c r="H29" s="322">
        <v>294.70499999999998</v>
      </c>
      <c r="I29" s="400">
        <f t="shared" si="0"/>
        <v>294.70499999999998</v>
      </c>
    </row>
    <row r="30" spans="1:9" x14ac:dyDescent="0.25">
      <c r="A30" s="403" t="s">
        <v>396</v>
      </c>
      <c r="B30" s="52">
        <v>1</v>
      </c>
      <c r="C30" s="118" t="s">
        <v>322</v>
      </c>
      <c r="D30" s="99" t="s">
        <v>8</v>
      </c>
      <c r="E30" s="308" t="s">
        <v>2328</v>
      </c>
      <c r="F30" s="36" t="s">
        <v>1795</v>
      </c>
      <c r="G30" s="308">
        <v>81897710018</v>
      </c>
      <c r="H30" s="322">
        <v>234.10173913043479</v>
      </c>
      <c r="I30" s="400">
        <f t="shared" si="0"/>
        <v>234.10173913043479</v>
      </c>
    </row>
    <row r="31" spans="1:9" x14ac:dyDescent="0.25">
      <c r="A31" s="402" t="s">
        <v>397</v>
      </c>
      <c r="B31" s="54">
        <v>1</v>
      </c>
      <c r="C31" s="65" t="s">
        <v>398</v>
      </c>
      <c r="D31" s="64" t="s">
        <v>8</v>
      </c>
      <c r="E31" s="308" t="s">
        <v>2352</v>
      </c>
      <c r="F31" s="160" t="s">
        <v>1978</v>
      </c>
      <c r="G31" s="308">
        <v>81897710012</v>
      </c>
      <c r="H31" s="322">
        <v>482.11721739130434</v>
      </c>
      <c r="I31" s="400">
        <f t="shared" si="0"/>
        <v>482.11721739130434</v>
      </c>
    </row>
    <row r="32" spans="1:9" x14ac:dyDescent="0.25">
      <c r="A32" s="403" t="s">
        <v>399</v>
      </c>
      <c r="B32" s="29">
        <v>1</v>
      </c>
      <c r="C32" s="283" t="s">
        <v>125</v>
      </c>
      <c r="D32" s="99" t="s">
        <v>8</v>
      </c>
      <c r="E32" s="308" t="s">
        <v>2353</v>
      </c>
      <c r="F32" s="36" t="s">
        <v>1797</v>
      </c>
      <c r="G32" s="308">
        <v>81897710023</v>
      </c>
      <c r="H32" s="322">
        <v>148.5645652173913</v>
      </c>
      <c r="I32" s="400">
        <f t="shared" si="0"/>
        <v>148.5645652173913</v>
      </c>
    </row>
    <row r="33" spans="1:9" x14ac:dyDescent="0.25">
      <c r="A33" s="403" t="s">
        <v>400</v>
      </c>
      <c r="B33" s="29">
        <v>1</v>
      </c>
      <c r="C33" s="46" t="s">
        <v>401</v>
      </c>
      <c r="D33" s="99" t="s">
        <v>8</v>
      </c>
      <c r="E33" s="308" t="s">
        <v>2354</v>
      </c>
      <c r="F33" s="36" t="s">
        <v>2102</v>
      </c>
      <c r="G33" s="308">
        <v>81897710023</v>
      </c>
      <c r="H33" s="322">
        <v>205.01217391304351</v>
      </c>
      <c r="I33" s="400">
        <f t="shared" si="0"/>
        <v>205.01217391304351</v>
      </c>
    </row>
    <row r="34" spans="1:9" x14ac:dyDescent="0.25">
      <c r="A34" s="402" t="s">
        <v>402</v>
      </c>
      <c r="B34" s="54">
        <v>1</v>
      </c>
      <c r="C34" s="282" t="s">
        <v>403</v>
      </c>
      <c r="D34" s="64" t="s">
        <v>8</v>
      </c>
      <c r="E34" s="308" t="s">
        <v>2355</v>
      </c>
      <c r="F34" s="337" t="s">
        <v>1841</v>
      </c>
      <c r="G34" s="308">
        <v>81897710001</v>
      </c>
      <c r="H34" s="322">
        <v>876.15000000000009</v>
      </c>
      <c r="I34" s="400">
        <f t="shared" si="0"/>
        <v>876.15000000000009</v>
      </c>
    </row>
    <row r="35" spans="1:9" x14ac:dyDescent="0.25">
      <c r="A35" s="402" t="s">
        <v>165</v>
      </c>
      <c r="B35" s="52">
        <v>1</v>
      </c>
      <c r="C35" s="196" t="s">
        <v>166</v>
      </c>
      <c r="D35" s="99" t="s">
        <v>8</v>
      </c>
      <c r="E35" s="308" t="s">
        <v>2241</v>
      </c>
      <c r="F35" s="160" t="s">
        <v>1982</v>
      </c>
      <c r="G35" s="308">
        <v>81897710023</v>
      </c>
      <c r="H35" s="322">
        <v>858.48847826086967</v>
      </c>
      <c r="I35" s="400">
        <f t="shared" si="0"/>
        <v>858.48847826086967</v>
      </c>
    </row>
    <row r="36" spans="1:9" x14ac:dyDescent="0.25">
      <c r="A36" s="301" t="s">
        <v>439</v>
      </c>
      <c r="B36" s="52">
        <v>1</v>
      </c>
      <c r="C36" s="118" t="s">
        <v>440</v>
      </c>
      <c r="D36" s="99" t="s">
        <v>8</v>
      </c>
      <c r="E36" s="308" t="s">
        <v>439</v>
      </c>
      <c r="F36" s="160" t="s">
        <v>2095</v>
      </c>
      <c r="G36" s="308">
        <v>80476380011</v>
      </c>
      <c r="H36" s="322">
        <v>375</v>
      </c>
      <c r="I36" s="400">
        <f t="shared" si="0"/>
        <v>375</v>
      </c>
    </row>
    <row r="37" spans="1:9" x14ac:dyDescent="0.25">
      <c r="A37" s="301" t="s">
        <v>443</v>
      </c>
      <c r="B37" s="29">
        <v>1</v>
      </c>
      <c r="C37" s="46" t="s">
        <v>444</v>
      </c>
      <c r="D37" s="99" t="s">
        <v>8</v>
      </c>
      <c r="E37" s="308" t="s">
        <v>2356</v>
      </c>
      <c r="F37" s="338" t="s">
        <v>2088</v>
      </c>
      <c r="G37" s="308">
        <v>81897710018</v>
      </c>
      <c r="H37" s="322">
        <v>250.72434782608696</v>
      </c>
      <c r="I37" s="400">
        <f t="shared" si="0"/>
        <v>250.72434782608696</v>
      </c>
    </row>
    <row r="38" spans="1:9" x14ac:dyDescent="0.25">
      <c r="A38" s="301" t="s">
        <v>437</v>
      </c>
      <c r="B38" s="29">
        <v>1</v>
      </c>
      <c r="C38" s="46" t="s">
        <v>438</v>
      </c>
      <c r="D38" s="99" t="s">
        <v>8</v>
      </c>
      <c r="E38" s="308" t="s">
        <v>2357</v>
      </c>
      <c r="F38" s="338" t="s">
        <v>2019</v>
      </c>
      <c r="G38" s="308">
        <v>81897710018</v>
      </c>
      <c r="H38" s="322">
        <v>205.01217391304351</v>
      </c>
      <c r="I38" s="400">
        <f t="shared" si="0"/>
        <v>205.01217391304351</v>
      </c>
    </row>
    <row r="39" spans="1:9" x14ac:dyDescent="0.25">
      <c r="A39" s="301" t="s">
        <v>441</v>
      </c>
      <c r="B39" s="29">
        <v>1</v>
      </c>
      <c r="C39" s="175" t="s">
        <v>442</v>
      </c>
      <c r="D39" s="99" t="s">
        <v>8</v>
      </c>
      <c r="E39" s="308" t="s">
        <v>2358</v>
      </c>
      <c r="F39" s="338" t="s">
        <v>2020</v>
      </c>
      <c r="G39" s="308">
        <v>81897710018</v>
      </c>
      <c r="H39" s="322">
        <v>211.59195652173918</v>
      </c>
      <c r="I39" s="400">
        <f t="shared" si="0"/>
        <v>211.59195652173918</v>
      </c>
    </row>
    <row r="40" spans="1:9" x14ac:dyDescent="0.25">
      <c r="A40" s="403" t="s">
        <v>404</v>
      </c>
      <c r="B40" s="29">
        <v>1</v>
      </c>
      <c r="C40" s="233" t="s">
        <v>405</v>
      </c>
      <c r="D40" s="99" t="s">
        <v>8</v>
      </c>
      <c r="E40" s="308" t="s">
        <v>2359</v>
      </c>
      <c r="F40" s="36" t="s">
        <v>1857</v>
      </c>
      <c r="G40" s="308">
        <v>81897710001</v>
      </c>
      <c r="H40" s="322">
        <v>743.51543478260862</v>
      </c>
      <c r="I40" s="400">
        <f t="shared" si="0"/>
        <v>743.51543478260862</v>
      </c>
    </row>
    <row r="41" spans="1:9" x14ac:dyDescent="0.25">
      <c r="A41" s="403" t="s">
        <v>306</v>
      </c>
      <c r="B41" s="30">
        <v>1</v>
      </c>
      <c r="C41" s="46">
        <v>971</v>
      </c>
      <c r="D41" s="99" t="s">
        <v>4</v>
      </c>
      <c r="E41" s="308" t="s">
        <v>2257</v>
      </c>
      <c r="F41" s="41" t="s">
        <v>1862</v>
      </c>
      <c r="G41" s="308">
        <v>81897710001</v>
      </c>
      <c r="H41" s="322">
        <v>305.9021739130435</v>
      </c>
      <c r="I41" s="400">
        <f t="shared" si="0"/>
        <v>305.9021739130435</v>
      </c>
    </row>
    <row r="42" spans="1:9" x14ac:dyDescent="0.25">
      <c r="A42" s="403" t="s">
        <v>308</v>
      </c>
      <c r="B42" s="30">
        <v>1</v>
      </c>
      <c r="C42" s="46">
        <v>957</v>
      </c>
      <c r="D42" s="99" t="s">
        <v>4</v>
      </c>
      <c r="E42" s="308" t="s">
        <v>2258</v>
      </c>
      <c r="F42" s="117" t="s">
        <v>1861</v>
      </c>
      <c r="G42" s="308">
        <v>81897710001</v>
      </c>
      <c r="H42" s="322">
        <v>145.7941304347826</v>
      </c>
      <c r="I42" s="400">
        <f t="shared" si="0"/>
        <v>145.7941304347826</v>
      </c>
    </row>
    <row r="43" spans="1:9" x14ac:dyDescent="0.25">
      <c r="A43" s="403" t="s">
        <v>406</v>
      </c>
      <c r="B43" s="29">
        <v>1</v>
      </c>
      <c r="C43" s="46" t="s">
        <v>407</v>
      </c>
      <c r="D43" s="99" t="s">
        <v>8</v>
      </c>
      <c r="E43" s="308" t="s">
        <v>2360</v>
      </c>
      <c r="F43" s="29" t="s">
        <v>1915</v>
      </c>
      <c r="G43" s="308">
        <v>81897710001</v>
      </c>
      <c r="H43" s="322">
        <v>888.61695652173921</v>
      </c>
      <c r="I43" s="400">
        <f t="shared" si="0"/>
        <v>888.61695652173921</v>
      </c>
    </row>
    <row r="44" spans="1:9" x14ac:dyDescent="0.25">
      <c r="A44" s="403" t="s">
        <v>408</v>
      </c>
      <c r="B44" s="29">
        <v>1</v>
      </c>
      <c r="C44" s="46" t="s">
        <v>409</v>
      </c>
      <c r="D44" s="99" t="s">
        <v>8</v>
      </c>
      <c r="E44" s="308" t="s">
        <v>2361</v>
      </c>
      <c r="F44" s="29" t="s">
        <v>1914</v>
      </c>
      <c r="G44" s="308">
        <v>81897710001</v>
      </c>
      <c r="H44" s="322">
        <v>888.61695652173921</v>
      </c>
      <c r="I44" s="400">
        <f t="shared" si="0"/>
        <v>888.61695652173921</v>
      </c>
    </row>
    <row r="45" spans="1:9" x14ac:dyDescent="0.25">
      <c r="A45" s="403" t="s">
        <v>410</v>
      </c>
      <c r="B45" s="29">
        <v>1</v>
      </c>
      <c r="C45" s="46" t="s">
        <v>411</v>
      </c>
      <c r="D45" s="99" t="s">
        <v>8</v>
      </c>
      <c r="E45" s="308" t="s">
        <v>2362</v>
      </c>
      <c r="F45" s="29" t="s">
        <v>1916</v>
      </c>
      <c r="G45" s="308">
        <v>81897710001</v>
      </c>
      <c r="H45" s="322">
        <v>743.51543478260862</v>
      </c>
      <c r="I45" s="400">
        <f t="shared" si="0"/>
        <v>743.51543478260862</v>
      </c>
    </row>
    <row r="46" spans="1:9" x14ac:dyDescent="0.25">
      <c r="A46" s="403" t="s">
        <v>412</v>
      </c>
      <c r="B46" s="29">
        <v>1</v>
      </c>
      <c r="C46" s="46" t="s">
        <v>413</v>
      </c>
      <c r="D46" s="99" t="s">
        <v>8</v>
      </c>
      <c r="E46" s="308" t="s">
        <v>2363</v>
      </c>
      <c r="F46" s="29" t="s">
        <v>1917</v>
      </c>
      <c r="G46" s="308">
        <v>81897710001</v>
      </c>
      <c r="H46" s="322">
        <v>743.51543478260862</v>
      </c>
      <c r="I46" s="400">
        <f t="shared" si="0"/>
        <v>743.51543478260862</v>
      </c>
    </row>
    <row r="47" spans="1:9" x14ac:dyDescent="0.25">
      <c r="A47" s="402" t="s">
        <v>414</v>
      </c>
      <c r="B47" s="54">
        <v>1</v>
      </c>
      <c r="C47" s="274">
        <v>15216</v>
      </c>
      <c r="D47" s="64" t="s">
        <v>146</v>
      </c>
      <c r="E47" s="308" t="s">
        <v>2364</v>
      </c>
      <c r="F47" s="54" t="s">
        <v>1918</v>
      </c>
      <c r="G47" s="308">
        <v>81897710001</v>
      </c>
      <c r="H47" s="322">
        <v>715.81108695652188</v>
      </c>
      <c r="I47" s="400">
        <f t="shared" si="0"/>
        <v>715.81108695652188</v>
      </c>
    </row>
    <row r="48" spans="1:9" x14ac:dyDescent="0.25">
      <c r="A48" s="403" t="s">
        <v>379</v>
      </c>
      <c r="B48" s="29">
        <v>1</v>
      </c>
      <c r="C48" s="46" t="s">
        <v>380</v>
      </c>
      <c r="D48" s="99" t="s">
        <v>8</v>
      </c>
      <c r="E48" s="308" t="s">
        <v>2365</v>
      </c>
      <c r="F48" s="29" t="s">
        <v>2021</v>
      </c>
      <c r="G48" s="308">
        <v>81897710001</v>
      </c>
      <c r="H48" s="322">
        <v>819.35608695652172</v>
      </c>
      <c r="I48" s="400">
        <f t="shared" si="0"/>
        <v>819.35608695652172</v>
      </c>
    </row>
    <row r="49" spans="1:9" x14ac:dyDescent="0.25">
      <c r="A49" s="402" t="s">
        <v>377</v>
      </c>
      <c r="B49" s="54">
        <v>1</v>
      </c>
      <c r="C49" s="65" t="s">
        <v>378</v>
      </c>
      <c r="D49" s="64" t="s">
        <v>10</v>
      </c>
      <c r="E49" s="308" t="s">
        <v>2366</v>
      </c>
      <c r="F49" s="54" t="s">
        <v>1943</v>
      </c>
      <c r="G49" s="308">
        <v>81897710023</v>
      </c>
      <c r="H49" s="322">
        <v>272.54152173913042</v>
      </c>
      <c r="I49" s="400">
        <f t="shared" si="0"/>
        <v>272.54152173913042</v>
      </c>
    </row>
    <row r="50" spans="1:9" x14ac:dyDescent="0.25">
      <c r="A50" s="403" t="s">
        <v>415</v>
      </c>
      <c r="B50" s="29">
        <v>1</v>
      </c>
      <c r="C50" s="46" t="s">
        <v>416</v>
      </c>
      <c r="D50" s="99" t="s">
        <v>8</v>
      </c>
      <c r="E50" s="308" t="s">
        <v>2367</v>
      </c>
      <c r="F50" s="117" t="s">
        <v>1946</v>
      </c>
      <c r="G50" s="308">
        <v>81897710018</v>
      </c>
      <c r="H50" s="322">
        <v>223.02</v>
      </c>
      <c r="I50" s="400">
        <f t="shared" si="0"/>
        <v>223.02</v>
      </c>
    </row>
    <row r="51" spans="1:9" x14ac:dyDescent="0.25">
      <c r="A51" s="403" t="s">
        <v>417</v>
      </c>
      <c r="B51" s="29">
        <v>1</v>
      </c>
      <c r="C51" s="46" t="s">
        <v>418</v>
      </c>
      <c r="D51" s="99" t="s">
        <v>8</v>
      </c>
      <c r="E51" s="308" t="s">
        <v>2367</v>
      </c>
      <c r="F51" s="29" t="s">
        <v>1947</v>
      </c>
      <c r="G51" s="308">
        <v>81897710018</v>
      </c>
      <c r="H51" s="322">
        <v>223.02</v>
      </c>
      <c r="I51" s="400">
        <f t="shared" si="0"/>
        <v>223.02</v>
      </c>
    </row>
    <row r="52" spans="1:9" x14ac:dyDescent="0.25">
      <c r="A52" s="403" t="s">
        <v>371</v>
      </c>
      <c r="B52" s="29">
        <v>1</v>
      </c>
      <c r="C52" s="46" t="s">
        <v>372</v>
      </c>
      <c r="D52" s="99" t="s">
        <v>8</v>
      </c>
      <c r="E52" s="308" t="s">
        <v>371</v>
      </c>
      <c r="F52" s="29" t="s">
        <v>2089</v>
      </c>
      <c r="G52" s="308">
        <v>80476380011</v>
      </c>
      <c r="H52" s="322">
        <v>1467.391304347826</v>
      </c>
      <c r="I52" s="400">
        <f t="shared" si="0"/>
        <v>1467.391304347826</v>
      </c>
    </row>
    <row r="53" spans="1:9" x14ac:dyDescent="0.25">
      <c r="A53" s="403" t="s">
        <v>373</v>
      </c>
      <c r="B53" s="29">
        <v>1</v>
      </c>
      <c r="C53" s="46" t="s">
        <v>374</v>
      </c>
      <c r="D53" s="99" t="s">
        <v>8</v>
      </c>
      <c r="E53" s="308" t="s">
        <v>373</v>
      </c>
      <c r="F53" s="29" t="s">
        <v>2090</v>
      </c>
      <c r="G53" s="308" t="e">
        <v>#N/A</v>
      </c>
      <c r="H53" s="322">
        <v>0</v>
      </c>
      <c r="I53" s="400">
        <f t="shared" si="0"/>
        <v>0</v>
      </c>
    </row>
    <row r="54" spans="1:9" x14ac:dyDescent="0.25">
      <c r="A54" s="5" t="s">
        <v>375</v>
      </c>
      <c r="B54" s="29">
        <v>1</v>
      </c>
      <c r="C54" s="46" t="s">
        <v>376</v>
      </c>
      <c r="D54" s="99" t="s">
        <v>8</v>
      </c>
      <c r="E54" s="308" t="s">
        <v>2368</v>
      </c>
      <c r="F54" s="29" t="s">
        <v>1833</v>
      </c>
      <c r="G54" s="308">
        <v>81897710017</v>
      </c>
      <c r="H54" s="322">
        <v>210.89934782608697</v>
      </c>
      <c r="I54" s="400">
        <f t="shared" si="0"/>
        <v>210.89934782608697</v>
      </c>
    </row>
    <row r="55" spans="1:9" x14ac:dyDescent="0.25">
      <c r="C55" s="26"/>
      <c r="D55" s="26"/>
      <c r="I55" s="324">
        <f>SUM(I2:I54)</f>
        <v>28397.586782608701</v>
      </c>
    </row>
  </sheetData>
  <autoFilter ref="A1:D54" xr:uid="{D91C9A41-0CC2-4E6F-BB01-5C44DD9704CC}"/>
  <sortState xmlns:xlrd2="http://schemas.microsoft.com/office/spreadsheetml/2017/richdata2" ref="A2:D55">
    <sortCondition ref="A1:A5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A3CDF-0A2C-4C21-99E7-7C8026E28FE5}">
  <sheetPr codeName="Planilha6">
    <tabColor rgb="FFFF0000"/>
  </sheetPr>
  <dimension ref="A1:H15"/>
  <sheetViews>
    <sheetView workbookViewId="0">
      <pane ySplit="1" topLeftCell="A2" activePane="bottomLeft" state="frozen"/>
      <selection activeCell="A53" sqref="A53"/>
      <selection pane="bottomLeft" activeCell="A53" sqref="A53"/>
    </sheetView>
  </sheetViews>
  <sheetFormatPr defaultColWidth="16.5703125" defaultRowHeight="15" x14ac:dyDescent="0.25"/>
  <cols>
    <col min="1" max="1" width="43.28515625" bestFit="1" customWidth="1"/>
    <col min="2" max="2" width="23.7109375" bestFit="1" customWidth="1"/>
    <col min="3" max="3" width="15.28515625" bestFit="1" customWidth="1"/>
    <col min="4" max="4" width="21.28515625" bestFit="1" customWidth="1"/>
    <col min="5" max="5" width="12.140625" bestFit="1" customWidth="1"/>
    <col min="6" max="6" width="12.5703125" bestFit="1" customWidth="1"/>
    <col min="7" max="7" width="7.85546875" bestFit="1" customWidth="1"/>
    <col min="8" max="8" width="16.7109375" bestFit="1" customWidth="1"/>
  </cols>
  <sheetData>
    <row r="1" spans="1:8" ht="15.75" x14ac:dyDescent="0.25">
      <c r="A1" s="32" t="s">
        <v>0</v>
      </c>
      <c r="B1" s="33" t="s">
        <v>451</v>
      </c>
      <c r="C1" s="198" t="s">
        <v>2</v>
      </c>
      <c r="D1" s="197" t="s">
        <v>1721</v>
      </c>
      <c r="E1" s="194" t="s">
        <v>1723</v>
      </c>
      <c r="F1" s="194" t="s">
        <v>1724</v>
      </c>
      <c r="G1" s="194" t="s">
        <v>1722</v>
      </c>
      <c r="H1" s="194" t="s">
        <v>1725</v>
      </c>
    </row>
    <row r="2" spans="1:8" x14ac:dyDescent="0.25">
      <c r="A2" s="18" t="s">
        <v>452</v>
      </c>
      <c r="B2" s="34">
        <v>1</v>
      </c>
      <c r="C2" s="118">
        <v>662845</v>
      </c>
      <c r="D2" s="99" t="s">
        <v>314</v>
      </c>
      <c r="E2" s="195"/>
      <c r="F2" s="195"/>
      <c r="G2" s="195"/>
      <c r="H2" s="195"/>
    </row>
    <row r="3" spans="1:8" x14ac:dyDescent="0.25">
      <c r="A3" s="18" t="s">
        <v>453</v>
      </c>
      <c r="B3" s="34">
        <v>1</v>
      </c>
      <c r="C3" s="199" t="s">
        <v>454</v>
      </c>
      <c r="D3" s="99" t="s">
        <v>455</v>
      </c>
      <c r="E3" s="195"/>
      <c r="F3" s="195"/>
      <c r="G3" s="195"/>
      <c r="H3" s="195"/>
    </row>
    <row r="4" spans="1:8" x14ac:dyDescent="0.25">
      <c r="A4" s="18" t="s">
        <v>456</v>
      </c>
      <c r="B4" s="34">
        <v>1</v>
      </c>
      <c r="C4" s="199" t="s">
        <v>457</v>
      </c>
      <c r="D4" s="99" t="s">
        <v>455</v>
      </c>
      <c r="E4" s="195"/>
      <c r="F4" s="195"/>
      <c r="G4" s="195"/>
      <c r="H4" s="195"/>
    </row>
    <row r="5" spans="1:8" x14ac:dyDescent="0.25">
      <c r="A5" s="18" t="s">
        <v>458</v>
      </c>
      <c r="B5" s="34">
        <v>1</v>
      </c>
      <c r="C5" s="200" t="s">
        <v>459</v>
      </c>
      <c r="D5" s="99" t="s">
        <v>455</v>
      </c>
      <c r="E5" s="195"/>
      <c r="F5" s="195"/>
      <c r="G5" s="195"/>
      <c r="H5" s="195"/>
    </row>
    <row r="6" spans="1:8" x14ac:dyDescent="0.25">
      <c r="A6" s="18" t="s">
        <v>460</v>
      </c>
      <c r="B6" s="34">
        <v>1</v>
      </c>
      <c r="C6" s="200" t="s">
        <v>461</v>
      </c>
      <c r="D6" s="99" t="s">
        <v>455</v>
      </c>
      <c r="E6" s="195"/>
      <c r="F6" s="195"/>
      <c r="G6" s="195"/>
      <c r="H6" s="195"/>
    </row>
    <row r="7" spans="1:8" x14ac:dyDescent="0.25">
      <c r="A7" s="18" t="s">
        <v>462</v>
      </c>
      <c r="B7" s="34">
        <v>1</v>
      </c>
      <c r="C7" s="200" t="s">
        <v>463</v>
      </c>
      <c r="D7" s="99" t="s">
        <v>455</v>
      </c>
      <c r="E7" s="195"/>
      <c r="F7" s="195"/>
      <c r="G7" s="195"/>
      <c r="H7" s="195"/>
    </row>
    <row r="8" spans="1:8" x14ac:dyDescent="0.25">
      <c r="A8" s="18" t="s">
        <v>464</v>
      </c>
      <c r="B8" s="34">
        <v>1</v>
      </c>
      <c r="C8" s="200" t="s">
        <v>465</v>
      </c>
      <c r="D8" s="99" t="s">
        <v>455</v>
      </c>
      <c r="E8" s="195"/>
      <c r="F8" s="195"/>
      <c r="G8" s="195"/>
      <c r="H8" s="195"/>
    </row>
    <row r="9" spans="1:8" x14ac:dyDescent="0.25">
      <c r="A9" s="18" t="s">
        <v>466</v>
      </c>
      <c r="B9" s="34">
        <v>1</v>
      </c>
      <c r="C9" s="200" t="s">
        <v>467</v>
      </c>
      <c r="D9" s="99" t="s">
        <v>455</v>
      </c>
      <c r="E9" s="195"/>
      <c r="F9" s="195"/>
      <c r="G9" s="195"/>
      <c r="H9" s="195"/>
    </row>
    <row r="10" spans="1:8" x14ac:dyDescent="0.25">
      <c r="A10" s="18" t="s">
        <v>468</v>
      </c>
      <c r="B10" s="34">
        <v>1</v>
      </c>
      <c r="C10" s="200" t="s">
        <v>463</v>
      </c>
      <c r="D10" s="99" t="s">
        <v>455</v>
      </c>
      <c r="E10" s="195"/>
      <c r="F10" s="195"/>
      <c r="G10" s="195"/>
      <c r="H10" s="195"/>
    </row>
    <row r="11" spans="1:8" x14ac:dyDescent="0.25">
      <c r="A11" s="18" t="s">
        <v>469</v>
      </c>
      <c r="B11" s="34">
        <v>1</v>
      </c>
      <c r="C11" s="200" t="s">
        <v>470</v>
      </c>
      <c r="D11" s="99" t="s">
        <v>455</v>
      </c>
      <c r="E11" s="195"/>
      <c r="F11" s="195"/>
      <c r="G11" s="195"/>
      <c r="H11" s="195"/>
    </row>
    <row r="12" spans="1:8" x14ac:dyDescent="0.25">
      <c r="A12" s="18" t="s">
        <v>471</v>
      </c>
      <c r="B12" s="34">
        <v>1</v>
      </c>
      <c r="C12" s="200" t="s">
        <v>470</v>
      </c>
      <c r="D12" s="99" t="s">
        <v>455</v>
      </c>
      <c r="E12" s="195"/>
      <c r="F12" s="195"/>
      <c r="G12" s="195"/>
      <c r="H12" s="195"/>
    </row>
    <row r="13" spans="1:8" x14ac:dyDescent="0.25">
      <c r="A13" s="18" t="s">
        <v>472</v>
      </c>
      <c r="B13" s="34">
        <v>1</v>
      </c>
      <c r="C13" s="200" t="s">
        <v>467</v>
      </c>
      <c r="D13" s="99" t="s">
        <v>455</v>
      </c>
      <c r="E13" s="195"/>
      <c r="F13" s="195"/>
      <c r="G13" s="195"/>
      <c r="H13" s="195"/>
    </row>
    <row r="14" spans="1:8" x14ac:dyDescent="0.25">
      <c r="A14" s="66" t="s">
        <v>473</v>
      </c>
      <c r="B14" s="58">
        <v>1</v>
      </c>
      <c r="C14" s="201" t="s">
        <v>474</v>
      </c>
      <c r="D14" s="64" t="s">
        <v>455</v>
      </c>
      <c r="E14" s="195"/>
      <c r="F14" s="195"/>
      <c r="G14" s="195"/>
      <c r="H14" s="195"/>
    </row>
    <row r="15" spans="1:8" x14ac:dyDescent="0.25">
      <c r="A15" s="18" t="s">
        <v>475</v>
      </c>
      <c r="B15" s="34">
        <v>1</v>
      </c>
      <c r="C15" s="200" t="s">
        <v>476</v>
      </c>
      <c r="D15" s="99" t="s">
        <v>455</v>
      </c>
      <c r="E15" s="195"/>
      <c r="F15" s="195"/>
      <c r="G15" s="195"/>
      <c r="H15" s="19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D7DF9-87B5-4FED-8531-AD7822529917}">
  <sheetPr codeName="Planilha7">
    <tabColor rgb="FFFF0000"/>
  </sheetPr>
  <dimension ref="A1:G3"/>
  <sheetViews>
    <sheetView workbookViewId="0">
      <pane ySplit="1" topLeftCell="A2" activePane="bottomLeft" state="frozen"/>
      <selection activeCell="A53" sqref="A53"/>
      <selection pane="bottomLeft" activeCell="A53" sqref="A53"/>
    </sheetView>
  </sheetViews>
  <sheetFormatPr defaultRowHeight="15" x14ac:dyDescent="0.25"/>
  <cols>
    <col min="1" max="1" width="17" bestFit="1" customWidth="1"/>
    <col min="2" max="2" width="11" bestFit="1" customWidth="1"/>
    <col min="3" max="3" width="21.28515625" bestFit="1" customWidth="1"/>
    <col min="4" max="4" width="12.140625" bestFit="1" customWidth="1"/>
    <col min="5" max="5" width="12.5703125" bestFit="1" customWidth="1"/>
    <col min="6" max="6" width="7.85546875" bestFit="1" customWidth="1"/>
    <col min="7" max="7" width="16.7109375" bestFit="1" customWidth="1"/>
  </cols>
  <sheetData>
    <row r="1" spans="1:7" ht="31.5" x14ac:dyDescent="0.25">
      <c r="A1" s="90" t="s">
        <v>0</v>
      </c>
      <c r="B1" s="83" t="s">
        <v>2</v>
      </c>
      <c r="C1" s="202" t="s">
        <v>1721</v>
      </c>
      <c r="D1" s="194" t="s">
        <v>1723</v>
      </c>
      <c r="E1" s="194" t="s">
        <v>1724</v>
      </c>
      <c r="F1" s="194" t="s">
        <v>1722</v>
      </c>
      <c r="G1" s="194" t="s">
        <v>1725</v>
      </c>
    </row>
    <row r="2" spans="1:7" x14ac:dyDescent="0.25">
      <c r="A2" s="21" t="s">
        <v>477</v>
      </c>
      <c r="B2" s="49" t="s">
        <v>478</v>
      </c>
      <c r="C2" s="118" t="s">
        <v>455</v>
      </c>
      <c r="D2" s="195"/>
      <c r="E2" s="195"/>
      <c r="F2" s="195"/>
      <c r="G2" s="195"/>
    </row>
    <row r="3" spans="1:7" x14ac:dyDescent="0.25">
      <c r="A3" s="21" t="s">
        <v>479</v>
      </c>
      <c r="B3" s="49" t="s">
        <v>480</v>
      </c>
      <c r="C3" s="118" t="s">
        <v>455</v>
      </c>
      <c r="D3" s="195"/>
      <c r="E3" s="195"/>
      <c r="F3" s="195"/>
      <c r="G3" s="19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341C4-8236-40AF-93C6-53B85FF6771E}">
  <sheetPr codeName="Planilha8">
    <tabColor theme="9"/>
  </sheetPr>
  <dimension ref="A1:I13"/>
  <sheetViews>
    <sheetView workbookViewId="0">
      <pane ySplit="1" topLeftCell="A2" activePane="bottomLeft" state="frozen"/>
      <selection activeCell="A53" sqref="A53"/>
      <selection pane="bottomLeft" activeCell="G2" sqref="G2"/>
    </sheetView>
  </sheetViews>
  <sheetFormatPr defaultRowHeight="15" x14ac:dyDescent="0.25"/>
  <cols>
    <col min="1" max="1" width="32.140625" customWidth="1"/>
    <col min="2" max="2" width="16.85546875" customWidth="1"/>
    <col min="3" max="3" width="15.5703125" style="40" customWidth="1"/>
    <col min="4" max="4" width="21.28515625" style="40" bestFit="1" customWidth="1"/>
    <col min="5" max="5" width="17.7109375" customWidth="1"/>
    <col min="6" max="6" width="12.5703125" style="40" bestFit="1" customWidth="1"/>
    <col min="7" max="7" width="13" customWidth="1"/>
    <col min="8" max="8" width="16.7109375" style="388" bestFit="1" customWidth="1"/>
    <col min="9" max="9" width="13" customWidth="1"/>
  </cols>
  <sheetData>
    <row r="1" spans="1:9" ht="18" customHeight="1" x14ac:dyDescent="0.25">
      <c r="A1" s="90" t="s">
        <v>0</v>
      </c>
      <c r="B1" s="91" t="s">
        <v>305</v>
      </c>
      <c r="C1" s="116" t="s">
        <v>2</v>
      </c>
      <c r="D1" s="197" t="s">
        <v>1721</v>
      </c>
      <c r="E1" s="194" t="s">
        <v>1723</v>
      </c>
      <c r="F1" s="194" t="s">
        <v>1724</v>
      </c>
      <c r="G1" s="194" t="s">
        <v>1722</v>
      </c>
      <c r="H1" s="321" t="s">
        <v>1725</v>
      </c>
      <c r="I1" s="194" t="s">
        <v>2317</v>
      </c>
    </row>
    <row r="2" spans="1:9" x14ac:dyDescent="0.25">
      <c r="A2" s="406" t="s">
        <v>481</v>
      </c>
      <c r="B2" s="36">
        <v>1</v>
      </c>
      <c r="C2" s="317">
        <v>662550</v>
      </c>
      <c r="D2" s="318" t="s">
        <v>314</v>
      </c>
      <c r="E2" s="195" t="s">
        <v>2653</v>
      </c>
      <c r="F2" s="308" t="s">
        <v>2322</v>
      </c>
      <c r="G2" s="308" t="s">
        <v>2336</v>
      </c>
      <c r="H2" s="400">
        <v>2378.3413043478263</v>
      </c>
      <c r="I2" s="322">
        <f>H2*B2</f>
        <v>2378.3413043478263</v>
      </c>
    </row>
    <row r="3" spans="1:9" x14ac:dyDescent="0.25">
      <c r="A3" s="21" t="s">
        <v>498</v>
      </c>
      <c r="B3" s="36">
        <v>1</v>
      </c>
      <c r="C3" s="319" t="s">
        <v>499</v>
      </c>
      <c r="D3" s="318" t="s">
        <v>10</v>
      </c>
      <c r="E3" s="195" t="s">
        <v>2369</v>
      </c>
      <c r="F3" s="405" t="s">
        <v>1770</v>
      </c>
      <c r="G3" s="195">
        <v>81897710001</v>
      </c>
      <c r="H3" s="400">
        <v>908.70260869565232</v>
      </c>
      <c r="I3" s="322">
        <f t="shared" ref="I3:I12" si="0">H3*B3</f>
        <v>908.70260869565232</v>
      </c>
    </row>
    <row r="4" spans="1:9" x14ac:dyDescent="0.25">
      <c r="A4" s="21" t="s">
        <v>488</v>
      </c>
      <c r="B4" s="36">
        <v>1</v>
      </c>
      <c r="C4" s="320" t="s">
        <v>489</v>
      </c>
      <c r="D4" s="318" t="s">
        <v>10</v>
      </c>
      <c r="E4" s="195" t="s">
        <v>2370</v>
      </c>
      <c r="F4" s="405" t="s">
        <v>1769</v>
      </c>
      <c r="G4" s="195">
        <v>81897710001</v>
      </c>
      <c r="H4" s="400">
        <v>798.57782608695652</v>
      </c>
      <c r="I4" s="322">
        <f t="shared" si="0"/>
        <v>798.57782608695652</v>
      </c>
    </row>
    <row r="5" spans="1:9" x14ac:dyDescent="0.25">
      <c r="A5" s="21" t="s">
        <v>496</v>
      </c>
      <c r="B5" s="36">
        <v>1</v>
      </c>
      <c r="C5" s="319" t="s">
        <v>497</v>
      </c>
      <c r="D5" s="318" t="s">
        <v>10</v>
      </c>
      <c r="E5" s="195" t="s">
        <v>2371</v>
      </c>
      <c r="F5" s="405" t="s">
        <v>1771</v>
      </c>
      <c r="G5" s="195">
        <v>81897710001</v>
      </c>
      <c r="H5" s="400">
        <v>825.93586956521744</v>
      </c>
      <c r="I5" s="322">
        <f t="shared" si="0"/>
        <v>825.93586956521744</v>
      </c>
    </row>
    <row r="6" spans="1:9" x14ac:dyDescent="0.25">
      <c r="A6" s="21" t="s">
        <v>496</v>
      </c>
      <c r="B6" s="36">
        <v>1</v>
      </c>
      <c r="C6" s="319" t="s">
        <v>500</v>
      </c>
      <c r="D6" s="318" t="s">
        <v>10</v>
      </c>
      <c r="E6" s="195" t="s">
        <v>2372</v>
      </c>
      <c r="F6" s="405" t="s">
        <v>1772</v>
      </c>
      <c r="G6" s="195">
        <v>81897710001</v>
      </c>
      <c r="H6" s="400">
        <v>1046.1854347826088</v>
      </c>
      <c r="I6" s="322">
        <f t="shared" si="0"/>
        <v>1046.1854347826088</v>
      </c>
    </row>
    <row r="7" spans="1:9" x14ac:dyDescent="0.25">
      <c r="A7" s="21" t="s">
        <v>494</v>
      </c>
      <c r="B7" s="36">
        <v>1</v>
      </c>
      <c r="C7" s="319" t="s">
        <v>495</v>
      </c>
      <c r="D7" s="318" t="s">
        <v>10</v>
      </c>
      <c r="E7" s="195" t="s">
        <v>2369</v>
      </c>
      <c r="F7" s="405" t="s">
        <v>1773</v>
      </c>
      <c r="G7" s="195">
        <v>81897710001</v>
      </c>
      <c r="H7" s="400">
        <v>880.99826086956534</v>
      </c>
      <c r="I7" s="322">
        <f t="shared" si="0"/>
        <v>880.99826086956534</v>
      </c>
    </row>
    <row r="8" spans="1:9" x14ac:dyDescent="0.25">
      <c r="A8" s="21" t="s">
        <v>492</v>
      </c>
      <c r="B8" s="36">
        <v>1</v>
      </c>
      <c r="C8" s="320" t="s">
        <v>493</v>
      </c>
      <c r="D8" s="318" t="s">
        <v>10</v>
      </c>
      <c r="E8" s="195" t="s">
        <v>2371</v>
      </c>
      <c r="F8" s="405" t="s">
        <v>1774</v>
      </c>
      <c r="G8" s="195">
        <v>81897710001</v>
      </c>
      <c r="H8" s="400">
        <v>825.93586956521744</v>
      </c>
      <c r="I8" s="322">
        <f t="shared" si="0"/>
        <v>825.93586956521744</v>
      </c>
    </row>
    <row r="9" spans="1:9" x14ac:dyDescent="0.25">
      <c r="A9" s="21" t="s">
        <v>490</v>
      </c>
      <c r="B9" s="36">
        <v>2</v>
      </c>
      <c r="C9" s="320" t="s">
        <v>491</v>
      </c>
      <c r="D9" s="318" t="s">
        <v>10</v>
      </c>
      <c r="E9" s="195" t="s">
        <v>2370</v>
      </c>
      <c r="F9" s="405" t="s">
        <v>1769</v>
      </c>
      <c r="G9" s="195">
        <v>81897710001</v>
      </c>
      <c r="H9" s="400">
        <v>798.57782608695652</v>
      </c>
      <c r="I9" s="322">
        <f t="shared" si="0"/>
        <v>1597.155652173913</v>
      </c>
    </row>
    <row r="10" spans="1:9" x14ac:dyDescent="0.25">
      <c r="A10" s="21" t="s">
        <v>484</v>
      </c>
      <c r="B10" s="36">
        <v>1</v>
      </c>
      <c r="C10" s="320" t="s">
        <v>485</v>
      </c>
      <c r="D10" s="318" t="s">
        <v>10</v>
      </c>
      <c r="E10" s="195" t="s">
        <v>2373</v>
      </c>
      <c r="F10" s="405" t="s">
        <v>1775</v>
      </c>
      <c r="G10" s="195">
        <v>81897710001</v>
      </c>
      <c r="H10" s="400">
        <v>743.51543478260862</v>
      </c>
      <c r="I10" s="322">
        <f t="shared" si="0"/>
        <v>743.51543478260862</v>
      </c>
    </row>
    <row r="11" spans="1:9" x14ac:dyDescent="0.25">
      <c r="A11" s="21" t="s">
        <v>482</v>
      </c>
      <c r="B11" s="36">
        <v>1</v>
      </c>
      <c r="C11" s="320" t="s">
        <v>483</v>
      </c>
      <c r="D11" s="318" t="s">
        <v>10</v>
      </c>
      <c r="E11" s="195" t="s">
        <v>2374</v>
      </c>
      <c r="F11" s="405" t="s">
        <v>1776</v>
      </c>
      <c r="G11" s="195">
        <v>81897710001</v>
      </c>
      <c r="H11" s="400">
        <v>743.51543478260862</v>
      </c>
      <c r="I11" s="322">
        <f t="shared" si="0"/>
        <v>743.51543478260862</v>
      </c>
    </row>
    <row r="12" spans="1:9" x14ac:dyDescent="0.25">
      <c r="A12" s="21" t="s">
        <v>486</v>
      </c>
      <c r="B12" s="36">
        <v>1</v>
      </c>
      <c r="C12" s="320" t="s">
        <v>487</v>
      </c>
      <c r="D12" s="318" t="s">
        <v>10</v>
      </c>
      <c r="E12" s="195" t="s">
        <v>2375</v>
      </c>
      <c r="F12" s="405" t="s">
        <v>1779</v>
      </c>
      <c r="G12" s="195">
        <v>81897710001</v>
      </c>
      <c r="H12" s="400">
        <v>688.45304347826095</v>
      </c>
      <c r="I12" s="322">
        <f t="shared" si="0"/>
        <v>688.45304347826095</v>
      </c>
    </row>
    <row r="13" spans="1:9" x14ac:dyDescent="0.25">
      <c r="I13" s="324">
        <f>SUM(I2:I12)</f>
        <v>11437.316739130434</v>
      </c>
    </row>
  </sheetData>
  <sortState xmlns:xlrd2="http://schemas.microsoft.com/office/spreadsheetml/2017/richdata2" ref="A2:D12">
    <sortCondition ref="A1:A12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038B1-537E-4D67-ACA1-8AD73E718D5F}">
  <sheetPr codeName="Planilha9">
    <tabColor rgb="FFFF0000"/>
  </sheetPr>
  <dimension ref="A1:H9"/>
  <sheetViews>
    <sheetView workbookViewId="0">
      <pane ySplit="1" topLeftCell="A2" activePane="bottomLeft" state="frozen"/>
      <selection activeCell="A53" sqref="A53"/>
      <selection pane="bottomLeft" activeCell="A53" sqref="A53"/>
    </sheetView>
  </sheetViews>
  <sheetFormatPr defaultRowHeight="15" x14ac:dyDescent="0.25"/>
  <cols>
    <col min="1" max="1" width="36.5703125" customWidth="1"/>
    <col min="2" max="2" width="22.5703125" customWidth="1"/>
    <col min="3" max="3" width="14.7109375" customWidth="1"/>
    <col min="4" max="4" width="21.28515625" bestFit="1" customWidth="1"/>
    <col min="5" max="5" width="12.140625" bestFit="1" customWidth="1"/>
    <col min="6" max="6" width="12.5703125" bestFit="1" customWidth="1"/>
    <col min="7" max="7" width="7.85546875" bestFit="1" customWidth="1"/>
    <col min="8" max="8" width="16.7109375" bestFit="1" customWidth="1"/>
  </cols>
  <sheetData>
    <row r="1" spans="1:8" ht="15.75" x14ac:dyDescent="0.25">
      <c r="A1" s="84" t="s">
        <v>0</v>
      </c>
      <c r="B1" s="42" t="s">
        <v>305</v>
      </c>
      <c r="C1" s="85" t="s">
        <v>2</v>
      </c>
      <c r="D1" s="202" t="s">
        <v>1721</v>
      </c>
      <c r="E1" s="194" t="s">
        <v>1723</v>
      </c>
      <c r="F1" s="194" t="s">
        <v>1724</v>
      </c>
      <c r="G1" s="194" t="s">
        <v>1722</v>
      </c>
      <c r="H1" s="194" t="s">
        <v>1725</v>
      </c>
    </row>
    <row r="2" spans="1:8" x14ac:dyDescent="0.25">
      <c r="A2" s="8" t="s">
        <v>313</v>
      </c>
      <c r="B2" s="37">
        <v>1</v>
      </c>
      <c r="C2" s="46">
        <v>662250</v>
      </c>
      <c r="D2" s="118" t="s">
        <v>501</v>
      </c>
      <c r="E2" s="195"/>
      <c r="F2" s="195"/>
      <c r="G2" s="195"/>
      <c r="H2" s="195"/>
    </row>
    <row r="3" spans="1:8" x14ac:dyDescent="0.25">
      <c r="A3" s="8" t="s">
        <v>502</v>
      </c>
      <c r="B3" s="37">
        <v>1</v>
      </c>
      <c r="C3" s="154" t="s">
        <v>503</v>
      </c>
      <c r="D3" s="118" t="s">
        <v>162</v>
      </c>
      <c r="E3" s="195"/>
      <c r="F3" s="195"/>
      <c r="G3" s="195"/>
      <c r="H3" s="195"/>
    </row>
    <row r="4" spans="1:8" x14ac:dyDescent="0.25">
      <c r="A4" s="8" t="s">
        <v>504</v>
      </c>
      <c r="B4" s="37">
        <v>1</v>
      </c>
      <c r="C4" s="154" t="s">
        <v>505</v>
      </c>
      <c r="D4" s="118" t="s">
        <v>162</v>
      </c>
      <c r="E4" s="195"/>
      <c r="F4" s="195"/>
      <c r="G4" s="195"/>
      <c r="H4" s="195"/>
    </row>
    <row r="5" spans="1:8" x14ac:dyDescent="0.25">
      <c r="A5" s="50" t="s">
        <v>506</v>
      </c>
      <c r="B5" s="51">
        <v>1</v>
      </c>
      <c r="C5" s="155" t="s">
        <v>507</v>
      </c>
      <c r="D5" s="118" t="s">
        <v>162</v>
      </c>
      <c r="E5" s="195"/>
      <c r="F5" s="195"/>
      <c r="G5" s="195"/>
      <c r="H5" s="195"/>
    </row>
    <row r="6" spans="1:8" x14ac:dyDescent="0.25">
      <c r="A6" s="50" t="s">
        <v>508</v>
      </c>
      <c r="B6" s="51">
        <v>1</v>
      </c>
      <c r="C6" s="155" t="s">
        <v>509</v>
      </c>
      <c r="D6" s="118" t="s">
        <v>162</v>
      </c>
      <c r="E6" s="195"/>
      <c r="F6" s="195"/>
      <c r="G6" s="195"/>
      <c r="H6" s="195"/>
    </row>
    <row r="7" spans="1:8" x14ac:dyDescent="0.25">
      <c r="A7" s="8" t="s">
        <v>510</v>
      </c>
      <c r="B7" s="37">
        <v>1</v>
      </c>
      <c r="C7" s="154" t="s">
        <v>511</v>
      </c>
      <c r="D7" s="118" t="s">
        <v>162</v>
      </c>
      <c r="E7" s="195"/>
      <c r="F7" s="195"/>
      <c r="G7" s="195"/>
      <c r="H7" s="195"/>
    </row>
    <row r="8" spans="1:8" x14ac:dyDescent="0.25">
      <c r="A8" s="10" t="s">
        <v>512</v>
      </c>
      <c r="B8" s="37">
        <v>1</v>
      </c>
      <c r="C8" s="156" t="s">
        <v>513</v>
      </c>
      <c r="D8" s="118" t="s">
        <v>162</v>
      </c>
      <c r="E8" s="195"/>
      <c r="F8" s="195"/>
      <c r="G8" s="195"/>
      <c r="H8" s="195"/>
    </row>
    <row r="9" spans="1:8" x14ac:dyDescent="0.25">
      <c r="A9" s="11" t="s">
        <v>514</v>
      </c>
      <c r="B9" s="37">
        <v>1</v>
      </c>
      <c r="C9" s="154" t="s">
        <v>515</v>
      </c>
      <c r="D9" s="118" t="s">
        <v>162</v>
      </c>
      <c r="E9" s="195"/>
      <c r="F9" s="195"/>
      <c r="G9" s="195"/>
      <c r="H9" s="19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9C110-A879-444D-84C3-2CEB522C1D2C}">
  <sheetPr codeName="Planilha10">
    <tabColor rgb="FF92D050"/>
  </sheetPr>
  <dimension ref="A1:I17"/>
  <sheetViews>
    <sheetView workbookViewId="0">
      <pane ySplit="1" topLeftCell="A2" activePane="bottomLeft" state="frozen"/>
      <selection activeCell="A53" sqref="A53"/>
      <selection pane="bottomLeft" activeCell="E27" sqref="E27"/>
    </sheetView>
  </sheetViews>
  <sheetFormatPr defaultRowHeight="15" x14ac:dyDescent="0.25"/>
  <cols>
    <col min="1" max="1" width="37.28515625" bestFit="1" customWidth="1"/>
    <col min="2" max="2" width="18.28515625" bestFit="1" customWidth="1"/>
    <col min="3" max="3" width="11" bestFit="1" customWidth="1"/>
    <col min="4" max="4" width="21.28515625" bestFit="1" customWidth="1"/>
    <col min="5" max="5" width="22.7109375" customWidth="1"/>
    <col min="6" max="6" width="12.5703125" style="40" bestFit="1" customWidth="1"/>
    <col min="7" max="7" width="14.28515625" style="40" customWidth="1"/>
    <col min="8" max="8" width="16.7109375" style="324" bestFit="1" customWidth="1"/>
    <col min="9" max="9" width="14.28515625" customWidth="1"/>
  </cols>
  <sheetData>
    <row r="1" spans="1:9" ht="31.5" x14ac:dyDescent="0.25">
      <c r="A1" s="84" t="s">
        <v>0</v>
      </c>
      <c r="B1" s="42" t="s">
        <v>305</v>
      </c>
      <c r="C1" s="86" t="s">
        <v>2</v>
      </c>
      <c r="D1" s="197" t="s">
        <v>1721</v>
      </c>
      <c r="E1" s="194" t="s">
        <v>1723</v>
      </c>
      <c r="F1" s="194" t="s">
        <v>1724</v>
      </c>
      <c r="G1" s="194" t="s">
        <v>1722</v>
      </c>
      <c r="H1" s="321" t="s">
        <v>1725</v>
      </c>
      <c r="I1" s="194" t="s">
        <v>2317</v>
      </c>
    </row>
    <row r="2" spans="1:9" x14ac:dyDescent="0.25">
      <c r="A2" s="303" t="s">
        <v>313</v>
      </c>
      <c r="B2" s="30">
        <v>1</v>
      </c>
      <c r="C2" s="46">
        <v>662250</v>
      </c>
      <c r="D2" s="99" t="s">
        <v>501</v>
      </c>
      <c r="E2" s="195" t="s">
        <v>2653</v>
      </c>
      <c r="F2" s="359" t="s">
        <v>2322</v>
      </c>
      <c r="G2" s="308" t="s">
        <v>2336</v>
      </c>
      <c r="H2" s="322">
        <v>2378.3413043478263</v>
      </c>
      <c r="I2" s="322">
        <f>H2*B2</f>
        <v>2378.3413043478263</v>
      </c>
    </row>
    <row r="3" spans="1:9" x14ac:dyDescent="0.25">
      <c r="A3" s="303" t="s">
        <v>523</v>
      </c>
      <c r="B3" s="30">
        <v>2</v>
      </c>
      <c r="C3" s="46" t="s">
        <v>524</v>
      </c>
      <c r="D3" s="99" t="s">
        <v>8</v>
      </c>
      <c r="E3" s="308" t="s">
        <v>523</v>
      </c>
      <c r="F3" s="315" t="s">
        <v>2108</v>
      </c>
      <c r="G3" s="325">
        <v>80476380011</v>
      </c>
      <c r="H3" s="407">
        <v>3260.8695652173915</v>
      </c>
      <c r="I3" s="322">
        <f t="shared" ref="I3:I16" si="0">H3*B3</f>
        <v>6521.739130434783</v>
      </c>
    </row>
    <row r="4" spans="1:9" x14ac:dyDescent="0.25">
      <c r="A4" s="303" t="s">
        <v>526</v>
      </c>
      <c r="B4" s="30">
        <v>2</v>
      </c>
      <c r="C4" s="46" t="s">
        <v>39</v>
      </c>
      <c r="D4" s="99" t="s">
        <v>8</v>
      </c>
      <c r="E4" s="257" t="s">
        <v>2250</v>
      </c>
      <c r="F4" s="30" t="s">
        <v>1850</v>
      </c>
      <c r="G4" s="332">
        <v>81897710001</v>
      </c>
      <c r="H4" s="408">
        <v>277.04347826086962</v>
      </c>
      <c r="I4" s="322">
        <f t="shared" si="0"/>
        <v>554.08695652173924</v>
      </c>
    </row>
    <row r="5" spans="1:9" x14ac:dyDescent="0.25">
      <c r="A5" s="1" t="s">
        <v>525</v>
      </c>
      <c r="B5" s="30">
        <v>1</v>
      </c>
      <c r="C5" s="46" t="s">
        <v>53</v>
      </c>
      <c r="D5" s="99" t="s">
        <v>8</v>
      </c>
      <c r="E5" s="195" t="s">
        <v>2260</v>
      </c>
      <c r="F5" s="48" t="s">
        <v>1866</v>
      </c>
      <c r="G5" s="308">
        <v>81897710001</v>
      </c>
      <c r="H5" s="322">
        <v>545.08304347826083</v>
      </c>
      <c r="I5" s="322">
        <f t="shared" si="0"/>
        <v>545.08304347826083</v>
      </c>
    </row>
    <row r="6" spans="1:9" x14ac:dyDescent="0.25">
      <c r="A6" s="1" t="s">
        <v>527</v>
      </c>
      <c r="B6" s="30">
        <v>1</v>
      </c>
      <c r="C6" s="46" t="s">
        <v>252</v>
      </c>
      <c r="D6" s="99" t="s">
        <v>8</v>
      </c>
      <c r="E6" s="195" t="s">
        <v>2294</v>
      </c>
      <c r="F6" s="30" t="s">
        <v>1910</v>
      </c>
      <c r="G6" s="308">
        <v>81897710001</v>
      </c>
      <c r="H6" s="322">
        <v>221.28847826086957</v>
      </c>
      <c r="I6" s="322">
        <f t="shared" si="0"/>
        <v>221.28847826086957</v>
      </c>
    </row>
    <row r="7" spans="1:9" x14ac:dyDescent="0.25">
      <c r="A7" s="1" t="s">
        <v>528</v>
      </c>
      <c r="B7" s="30">
        <v>2</v>
      </c>
      <c r="C7" s="46" t="s">
        <v>529</v>
      </c>
      <c r="D7" s="99" t="s">
        <v>8</v>
      </c>
      <c r="E7" s="195" t="s">
        <v>2376</v>
      </c>
      <c r="F7" s="30" t="s">
        <v>2022</v>
      </c>
      <c r="G7" s="308">
        <v>81897710001</v>
      </c>
      <c r="H7" s="322">
        <v>221.28847826086957</v>
      </c>
      <c r="I7" s="322">
        <f t="shared" si="0"/>
        <v>442.57695652173913</v>
      </c>
    </row>
    <row r="8" spans="1:9" x14ac:dyDescent="0.25">
      <c r="A8" s="1" t="s">
        <v>530</v>
      </c>
      <c r="B8" s="30">
        <v>1</v>
      </c>
      <c r="C8" s="46" t="s">
        <v>531</v>
      </c>
      <c r="D8" s="99" t="s">
        <v>8</v>
      </c>
      <c r="E8" s="195" t="s">
        <v>2377</v>
      </c>
      <c r="F8" s="30" t="s">
        <v>1926</v>
      </c>
      <c r="G8" s="308">
        <v>81897710001</v>
      </c>
      <c r="H8" s="322">
        <v>1134.4930434782609</v>
      </c>
      <c r="I8" s="322">
        <f t="shared" si="0"/>
        <v>1134.4930434782609</v>
      </c>
    </row>
    <row r="9" spans="1:9" x14ac:dyDescent="0.25">
      <c r="A9" s="1" t="s">
        <v>95</v>
      </c>
      <c r="B9" s="30">
        <v>1</v>
      </c>
      <c r="C9" s="46" t="s">
        <v>350</v>
      </c>
      <c r="D9" s="99" t="s">
        <v>8</v>
      </c>
      <c r="E9" s="195" t="s">
        <v>2301</v>
      </c>
      <c r="F9" s="41" t="s">
        <v>1964</v>
      </c>
      <c r="G9" s="308">
        <v>81897710017</v>
      </c>
      <c r="H9" s="322">
        <v>130.2104347826087</v>
      </c>
      <c r="I9" s="322">
        <f t="shared" si="0"/>
        <v>130.2104347826087</v>
      </c>
    </row>
    <row r="10" spans="1:9" x14ac:dyDescent="0.25">
      <c r="A10" s="1" t="s">
        <v>97</v>
      </c>
      <c r="B10" s="30">
        <v>1</v>
      </c>
      <c r="C10" s="46" t="s">
        <v>516</v>
      </c>
      <c r="D10" s="99" t="s">
        <v>8</v>
      </c>
      <c r="E10" s="195" t="s">
        <v>2302</v>
      </c>
      <c r="F10" s="44" t="s">
        <v>1956</v>
      </c>
      <c r="G10" s="308">
        <v>81897710017</v>
      </c>
      <c r="H10" s="322">
        <v>126.74739130434781</v>
      </c>
      <c r="I10" s="322">
        <f t="shared" si="0"/>
        <v>126.74739130434781</v>
      </c>
    </row>
    <row r="11" spans="1:9" x14ac:dyDescent="0.25">
      <c r="A11" s="1" t="s">
        <v>519</v>
      </c>
      <c r="B11" s="30">
        <v>1</v>
      </c>
      <c r="C11" s="46" t="s">
        <v>520</v>
      </c>
      <c r="D11" s="99" t="s">
        <v>8</v>
      </c>
      <c r="E11" s="195" t="s">
        <v>2304</v>
      </c>
      <c r="F11" s="30" t="s">
        <v>1968</v>
      </c>
      <c r="G11" s="308">
        <v>81897710017</v>
      </c>
      <c r="H11" s="322">
        <v>171.42065217391303</v>
      </c>
      <c r="I11" s="322">
        <f t="shared" si="0"/>
        <v>171.42065217391303</v>
      </c>
    </row>
    <row r="12" spans="1:9" x14ac:dyDescent="0.25">
      <c r="A12" s="1" t="s">
        <v>517</v>
      </c>
      <c r="B12" s="30">
        <v>1</v>
      </c>
      <c r="C12" s="46" t="s">
        <v>518</v>
      </c>
      <c r="D12" s="99" t="s">
        <v>8</v>
      </c>
      <c r="E12" s="195" t="s">
        <v>2305</v>
      </c>
      <c r="F12" s="30" t="s">
        <v>1969</v>
      </c>
      <c r="G12" s="308">
        <v>81897710017</v>
      </c>
      <c r="H12" s="322">
        <v>197.04717391304348</v>
      </c>
      <c r="I12" s="322">
        <f t="shared" si="0"/>
        <v>197.04717391304348</v>
      </c>
    </row>
    <row r="13" spans="1:9" x14ac:dyDescent="0.25">
      <c r="A13" s="1" t="s">
        <v>521</v>
      </c>
      <c r="B13" s="30">
        <v>1</v>
      </c>
      <c r="C13" s="46" t="s">
        <v>522</v>
      </c>
      <c r="D13" s="99" t="s">
        <v>8</v>
      </c>
      <c r="E13" s="195" t="s">
        <v>2378</v>
      </c>
      <c r="F13" s="30" t="s">
        <v>1959</v>
      </c>
      <c r="G13" s="308">
        <v>81897710017</v>
      </c>
      <c r="H13" s="322">
        <v>1040.6445652173913</v>
      </c>
      <c r="I13" s="322">
        <f t="shared" si="0"/>
        <v>1040.6445652173913</v>
      </c>
    </row>
    <row r="14" spans="1:9" x14ac:dyDescent="0.25">
      <c r="A14" s="1" t="s">
        <v>532</v>
      </c>
      <c r="B14" s="30">
        <v>2</v>
      </c>
      <c r="C14" s="46" t="s">
        <v>533</v>
      </c>
      <c r="D14" s="99" t="s">
        <v>8</v>
      </c>
      <c r="E14" s="195" t="s">
        <v>2379</v>
      </c>
      <c r="F14" s="30" t="s">
        <v>1830</v>
      </c>
      <c r="G14" s="308">
        <v>81897710023</v>
      </c>
      <c r="H14" s="322">
        <v>433.91934782608689</v>
      </c>
      <c r="I14" s="322">
        <f t="shared" si="0"/>
        <v>867.83869565217378</v>
      </c>
    </row>
    <row r="15" spans="1:9" x14ac:dyDescent="0.25">
      <c r="A15" s="1" t="s">
        <v>534</v>
      </c>
      <c r="B15" s="30">
        <v>2</v>
      </c>
      <c r="C15" s="46" t="s">
        <v>535</v>
      </c>
      <c r="D15" s="99" t="s">
        <v>8</v>
      </c>
      <c r="E15" s="195" t="s">
        <v>2380</v>
      </c>
      <c r="F15" s="30" t="s">
        <v>1831</v>
      </c>
      <c r="G15" s="308">
        <v>81897710023</v>
      </c>
      <c r="H15" s="322">
        <v>476.86108695652172</v>
      </c>
      <c r="I15" s="322">
        <f t="shared" si="0"/>
        <v>953.72217391304343</v>
      </c>
    </row>
    <row r="16" spans="1:9" x14ac:dyDescent="0.25">
      <c r="A16" s="1" t="s">
        <v>536</v>
      </c>
      <c r="B16" s="30">
        <v>1</v>
      </c>
      <c r="C16" s="46" t="s">
        <v>535</v>
      </c>
      <c r="D16" s="99" t="s">
        <v>8</v>
      </c>
      <c r="E16" s="195" t="s">
        <v>2381</v>
      </c>
      <c r="F16" s="30" t="s">
        <v>1832</v>
      </c>
      <c r="G16" s="308">
        <v>81897710023</v>
      </c>
      <c r="H16" s="322">
        <v>487.25021739130437</v>
      </c>
      <c r="I16" s="322">
        <f t="shared" si="0"/>
        <v>487.25021739130437</v>
      </c>
    </row>
    <row r="17" spans="9:9" x14ac:dyDescent="0.25">
      <c r="I17" s="324">
        <f>SUM(I2:I16)</f>
        <v>15772.490217391301</v>
      </c>
    </row>
  </sheetData>
  <sortState xmlns:xlrd2="http://schemas.microsoft.com/office/spreadsheetml/2017/richdata2" ref="A2:D16">
    <sortCondition ref="A1:A16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3DC18-4092-4FC4-8E3D-CC7D1AF4652E}">
  <sheetPr codeName="Planilha11">
    <tabColor rgb="FF92D050"/>
  </sheetPr>
  <dimension ref="A1:I20"/>
  <sheetViews>
    <sheetView workbookViewId="0">
      <pane ySplit="1" topLeftCell="A2" activePane="bottomLeft" state="frozen"/>
      <selection activeCell="A53" sqref="A53"/>
      <selection pane="bottomLeft" activeCell="F25" sqref="F25"/>
    </sheetView>
  </sheetViews>
  <sheetFormatPr defaultRowHeight="15" x14ac:dyDescent="0.25"/>
  <cols>
    <col min="1" max="1" width="39.7109375" bestFit="1" customWidth="1"/>
    <col min="2" max="2" width="18.28515625" bestFit="1" customWidth="1"/>
    <col min="3" max="3" width="11" bestFit="1" customWidth="1"/>
    <col min="4" max="4" width="21.28515625" bestFit="1" customWidth="1"/>
    <col min="5" max="5" width="23.5703125" customWidth="1"/>
    <col min="6" max="6" width="12.5703125" style="40" bestFit="1" customWidth="1"/>
    <col min="7" max="7" width="16.28515625" customWidth="1"/>
    <col min="8" max="8" width="16.7109375" style="324" bestFit="1" customWidth="1"/>
    <col min="9" max="9" width="16.28515625" customWidth="1"/>
  </cols>
  <sheetData>
    <row r="1" spans="1:9" ht="18" customHeight="1" x14ac:dyDescent="0.25">
      <c r="A1" s="84" t="s">
        <v>0</v>
      </c>
      <c r="B1" s="42" t="s">
        <v>305</v>
      </c>
      <c r="C1" s="116" t="s">
        <v>360</v>
      </c>
      <c r="D1" s="197" t="s">
        <v>1721</v>
      </c>
      <c r="E1" s="194" t="s">
        <v>1723</v>
      </c>
      <c r="F1" s="194" t="s">
        <v>1724</v>
      </c>
      <c r="G1" s="194" t="s">
        <v>1722</v>
      </c>
      <c r="H1" s="321" t="s">
        <v>1725</v>
      </c>
      <c r="I1" s="194" t="s">
        <v>2317</v>
      </c>
    </row>
    <row r="2" spans="1:9" x14ac:dyDescent="0.25">
      <c r="A2" s="410" t="s">
        <v>313</v>
      </c>
      <c r="B2" s="38">
        <v>1</v>
      </c>
      <c r="C2" s="118">
        <v>662250</v>
      </c>
      <c r="D2" s="99" t="s">
        <v>501</v>
      </c>
      <c r="E2" s="195" t="s">
        <v>2653</v>
      </c>
      <c r="F2" s="359" t="s">
        <v>2322</v>
      </c>
      <c r="G2" s="409" t="s">
        <v>2336</v>
      </c>
      <c r="H2" s="322">
        <v>2378.3413043478263</v>
      </c>
      <c r="I2" s="411">
        <f>H2*B2</f>
        <v>2378.3413043478263</v>
      </c>
    </row>
    <row r="3" spans="1:9" x14ac:dyDescent="0.25">
      <c r="A3" s="414" t="s">
        <v>547</v>
      </c>
      <c r="B3" s="48">
        <v>1</v>
      </c>
      <c r="C3" s="65" t="s">
        <v>548</v>
      </c>
      <c r="D3" s="64" t="s">
        <v>10</v>
      </c>
      <c r="E3" s="195" t="s">
        <v>2382</v>
      </c>
      <c r="F3" s="61" t="s">
        <v>1788</v>
      </c>
      <c r="G3" s="409">
        <v>81897710018</v>
      </c>
      <c r="H3" s="322">
        <v>224.05891304347824</v>
      </c>
      <c r="I3" s="411">
        <f t="shared" ref="I3:I19" si="0">H3*B3</f>
        <v>224.05891304347824</v>
      </c>
    </row>
    <row r="4" spans="1:9" x14ac:dyDescent="0.25">
      <c r="A4" s="410" t="s">
        <v>539</v>
      </c>
      <c r="B4" s="30">
        <v>1</v>
      </c>
      <c r="C4" s="46" t="s">
        <v>540</v>
      </c>
      <c r="D4" s="99" t="s">
        <v>8</v>
      </c>
      <c r="E4" s="195" t="s">
        <v>2383</v>
      </c>
      <c r="F4" s="41" t="s">
        <v>1836</v>
      </c>
      <c r="G4" s="409">
        <v>81897710001</v>
      </c>
      <c r="H4" s="322">
        <v>338.68565217391301</v>
      </c>
      <c r="I4" s="411">
        <f t="shared" si="0"/>
        <v>338.68565217391301</v>
      </c>
    </row>
    <row r="5" spans="1:9" x14ac:dyDescent="0.25">
      <c r="A5" s="410" t="s">
        <v>541</v>
      </c>
      <c r="B5" s="30">
        <v>1</v>
      </c>
      <c r="C5" s="46" t="s">
        <v>542</v>
      </c>
      <c r="D5" s="99" t="s">
        <v>8</v>
      </c>
      <c r="E5" s="195" t="s">
        <v>2384</v>
      </c>
      <c r="F5" s="41" t="s">
        <v>1837</v>
      </c>
      <c r="G5" s="409">
        <v>81897710001</v>
      </c>
      <c r="H5" s="322">
        <v>338.68565217391301</v>
      </c>
      <c r="I5" s="411">
        <f t="shared" si="0"/>
        <v>338.68565217391301</v>
      </c>
    </row>
    <row r="6" spans="1:9" x14ac:dyDescent="0.25">
      <c r="A6" s="410" t="s">
        <v>543</v>
      </c>
      <c r="B6" s="30">
        <v>1</v>
      </c>
      <c r="C6" s="46" t="s">
        <v>544</v>
      </c>
      <c r="D6" s="99" t="s">
        <v>8</v>
      </c>
      <c r="E6" s="195" t="s">
        <v>2385</v>
      </c>
      <c r="F6" s="117" t="s">
        <v>1835</v>
      </c>
      <c r="G6" s="409">
        <v>81897710001</v>
      </c>
      <c r="H6" s="322">
        <v>324.48717391304348</v>
      </c>
      <c r="I6" s="411">
        <f t="shared" si="0"/>
        <v>324.48717391304348</v>
      </c>
    </row>
    <row r="7" spans="1:9" x14ac:dyDescent="0.25">
      <c r="A7" s="414" t="s">
        <v>249</v>
      </c>
      <c r="B7" s="48">
        <v>1</v>
      </c>
      <c r="C7" s="65" t="s">
        <v>250</v>
      </c>
      <c r="D7" s="64" t="s">
        <v>10</v>
      </c>
      <c r="E7" s="195" t="s">
        <v>2238</v>
      </c>
      <c r="F7" s="61" t="s">
        <v>1843</v>
      </c>
      <c r="G7" s="409">
        <v>81897710023</v>
      </c>
      <c r="H7" s="322">
        <v>163.45565217391302</v>
      </c>
      <c r="I7" s="411">
        <f t="shared" si="0"/>
        <v>163.45565217391302</v>
      </c>
    </row>
    <row r="8" spans="1:9" x14ac:dyDescent="0.25">
      <c r="A8" s="410" t="s">
        <v>46</v>
      </c>
      <c r="B8" s="30">
        <v>1</v>
      </c>
      <c r="C8" s="46" t="s">
        <v>47</v>
      </c>
      <c r="D8" s="99" t="s">
        <v>8</v>
      </c>
      <c r="E8" s="195" t="s">
        <v>2254</v>
      </c>
      <c r="F8" s="316" t="s">
        <v>1855</v>
      </c>
      <c r="G8" s="409">
        <v>81897710023</v>
      </c>
      <c r="H8" s="322">
        <v>126.74739130434781</v>
      </c>
      <c r="I8" s="411">
        <f t="shared" si="0"/>
        <v>126.74739130434781</v>
      </c>
    </row>
    <row r="9" spans="1:9" x14ac:dyDescent="0.25">
      <c r="A9" s="410" t="s">
        <v>537</v>
      </c>
      <c r="B9" s="30">
        <v>4</v>
      </c>
      <c r="C9" s="46" t="s">
        <v>538</v>
      </c>
      <c r="D9" s="99" t="s">
        <v>8</v>
      </c>
      <c r="E9" s="195" t="s">
        <v>2257</v>
      </c>
      <c r="F9" s="41" t="s">
        <v>1862</v>
      </c>
      <c r="G9" s="409">
        <v>81897710001</v>
      </c>
      <c r="H9" s="322">
        <v>305.9021739130435</v>
      </c>
      <c r="I9" s="411">
        <f t="shared" si="0"/>
        <v>1223.608695652174</v>
      </c>
    </row>
    <row r="10" spans="1:9" x14ac:dyDescent="0.25">
      <c r="A10" s="410" t="s">
        <v>335</v>
      </c>
      <c r="B10" s="30">
        <v>1</v>
      </c>
      <c r="C10" s="46" t="s">
        <v>53</v>
      </c>
      <c r="D10" s="99" t="s">
        <v>8</v>
      </c>
      <c r="E10" s="195" t="s">
        <v>2260</v>
      </c>
      <c r="F10" s="48" t="s">
        <v>1866</v>
      </c>
      <c r="G10" s="409">
        <v>81897710001</v>
      </c>
      <c r="H10" s="322">
        <v>545.08304347826083</v>
      </c>
      <c r="I10" s="411">
        <f t="shared" si="0"/>
        <v>545.08304347826083</v>
      </c>
    </row>
    <row r="11" spans="1:9" x14ac:dyDescent="0.25">
      <c r="A11" s="410" t="s">
        <v>58</v>
      </c>
      <c r="B11" s="30">
        <v>1</v>
      </c>
      <c r="C11" s="46" t="s">
        <v>59</v>
      </c>
      <c r="D11" s="99" t="s">
        <v>8</v>
      </c>
      <c r="E11" s="195" t="s">
        <v>2266</v>
      </c>
      <c r="F11" s="316" t="s">
        <v>1880</v>
      </c>
      <c r="G11" s="409">
        <v>81897710023</v>
      </c>
      <c r="H11" s="322">
        <v>130.90304347826086</v>
      </c>
      <c r="I11" s="411">
        <f t="shared" si="0"/>
        <v>130.90304347826086</v>
      </c>
    </row>
    <row r="12" spans="1:9" x14ac:dyDescent="0.25">
      <c r="A12" s="410" t="s">
        <v>545</v>
      </c>
      <c r="B12" s="30">
        <v>1</v>
      </c>
      <c r="C12" s="46" t="s">
        <v>546</v>
      </c>
      <c r="D12" s="99" t="s">
        <v>8</v>
      </c>
      <c r="E12" s="195" t="s">
        <v>2386</v>
      </c>
      <c r="F12" s="41" t="s">
        <v>1884</v>
      </c>
      <c r="G12" s="409">
        <v>81897710001</v>
      </c>
      <c r="H12" s="322">
        <v>257.99673913043478</v>
      </c>
      <c r="I12" s="411">
        <f t="shared" si="0"/>
        <v>257.99673913043478</v>
      </c>
    </row>
    <row r="13" spans="1:9" x14ac:dyDescent="0.25">
      <c r="A13" s="414" t="s">
        <v>549</v>
      </c>
      <c r="B13" s="48">
        <v>1</v>
      </c>
      <c r="C13" s="65" t="s">
        <v>550</v>
      </c>
      <c r="D13" s="64" t="s">
        <v>8</v>
      </c>
      <c r="E13" s="195" t="s">
        <v>2387</v>
      </c>
      <c r="F13" s="61" t="s">
        <v>1907</v>
      </c>
      <c r="G13" s="409">
        <v>81897710001</v>
      </c>
      <c r="H13" s="322">
        <v>310.9813043478261</v>
      </c>
      <c r="I13" s="411">
        <f t="shared" si="0"/>
        <v>310.9813043478261</v>
      </c>
    </row>
    <row r="14" spans="1:9" x14ac:dyDescent="0.25">
      <c r="A14" s="414" t="s">
        <v>551</v>
      </c>
      <c r="B14" s="48">
        <v>1</v>
      </c>
      <c r="C14" s="65" t="s">
        <v>252</v>
      </c>
      <c r="D14" s="64" t="s">
        <v>8</v>
      </c>
      <c r="E14" s="195" t="s">
        <v>2294</v>
      </c>
      <c r="F14" s="61" t="s">
        <v>1910</v>
      </c>
      <c r="G14" s="409">
        <v>81897710001</v>
      </c>
      <c r="H14" s="322">
        <v>221.28847826086957</v>
      </c>
      <c r="I14" s="411">
        <f t="shared" si="0"/>
        <v>221.28847826086957</v>
      </c>
    </row>
    <row r="15" spans="1:9" x14ac:dyDescent="0.25">
      <c r="A15" s="410" t="s">
        <v>558</v>
      </c>
      <c r="B15" s="30">
        <v>1</v>
      </c>
      <c r="C15" s="46" t="s">
        <v>559</v>
      </c>
      <c r="D15" s="99" t="s">
        <v>8</v>
      </c>
      <c r="E15" s="195" t="s">
        <v>558</v>
      </c>
      <c r="F15" s="339" t="s">
        <v>2145</v>
      </c>
      <c r="G15" s="409">
        <v>80476380011</v>
      </c>
      <c r="H15" s="322">
        <v>1500</v>
      </c>
      <c r="I15" s="411">
        <f t="shared" si="0"/>
        <v>1500</v>
      </c>
    </row>
    <row r="16" spans="1:9" x14ac:dyDescent="0.25">
      <c r="A16" s="414" t="s">
        <v>552</v>
      </c>
      <c r="B16" s="48">
        <v>1</v>
      </c>
      <c r="C16" s="65" t="s">
        <v>553</v>
      </c>
      <c r="D16" s="64" t="s">
        <v>8</v>
      </c>
      <c r="E16" s="195" t="s">
        <v>2388</v>
      </c>
      <c r="F16" s="205" t="s">
        <v>1891</v>
      </c>
      <c r="G16" s="409">
        <v>81897710001</v>
      </c>
      <c r="H16" s="322">
        <v>311.67391304347825</v>
      </c>
      <c r="I16" s="411">
        <f t="shared" si="0"/>
        <v>311.67391304347825</v>
      </c>
    </row>
    <row r="17" spans="1:9" x14ac:dyDescent="0.25">
      <c r="A17" s="414" t="s">
        <v>554</v>
      </c>
      <c r="B17" s="48">
        <v>1</v>
      </c>
      <c r="C17" s="65" t="s">
        <v>555</v>
      </c>
      <c r="D17" s="64" t="s">
        <v>8</v>
      </c>
      <c r="E17" s="195" t="s">
        <v>2285</v>
      </c>
      <c r="F17" s="61" t="s">
        <v>1920</v>
      </c>
      <c r="G17" s="409">
        <v>81897710001</v>
      </c>
      <c r="H17" s="322">
        <v>297.47543478260872</v>
      </c>
      <c r="I17" s="411">
        <f t="shared" si="0"/>
        <v>297.47543478260872</v>
      </c>
    </row>
    <row r="18" spans="1:9" x14ac:dyDescent="0.25">
      <c r="A18" s="414" t="s">
        <v>556</v>
      </c>
      <c r="B18" s="48">
        <v>1</v>
      </c>
      <c r="C18" s="65" t="s">
        <v>557</v>
      </c>
      <c r="D18" s="64" t="s">
        <v>8</v>
      </c>
      <c r="E18" s="195" t="s">
        <v>2389</v>
      </c>
      <c r="F18" s="61" t="s">
        <v>1921</v>
      </c>
      <c r="G18" s="409">
        <v>81897710001</v>
      </c>
      <c r="H18" s="322">
        <v>294.70499999999998</v>
      </c>
      <c r="I18" s="411">
        <f t="shared" si="0"/>
        <v>294.70499999999998</v>
      </c>
    </row>
    <row r="19" spans="1:9" x14ac:dyDescent="0.25">
      <c r="A19" s="410" t="s">
        <v>519</v>
      </c>
      <c r="B19" s="30">
        <v>1</v>
      </c>
      <c r="C19" s="46" t="s">
        <v>520</v>
      </c>
      <c r="D19" s="99" t="s">
        <v>8</v>
      </c>
      <c r="E19" s="195" t="s">
        <v>2304</v>
      </c>
      <c r="F19" s="30" t="s">
        <v>1968</v>
      </c>
      <c r="G19" s="409">
        <v>81897710017</v>
      </c>
      <c r="H19" s="322">
        <v>171.42065217391303</v>
      </c>
      <c r="I19" s="411">
        <f t="shared" si="0"/>
        <v>171.42065217391303</v>
      </c>
    </row>
    <row r="20" spans="1:9" x14ac:dyDescent="0.25">
      <c r="I20" s="324">
        <f>SUM(I2:I19)</f>
        <v>9159.5980434782614</v>
      </c>
    </row>
  </sheetData>
  <sortState xmlns:xlrd2="http://schemas.microsoft.com/office/spreadsheetml/2017/richdata2" ref="A2:D19">
    <sortCondition ref="A1:A19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91A97-169E-4E41-BA33-E3C713330400}">
  <sheetPr codeName="Planilha12">
    <tabColor rgb="FFFF0000"/>
  </sheetPr>
  <dimension ref="A1:H21"/>
  <sheetViews>
    <sheetView workbookViewId="0">
      <pane ySplit="1" topLeftCell="A2" activePane="bottomLeft" state="frozen"/>
      <selection activeCell="A53" sqref="A53"/>
      <selection pane="bottomLeft" activeCell="C17" sqref="C17"/>
    </sheetView>
  </sheetViews>
  <sheetFormatPr defaultRowHeight="15" x14ac:dyDescent="0.25"/>
  <cols>
    <col min="1" max="1" width="43.28515625" customWidth="1"/>
    <col min="2" max="2" width="23" customWidth="1"/>
    <col min="3" max="3" width="14.5703125" customWidth="1"/>
    <col min="4" max="4" width="21.28515625" bestFit="1" customWidth="1"/>
  </cols>
  <sheetData>
    <row r="1" spans="1:8" ht="15.75" x14ac:dyDescent="0.25">
      <c r="A1" s="84" t="s">
        <v>0</v>
      </c>
      <c r="B1" s="42" t="s">
        <v>305</v>
      </c>
      <c r="C1" s="85" t="s">
        <v>2</v>
      </c>
      <c r="D1" s="197" t="s">
        <v>1721</v>
      </c>
      <c r="E1" s="194" t="s">
        <v>1723</v>
      </c>
      <c r="F1" s="194" t="s">
        <v>1724</v>
      </c>
      <c r="G1" s="194" t="s">
        <v>1722</v>
      </c>
      <c r="H1" s="194" t="s">
        <v>1725</v>
      </c>
    </row>
    <row r="2" spans="1:8" x14ac:dyDescent="0.25">
      <c r="A2" s="1" t="s">
        <v>560</v>
      </c>
      <c r="B2" s="30">
        <v>1</v>
      </c>
      <c r="C2" s="25" t="s">
        <v>561</v>
      </c>
      <c r="D2" s="99" t="s">
        <v>4</v>
      </c>
      <c r="E2" s="195"/>
      <c r="F2" s="195"/>
      <c r="G2" s="195"/>
      <c r="H2" s="195"/>
    </row>
    <row r="3" spans="1:8" x14ac:dyDescent="0.25">
      <c r="A3" s="1" t="s">
        <v>562</v>
      </c>
      <c r="B3" s="30">
        <v>1</v>
      </c>
      <c r="C3" s="25">
        <v>3455</v>
      </c>
      <c r="D3" s="99" t="s">
        <v>4</v>
      </c>
      <c r="E3" s="195"/>
      <c r="F3" s="195"/>
      <c r="G3" s="195"/>
      <c r="H3" s="195"/>
    </row>
    <row r="4" spans="1:8" x14ac:dyDescent="0.25">
      <c r="A4" s="1" t="s">
        <v>563</v>
      </c>
      <c r="B4" s="30">
        <v>1</v>
      </c>
      <c r="C4" s="25">
        <v>2603</v>
      </c>
      <c r="D4" s="99" t="s">
        <v>4</v>
      </c>
      <c r="E4" s="195"/>
      <c r="F4" s="195"/>
      <c r="G4" s="195"/>
      <c r="H4" s="195"/>
    </row>
    <row r="5" spans="1:8" x14ac:dyDescent="0.25">
      <c r="A5" s="1" t="s">
        <v>564</v>
      </c>
      <c r="B5" s="30">
        <v>1</v>
      </c>
      <c r="C5" s="25">
        <v>2629</v>
      </c>
      <c r="D5" s="99" t="s">
        <v>4</v>
      </c>
      <c r="E5" s="195"/>
      <c r="F5" s="195"/>
      <c r="G5" s="195"/>
      <c r="H5" s="195"/>
    </row>
    <row r="6" spans="1:8" x14ac:dyDescent="0.25">
      <c r="A6" s="1" t="s">
        <v>565</v>
      </c>
      <c r="B6" s="30">
        <v>1</v>
      </c>
      <c r="C6" s="25">
        <v>2939</v>
      </c>
      <c r="D6" s="99" t="s">
        <v>4</v>
      </c>
      <c r="E6" s="195"/>
      <c r="F6" s="195"/>
      <c r="G6" s="195"/>
      <c r="H6" s="195"/>
    </row>
    <row r="7" spans="1:8" x14ac:dyDescent="0.25">
      <c r="A7" s="1" t="s">
        <v>566</v>
      </c>
      <c r="B7" s="30">
        <v>1</v>
      </c>
      <c r="C7" s="25">
        <v>2625</v>
      </c>
      <c r="D7" s="99" t="s">
        <v>4</v>
      </c>
      <c r="E7" s="195"/>
      <c r="F7" s="195"/>
      <c r="G7" s="195"/>
      <c r="H7" s="195"/>
    </row>
    <row r="8" spans="1:8" x14ac:dyDescent="0.25">
      <c r="A8" s="1" t="s">
        <v>567</v>
      </c>
      <c r="B8" s="30">
        <v>1</v>
      </c>
      <c r="C8" s="25">
        <v>2626</v>
      </c>
      <c r="D8" s="99" t="s">
        <v>4</v>
      </c>
      <c r="E8" s="195"/>
      <c r="F8" s="195"/>
      <c r="G8" s="195"/>
      <c r="H8" s="195"/>
    </row>
    <row r="9" spans="1:8" x14ac:dyDescent="0.25">
      <c r="A9" s="1" t="s">
        <v>568</v>
      </c>
      <c r="B9" s="30">
        <v>1</v>
      </c>
      <c r="C9" s="25">
        <v>2638</v>
      </c>
      <c r="D9" s="99" t="s">
        <v>4</v>
      </c>
      <c r="E9" s="195"/>
      <c r="F9" s="195"/>
      <c r="G9" s="195"/>
      <c r="H9" s="195"/>
    </row>
    <row r="10" spans="1:8" x14ac:dyDescent="0.25">
      <c r="A10" s="1" t="s">
        <v>569</v>
      </c>
      <c r="B10" s="30">
        <v>1</v>
      </c>
      <c r="C10" s="25">
        <v>2634</v>
      </c>
      <c r="D10" s="99" t="s">
        <v>4</v>
      </c>
      <c r="E10" s="195"/>
      <c r="F10" s="195"/>
      <c r="G10" s="195"/>
      <c r="H10" s="195"/>
    </row>
    <row r="11" spans="1:8" x14ac:dyDescent="0.25">
      <c r="A11" s="1" t="s">
        <v>570</v>
      </c>
      <c r="B11" s="30">
        <v>1</v>
      </c>
      <c r="C11" s="25">
        <v>2635</v>
      </c>
      <c r="D11" s="99" t="s">
        <v>4</v>
      </c>
      <c r="E11" s="195"/>
      <c r="F11" s="195"/>
      <c r="G11" s="195"/>
      <c r="H11" s="195"/>
    </row>
    <row r="12" spans="1:8" x14ac:dyDescent="0.25">
      <c r="A12" s="1" t="s">
        <v>571</v>
      </c>
      <c r="B12" s="30">
        <v>1</v>
      </c>
      <c r="C12" s="25">
        <v>2619</v>
      </c>
      <c r="D12" s="99" t="s">
        <v>4</v>
      </c>
      <c r="E12" s="195"/>
      <c r="F12" s="195"/>
      <c r="G12" s="195"/>
      <c r="H12" s="195"/>
    </row>
    <row r="13" spans="1:8" x14ac:dyDescent="0.25">
      <c r="A13" s="1" t="s">
        <v>572</v>
      </c>
      <c r="B13" s="30">
        <v>1</v>
      </c>
      <c r="C13" s="25">
        <v>2673</v>
      </c>
      <c r="D13" s="99" t="s">
        <v>4</v>
      </c>
      <c r="E13" s="195"/>
      <c r="F13" s="195"/>
      <c r="G13" s="195"/>
      <c r="H13" s="195"/>
    </row>
    <row r="14" spans="1:8" x14ac:dyDescent="0.25">
      <c r="A14" s="1" t="s">
        <v>573</v>
      </c>
      <c r="B14" s="30">
        <v>1</v>
      </c>
      <c r="C14" s="25">
        <v>2653</v>
      </c>
      <c r="D14" s="99" t="s">
        <v>4</v>
      </c>
      <c r="E14" s="195"/>
      <c r="F14" s="195"/>
      <c r="G14" s="195"/>
      <c r="H14" s="195"/>
    </row>
    <row r="15" spans="1:8" x14ac:dyDescent="0.25">
      <c r="A15" s="1" t="s">
        <v>574</v>
      </c>
      <c r="B15" s="30">
        <v>1</v>
      </c>
      <c r="C15" s="25">
        <v>2654</v>
      </c>
      <c r="D15" s="99" t="s">
        <v>4</v>
      </c>
      <c r="E15" s="195"/>
      <c r="F15" s="195"/>
      <c r="G15" s="195"/>
      <c r="H15" s="195"/>
    </row>
    <row r="16" spans="1:8" x14ac:dyDescent="0.25">
      <c r="A16" s="1" t="s">
        <v>575</v>
      </c>
      <c r="B16" s="30">
        <v>1</v>
      </c>
      <c r="C16" s="25">
        <v>2637</v>
      </c>
      <c r="D16" s="99" t="s">
        <v>4</v>
      </c>
      <c r="E16" s="195"/>
      <c r="F16" s="195"/>
      <c r="G16" s="195"/>
      <c r="H16" s="195"/>
    </row>
    <row r="17" spans="1:8" x14ac:dyDescent="0.25">
      <c r="A17" s="1" t="s">
        <v>576</v>
      </c>
      <c r="B17" s="30">
        <v>1</v>
      </c>
      <c r="C17" s="25">
        <v>2941</v>
      </c>
      <c r="D17" s="99" t="s">
        <v>4</v>
      </c>
      <c r="E17" s="195"/>
      <c r="F17" s="195"/>
      <c r="G17" s="195"/>
      <c r="H17" s="195"/>
    </row>
    <row r="18" spans="1:8" x14ac:dyDescent="0.25">
      <c r="A18" s="1" t="s">
        <v>577</v>
      </c>
      <c r="B18" s="30">
        <v>1</v>
      </c>
      <c r="C18" s="25">
        <v>2667</v>
      </c>
      <c r="D18" s="99" t="s">
        <v>4</v>
      </c>
      <c r="E18" s="195"/>
      <c r="F18" s="195"/>
      <c r="G18" s="195"/>
      <c r="H18" s="195"/>
    </row>
    <row r="19" spans="1:8" x14ac:dyDescent="0.25">
      <c r="A19" s="1" t="s">
        <v>578</v>
      </c>
      <c r="B19" s="30">
        <v>1</v>
      </c>
      <c r="C19" s="25">
        <v>2668</v>
      </c>
      <c r="D19" s="99" t="s">
        <v>4</v>
      </c>
      <c r="E19" s="195"/>
      <c r="F19" s="195"/>
      <c r="G19" s="195"/>
      <c r="H19" s="195"/>
    </row>
    <row r="20" spans="1:8" x14ac:dyDescent="0.25">
      <c r="A20" s="1" t="s">
        <v>579</v>
      </c>
      <c r="B20" s="30">
        <v>1</v>
      </c>
      <c r="C20" s="25">
        <v>2670</v>
      </c>
      <c r="D20" s="99" t="s">
        <v>4</v>
      </c>
      <c r="E20" s="195"/>
      <c r="F20" s="195"/>
      <c r="G20" s="195"/>
      <c r="H20" s="195"/>
    </row>
    <row r="21" spans="1:8" x14ac:dyDescent="0.25">
      <c r="A21" s="1" t="s">
        <v>580</v>
      </c>
      <c r="B21" s="30">
        <v>1</v>
      </c>
      <c r="C21" s="25">
        <v>2676</v>
      </c>
      <c r="D21" s="99" t="s">
        <v>4</v>
      </c>
      <c r="E21" s="195"/>
      <c r="F21" s="195"/>
      <c r="G21" s="195"/>
      <c r="H21" s="195"/>
    </row>
  </sheetData>
  <sortState xmlns:xlrd2="http://schemas.microsoft.com/office/spreadsheetml/2017/richdata2" ref="A2:D21">
    <sortCondition ref="A1:A21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3D5AB-1B25-47AB-A875-5A48D0B3C331}">
  <sheetPr codeName="Planilha13">
    <tabColor rgb="FF92D050"/>
  </sheetPr>
  <dimension ref="A1:I37"/>
  <sheetViews>
    <sheetView workbookViewId="0">
      <pane ySplit="1" topLeftCell="A2" activePane="bottomLeft" state="frozen"/>
      <selection activeCell="A53" sqref="A53"/>
      <selection pane="bottomLeft" activeCell="L20" sqref="L20"/>
    </sheetView>
  </sheetViews>
  <sheetFormatPr defaultRowHeight="15" x14ac:dyDescent="0.25"/>
  <cols>
    <col min="1" max="1" width="36.140625" customWidth="1"/>
    <col min="2" max="2" width="21" customWidth="1"/>
    <col min="3" max="3" width="18.140625" customWidth="1"/>
    <col min="4" max="4" width="21.28515625" bestFit="1" customWidth="1"/>
    <col min="5" max="5" width="31.42578125" customWidth="1"/>
    <col min="6" max="6" width="14.28515625" style="40" customWidth="1"/>
    <col min="7" max="7" width="13.7109375" style="40" customWidth="1"/>
    <col min="8" max="8" width="15.28515625" style="324" customWidth="1"/>
    <col min="9" max="9" width="13.7109375" style="40" customWidth="1"/>
  </cols>
  <sheetData>
    <row r="1" spans="1:9" ht="17.25" customHeight="1" x14ac:dyDescent="0.25">
      <c r="A1" s="84" t="s">
        <v>0</v>
      </c>
      <c r="B1" s="42" t="s">
        <v>305</v>
      </c>
      <c r="C1" s="86" t="s">
        <v>360</v>
      </c>
      <c r="D1" s="197" t="s">
        <v>1721</v>
      </c>
      <c r="E1" s="194" t="s">
        <v>1723</v>
      </c>
      <c r="F1" s="194" t="s">
        <v>1724</v>
      </c>
      <c r="G1" s="194" t="s">
        <v>1722</v>
      </c>
      <c r="H1" s="321" t="s">
        <v>1725</v>
      </c>
      <c r="I1" s="194" t="s">
        <v>2317</v>
      </c>
    </row>
    <row r="2" spans="1:9" x14ac:dyDescent="0.25">
      <c r="A2" s="1" t="s">
        <v>581</v>
      </c>
      <c r="B2" s="30">
        <v>2</v>
      </c>
      <c r="C2" s="46" t="s">
        <v>7</v>
      </c>
      <c r="D2" s="99" t="s">
        <v>8</v>
      </c>
      <c r="E2" s="195" t="s">
        <v>2201</v>
      </c>
      <c r="F2" s="308" t="s">
        <v>1741</v>
      </c>
      <c r="G2" s="308">
        <v>81897710021</v>
      </c>
      <c r="H2" s="322">
        <v>270.4636956521739</v>
      </c>
      <c r="I2" s="400">
        <f>H2*B2</f>
        <v>540.92739130434779</v>
      </c>
    </row>
    <row r="3" spans="1:9" x14ac:dyDescent="0.25">
      <c r="A3" s="1" t="s">
        <v>581</v>
      </c>
      <c r="B3" s="30">
        <v>2</v>
      </c>
      <c r="C3" s="46" t="s">
        <v>12</v>
      </c>
      <c r="D3" s="99" t="s">
        <v>8</v>
      </c>
      <c r="E3" s="195" t="s">
        <v>2198</v>
      </c>
      <c r="F3" s="308" t="s">
        <v>1740</v>
      </c>
      <c r="G3" s="308">
        <v>81897710023</v>
      </c>
      <c r="H3" s="322">
        <v>270.4636956521739</v>
      </c>
      <c r="I3" s="400">
        <f t="shared" ref="I3:I36" si="0">H3*B3</f>
        <v>540.92739130434779</v>
      </c>
    </row>
    <row r="4" spans="1:9" x14ac:dyDescent="0.25">
      <c r="A4" s="1" t="s">
        <v>582</v>
      </c>
      <c r="B4" s="30">
        <v>2</v>
      </c>
      <c r="C4" s="46" t="s">
        <v>583</v>
      </c>
      <c r="D4" s="99" t="s">
        <v>8</v>
      </c>
      <c r="E4" s="195" t="s">
        <v>2390</v>
      </c>
      <c r="F4" s="308" t="s">
        <v>2023</v>
      </c>
      <c r="G4" s="308">
        <v>81897710023</v>
      </c>
      <c r="H4" s="322">
        <v>214.70869565217396</v>
      </c>
      <c r="I4" s="400">
        <f t="shared" si="0"/>
        <v>429.41739130434792</v>
      </c>
    </row>
    <row r="5" spans="1:9" x14ac:dyDescent="0.25">
      <c r="A5" s="1" t="s">
        <v>367</v>
      </c>
      <c r="B5" s="30">
        <v>2</v>
      </c>
      <c r="C5" s="46" t="s">
        <v>230</v>
      </c>
      <c r="D5" s="99" t="s">
        <v>8</v>
      </c>
      <c r="E5" s="195" t="s">
        <v>2297</v>
      </c>
      <c r="F5" s="308" t="s">
        <v>1753</v>
      </c>
      <c r="G5" s="308">
        <v>81897710023</v>
      </c>
      <c r="H5" s="322">
        <v>202.58804347826089</v>
      </c>
      <c r="I5" s="400">
        <f t="shared" si="0"/>
        <v>405.17608695652177</v>
      </c>
    </row>
    <row r="6" spans="1:9" x14ac:dyDescent="0.25">
      <c r="A6" s="23" t="s">
        <v>584</v>
      </c>
      <c r="B6" s="48">
        <v>1</v>
      </c>
      <c r="C6" s="65" t="s">
        <v>585</v>
      </c>
      <c r="D6" s="99" t="s">
        <v>8</v>
      </c>
      <c r="E6" s="195" t="s">
        <v>2214</v>
      </c>
      <c r="F6" s="308" t="s">
        <v>1764</v>
      </c>
      <c r="G6" s="308">
        <v>81897719001</v>
      </c>
      <c r="H6" s="322">
        <v>205.01217391304351</v>
      </c>
      <c r="I6" s="400">
        <f t="shared" si="0"/>
        <v>205.01217391304351</v>
      </c>
    </row>
    <row r="7" spans="1:9" x14ac:dyDescent="0.25">
      <c r="A7" s="1" t="s">
        <v>586</v>
      </c>
      <c r="B7" s="30">
        <v>2</v>
      </c>
      <c r="C7" s="46" t="s">
        <v>587</v>
      </c>
      <c r="D7" s="99" t="s">
        <v>8</v>
      </c>
      <c r="E7" s="195" t="s">
        <v>2391</v>
      </c>
      <c r="F7" s="308" t="s">
        <v>2024</v>
      </c>
      <c r="G7" s="308">
        <v>81897710001</v>
      </c>
      <c r="H7" s="322">
        <v>737.97456521739127</v>
      </c>
      <c r="I7" s="400">
        <f t="shared" si="0"/>
        <v>1475.9491304347825</v>
      </c>
    </row>
    <row r="8" spans="1:9" x14ac:dyDescent="0.25">
      <c r="A8" s="1" t="s">
        <v>588</v>
      </c>
      <c r="B8" s="30">
        <v>1</v>
      </c>
      <c r="C8" s="46" t="s">
        <v>589</v>
      </c>
      <c r="D8" s="99" t="s">
        <v>8</v>
      </c>
      <c r="E8" s="195" t="s">
        <v>2392</v>
      </c>
      <c r="F8" s="308" t="s">
        <v>2025</v>
      </c>
      <c r="G8" s="308">
        <v>81897710001</v>
      </c>
      <c r="H8" s="322">
        <v>729.66326086956531</v>
      </c>
      <c r="I8" s="400">
        <f t="shared" si="0"/>
        <v>729.66326086956531</v>
      </c>
    </row>
    <row r="9" spans="1:9" x14ac:dyDescent="0.25">
      <c r="A9" s="267" t="s">
        <v>481</v>
      </c>
      <c r="B9" s="30">
        <v>1</v>
      </c>
      <c r="C9" s="181">
        <v>662550</v>
      </c>
      <c r="D9" s="99" t="s">
        <v>501</v>
      </c>
      <c r="E9" s="512" t="s">
        <v>2654</v>
      </c>
      <c r="F9" s="366" t="s">
        <v>2337</v>
      </c>
      <c r="G9" s="308" t="s">
        <v>2336</v>
      </c>
      <c r="H9" s="322">
        <v>2370.2608695652179</v>
      </c>
      <c r="I9" s="400">
        <f t="shared" si="0"/>
        <v>2370.2608695652179</v>
      </c>
    </row>
    <row r="10" spans="1:9" x14ac:dyDescent="0.25">
      <c r="A10" s="23" t="s">
        <v>590</v>
      </c>
      <c r="B10" s="48">
        <v>1</v>
      </c>
      <c r="C10" s="172" t="s">
        <v>591</v>
      </c>
      <c r="D10" s="99" t="s">
        <v>8</v>
      </c>
      <c r="E10" s="195" t="s">
        <v>2393</v>
      </c>
      <c r="F10" s="308" t="s">
        <v>2026</v>
      </c>
      <c r="G10" s="308">
        <v>81897710023</v>
      </c>
      <c r="H10" s="322">
        <v>418.68195652173915</v>
      </c>
      <c r="I10" s="400">
        <f t="shared" si="0"/>
        <v>418.68195652173915</v>
      </c>
    </row>
    <row r="11" spans="1:9" x14ac:dyDescent="0.25">
      <c r="A11" s="23" t="s">
        <v>592</v>
      </c>
      <c r="B11" s="70">
        <v>1</v>
      </c>
      <c r="C11" s="118" t="s">
        <v>593</v>
      </c>
      <c r="D11" s="99" t="s">
        <v>10</v>
      </c>
      <c r="E11" s="195" t="s">
        <v>2394</v>
      </c>
      <c r="F11" s="308" t="s">
        <v>2027</v>
      </c>
      <c r="G11" s="308">
        <v>81897710023</v>
      </c>
      <c r="H11" s="322">
        <v>390.97760869565212</v>
      </c>
      <c r="I11" s="400">
        <f t="shared" si="0"/>
        <v>390.97760869565212</v>
      </c>
    </row>
    <row r="12" spans="1:9" x14ac:dyDescent="0.25">
      <c r="A12" s="1" t="s">
        <v>596</v>
      </c>
      <c r="B12" s="30">
        <v>1</v>
      </c>
      <c r="C12" s="46" t="s">
        <v>597</v>
      </c>
      <c r="D12" s="99" t="s">
        <v>8</v>
      </c>
      <c r="E12" s="195" t="s">
        <v>2395</v>
      </c>
      <c r="F12" s="30" t="s">
        <v>1979</v>
      </c>
      <c r="G12" s="308">
        <v>81897710023</v>
      </c>
      <c r="H12" s="322">
        <v>180.77086956521737</v>
      </c>
      <c r="I12" s="400">
        <f t="shared" si="0"/>
        <v>180.77086956521737</v>
      </c>
    </row>
    <row r="13" spans="1:9" x14ac:dyDescent="0.25">
      <c r="A13" s="23" t="s">
        <v>594</v>
      </c>
      <c r="B13" s="48">
        <v>1</v>
      </c>
      <c r="C13" s="65" t="s">
        <v>595</v>
      </c>
      <c r="D13" s="99" t="s">
        <v>8</v>
      </c>
      <c r="E13" s="195" t="s">
        <v>2396</v>
      </c>
      <c r="F13" s="48" t="s">
        <v>1980</v>
      </c>
      <c r="G13" s="308">
        <v>81897710023</v>
      </c>
      <c r="H13" s="322">
        <v>180.77086956521737</v>
      </c>
      <c r="I13" s="400">
        <f t="shared" si="0"/>
        <v>180.77086956521737</v>
      </c>
    </row>
    <row r="14" spans="1:9" x14ac:dyDescent="0.25">
      <c r="A14" s="1" t="s">
        <v>598</v>
      </c>
      <c r="B14" s="30">
        <v>2</v>
      </c>
      <c r="C14" s="46" t="s">
        <v>599</v>
      </c>
      <c r="D14" s="99" t="s">
        <v>8</v>
      </c>
      <c r="E14" s="195" t="s">
        <v>2397</v>
      </c>
      <c r="F14" s="30" t="s">
        <v>1840</v>
      </c>
      <c r="G14" s="308">
        <v>81897710023</v>
      </c>
      <c r="H14" s="322">
        <v>183.54130434782607</v>
      </c>
      <c r="I14" s="400">
        <f t="shared" si="0"/>
        <v>367.08260869565214</v>
      </c>
    </row>
    <row r="15" spans="1:9" x14ac:dyDescent="0.25">
      <c r="A15" s="1" t="s">
        <v>600</v>
      </c>
      <c r="B15" s="30">
        <v>2</v>
      </c>
      <c r="C15" s="46" t="s">
        <v>601</v>
      </c>
      <c r="D15" s="99" t="s">
        <v>8</v>
      </c>
      <c r="E15" s="195" t="s">
        <v>2247</v>
      </c>
      <c r="F15" s="228" t="s">
        <v>1731</v>
      </c>
      <c r="G15" s="308">
        <v>81897710023</v>
      </c>
      <c r="H15" s="322">
        <v>93.502173913043478</v>
      </c>
      <c r="I15" s="400">
        <f t="shared" si="0"/>
        <v>187.00434782608696</v>
      </c>
    </row>
    <row r="16" spans="1:9" x14ac:dyDescent="0.25">
      <c r="A16" s="23" t="s">
        <v>602</v>
      </c>
      <c r="B16" s="48">
        <v>2</v>
      </c>
      <c r="C16" s="65" t="s">
        <v>33</v>
      </c>
      <c r="D16" s="99" t="s">
        <v>8</v>
      </c>
      <c r="E16" s="195" t="s">
        <v>2248</v>
      </c>
      <c r="F16" s="260" t="s">
        <v>1730</v>
      </c>
      <c r="G16" s="308">
        <v>81897710023</v>
      </c>
      <c r="H16" s="322">
        <v>90.385434782608684</v>
      </c>
      <c r="I16" s="400">
        <f t="shared" si="0"/>
        <v>180.77086956521737</v>
      </c>
    </row>
    <row r="17" spans="1:9" x14ac:dyDescent="0.25">
      <c r="A17" s="1" t="s">
        <v>603</v>
      </c>
      <c r="B17" s="30">
        <v>2</v>
      </c>
      <c r="C17" s="46" t="s">
        <v>86</v>
      </c>
      <c r="D17" s="99" t="s">
        <v>8</v>
      </c>
      <c r="E17" s="195" t="s">
        <v>2280</v>
      </c>
      <c r="F17" s="228" t="s">
        <v>1859</v>
      </c>
      <c r="G17" s="308">
        <v>81897710001</v>
      </c>
      <c r="H17" s="322">
        <v>167.95760869565214</v>
      </c>
      <c r="I17" s="400">
        <f t="shared" si="0"/>
        <v>335.91521739130428</v>
      </c>
    </row>
    <row r="18" spans="1:9" x14ac:dyDescent="0.25">
      <c r="A18" s="1" t="s">
        <v>604</v>
      </c>
      <c r="B18" s="30">
        <v>4</v>
      </c>
      <c r="C18" s="46" t="s">
        <v>605</v>
      </c>
      <c r="D18" s="99" t="s">
        <v>8</v>
      </c>
      <c r="E18" s="195" t="s">
        <v>2258</v>
      </c>
      <c r="F18" s="232" t="s">
        <v>1861</v>
      </c>
      <c r="G18" s="308">
        <v>81897710001</v>
      </c>
      <c r="H18" s="322">
        <v>145.7941304347826</v>
      </c>
      <c r="I18" s="400">
        <f t="shared" si="0"/>
        <v>583.17652173913041</v>
      </c>
    </row>
    <row r="19" spans="1:9" x14ac:dyDescent="0.25">
      <c r="A19" s="1" t="s">
        <v>606</v>
      </c>
      <c r="B19" s="30">
        <v>2</v>
      </c>
      <c r="C19" s="46" t="s">
        <v>607</v>
      </c>
      <c r="D19" s="99" t="s">
        <v>8</v>
      </c>
      <c r="E19" s="195" t="s">
        <v>2398</v>
      </c>
      <c r="F19" s="228" t="s">
        <v>1872</v>
      </c>
      <c r="G19" s="308">
        <v>81897710023</v>
      </c>
      <c r="H19" s="322">
        <v>553.39434782608691</v>
      </c>
      <c r="I19" s="400">
        <f t="shared" si="0"/>
        <v>1106.7886956521738</v>
      </c>
    </row>
    <row r="20" spans="1:9" x14ac:dyDescent="0.25">
      <c r="A20" s="1" t="s">
        <v>608</v>
      </c>
      <c r="B20" s="30">
        <v>2</v>
      </c>
      <c r="C20" s="46" t="s">
        <v>609</v>
      </c>
      <c r="D20" s="99" t="s">
        <v>8</v>
      </c>
      <c r="E20" s="195" t="s">
        <v>2399</v>
      </c>
      <c r="F20" s="228" t="s">
        <v>1874</v>
      </c>
      <c r="G20" s="308">
        <v>81897710023</v>
      </c>
      <c r="H20" s="322">
        <v>446.04</v>
      </c>
      <c r="I20" s="400">
        <f t="shared" si="0"/>
        <v>892.08</v>
      </c>
    </row>
    <row r="21" spans="1:9" x14ac:dyDescent="0.25">
      <c r="A21" s="23" t="s">
        <v>610</v>
      </c>
      <c r="B21" s="48">
        <v>1</v>
      </c>
      <c r="C21" s="65" t="s">
        <v>611</v>
      </c>
      <c r="D21" s="99" t="s">
        <v>8</v>
      </c>
      <c r="E21" s="195" t="s">
        <v>2400</v>
      </c>
      <c r="F21" s="228" t="s">
        <v>1873</v>
      </c>
      <c r="G21" s="308">
        <v>81897710023</v>
      </c>
      <c r="H21" s="322">
        <v>545.08304347826083</v>
      </c>
      <c r="I21" s="400">
        <f t="shared" si="0"/>
        <v>545.08304347826083</v>
      </c>
    </row>
    <row r="22" spans="1:9" x14ac:dyDescent="0.25">
      <c r="A22" s="1" t="s">
        <v>612</v>
      </c>
      <c r="B22" s="30">
        <v>1</v>
      </c>
      <c r="C22" s="46" t="s">
        <v>613</v>
      </c>
      <c r="D22" s="99" t="s">
        <v>8</v>
      </c>
      <c r="E22" s="195" t="s">
        <v>2401</v>
      </c>
      <c r="F22" s="228" t="s">
        <v>1883</v>
      </c>
      <c r="G22" s="308">
        <v>81897710001</v>
      </c>
      <c r="H22" s="322">
        <v>187.69695652173914</v>
      </c>
      <c r="I22" s="400">
        <f t="shared" si="0"/>
        <v>187.69695652173914</v>
      </c>
    </row>
    <row r="23" spans="1:9" x14ac:dyDescent="0.25">
      <c r="A23" s="1" t="s">
        <v>614</v>
      </c>
      <c r="B23" s="30">
        <v>2</v>
      </c>
      <c r="C23" s="46" t="s">
        <v>65</v>
      </c>
      <c r="D23" s="99" t="s">
        <v>8</v>
      </c>
      <c r="E23" s="195" t="s">
        <v>2270</v>
      </c>
      <c r="F23" s="341" t="s">
        <v>1894</v>
      </c>
      <c r="G23" s="308">
        <v>81897710001</v>
      </c>
      <c r="H23" s="322">
        <v>111.8563043478261</v>
      </c>
      <c r="I23" s="400">
        <f t="shared" si="0"/>
        <v>223.71260869565219</v>
      </c>
    </row>
    <row r="24" spans="1:9" x14ac:dyDescent="0.25">
      <c r="A24" s="1" t="s">
        <v>615</v>
      </c>
      <c r="B24" s="30">
        <v>6</v>
      </c>
      <c r="C24" s="46" t="s">
        <v>24</v>
      </c>
      <c r="D24" s="99" t="s">
        <v>8</v>
      </c>
      <c r="E24" s="195" t="s">
        <v>2243</v>
      </c>
      <c r="F24" s="228" t="s">
        <v>1844</v>
      </c>
      <c r="G24" s="308">
        <v>81897710001</v>
      </c>
      <c r="H24" s="322">
        <v>111.8563043478261</v>
      </c>
      <c r="I24" s="400">
        <f t="shared" si="0"/>
        <v>671.13782608695658</v>
      </c>
    </row>
    <row r="25" spans="1:9" x14ac:dyDescent="0.25">
      <c r="A25" s="1" t="s">
        <v>617</v>
      </c>
      <c r="B25" s="30">
        <v>4</v>
      </c>
      <c r="C25" s="46" t="s">
        <v>26</v>
      </c>
      <c r="D25" s="99" t="s">
        <v>8</v>
      </c>
      <c r="E25" s="195" t="s">
        <v>2244</v>
      </c>
      <c r="F25" s="228" t="s">
        <v>1845</v>
      </c>
      <c r="G25" s="308">
        <v>81897710001</v>
      </c>
      <c r="H25" s="322">
        <v>109.08586956521739</v>
      </c>
      <c r="I25" s="400">
        <f t="shared" si="0"/>
        <v>436.34347826086957</v>
      </c>
    </row>
    <row r="26" spans="1:9" x14ac:dyDescent="0.25">
      <c r="A26" s="1" t="s">
        <v>619</v>
      </c>
      <c r="B26" s="30">
        <v>1</v>
      </c>
      <c r="C26" s="46" t="s">
        <v>620</v>
      </c>
      <c r="D26" s="99" t="s">
        <v>8</v>
      </c>
      <c r="E26" s="195" t="s">
        <v>2402</v>
      </c>
      <c r="F26" s="228" t="s">
        <v>2028</v>
      </c>
      <c r="G26" s="308">
        <v>81897710023</v>
      </c>
      <c r="H26" s="322">
        <v>633.39065217391305</v>
      </c>
      <c r="I26" s="400">
        <f t="shared" si="0"/>
        <v>633.39065217391305</v>
      </c>
    </row>
    <row r="27" spans="1:9" x14ac:dyDescent="0.25">
      <c r="A27" s="1" t="s">
        <v>621</v>
      </c>
      <c r="B27" s="30">
        <v>2</v>
      </c>
      <c r="C27" s="46" t="s">
        <v>607</v>
      </c>
      <c r="D27" s="99" t="s">
        <v>8</v>
      </c>
      <c r="E27" s="195" t="s">
        <v>2403</v>
      </c>
      <c r="F27" s="228" t="s">
        <v>2029</v>
      </c>
      <c r="G27" s="308">
        <v>81897710023</v>
      </c>
      <c r="H27" s="322">
        <v>567.24652173913046</v>
      </c>
      <c r="I27" s="400">
        <f t="shared" si="0"/>
        <v>1134.4930434782609</v>
      </c>
    </row>
    <row r="28" spans="1:9" x14ac:dyDescent="0.25">
      <c r="A28" s="1" t="s">
        <v>622</v>
      </c>
      <c r="B28" s="30">
        <v>1</v>
      </c>
      <c r="C28" s="46" t="s">
        <v>623</v>
      </c>
      <c r="D28" s="99" t="s">
        <v>8</v>
      </c>
      <c r="E28" s="195" t="s">
        <v>2404</v>
      </c>
      <c r="F28" s="228" t="s">
        <v>2030</v>
      </c>
      <c r="G28" s="308">
        <v>81897710001</v>
      </c>
      <c r="H28" s="322">
        <v>1599.5797826086955</v>
      </c>
      <c r="I28" s="400">
        <f t="shared" si="0"/>
        <v>1599.5797826086955</v>
      </c>
    </row>
    <row r="29" spans="1:9" x14ac:dyDescent="0.25">
      <c r="A29" s="23" t="s">
        <v>624</v>
      </c>
      <c r="B29" s="48">
        <v>1</v>
      </c>
      <c r="C29" s="65" t="s">
        <v>113</v>
      </c>
      <c r="D29" s="99" t="s">
        <v>8</v>
      </c>
      <c r="E29" s="195" t="s">
        <v>2405</v>
      </c>
      <c r="F29" s="260" t="s">
        <v>1929</v>
      </c>
      <c r="G29" s="308">
        <v>81897710001</v>
      </c>
      <c r="H29" s="322">
        <v>165.18717391304347</v>
      </c>
      <c r="I29" s="400">
        <f t="shared" si="0"/>
        <v>165.18717391304347</v>
      </c>
    </row>
    <row r="30" spans="1:9" x14ac:dyDescent="0.25">
      <c r="A30" s="23" t="s">
        <v>625</v>
      </c>
      <c r="B30" s="48">
        <v>2</v>
      </c>
      <c r="C30" s="65" t="s">
        <v>115</v>
      </c>
      <c r="D30" s="99" t="s">
        <v>8</v>
      </c>
      <c r="E30" s="195" t="s">
        <v>2335</v>
      </c>
      <c r="F30" s="340" t="s">
        <v>1928</v>
      </c>
      <c r="G30" s="308">
        <v>81897710001</v>
      </c>
      <c r="H30" s="322">
        <v>184.92652173913044</v>
      </c>
      <c r="I30" s="400">
        <f t="shared" si="0"/>
        <v>369.85304347826087</v>
      </c>
    </row>
    <row r="31" spans="1:9" x14ac:dyDescent="0.25">
      <c r="A31" s="23" t="s">
        <v>626</v>
      </c>
      <c r="B31" s="48">
        <v>1</v>
      </c>
      <c r="C31" s="65" t="s">
        <v>627</v>
      </c>
      <c r="D31" s="99" t="s">
        <v>8</v>
      </c>
      <c r="E31" s="195" t="s">
        <v>2406</v>
      </c>
      <c r="F31" s="260" t="s">
        <v>1939</v>
      </c>
      <c r="G31" s="308">
        <v>81897710001</v>
      </c>
      <c r="H31" s="322">
        <v>917.01391304347828</v>
      </c>
      <c r="I31" s="400">
        <f t="shared" si="0"/>
        <v>917.01391304347828</v>
      </c>
    </row>
    <row r="32" spans="1:9" x14ac:dyDescent="0.25">
      <c r="A32" s="23" t="s">
        <v>628</v>
      </c>
      <c r="B32" s="48">
        <v>1</v>
      </c>
      <c r="C32" s="65" t="s">
        <v>629</v>
      </c>
      <c r="D32" s="99" t="s">
        <v>8</v>
      </c>
      <c r="E32" s="195" t="s">
        <v>2407</v>
      </c>
      <c r="F32" s="48" t="s">
        <v>1957</v>
      </c>
      <c r="G32" s="308">
        <v>81897710017</v>
      </c>
      <c r="H32" s="322">
        <v>135.40500000000003</v>
      </c>
      <c r="I32" s="400">
        <f t="shared" si="0"/>
        <v>135.40500000000003</v>
      </c>
    </row>
    <row r="33" spans="1:9" x14ac:dyDescent="0.25">
      <c r="A33" s="23" t="s">
        <v>630</v>
      </c>
      <c r="B33" s="48">
        <v>1</v>
      </c>
      <c r="C33" s="65" t="s">
        <v>631</v>
      </c>
      <c r="D33" s="99" t="s">
        <v>8</v>
      </c>
      <c r="E33" s="195" t="s">
        <v>2408</v>
      </c>
      <c r="F33" s="48" t="s">
        <v>1958</v>
      </c>
      <c r="G33" s="308">
        <v>81897710017</v>
      </c>
      <c r="H33" s="322">
        <v>313.75173913043477</v>
      </c>
      <c r="I33" s="400">
        <f t="shared" si="0"/>
        <v>313.75173913043477</v>
      </c>
    </row>
    <row r="34" spans="1:9" x14ac:dyDescent="0.25">
      <c r="A34" s="23" t="s">
        <v>632</v>
      </c>
      <c r="B34" s="48">
        <v>1</v>
      </c>
      <c r="C34" s="65" t="s">
        <v>633</v>
      </c>
      <c r="D34" s="99" t="s">
        <v>8</v>
      </c>
      <c r="E34" s="195" t="s">
        <v>2409</v>
      </c>
      <c r="F34" s="48" t="s">
        <v>1963</v>
      </c>
      <c r="G34" s="308">
        <v>81897710017</v>
      </c>
      <c r="H34" s="322">
        <v>103.19869565217391</v>
      </c>
      <c r="I34" s="400">
        <f t="shared" si="0"/>
        <v>103.19869565217391</v>
      </c>
    </row>
    <row r="35" spans="1:9" x14ac:dyDescent="0.25">
      <c r="A35" s="23" t="s">
        <v>634</v>
      </c>
      <c r="B35" s="48">
        <v>1</v>
      </c>
      <c r="C35" s="65" t="s">
        <v>635</v>
      </c>
      <c r="D35" s="99" t="s">
        <v>8</v>
      </c>
      <c r="E35" s="195" t="s">
        <v>2410</v>
      </c>
      <c r="F35" s="30" t="s">
        <v>1966</v>
      </c>
      <c r="G35" s="308">
        <v>81897710017</v>
      </c>
      <c r="H35" s="322">
        <v>121.55282608695654</v>
      </c>
      <c r="I35" s="400">
        <f t="shared" si="0"/>
        <v>121.55282608695654</v>
      </c>
    </row>
    <row r="36" spans="1:9" x14ac:dyDescent="0.25">
      <c r="A36" s="23" t="s">
        <v>636</v>
      </c>
      <c r="B36" s="48">
        <v>1</v>
      </c>
      <c r="C36" s="65" t="s">
        <v>637</v>
      </c>
      <c r="D36" s="99" t="s">
        <v>8</v>
      </c>
      <c r="E36" s="195" t="s">
        <v>2411</v>
      </c>
      <c r="F36" s="48" t="s">
        <v>1970</v>
      </c>
      <c r="G36" s="308">
        <v>81897710017</v>
      </c>
      <c r="H36" s="322">
        <v>118.78239130434784</v>
      </c>
      <c r="I36" s="400">
        <f t="shared" si="0"/>
        <v>118.78239130434784</v>
      </c>
    </row>
    <row r="37" spans="1:9" x14ac:dyDescent="0.25">
      <c r="I37" s="388">
        <f>SUM(I2:I36)</f>
        <v>19197.535434782611</v>
      </c>
    </row>
  </sheetData>
  <sortState xmlns:xlrd2="http://schemas.microsoft.com/office/spreadsheetml/2017/richdata2" ref="A2:D36">
    <sortCondition ref="A1:A36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EE0CC-DDBD-4AE3-8F2F-A73D4C5E0E62}">
  <sheetPr codeName="Planilha14">
    <tabColor rgb="FF92D050"/>
  </sheetPr>
  <dimension ref="A1:I29"/>
  <sheetViews>
    <sheetView workbookViewId="0">
      <pane ySplit="1" topLeftCell="A2" activePane="bottomLeft" state="frozen"/>
      <selection activeCell="A53" sqref="A53"/>
      <selection pane="bottomLeft" activeCell="E5" sqref="E5"/>
    </sheetView>
  </sheetViews>
  <sheetFormatPr defaultRowHeight="15" x14ac:dyDescent="0.25"/>
  <cols>
    <col min="1" max="1" width="36" bestFit="1" customWidth="1"/>
    <col min="2" max="2" width="19.7109375" customWidth="1"/>
    <col min="3" max="4" width="19" customWidth="1"/>
    <col min="5" max="5" width="31.85546875" customWidth="1"/>
    <col min="6" max="6" width="13.28515625" style="40" customWidth="1"/>
    <col min="7" max="7" width="12.7109375" style="40" customWidth="1"/>
    <col min="8" max="8" width="19.7109375" style="324" customWidth="1"/>
    <col min="9" max="9" width="15.140625" style="40" customWidth="1"/>
  </cols>
  <sheetData>
    <row r="1" spans="1:9" ht="15.75" x14ac:dyDescent="0.25">
      <c r="A1" s="84" t="s">
        <v>0</v>
      </c>
      <c r="B1" s="42" t="s">
        <v>305</v>
      </c>
      <c r="C1" s="116" t="s">
        <v>360</v>
      </c>
      <c r="D1" s="197" t="s">
        <v>1721</v>
      </c>
      <c r="E1" s="194" t="s">
        <v>1723</v>
      </c>
      <c r="F1" s="194" t="s">
        <v>1724</v>
      </c>
      <c r="G1" s="194" t="s">
        <v>1722</v>
      </c>
      <c r="H1" s="321" t="s">
        <v>1725</v>
      </c>
      <c r="I1" s="194" t="s">
        <v>2317</v>
      </c>
    </row>
    <row r="2" spans="1:9" x14ac:dyDescent="0.25">
      <c r="A2" s="1" t="s">
        <v>668</v>
      </c>
      <c r="B2" s="284">
        <v>2</v>
      </c>
      <c r="C2" s="118" t="s">
        <v>232</v>
      </c>
      <c r="D2" s="99" t="s">
        <v>8</v>
      </c>
      <c r="E2" s="195" t="s">
        <v>2210</v>
      </c>
      <c r="F2" s="228" t="s">
        <v>1735</v>
      </c>
      <c r="G2" s="308">
        <v>81897710001</v>
      </c>
      <c r="H2" s="322">
        <v>947.83500000000015</v>
      </c>
      <c r="I2" s="400">
        <f>H2*B2</f>
        <v>1895.6700000000003</v>
      </c>
    </row>
    <row r="3" spans="1:9" x14ac:dyDescent="0.25">
      <c r="A3" s="23" t="s">
        <v>656</v>
      </c>
      <c r="B3" s="265">
        <v>2</v>
      </c>
      <c r="C3" s="65" t="s">
        <v>14</v>
      </c>
      <c r="D3" s="99" t="s">
        <v>8</v>
      </c>
      <c r="E3" s="195" t="s">
        <v>2199</v>
      </c>
      <c r="F3" s="232" t="s">
        <v>1733</v>
      </c>
      <c r="G3" s="308">
        <v>81897710023</v>
      </c>
      <c r="H3" s="322">
        <v>270.4636956521739</v>
      </c>
      <c r="I3" s="400">
        <f t="shared" ref="I3:I28" si="0">H3*B3</f>
        <v>540.92739130434779</v>
      </c>
    </row>
    <row r="4" spans="1:9" x14ac:dyDescent="0.25">
      <c r="A4" s="23" t="s">
        <v>655</v>
      </c>
      <c r="B4" s="48">
        <v>2</v>
      </c>
      <c r="C4" s="65" t="s">
        <v>12</v>
      </c>
      <c r="D4" s="99" t="s">
        <v>8</v>
      </c>
      <c r="E4" s="195" t="s">
        <v>2198</v>
      </c>
      <c r="F4" s="260" t="s">
        <v>1740</v>
      </c>
      <c r="G4" s="308">
        <v>81897710023</v>
      </c>
      <c r="H4" s="322">
        <v>270.4636956521739</v>
      </c>
      <c r="I4" s="400">
        <f t="shared" si="0"/>
        <v>540.92739130434779</v>
      </c>
    </row>
    <row r="5" spans="1:9" x14ac:dyDescent="0.25">
      <c r="A5" s="267" t="s">
        <v>313</v>
      </c>
      <c r="B5" s="30">
        <v>1</v>
      </c>
      <c r="C5" s="46">
        <v>662250</v>
      </c>
      <c r="D5" s="99" t="s">
        <v>501</v>
      </c>
      <c r="E5" s="195" t="s">
        <v>2653</v>
      </c>
      <c r="F5" s="228" t="s">
        <v>2322</v>
      </c>
      <c r="G5" s="308" t="s">
        <v>2336</v>
      </c>
      <c r="H5" s="322">
        <v>2378.3413043478263</v>
      </c>
      <c r="I5" s="400">
        <f t="shared" si="0"/>
        <v>2378.3413043478263</v>
      </c>
    </row>
    <row r="6" spans="1:9" x14ac:dyDescent="0.25">
      <c r="A6" s="23" t="s">
        <v>644</v>
      </c>
      <c r="B6" s="48">
        <v>2</v>
      </c>
      <c r="C6" s="65" t="s">
        <v>601</v>
      </c>
      <c r="D6" s="99" t="s">
        <v>8</v>
      </c>
      <c r="E6" s="195" t="s">
        <v>2247</v>
      </c>
      <c r="F6" s="260" t="s">
        <v>1731</v>
      </c>
      <c r="G6" s="308">
        <v>81897710023</v>
      </c>
      <c r="H6" s="322">
        <v>93.502173913043478</v>
      </c>
      <c r="I6" s="400">
        <f t="shared" si="0"/>
        <v>187.00434782608696</v>
      </c>
    </row>
    <row r="7" spans="1:9" x14ac:dyDescent="0.25">
      <c r="A7" s="23" t="s">
        <v>642</v>
      </c>
      <c r="B7" s="48">
        <v>2</v>
      </c>
      <c r="C7" s="65" t="s">
        <v>33</v>
      </c>
      <c r="D7" s="99" t="s">
        <v>8</v>
      </c>
      <c r="E7" s="195" t="s">
        <v>2248</v>
      </c>
      <c r="F7" s="260" t="s">
        <v>1730</v>
      </c>
      <c r="G7" s="308">
        <v>81897710023</v>
      </c>
      <c r="H7" s="322">
        <v>90.385434782608684</v>
      </c>
      <c r="I7" s="400">
        <f t="shared" si="0"/>
        <v>180.77086956521737</v>
      </c>
    </row>
    <row r="8" spans="1:9" x14ac:dyDescent="0.25">
      <c r="A8" s="23" t="s">
        <v>641</v>
      </c>
      <c r="B8" s="48">
        <v>2</v>
      </c>
      <c r="C8" s="65" t="s">
        <v>45</v>
      </c>
      <c r="D8" s="99" t="s">
        <v>8</v>
      </c>
      <c r="E8" s="195" t="s">
        <v>2253</v>
      </c>
      <c r="F8" s="260" t="s">
        <v>1852</v>
      </c>
      <c r="G8" s="308">
        <v>81897710023</v>
      </c>
      <c r="H8" s="322">
        <v>100.77456521739131</v>
      </c>
      <c r="I8" s="400">
        <f t="shared" si="0"/>
        <v>201.54913043478263</v>
      </c>
    </row>
    <row r="9" spans="1:9" x14ac:dyDescent="0.25">
      <c r="A9" s="1" t="s">
        <v>306</v>
      </c>
      <c r="B9" s="30">
        <v>6</v>
      </c>
      <c r="C9" s="46">
        <v>971</v>
      </c>
      <c r="D9" s="99" t="s">
        <v>4</v>
      </c>
      <c r="E9" s="195" t="s">
        <v>2257</v>
      </c>
      <c r="F9" s="254" t="s">
        <v>1862</v>
      </c>
      <c r="G9" s="308">
        <v>81897710001</v>
      </c>
      <c r="H9" s="322">
        <v>305.9021739130435</v>
      </c>
      <c r="I9" s="400">
        <f t="shared" si="0"/>
        <v>1835.413043478261</v>
      </c>
    </row>
    <row r="10" spans="1:9" x14ac:dyDescent="0.25">
      <c r="A10" s="1" t="s">
        <v>308</v>
      </c>
      <c r="B10" s="30">
        <v>6</v>
      </c>
      <c r="C10" s="46">
        <v>957</v>
      </c>
      <c r="D10" s="99" t="s">
        <v>4</v>
      </c>
      <c r="E10" s="195" t="s">
        <v>2258</v>
      </c>
      <c r="F10" s="260" t="s">
        <v>1861</v>
      </c>
      <c r="G10" s="308">
        <v>81897710001</v>
      </c>
      <c r="H10" s="322">
        <v>145.7941304347826</v>
      </c>
      <c r="I10" s="400">
        <f t="shared" si="0"/>
        <v>874.76478260869567</v>
      </c>
    </row>
    <row r="11" spans="1:9" x14ac:dyDescent="0.25">
      <c r="A11" s="23" t="s">
        <v>645</v>
      </c>
      <c r="B11" s="48">
        <v>1</v>
      </c>
      <c r="C11" s="65" t="s">
        <v>53</v>
      </c>
      <c r="D11" s="99" t="s">
        <v>8</v>
      </c>
      <c r="E11" s="195" t="s">
        <v>2260</v>
      </c>
      <c r="F11" s="260" t="s">
        <v>1866</v>
      </c>
      <c r="G11" s="308">
        <v>81897710001</v>
      </c>
      <c r="H11" s="322">
        <v>545.08304347826083</v>
      </c>
      <c r="I11" s="400">
        <f t="shared" si="0"/>
        <v>545.08304347826083</v>
      </c>
    </row>
    <row r="12" spans="1:9" x14ac:dyDescent="0.25">
      <c r="A12" s="23" t="s">
        <v>652</v>
      </c>
      <c r="B12" s="48">
        <v>7</v>
      </c>
      <c r="C12" s="65" t="s">
        <v>653</v>
      </c>
      <c r="D12" s="99" t="s">
        <v>8</v>
      </c>
      <c r="E12" s="195" t="s">
        <v>2412</v>
      </c>
      <c r="F12" s="260" t="s">
        <v>1868</v>
      </c>
      <c r="G12" s="308">
        <v>81897710001</v>
      </c>
      <c r="H12" s="322">
        <v>137.13652173913044</v>
      </c>
      <c r="I12" s="400">
        <f t="shared" si="0"/>
        <v>959.95565217391311</v>
      </c>
    </row>
    <row r="13" spans="1:9" x14ac:dyDescent="0.25">
      <c r="A13" s="23" t="s">
        <v>650</v>
      </c>
      <c r="B13" s="48">
        <v>7</v>
      </c>
      <c r="C13" s="65" t="s">
        <v>651</v>
      </c>
      <c r="D13" s="99" t="s">
        <v>8</v>
      </c>
      <c r="E13" s="195" t="s">
        <v>2413</v>
      </c>
      <c r="F13" s="260" t="s">
        <v>1869</v>
      </c>
      <c r="G13" s="308">
        <v>81897710001</v>
      </c>
      <c r="H13" s="322">
        <v>134.36608695652174</v>
      </c>
      <c r="I13" s="400">
        <f t="shared" si="0"/>
        <v>940.56260869565222</v>
      </c>
    </row>
    <row r="14" spans="1:9" x14ac:dyDescent="0.25">
      <c r="A14" s="23" t="s">
        <v>643</v>
      </c>
      <c r="B14" s="48">
        <v>2</v>
      </c>
      <c r="C14" s="65" t="s">
        <v>57</v>
      </c>
      <c r="D14" s="99" t="s">
        <v>8</v>
      </c>
      <c r="E14" s="195" t="s">
        <v>2265</v>
      </c>
      <c r="F14" s="342" t="s">
        <v>1876</v>
      </c>
      <c r="G14" s="308">
        <v>81897710023</v>
      </c>
      <c r="H14" s="322">
        <v>104.93021739130435</v>
      </c>
      <c r="I14" s="400">
        <f t="shared" si="0"/>
        <v>209.86043478260871</v>
      </c>
    </row>
    <row r="15" spans="1:9" x14ac:dyDescent="0.25">
      <c r="A15" s="23" t="s">
        <v>646</v>
      </c>
      <c r="B15" s="48">
        <v>5</v>
      </c>
      <c r="C15" s="65" t="s">
        <v>26</v>
      </c>
      <c r="D15" s="99" t="s">
        <v>8</v>
      </c>
      <c r="E15" s="195" t="s">
        <v>2244</v>
      </c>
      <c r="F15" s="260" t="s">
        <v>1845</v>
      </c>
      <c r="G15" s="308">
        <v>81897710001</v>
      </c>
      <c r="H15" s="322">
        <v>109.08586956521739</v>
      </c>
      <c r="I15" s="400">
        <f t="shared" si="0"/>
        <v>545.429347826087</v>
      </c>
    </row>
    <row r="16" spans="1:9" x14ac:dyDescent="0.25">
      <c r="A16" s="23" t="s">
        <v>654</v>
      </c>
      <c r="B16" s="48">
        <v>2</v>
      </c>
      <c r="C16" s="65" t="s">
        <v>84</v>
      </c>
      <c r="D16" s="99" t="s">
        <v>8</v>
      </c>
      <c r="E16" s="195" t="s">
        <v>2282</v>
      </c>
      <c r="F16" s="260" t="s">
        <v>1904</v>
      </c>
      <c r="G16" s="308">
        <v>81897710001</v>
      </c>
      <c r="H16" s="322">
        <v>253.14847826086952</v>
      </c>
      <c r="I16" s="400">
        <f t="shared" si="0"/>
        <v>506.29695652173905</v>
      </c>
    </row>
    <row r="17" spans="1:9" x14ac:dyDescent="0.25">
      <c r="A17" s="23" t="s">
        <v>647</v>
      </c>
      <c r="B17" s="48">
        <v>10</v>
      </c>
      <c r="C17" s="65" t="s">
        <v>24</v>
      </c>
      <c r="D17" s="99" t="s">
        <v>8</v>
      </c>
      <c r="E17" s="195" t="s">
        <v>2243</v>
      </c>
      <c r="F17" s="260" t="s">
        <v>1844</v>
      </c>
      <c r="G17" s="308">
        <v>81897710001</v>
      </c>
      <c r="H17" s="322">
        <v>111.8563043478261</v>
      </c>
      <c r="I17" s="400">
        <f t="shared" si="0"/>
        <v>1118.5630434782611</v>
      </c>
    </row>
    <row r="18" spans="1:9" x14ac:dyDescent="0.25">
      <c r="A18" s="23" t="s">
        <v>648</v>
      </c>
      <c r="B18" s="48">
        <v>11</v>
      </c>
      <c r="C18" s="65" t="s">
        <v>649</v>
      </c>
      <c r="D18" s="99" t="s">
        <v>8</v>
      </c>
      <c r="E18" s="195" t="s">
        <v>2243</v>
      </c>
      <c r="F18" s="260" t="s">
        <v>1844</v>
      </c>
      <c r="G18" s="308">
        <v>81897710001</v>
      </c>
      <c r="H18" s="322">
        <v>111.8563043478261</v>
      </c>
      <c r="I18" s="400">
        <f t="shared" si="0"/>
        <v>1230.419347826087</v>
      </c>
    </row>
    <row r="19" spans="1:9" x14ac:dyDescent="0.25">
      <c r="A19" s="23" t="s">
        <v>657</v>
      </c>
      <c r="B19" s="48">
        <v>2</v>
      </c>
      <c r="C19" s="65" t="s">
        <v>658</v>
      </c>
      <c r="D19" s="99" t="s">
        <v>8</v>
      </c>
      <c r="E19" s="195" t="s">
        <v>2286</v>
      </c>
      <c r="F19" s="315" t="s">
        <v>1922</v>
      </c>
      <c r="G19" s="308">
        <v>81897710001</v>
      </c>
      <c r="H19" s="322">
        <v>729.66326086956531</v>
      </c>
      <c r="I19" s="400">
        <f t="shared" si="0"/>
        <v>1459.3265217391306</v>
      </c>
    </row>
    <row r="20" spans="1:9" x14ac:dyDescent="0.25">
      <c r="A20" s="23" t="s">
        <v>624</v>
      </c>
      <c r="B20" s="48">
        <v>2</v>
      </c>
      <c r="C20" s="65" t="s">
        <v>113</v>
      </c>
      <c r="D20" s="99" t="s">
        <v>8</v>
      </c>
      <c r="E20" s="195" t="s">
        <v>2405</v>
      </c>
      <c r="F20" s="260" t="s">
        <v>1929</v>
      </c>
      <c r="G20" s="308">
        <v>81897710001</v>
      </c>
      <c r="H20" s="322">
        <v>165.18717391304347</v>
      </c>
      <c r="I20" s="400">
        <f t="shared" si="0"/>
        <v>330.37434782608693</v>
      </c>
    </row>
    <row r="21" spans="1:9" x14ac:dyDescent="0.25">
      <c r="A21" s="1" t="s">
        <v>666</v>
      </c>
      <c r="B21" s="30">
        <v>1</v>
      </c>
      <c r="C21" s="46" t="s">
        <v>667</v>
      </c>
      <c r="D21" s="99" t="s">
        <v>8</v>
      </c>
      <c r="E21" s="195" t="s">
        <v>2299</v>
      </c>
      <c r="F21" s="254" t="s">
        <v>1954</v>
      </c>
      <c r="G21" s="308">
        <v>81897710017</v>
      </c>
      <c r="H21" s="322">
        <v>83.805652173913046</v>
      </c>
      <c r="I21" s="400">
        <f t="shared" si="0"/>
        <v>83.805652173913046</v>
      </c>
    </row>
    <row r="22" spans="1:9" x14ac:dyDescent="0.25">
      <c r="A22" s="1" t="s">
        <v>664</v>
      </c>
      <c r="B22" s="30">
        <v>1</v>
      </c>
      <c r="C22" s="46" t="s">
        <v>665</v>
      </c>
      <c r="D22" s="99" t="s">
        <v>8</v>
      </c>
      <c r="E22" s="195" t="s">
        <v>2300</v>
      </c>
      <c r="F22" s="254" t="s">
        <v>1961</v>
      </c>
      <c r="G22" s="308">
        <v>81897710017</v>
      </c>
      <c r="H22" s="322">
        <v>81.035217391304343</v>
      </c>
      <c r="I22" s="400">
        <f t="shared" si="0"/>
        <v>81.035217391304343</v>
      </c>
    </row>
    <row r="23" spans="1:9" x14ac:dyDescent="0.25">
      <c r="A23" s="23" t="s">
        <v>632</v>
      </c>
      <c r="B23" s="48">
        <v>1</v>
      </c>
      <c r="C23" s="65" t="s">
        <v>633</v>
      </c>
      <c r="D23" s="99" t="s">
        <v>8</v>
      </c>
      <c r="E23" s="195" t="s">
        <v>2409</v>
      </c>
      <c r="F23" s="260" t="s">
        <v>1963</v>
      </c>
      <c r="G23" s="308">
        <v>81897710017</v>
      </c>
      <c r="H23" s="322">
        <v>103.19869565217391</v>
      </c>
      <c r="I23" s="400">
        <f t="shared" si="0"/>
        <v>103.19869565217391</v>
      </c>
    </row>
    <row r="24" spans="1:9" x14ac:dyDescent="0.25">
      <c r="A24" s="23" t="s">
        <v>659</v>
      </c>
      <c r="B24" s="48">
        <v>1</v>
      </c>
      <c r="C24" s="65" t="s">
        <v>660</v>
      </c>
      <c r="D24" s="99" t="s">
        <v>8</v>
      </c>
      <c r="E24" s="195" t="s">
        <v>2414</v>
      </c>
      <c r="F24" s="341" t="s">
        <v>1955</v>
      </c>
      <c r="G24" s="308">
        <v>81897710017</v>
      </c>
      <c r="H24" s="322">
        <v>100.08195652173913</v>
      </c>
      <c r="I24" s="400">
        <f t="shared" si="0"/>
        <v>100.08195652173913</v>
      </c>
    </row>
    <row r="25" spans="1:9" x14ac:dyDescent="0.25">
      <c r="A25" s="23" t="s">
        <v>663</v>
      </c>
      <c r="B25" s="48">
        <v>1</v>
      </c>
      <c r="C25" s="65" t="s">
        <v>635</v>
      </c>
      <c r="D25" s="99" t="s">
        <v>8</v>
      </c>
      <c r="E25" s="195" t="s">
        <v>2410</v>
      </c>
      <c r="F25" s="260" t="s">
        <v>1966</v>
      </c>
      <c r="G25" s="308">
        <v>81897710017</v>
      </c>
      <c r="H25" s="322">
        <v>121.55282608695654</v>
      </c>
      <c r="I25" s="400">
        <f t="shared" si="0"/>
        <v>121.55282608695654</v>
      </c>
    </row>
    <row r="26" spans="1:9" x14ac:dyDescent="0.25">
      <c r="A26" s="23" t="s">
        <v>661</v>
      </c>
      <c r="B26" s="48">
        <v>1</v>
      </c>
      <c r="C26" s="65" t="s">
        <v>662</v>
      </c>
      <c r="D26" s="99" t="s">
        <v>8</v>
      </c>
      <c r="E26" s="195" t="s">
        <v>2306</v>
      </c>
      <c r="F26" s="260" t="s">
        <v>1967</v>
      </c>
      <c r="G26" s="308">
        <v>81897710017</v>
      </c>
      <c r="H26" s="322">
        <v>157.91478260869562</v>
      </c>
      <c r="I26" s="400">
        <f t="shared" si="0"/>
        <v>157.91478260869562</v>
      </c>
    </row>
    <row r="27" spans="1:9" x14ac:dyDescent="0.25">
      <c r="A27" s="23" t="s">
        <v>636</v>
      </c>
      <c r="B27" s="48">
        <v>1</v>
      </c>
      <c r="C27" s="65" t="s">
        <v>637</v>
      </c>
      <c r="D27" s="99" t="s">
        <v>8</v>
      </c>
      <c r="E27" s="195" t="s">
        <v>2411</v>
      </c>
      <c r="F27" s="260" t="s">
        <v>1970</v>
      </c>
      <c r="G27" s="308">
        <v>81897710017</v>
      </c>
      <c r="H27" s="322">
        <v>118.78239130434784</v>
      </c>
      <c r="I27" s="400">
        <f t="shared" si="0"/>
        <v>118.78239130434784</v>
      </c>
    </row>
    <row r="28" spans="1:9" x14ac:dyDescent="0.25">
      <c r="A28" s="1" t="s">
        <v>638</v>
      </c>
      <c r="B28" s="30">
        <v>1</v>
      </c>
      <c r="C28" s="285" t="s">
        <v>639</v>
      </c>
      <c r="D28" s="99" t="s">
        <v>8</v>
      </c>
      <c r="E28" s="195" t="s">
        <v>2415</v>
      </c>
      <c r="F28" s="308" t="s">
        <v>1972</v>
      </c>
      <c r="G28" s="308">
        <v>81897710017</v>
      </c>
      <c r="H28" s="322">
        <v>330.37434782608693</v>
      </c>
      <c r="I28" s="400">
        <f t="shared" si="0"/>
        <v>330.37434782608693</v>
      </c>
    </row>
    <row r="29" spans="1:9" x14ac:dyDescent="0.25">
      <c r="I29" s="388">
        <f>SUM(I2:I28)</f>
        <v>17577.985434782608</v>
      </c>
    </row>
  </sheetData>
  <sortState xmlns:xlrd2="http://schemas.microsoft.com/office/spreadsheetml/2017/richdata2" ref="A2:D28">
    <sortCondition ref="A1:A28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409A-E9D8-47EC-ABF2-B5D9AC9B27FC}">
  <sheetPr codeName="Planilha15">
    <tabColor rgb="FF92D050"/>
  </sheetPr>
  <dimension ref="A1:I33"/>
  <sheetViews>
    <sheetView workbookViewId="0">
      <pane ySplit="1" topLeftCell="A2" activePane="bottomLeft" state="frozen"/>
      <selection activeCell="A53" sqref="A53"/>
      <selection pane="bottomLeft" activeCell="E14" sqref="E14"/>
    </sheetView>
  </sheetViews>
  <sheetFormatPr defaultRowHeight="15" x14ac:dyDescent="0.25"/>
  <cols>
    <col min="1" max="1" width="38.7109375" customWidth="1"/>
    <col min="2" max="2" width="12.7109375" customWidth="1"/>
    <col min="3" max="3" width="21.42578125" customWidth="1"/>
    <col min="4" max="4" width="21.28515625" bestFit="1" customWidth="1"/>
    <col min="5" max="5" width="34" customWidth="1"/>
    <col min="6" max="6" width="16.42578125" style="40" customWidth="1"/>
    <col min="7" max="7" width="15" style="40" customWidth="1"/>
    <col min="8" max="8" width="16.7109375" style="324" customWidth="1"/>
    <col min="9" max="9" width="15" customWidth="1"/>
  </cols>
  <sheetData>
    <row r="1" spans="1:9" ht="47.25" x14ac:dyDescent="0.25">
      <c r="A1" s="84" t="s">
        <v>0</v>
      </c>
      <c r="B1" s="42" t="s">
        <v>669</v>
      </c>
      <c r="C1" s="86" t="s">
        <v>2</v>
      </c>
      <c r="D1" s="197" t="s">
        <v>1721</v>
      </c>
      <c r="E1" s="194" t="s">
        <v>1723</v>
      </c>
      <c r="F1" s="194" t="s">
        <v>1724</v>
      </c>
      <c r="G1" s="194" t="s">
        <v>1722</v>
      </c>
      <c r="H1" s="321" t="s">
        <v>1725</v>
      </c>
      <c r="I1" s="194" t="s">
        <v>2317</v>
      </c>
    </row>
    <row r="2" spans="1:9" x14ac:dyDescent="0.25">
      <c r="A2" s="23" t="s">
        <v>671</v>
      </c>
      <c r="B2" s="48">
        <v>2</v>
      </c>
      <c r="C2" s="172" t="s">
        <v>14</v>
      </c>
      <c r="D2" s="64" t="s">
        <v>8</v>
      </c>
      <c r="E2" s="195" t="s">
        <v>2199</v>
      </c>
      <c r="F2" s="117" t="s">
        <v>1733</v>
      </c>
      <c r="G2" s="308">
        <v>81897710023</v>
      </c>
      <c r="H2" s="322">
        <v>270.4636956521739</v>
      </c>
      <c r="I2" s="322">
        <f>H2*B2</f>
        <v>540.92739130434779</v>
      </c>
    </row>
    <row r="3" spans="1:9" x14ac:dyDescent="0.25">
      <c r="A3" s="50" t="s">
        <v>670</v>
      </c>
      <c r="B3" s="57">
        <v>2</v>
      </c>
      <c r="C3" s="133" t="s">
        <v>12</v>
      </c>
      <c r="D3" s="64" t="s">
        <v>8</v>
      </c>
      <c r="E3" s="195" t="s">
        <v>2198</v>
      </c>
      <c r="F3" s="48" t="s">
        <v>1740</v>
      </c>
      <c r="G3" s="308">
        <v>81897710023</v>
      </c>
      <c r="H3" s="322">
        <v>270.4636956521739</v>
      </c>
      <c r="I3" s="322">
        <f t="shared" ref="I3:I32" si="0">H3*B3</f>
        <v>540.92739130434779</v>
      </c>
    </row>
    <row r="4" spans="1:9" x14ac:dyDescent="0.25">
      <c r="A4" s="50" t="s">
        <v>672</v>
      </c>
      <c r="B4" s="57">
        <v>2</v>
      </c>
      <c r="C4" s="133" t="s">
        <v>22</v>
      </c>
      <c r="D4" s="64" t="s">
        <v>8</v>
      </c>
      <c r="E4" s="195" t="s">
        <v>2209</v>
      </c>
      <c r="F4" s="48" t="s">
        <v>1750</v>
      </c>
      <c r="G4" s="308">
        <v>81897710023</v>
      </c>
      <c r="H4" s="322">
        <v>451.58086956521737</v>
      </c>
      <c r="I4" s="322">
        <f t="shared" si="0"/>
        <v>903.16173913043474</v>
      </c>
    </row>
    <row r="5" spans="1:9" x14ac:dyDescent="0.25">
      <c r="A5" s="302" t="s">
        <v>313</v>
      </c>
      <c r="B5" s="58">
        <v>1</v>
      </c>
      <c r="C5" s="65">
        <v>662250</v>
      </c>
      <c r="D5" s="64" t="s">
        <v>501</v>
      </c>
      <c r="E5" s="195" t="s">
        <v>2653</v>
      </c>
      <c r="F5" s="48" t="s">
        <v>2322</v>
      </c>
      <c r="G5" s="308" t="s">
        <v>2336</v>
      </c>
      <c r="H5" s="322">
        <v>2378.3413043478263</v>
      </c>
      <c r="I5" s="322">
        <f t="shared" si="0"/>
        <v>2378.3413043478263</v>
      </c>
    </row>
    <row r="6" spans="1:9" x14ac:dyDescent="0.25">
      <c r="A6" s="23" t="s">
        <v>673</v>
      </c>
      <c r="B6" s="48">
        <v>8</v>
      </c>
      <c r="C6" s="153" t="s">
        <v>24</v>
      </c>
      <c r="D6" s="64" t="s">
        <v>8</v>
      </c>
      <c r="E6" s="195" t="s">
        <v>2243</v>
      </c>
      <c r="F6" s="48" t="s">
        <v>1844</v>
      </c>
      <c r="G6" s="308">
        <v>81897710001</v>
      </c>
      <c r="H6" s="322">
        <v>111.8563043478261</v>
      </c>
      <c r="I6" s="322">
        <f t="shared" si="0"/>
        <v>894.85043478260877</v>
      </c>
    </row>
    <row r="7" spans="1:9" x14ac:dyDescent="0.25">
      <c r="A7" s="23" t="s">
        <v>674</v>
      </c>
      <c r="B7" s="48">
        <v>4</v>
      </c>
      <c r="C7" s="46" t="s">
        <v>26</v>
      </c>
      <c r="D7" s="64" t="s">
        <v>8</v>
      </c>
      <c r="E7" s="195" t="s">
        <v>2244</v>
      </c>
      <c r="F7" s="48" t="s">
        <v>1845</v>
      </c>
      <c r="G7" s="308">
        <v>81897710001</v>
      </c>
      <c r="H7" s="322">
        <v>109.08586956521739</v>
      </c>
      <c r="I7" s="322">
        <f t="shared" si="0"/>
        <v>436.34347826086957</v>
      </c>
    </row>
    <row r="8" spans="1:9" x14ac:dyDescent="0.25">
      <c r="A8" s="23" t="s">
        <v>27</v>
      </c>
      <c r="B8" s="48">
        <v>2</v>
      </c>
      <c r="C8" s="65" t="s">
        <v>28</v>
      </c>
      <c r="D8" s="64" t="s">
        <v>8</v>
      </c>
      <c r="E8" s="195" t="s">
        <v>2245</v>
      </c>
      <c r="F8" s="48" t="s">
        <v>1846</v>
      </c>
      <c r="G8" s="308">
        <v>81897710001</v>
      </c>
      <c r="H8" s="322">
        <v>205.35847826086956</v>
      </c>
      <c r="I8" s="322">
        <f t="shared" si="0"/>
        <v>410.71695652173912</v>
      </c>
    </row>
    <row r="9" spans="1:9" x14ac:dyDescent="0.25">
      <c r="A9" s="23" t="s">
        <v>29</v>
      </c>
      <c r="B9" s="48">
        <v>2</v>
      </c>
      <c r="C9" s="65" t="s">
        <v>601</v>
      </c>
      <c r="D9" s="64" t="s">
        <v>8</v>
      </c>
      <c r="E9" s="195" t="s">
        <v>2247</v>
      </c>
      <c r="F9" s="48" t="s">
        <v>1731</v>
      </c>
      <c r="G9" s="308">
        <v>81897710023</v>
      </c>
      <c r="H9" s="322">
        <v>93.502173913043478</v>
      </c>
      <c r="I9" s="322">
        <f t="shared" si="0"/>
        <v>187.00434782608696</v>
      </c>
    </row>
    <row r="10" spans="1:9" x14ac:dyDescent="0.25">
      <c r="A10" s="23" t="s">
        <v>32</v>
      </c>
      <c r="B10" s="48">
        <v>1</v>
      </c>
      <c r="C10" s="65" t="s">
        <v>33</v>
      </c>
      <c r="D10" s="64" t="s">
        <v>8</v>
      </c>
      <c r="E10" s="195" t="s">
        <v>2248</v>
      </c>
      <c r="F10" s="48" t="s">
        <v>1730</v>
      </c>
      <c r="G10" s="308">
        <v>81897710023</v>
      </c>
      <c r="H10" s="322">
        <v>90.385434782608684</v>
      </c>
      <c r="I10" s="322">
        <f t="shared" si="0"/>
        <v>90.385434782608684</v>
      </c>
    </row>
    <row r="11" spans="1:9" x14ac:dyDescent="0.25">
      <c r="A11" s="23" t="s">
        <v>675</v>
      </c>
      <c r="B11" s="48">
        <v>4</v>
      </c>
      <c r="C11" s="65" t="s">
        <v>36</v>
      </c>
      <c r="D11" s="64" t="s">
        <v>8</v>
      </c>
      <c r="E11" s="195" t="s">
        <v>2249</v>
      </c>
      <c r="F11" s="48" t="s">
        <v>1848</v>
      </c>
      <c r="G11" s="308">
        <v>81897710001</v>
      </c>
      <c r="H11" s="322">
        <v>205.01217391304351</v>
      </c>
      <c r="I11" s="322">
        <f t="shared" si="0"/>
        <v>820.04869565217405</v>
      </c>
    </row>
    <row r="12" spans="1:9" x14ac:dyDescent="0.25">
      <c r="A12" s="23" t="s">
        <v>677</v>
      </c>
      <c r="B12" s="48">
        <v>1</v>
      </c>
      <c r="C12" s="65" t="s">
        <v>678</v>
      </c>
      <c r="D12" s="64" t="s">
        <v>8</v>
      </c>
      <c r="E12" s="195" t="s">
        <v>2416</v>
      </c>
      <c r="F12" s="48" t="s">
        <v>1853</v>
      </c>
      <c r="G12" s="308">
        <v>81897710023</v>
      </c>
      <c r="H12" s="322">
        <v>121.55282608695654</v>
      </c>
      <c r="I12" s="322">
        <f t="shared" si="0"/>
        <v>121.55282608695654</v>
      </c>
    </row>
    <row r="13" spans="1:9" x14ac:dyDescent="0.25">
      <c r="A13" s="23" t="s">
        <v>676</v>
      </c>
      <c r="B13" s="48">
        <v>1</v>
      </c>
      <c r="C13" s="65" t="s">
        <v>45</v>
      </c>
      <c r="D13" s="64" t="s">
        <v>8</v>
      </c>
      <c r="E13" s="195" t="s">
        <v>2253</v>
      </c>
      <c r="F13" s="117" t="s">
        <v>1852</v>
      </c>
      <c r="G13" s="308">
        <v>81897710023</v>
      </c>
      <c r="H13" s="322">
        <v>100.77456521739131</v>
      </c>
      <c r="I13" s="322">
        <f t="shared" si="0"/>
        <v>100.77456521739131</v>
      </c>
    </row>
    <row r="14" spans="1:9" x14ac:dyDescent="0.25">
      <c r="A14" s="1" t="s">
        <v>306</v>
      </c>
      <c r="B14" s="30">
        <v>5</v>
      </c>
      <c r="C14" s="46" t="s">
        <v>538</v>
      </c>
      <c r="D14" s="99" t="s">
        <v>8</v>
      </c>
      <c r="E14" s="195" t="s">
        <v>2257</v>
      </c>
      <c r="F14" s="41" t="s">
        <v>1862</v>
      </c>
      <c r="G14" s="308">
        <v>81897710001</v>
      </c>
      <c r="H14" s="322">
        <v>305.9021739130435</v>
      </c>
      <c r="I14" s="322">
        <f t="shared" si="0"/>
        <v>1529.5108695652175</v>
      </c>
    </row>
    <row r="15" spans="1:9" x14ac:dyDescent="0.25">
      <c r="A15" s="23" t="s">
        <v>52</v>
      </c>
      <c r="B15" s="48">
        <v>1</v>
      </c>
      <c r="C15" s="65" t="s">
        <v>53</v>
      </c>
      <c r="D15" s="64" t="s">
        <v>8</v>
      </c>
      <c r="E15" s="195" t="s">
        <v>2260</v>
      </c>
      <c r="F15" s="48" t="s">
        <v>1866</v>
      </c>
      <c r="G15" s="308">
        <v>81897710001</v>
      </c>
      <c r="H15" s="322">
        <v>545.08304347826083</v>
      </c>
      <c r="I15" s="322">
        <f t="shared" si="0"/>
        <v>545.08304347826083</v>
      </c>
    </row>
    <row r="16" spans="1:9" x14ac:dyDescent="0.25">
      <c r="A16" s="23" t="s">
        <v>679</v>
      </c>
      <c r="B16" s="48">
        <v>2</v>
      </c>
      <c r="C16" s="65" t="s">
        <v>680</v>
      </c>
      <c r="D16" s="64" t="s">
        <v>8</v>
      </c>
      <c r="E16" s="195" t="s">
        <v>2262</v>
      </c>
      <c r="F16" s="48" t="s">
        <v>2008</v>
      </c>
      <c r="G16" s="308">
        <v>81897710023</v>
      </c>
      <c r="H16" s="322">
        <v>545.08304347826083</v>
      </c>
      <c r="I16" s="322">
        <f t="shared" si="0"/>
        <v>1090.1660869565217</v>
      </c>
    </row>
    <row r="17" spans="1:9" x14ac:dyDescent="0.25">
      <c r="A17" s="23" t="s">
        <v>681</v>
      </c>
      <c r="B17" s="48">
        <v>1</v>
      </c>
      <c r="C17" s="65" t="s">
        <v>57</v>
      </c>
      <c r="D17" s="64" t="s">
        <v>8</v>
      </c>
      <c r="E17" s="195" t="s">
        <v>2265</v>
      </c>
      <c r="F17" s="343" t="s">
        <v>1876</v>
      </c>
      <c r="G17" s="308">
        <v>81897710023</v>
      </c>
      <c r="H17" s="322">
        <v>104.93021739130435</v>
      </c>
      <c r="I17" s="322">
        <f t="shared" si="0"/>
        <v>104.93021739130435</v>
      </c>
    </row>
    <row r="18" spans="1:9" x14ac:dyDescent="0.25">
      <c r="A18" s="23" t="s">
        <v>682</v>
      </c>
      <c r="B18" s="48">
        <v>1</v>
      </c>
      <c r="C18" s="65" t="s">
        <v>683</v>
      </c>
      <c r="D18" s="64" t="s">
        <v>8</v>
      </c>
      <c r="E18" s="195" t="s">
        <v>2417</v>
      </c>
      <c r="F18" s="117" t="s">
        <v>1879</v>
      </c>
      <c r="G18" s="308">
        <v>81897710023</v>
      </c>
      <c r="H18" s="322">
        <v>125.70847826086957</v>
      </c>
      <c r="I18" s="322">
        <f t="shared" si="0"/>
        <v>125.70847826086957</v>
      </c>
    </row>
    <row r="19" spans="1:9" x14ac:dyDescent="0.25">
      <c r="A19" s="23" t="s">
        <v>64</v>
      </c>
      <c r="B19" s="48">
        <v>6</v>
      </c>
      <c r="C19" s="65" t="s">
        <v>66</v>
      </c>
      <c r="D19" s="64" t="s">
        <v>8</v>
      </c>
      <c r="E19" s="195" t="s">
        <v>2271</v>
      </c>
      <c r="F19" s="44" t="s">
        <v>1895</v>
      </c>
      <c r="G19" s="308">
        <v>81897710001</v>
      </c>
      <c r="H19" s="322">
        <v>137.13652173913044</v>
      </c>
      <c r="I19" s="322">
        <f t="shared" si="0"/>
        <v>822.81913043478266</v>
      </c>
    </row>
    <row r="20" spans="1:9" x14ac:dyDescent="0.25">
      <c r="A20" s="23" t="s">
        <v>67</v>
      </c>
      <c r="B20" s="48">
        <v>3</v>
      </c>
      <c r="C20" s="65" t="s">
        <v>68</v>
      </c>
      <c r="D20" s="64" t="s">
        <v>8</v>
      </c>
      <c r="E20" s="195" t="s">
        <v>2272</v>
      </c>
      <c r="F20" s="316" t="s">
        <v>1896</v>
      </c>
      <c r="G20" s="308">
        <v>81897710001</v>
      </c>
      <c r="H20" s="322">
        <v>134.36608695652174</v>
      </c>
      <c r="I20" s="322">
        <f t="shared" si="0"/>
        <v>403.09826086956525</v>
      </c>
    </row>
    <row r="21" spans="1:9" x14ac:dyDescent="0.25">
      <c r="A21" s="23" t="s">
        <v>70</v>
      </c>
      <c r="B21" s="48">
        <v>2</v>
      </c>
      <c r="C21" s="65" t="s">
        <v>684</v>
      </c>
      <c r="D21" s="64" t="s">
        <v>8</v>
      </c>
      <c r="E21" s="195" t="s">
        <v>2418</v>
      </c>
      <c r="F21" s="117" t="s">
        <v>1898</v>
      </c>
      <c r="G21" s="308">
        <v>81897710001</v>
      </c>
      <c r="H21" s="322">
        <v>174.53739130434781</v>
      </c>
      <c r="I21" s="322">
        <f t="shared" si="0"/>
        <v>349.07478260869561</v>
      </c>
    </row>
    <row r="22" spans="1:9" x14ac:dyDescent="0.25">
      <c r="A22" s="23" t="s">
        <v>685</v>
      </c>
      <c r="B22" s="48">
        <v>3</v>
      </c>
      <c r="C22" s="65" t="s">
        <v>78</v>
      </c>
      <c r="D22" s="64" t="s">
        <v>8</v>
      </c>
      <c r="E22" s="195" t="s">
        <v>2277</v>
      </c>
      <c r="F22" s="48" t="s">
        <v>1900</v>
      </c>
      <c r="G22" s="308">
        <v>81897710001</v>
      </c>
      <c r="H22" s="322">
        <v>171.76695652173916</v>
      </c>
      <c r="I22" s="322">
        <f t="shared" si="0"/>
        <v>515.30086956521745</v>
      </c>
    </row>
    <row r="23" spans="1:9" x14ac:dyDescent="0.25">
      <c r="A23" s="23" t="s">
        <v>686</v>
      </c>
      <c r="B23" s="48">
        <v>2</v>
      </c>
      <c r="C23" s="65" t="s">
        <v>73</v>
      </c>
      <c r="D23" s="64" t="s">
        <v>8</v>
      </c>
      <c r="E23" s="195" t="s">
        <v>2276</v>
      </c>
      <c r="F23" s="48" t="s">
        <v>1901</v>
      </c>
      <c r="G23" s="308">
        <v>81897710001</v>
      </c>
      <c r="H23" s="322">
        <v>148.21826086956526</v>
      </c>
      <c r="I23" s="322">
        <f t="shared" si="0"/>
        <v>296.43652173913051</v>
      </c>
    </row>
    <row r="24" spans="1:9" x14ac:dyDescent="0.25">
      <c r="A24" s="23" t="s">
        <v>687</v>
      </c>
      <c r="B24" s="48">
        <v>2</v>
      </c>
      <c r="C24" s="65" t="s">
        <v>84</v>
      </c>
      <c r="D24" s="64" t="s">
        <v>8</v>
      </c>
      <c r="E24" s="195" t="s">
        <v>2282</v>
      </c>
      <c r="F24" s="48" t="s">
        <v>1904</v>
      </c>
      <c r="G24" s="308">
        <v>81897710001</v>
      </c>
      <c r="H24" s="322">
        <v>253.14847826086952</v>
      </c>
      <c r="I24" s="322">
        <f t="shared" si="0"/>
        <v>506.29695652173905</v>
      </c>
    </row>
    <row r="25" spans="1:9" x14ac:dyDescent="0.25">
      <c r="A25" s="23" t="s">
        <v>688</v>
      </c>
      <c r="B25" s="48">
        <v>1</v>
      </c>
      <c r="C25" s="65" t="s">
        <v>689</v>
      </c>
      <c r="D25" s="64" t="s">
        <v>8</v>
      </c>
      <c r="E25" s="195" t="s">
        <v>2419</v>
      </c>
      <c r="F25" s="48" t="s">
        <v>1911</v>
      </c>
      <c r="G25" s="308">
        <v>81897710001</v>
      </c>
      <c r="H25" s="322">
        <v>211.93826086956517</v>
      </c>
      <c r="I25" s="322">
        <f t="shared" si="0"/>
        <v>211.93826086956517</v>
      </c>
    </row>
    <row r="26" spans="1:9" x14ac:dyDescent="0.25">
      <c r="A26" s="23" t="s">
        <v>657</v>
      </c>
      <c r="B26" s="48">
        <v>2</v>
      </c>
      <c r="C26" s="65" t="s">
        <v>88</v>
      </c>
      <c r="D26" s="64" t="s">
        <v>8</v>
      </c>
      <c r="E26" s="195" t="s">
        <v>2286</v>
      </c>
      <c r="F26" s="316" t="s">
        <v>1922</v>
      </c>
      <c r="G26" s="308">
        <v>81897710001</v>
      </c>
      <c r="H26" s="322">
        <v>729.66326086956531</v>
      </c>
      <c r="I26" s="322">
        <f t="shared" si="0"/>
        <v>1459.3265217391306</v>
      </c>
    </row>
    <row r="27" spans="1:9" x14ac:dyDescent="0.25">
      <c r="A27" s="23" t="s">
        <v>690</v>
      </c>
      <c r="B27" s="48">
        <v>2</v>
      </c>
      <c r="C27" s="65" t="s">
        <v>113</v>
      </c>
      <c r="D27" s="64" t="s">
        <v>8</v>
      </c>
      <c r="E27" s="195" t="s">
        <v>2405</v>
      </c>
      <c r="F27" s="48" t="s">
        <v>1929</v>
      </c>
      <c r="G27" s="308">
        <v>81897710001</v>
      </c>
      <c r="H27" s="322">
        <v>165.18717391304347</v>
      </c>
      <c r="I27" s="322">
        <f t="shared" si="0"/>
        <v>330.37434782608693</v>
      </c>
    </row>
    <row r="28" spans="1:9" x14ac:dyDescent="0.25">
      <c r="A28" s="23" t="s">
        <v>632</v>
      </c>
      <c r="B28" s="48">
        <v>1</v>
      </c>
      <c r="C28" s="203" t="s">
        <v>96</v>
      </c>
      <c r="D28" s="64" t="s">
        <v>8</v>
      </c>
      <c r="E28" s="195" t="s">
        <v>2301</v>
      </c>
      <c r="F28" s="48" t="s">
        <v>1964</v>
      </c>
      <c r="G28" s="308">
        <v>81897710017</v>
      </c>
      <c r="H28" s="322">
        <v>130.2104347826087</v>
      </c>
      <c r="I28" s="322">
        <f t="shared" si="0"/>
        <v>130.2104347826087</v>
      </c>
    </row>
    <row r="29" spans="1:9" x14ac:dyDescent="0.25">
      <c r="A29" s="23" t="s">
        <v>691</v>
      </c>
      <c r="B29" s="48">
        <v>1</v>
      </c>
      <c r="C29" s="65" t="s">
        <v>98</v>
      </c>
      <c r="D29" s="64" t="s">
        <v>8</v>
      </c>
      <c r="E29" s="195" t="s">
        <v>2302</v>
      </c>
      <c r="F29" s="44" t="s">
        <v>1956</v>
      </c>
      <c r="G29" s="308">
        <v>81897710017</v>
      </c>
      <c r="H29" s="322">
        <v>126.74739130434781</v>
      </c>
      <c r="I29" s="322">
        <f t="shared" si="0"/>
        <v>126.74739130434781</v>
      </c>
    </row>
    <row r="30" spans="1:9" x14ac:dyDescent="0.25">
      <c r="A30" s="23" t="s">
        <v>663</v>
      </c>
      <c r="B30" s="261">
        <v>1</v>
      </c>
      <c r="C30" s="264" t="s">
        <v>635</v>
      </c>
      <c r="D30" s="64" t="s">
        <v>8</v>
      </c>
      <c r="E30" s="195" t="s">
        <v>2410</v>
      </c>
      <c r="F30" s="48" t="s">
        <v>1966</v>
      </c>
      <c r="G30" s="308">
        <v>81897710017</v>
      </c>
      <c r="H30" s="322">
        <v>121.55282608695654</v>
      </c>
      <c r="I30" s="322">
        <f t="shared" si="0"/>
        <v>121.55282608695654</v>
      </c>
    </row>
    <row r="31" spans="1:9" x14ac:dyDescent="0.25">
      <c r="A31" s="23" t="s">
        <v>693</v>
      </c>
      <c r="B31" s="48">
        <v>2</v>
      </c>
      <c r="C31" s="65" t="s">
        <v>662</v>
      </c>
      <c r="D31" s="64" t="s">
        <v>8</v>
      </c>
      <c r="E31" s="195" t="s">
        <v>2306</v>
      </c>
      <c r="F31" s="30" t="s">
        <v>1967</v>
      </c>
      <c r="G31" s="308">
        <v>81897710017</v>
      </c>
      <c r="H31" s="322">
        <v>157.91478260869562</v>
      </c>
      <c r="I31" s="322">
        <f t="shared" si="0"/>
        <v>315.82956521739123</v>
      </c>
    </row>
    <row r="32" spans="1:9" x14ac:dyDescent="0.25">
      <c r="A32" s="59" t="s">
        <v>692</v>
      </c>
      <c r="B32" s="270">
        <v>1</v>
      </c>
      <c r="C32" s="133" t="s">
        <v>520</v>
      </c>
      <c r="D32" s="64" t="s">
        <v>8</v>
      </c>
      <c r="E32" s="195" t="s">
        <v>2304</v>
      </c>
      <c r="F32" s="30" t="s">
        <v>1968</v>
      </c>
      <c r="G32" s="308">
        <v>81897710017</v>
      </c>
      <c r="H32" s="322">
        <v>171.42065217391303</v>
      </c>
      <c r="I32" s="322">
        <f t="shared" si="0"/>
        <v>171.42065217391303</v>
      </c>
    </row>
    <row r="33" spans="9:9" x14ac:dyDescent="0.25">
      <c r="I33" s="324">
        <f>SUM(I2:I32)</f>
        <v>16580.859782608695</v>
      </c>
    </row>
  </sheetData>
  <sortState xmlns:xlrd2="http://schemas.microsoft.com/office/spreadsheetml/2017/richdata2" ref="A2:D32">
    <sortCondition ref="A1:A32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92111-1269-497B-9201-32E56516FEC4}">
  <sheetPr codeName="Planilha16">
    <tabColor rgb="FF92D050"/>
  </sheetPr>
  <dimension ref="A1:I26"/>
  <sheetViews>
    <sheetView workbookViewId="0">
      <pane ySplit="1" topLeftCell="A2" activePane="bottomLeft" state="frozen"/>
      <selection activeCell="A53" sqref="A53"/>
      <selection pane="bottomLeft" activeCell="E28" sqref="E28"/>
    </sheetView>
  </sheetViews>
  <sheetFormatPr defaultRowHeight="15" x14ac:dyDescent="0.25"/>
  <cols>
    <col min="1" max="1" width="36.5703125" bestFit="1" customWidth="1"/>
    <col min="2" max="2" width="17" customWidth="1"/>
    <col min="3" max="3" width="18.140625" customWidth="1"/>
    <col min="4" max="4" width="21.28515625" bestFit="1" customWidth="1"/>
    <col min="5" max="5" width="36" customWidth="1"/>
    <col min="6" max="6" width="13.5703125" style="40" customWidth="1"/>
    <col min="7" max="7" width="18.7109375" style="40" customWidth="1"/>
    <col min="8" max="8" width="15.85546875" style="324" customWidth="1"/>
    <col min="9" max="9" width="18.7109375" style="40" customWidth="1"/>
  </cols>
  <sheetData>
    <row r="1" spans="1:9" ht="31.5" x14ac:dyDescent="0.25">
      <c r="A1" s="84" t="s">
        <v>0</v>
      </c>
      <c r="B1" s="42" t="s">
        <v>305</v>
      </c>
      <c r="C1" s="86" t="s">
        <v>2</v>
      </c>
      <c r="D1" s="197" t="s">
        <v>1721</v>
      </c>
      <c r="E1" s="194" t="s">
        <v>1723</v>
      </c>
      <c r="F1" s="194" t="s">
        <v>1724</v>
      </c>
      <c r="G1" s="194" t="s">
        <v>1722</v>
      </c>
      <c r="H1" s="321" t="s">
        <v>1725</v>
      </c>
      <c r="I1" s="194" t="s">
        <v>2317</v>
      </c>
    </row>
    <row r="2" spans="1:9" x14ac:dyDescent="0.25">
      <c r="A2" s="3" t="s">
        <v>694</v>
      </c>
      <c r="B2" s="41">
        <v>2</v>
      </c>
      <c r="C2" s="46" t="s">
        <v>12</v>
      </c>
      <c r="D2" s="99" t="s">
        <v>8</v>
      </c>
      <c r="E2" s="195" t="s">
        <v>2198</v>
      </c>
      <c r="F2" s="308" t="s">
        <v>1740</v>
      </c>
      <c r="G2" s="308">
        <v>81897710023</v>
      </c>
      <c r="H2" s="322">
        <v>270.4636956521739</v>
      </c>
      <c r="I2" s="400">
        <f>H2*B2</f>
        <v>540.92739130434779</v>
      </c>
    </row>
    <row r="3" spans="1:9" x14ac:dyDescent="0.25">
      <c r="A3" s="410" t="s">
        <v>696</v>
      </c>
      <c r="B3" s="41">
        <v>1</v>
      </c>
      <c r="C3" s="46" t="s">
        <v>697</v>
      </c>
      <c r="D3" s="99" t="s">
        <v>10</v>
      </c>
      <c r="E3" s="195" t="s">
        <v>2655</v>
      </c>
      <c r="F3" s="308" t="s">
        <v>2420</v>
      </c>
      <c r="G3" s="308" t="s">
        <v>2336</v>
      </c>
      <c r="H3" s="322">
        <v>2217.8869565217392</v>
      </c>
      <c r="I3" s="400">
        <f t="shared" ref="I3:I25" si="0">H3*B3</f>
        <v>2217.8869565217392</v>
      </c>
    </row>
    <row r="4" spans="1:9" x14ac:dyDescent="0.25">
      <c r="A4" s="410" t="s">
        <v>698</v>
      </c>
      <c r="B4" s="41">
        <v>1</v>
      </c>
      <c r="C4" s="46" t="s">
        <v>699</v>
      </c>
      <c r="D4" s="99" t="s">
        <v>10</v>
      </c>
      <c r="E4" s="195" t="s">
        <v>2656</v>
      </c>
      <c r="F4" s="308" t="s">
        <v>2421</v>
      </c>
      <c r="G4" s="308" t="s">
        <v>2336</v>
      </c>
      <c r="H4" s="322">
        <v>2769.2804347826086</v>
      </c>
      <c r="I4" s="400">
        <f t="shared" si="0"/>
        <v>2769.2804347826086</v>
      </c>
    </row>
    <row r="5" spans="1:9" x14ac:dyDescent="0.25">
      <c r="A5" s="410" t="s">
        <v>159</v>
      </c>
      <c r="B5" s="41">
        <v>1</v>
      </c>
      <c r="C5" s="46" t="s">
        <v>160</v>
      </c>
      <c r="D5" s="99" t="s">
        <v>8</v>
      </c>
      <c r="E5" s="195" t="s">
        <v>2246</v>
      </c>
      <c r="F5" s="41" t="s">
        <v>1847</v>
      </c>
      <c r="G5" s="308">
        <v>81897710023</v>
      </c>
      <c r="H5" s="322">
        <v>156.87586956521739</v>
      </c>
      <c r="I5" s="400">
        <f t="shared" si="0"/>
        <v>156.87586956521739</v>
      </c>
    </row>
    <row r="6" spans="1:9" x14ac:dyDescent="0.25">
      <c r="A6" s="410" t="s">
        <v>703</v>
      </c>
      <c r="B6" s="41">
        <v>2</v>
      </c>
      <c r="C6" s="46" t="s">
        <v>601</v>
      </c>
      <c r="D6" s="99" t="s">
        <v>8</v>
      </c>
      <c r="E6" s="195" t="s">
        <v>2247</v>
      </c>
      <c r="F6" s="41" t="s">
        <v>1731</v>
      </c>
      <c r="G6" s="308">
        <v>81897710023</v>
      </c>
      <c r="H6" s="322">
        <v>93.502173913043478</v>
      </c>
      <c r="I6" s="400">
        <f t="shared" si="0"/>
        <v>187.00434782608696</v>
      </c>
    </row>
    <row r="7" spans="1:9" x14ac:dyDescent="0.25">
      <c r="A7" s="410" t="s">
        <v>704</v>
      </c>
      <c r="B7" s="41">
        <v>1</v>
      </c>
      <c r="C7" s="46" t="s">
        <v>33</v>
      </c>
      <c r="D7" s="99" t="s">
        <v>8</v>
      </c>
      <c r="E7" s="195" t="s">
        <v>2248</v>
      </c>
      <c r="F7" s="48" t="s">
        <v>1730</v>
      </c>
      <c r="G7" s="308">
        <v>81897710023</v>
      </c>
      <c r="H7" s="322">
        <v>90.385434782608684</v>
      </c>
      <c r="I7" s="400">
        <f t="shared" si="0"/>
        <v>90.385434782608684</v>
      </c>
    </row>
    <row r="8" spans="1:9" x14ac:dyDescent="0.25">
      <c r="A8" s="410" t="s">
        <v>705</v>
      </c>
      <c r="B8" s="41">
        <v>2</v>
      </c>
      <c r="C8" s="46" t="s">
        <v>36</v>
      </c>
      <c r="D8" s="99" t="s">
        <v>8</v>
      </c>
      <c r="E8" s="195" t="s">
        <v>2249</v>
      </c>
      <c r="F8" s="44" t="s">
        <v>1848</v>
      </c>
      <c r="G8" s="308">
        <v>81897710001</v>
      </c>
      <c r="H8" s="322">
        <v>205.01217391304351</v>
      </c>
      <c r="I8" s="400">
        <f t="shared" si="0"/>
        <v>410.02434782608702</v>
      </c>
    </row>
    <row r="9" spans="1:9" x14ac:dyDescent="0.25">
      <c r="A9" s="410" t="s">
        <v>706</v>
      </c>
      <c r="B9" s="41">
        <v>2</v>
      </c>
      <c r="C9" s="46" t="s">
        <v>678</v>
      </c>
      <c r="D9" s="99" t="s">
        <v>8</v>
      </c>
      <c r="E9" s="195" t="s">
        <v>2416</v>
      </c>
      <c r="F9" s="41" t="s">
        <v>1853</v>
      </c>
      <c r="G9" s="308">
        <v>81897710023</v>
      </c>
      <c r="H9" s="322">
        <v>121.55282608695654</v>
      </c>
      <c r="I9" s="400">
        <f t="shared" si="0"/>
        <v>243.10565217391309</v>
      </c>
    </row>
    <row r="10" spans="1:9" x14ac:dyDescent="0.25">
      <c r="A10" s="410" t="s">
        <v>707</v>
      </c>
      <c r="B10" s="41">
        <v>4</v>
      </c>
      <c r="C10" s="46" t="s">
        <v>605</v>
      </c>
      <c r="D10" s="99" t="s">
        <v>8</v>
      </c>
      <c r="E10" s="195" t="s">
        <v>2258</v>
      </c>
      <c r="F10" s="117" t="s">
        <v>1861</v>
      </c>
      <c r="G10" s="308">
        <v>81897710001</v>
      </c>
      <c r="H10" s="322">
        <v>145.7941304347826</v>
      </c>
      <c r="I10" s="400">
        <f t="shared" si="0"/>
        <v>583.17652173913041</v>
      </c>
    </row>
    <row r="11" spans="1:9" x14ac:dyDescent="0.25">
      <c r="A11" s="410" t="s">
        <v>54</v>
      </c>
      <c r="B11" s="41">
        <v>2</v>
      </c>
      <c r="C11" s="46" t="s">
        <v>55</v>
      </c>
      <c r="D11" s="99" t="s">
        <v>8</v>
      </c>
      <c r="E11" s="195" t="s">
        <v>2264</v>
      </c>
      <c r="F11" s="343" t="s">
        <v>1875</v>
      </c>
      <c r="G11" s="308">
        <v>81897710023</v>
      </c>
      <c r="H11" s="322">
        <v>94.541086956521738</v>
      </c>
      <c r="I11" s="400">
        <f t="shared" si="0"/>
        <v>189.08217391304348</v>
      </c>
    </row>
    <row r="12" spans="1:9" x14ac:dyDescent="0.25">
      <c r="A12" s="410" t="s">
        <v>338</v>
      </c>
      <c r="B12" s="41">
        <v>2</v>
      </c>
      <c r="C12" s="46" t="s">
        <v>66</v>
      </c>
      <c r="D12" s="99" t="s">
        <v>8</v>
      </c>
      <c r="E12" s="195" t="s">
        <v>2271</v>
      </c>
      <c r="F12" s="44" t="s">
        <v>1895</v>
      </c>
      <c r="G12" s="308">
        <v>81897710001</v>
      </c>
      <c r="H12" s="322">
        <v>137.13652173913044</v>
      </c>
      <c r="I12" s="400">
        <f t="shared" si="0"/>
        <v>274.27304347826089</v>
      </c>
    </row>
    <row r="13" spans="1:9" x14ac:dyDescent="0.25">
      <c r="A13" s="410" t="s">
        <v>75</v>
      </c>
      <c r="B13" s="41">
        <v>2</v>
      </c>
      <c r="C13" s="46" t="s">
        <v>76</v>
      </c>
      <c r="D13" s="99" t="s">
        <v>8</v>
      </c>
      <c r="E13" s="195" t="s">
        <v>2275</v>
      </c>
      <c r="F13" s="316" t="s">
        <v>1902</v>
      </c>
      <c r="G13" s="308">
        <v>81897710001</v>
      </c>
      <c r="H13" s="322">
        <v>116.70456521739129</v>
      </c>
      <c r="I13" s="400">
        <f t="shared" si="0"/>
        <v>233.40913043478258</v>
      </c>
    </row>
    <row r="14" spans="1:9" x14ac:dyDescent="0.25">
      <c r="A14" s="410" t="s">
        <v>708</v>
      </c>
      <c r="B14" s="41">
        <v>6</v>
      </c>
      <c r="C14" s="46" t="s">
        <v>24</v>
      </c>
      <c r="D14" s="99" t="s">
        <v>8</v>
      </c>
      <c r="E14" s="195" t="s">
        <v>2243</v>
      </c>
      <c r="F14" s="41" t="s">
        <v>1844</v>
      </c>
      <c r="G14" s="308">
        <v>81897710001</v>
      </c>
      <c r="H14" s="322">
        <v>111.8563043478261</v>
      </c>
      <c r="I14" s="400">
        <f t="shared" si="0"/>
        <v>671.13782608695658</v>
      </c>
    </row>
    <row r="15" spans="1:9" x14ac:dyDescent="0.25">
      <c r="A15" s="410" t="s">
        <v>709</v>
      </c>
      <c r="B15" s="41">
        <v>4</v>
      </c>
      <c r="C15" s="46" t="s">
        <v>26</v>
      </c>
      <c r="D15" s="99" t="s">
        <v>8</v>
      </c>
      <c r="E15" s="195" t="s">
        <v>2244</v>
      </c>
      <c r="F15" s="30" t="s">
        <v>1845</v>
      </c>
      <c r="G15" s="308">
        <v>81897710001</v>
      </c>
      <c r="H15" s="322">
        <v>109.08586956521739</v>
      </c>
      <c r="I15" s="400">
        <f t="shared" si="0"/>
        <v>436.34347826086957</v>
      </c>
    </row>
    <row r="16" spans="1:9" x14ac:dyDescent="0.25">
      <c r="A16" s="410" t="s">
        <v>710</v>
      </c>
      <c r="B16" s="41">
        <v>1</v>
      </c>
      <c r="C16" s="46" t="s">
        <v>711</v>
      </c>
      <c r="D16" s="99" t="s">
        <v>8</v>
      </c>
      <c r="E16" s="195" t="s">
        <v>2489</v>
      </c>
      <c r="F16" s="41" t="s">
        <v>1909</v>
      </c>
      <c r="G16" s="308">
        <v>81897710001</v>
      </c>
      <c r="H16" s="322">
        <v>189.42847826086958</v>
      </c>
      <c r="I16" s="400">
        <f t="shared" si="0"/>
        <v>189.42847826086958</v>
      </c>
    </row>
    <row r="17" spans="1:9" x14ac:dyDescent="0.25">
      <c r="A17" s="410" t="s">
        <v>712</v>
      </c>
      <c r="B17" s="41">
        <v>2</v>
      </c>
      <c r="C17" s="46" t="s">
        <v>713</v>
      </c>
      <c r="D17" s="99" t="s">
        <v>8</v>
      </c>
      <c r="E17" s="195" t="s">
        <v>2334</v>
      </c>
      <c r="F17" s="41" t="s">
        <v>1913</v>
      </c>
      <c r="G17" s="308">
        <v>81897710001</v>
      </c>
      <c r="H17" s="322">
        <v>153.06652173913042</v>
      </c>
      <c r="I17" s="400">
        <f t="shared" si="0"/>
        <v>306.13304347826084</v>
      </c>
    </row>
    <row r="18" spans="1:9" x14ac:dyDescent="0.25">
      <c r="A18" s="410" t="s">
        <v>714</v>
      </c>
      <c r="B18" s="41">
        <v>2</v>
      </c>
      <c r="C18" s="46" t="s">
        <v>88</v>
      </c>
      <c r="D18" s="99" t="s">
        <v>8</v>
      </c>
      <c r="E18" s="195" t="s">
        <v>2286</v>
      </c>
      <c r="F18" s="316" t="s">
        <v>1922</v>
      </c>
      <c r="G18" s="308">
        <v>81897710001</v>
      </c>
      <c r="H18" s="322">
        <v>729.66326086956531</v>
      </c>
      <c r="I18" s="400">
        <f t="shared" si="0"/>
        <v>1459.3265217391306</v>
      </c>
    </row>
    <row r="19" spans="1:9" x14ac:dyDescent="0.25">
      <c r="A19" s="410" t="s">
        <v>700</v>
      </c>
      <c r="B19" s="41">
        <v>1</v>
      </c>
      <c r="C19" s="46" t="s">
        <v>701</v>
      </c>
      <c r="D19" s="99" t="s">
        <v>10</v>
      </c>
      <c r="E19" s="195" t="s">
        <v>2657</v>
      </c>
      <c r="F19" s="41" t="s">
        <v>2146</v>
      </c>
      <c r="G19" s="308" t="s">
        <v>2422</v>
      </c>
      <c r="H19" s="322">
        <v>1699.5847826086956</v>
      </c>
      <c r="I19" s="400">
        <f t="shared" si="0"/>
        <v>1699.5847826086956</v>
      </c>
    </row>
    <row r="20" spans="1:9" x14ac:dyDescent="0.25">
      <c r="A20" s="410" t="s">
        <v>716</v>
      </c>
      <c r="B20" s="41">
        <v>1</v>
      </c>
      <c r="C20" s="46" t="s">
        <v>665</v>
      </c>
      <c r="D20" s="99" t="s">
        <v>8</v>
      </c>
      <c r="E20" s="195" t="s">
        <v>2299</v>
      </c>
      <c r="F20" s="344" t="s">
        <v>1954</v>
      </c>
      <c r="G20" s="308">
        <v>81897710017</v>
      </c>
      <c r="H20" s="322">
        <v>83.805652173913046</v>
      </c>
      <c r="I20" s="400">
        <f t="shared" si="0"/>
        <v>83.805652173913046</v>
      </c>
    </row>
    <row r="21" spans="1:9" x14ac:dyDescent="0.25">
      <c r="A21" s="410" t="s">
        <v>717</v>
      </c>
      <c r="B21" s="41">
        <v>1</v>
      </c>
      <c r="C21" s="46" t="s">
        <v>665</v>
      </c>
      <c r="D21" s="99" t="s">
        <v>8</v>
      </c>
      <c r="E21" s="195" t="s">
        <v>2300</v>
      </c>
      <c r="F21" s="344" t="s">
        <v>1961</v>
      </c>
      <c r="G21" s="308">
        <v>81897710017</v>
      </c>
      <c r="H21" s="322">
        <v>81.035217391304343</v>
      </c>
      <c r="I21" s="400">
        <f t="shared" si="0"/>
        <v>81.035217391304343</v>
      </c>
    </row>
    <row r="22" spans="1:9" x14ac:dyDescent="0.25">
      <c r="A22" s="3" t="s">
        <v>718</v>
      </c>
      <c r="B22" s="41">
        <v>1</v>
      </c>
      <c r="C22" s="46" t="s">
        <v>633</v>
      </c>
      <c r="D22" s="99" t="s">
        <v>8</v>
      </c>
      <c r="E22" s="195" t="s">
        <v>2409</v>
      </c>
      <c r="F22" s="284" t="s">
        <v>1963</v>
      </c>
      <c r="G22" s="308">
        <v>81897710017</v>
      </c>
      <c r="H22" s="322">
        <v>103.19869565217391</v>
      </c>
      <c r="I22" s="400">
        <f t="shared" si="0"/>
        <v>103.19869565217391</v>
      </c>
    </row>
    <row r="23" spans="1:9" x14ac:dyDescent="0.25">
      <c r="A23" s="3" t="s">
        <v>719</v>
      </c>
      <c r="B23" s="41">
        <v>1</v>
      </c>
      <c r="C23" s="46" t="s">
        <v>516</v>
      </c>
      <c r="D23" s="99" t="s">
        <v>8</v>
      </c>
      <c r="E23" s="195" t="s">
        <v>2302</v>
      </c>
      <c r="F23" s="314" t="s">
        <v>1956</v>
      </c>
      <c r="G23" s="308">
        <v>81897710017</v>
      </c>
      <c r="H23" s="322">
        <v>126.74739130434781</v>
      </c>
      <c r="I23" s="400">
        <f t="shared" si="0"/>
        <v>126.74739130434781</v>
      </c>
    </row>
    <row r="24" spans="1:9" x14ac:dyDescent="0.25">
      <c r="A24" s="56" t="s">
        <v>720</v>
      </c>
      <c r="B24" s="61">
        <v>1</v>
      </c>
      <c r="C24" s="65" t="s">
        <v>635</v>
      </c>
      <c r="D24" s="64" t="s">
        <v>8</v>
      </c>
      <c r="E24" s="195" t="s">
        <v>2410</v>
      </c>
      <c r="F24" s="253" t="s">
        <v>1966</v>
      </c>
      <c r="G24" s="308">
        <v>81897710017</v>
      </c>
      <c r="H24" s="322">
        <v>121.55282608695654</v>
      </c>
      <c r="I24" s="400">
        <f t="shared" si="0"/>
        <v>121.55282608695654</v>
      </c>
    </row>
    <row r="25" spans="1:9" x14ac:dyDescent="0.25">
      <c r="A25" s="127" t="s">
        <v>99</v>
      </c>
      <c r="B25" s="60">
        <v>1</v>
      </c>
      <c r="C25" s="69" t="s">
        <v>662</v>
      </c>
      <c r="D25" s="64" t="s">
        <v>8</v>
      </c>
      <c r="E25" s="195" t="s">
        <v>2306</v>
      </c>
      <c r="F25" s="228" t="s">
        <v>1967</v>
      </c>
      <c r="G25" s="308">
        <v>81897710017</v>
      </c>
      <c r="H25" s="322">
        <v>157.91478260869562</v>
      </c>
      <c r="I25" s="400">
        <f t="shared" si="0"/>
        <v>157.91478260869562</v>
      </c>
    </row>
    <row r="26" spans="1:9" x14ac:dyDescent="0.25">
      <c r="I26" s="388">
        <f>SUM(I2:I25)</f>
        <v>13331.640000000003</v>
      </c>
    </row>
  </sheetData>
  <sortState xmlns:xlrd2="http://schemas.microsoft.com/office/spreadsheetml/2017/richdata2" ref="A2:D26">
    <sortCondition ref="A1:A26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371A5-BED7-4CA7-920A-F553A3DBAAA0}">
  <sheetPr codeName="Planilha17">
    <tabColor rgb="FF92D050"/>
  </sheetPr>
  <dimension ref="A1:I36"/>
  <sheetViews>
    <sheetView workbookViewId="0">
      <pane ySplit="1" topLeftCell="A2" activePane="bottomLeft" state="frozen"/>
      <selection activeCell="A53" sqref="A53"/>
      <selection pane="bottomLeft" activeCell="G1" sqref="G1:G1048576"/>
    </sheetView>
  </sheetViews>
  <sheetFormatPr defaultRowHeight="15" x14ac:dyDescent="0.25"/>
  <cols>
    <col min="1" max="1" width="38.85546875" customWidth="1"/>
    <col min="2" max="2" width="14" style="40" customWidth="1"/>
    <col min="3" max="3" width="15.5703125" customWidth="1"/>
    <col min="4" max="4" width="20.28515625" customWidth="1"/>
    <col min="5" max="5" width="31.140625" customWidth="1"/>
    <col min="6" max="6" width="15.7109375" style="40" customWidth="1"/>
    <col min="7" max="7" width="15.85546875" style="373" customWidth="1"/>
    <col min="8" max="8" width="20.42578125" style="324" customWidth="1"/>
    <col min="9" max="9" width="15.85546875" style="324" customWidth="1"/>
  </cols>
  <sheetData>
    <row r="1" spans="1:9" ht="31.5" x14ac:dyDescent="0.25">
      <c r="A1" s="84" t="s">
        <v>0</v>
      </c>
      <c r="B1" s="42" t="s">
        <v>305</v>
      </c>
      <c r="C1" s="86" t="s">
        <v>360</v>
      </c>
      <c r="D1" s="197" t="s">
        <v>1721</v>
      </c>
      <c r="E1" s="194" t="s">
        <v>1723</v>
      </c>
      <c r="F1" s="194" t="s">
        <v>1724</v>
      </c>
      <c r="G1" s="515" t="s">
        <v>1722</v>
      </c>
      <c r="H1" s="321" t="s">
        <v>1725</v>
      </c>
      <c r="I1" s="321" t="s">
        <v>2317</v>
      </c>
    </row>
    <row r="2" spans="1:9" x14ac:dyDescent="0.25">
      <c r="A2" s="303" t="s">
        <v>313</v>
      </c>
      <c r="B2" s="30">
        <v>1</v>
      </c>
      <c r="C2" s="153">
        <v>662250</v>
      </c>
      <c r="D2" s="99" t="s">
        <v>501</v>
      </c>
      <c r="E2" s="195" t="s">
        <v>2653</v>
      </c>
      <c r="F2" s="308" t="s">
        <v>2322</v>
      </c>
      <c r="G2" s="366" t="s">
        <v>2336</v>
      </c>
      <c r="H2" s="322">
        <v>2378.3413043478263</v>
      </c>
      <c r="I2" s="322">
        <f>H2*B2</f>
        <v>2378.3413043478263</v>
      </c>
    </row>
    <row r="3" spans="1:9" x14ac:dyDescent="0.25">
      <c r="A3" s="414" t="s">
        <v>721</v>
      </c>
      <c r="B3" s="44">
        <v>1</v>
      </c>
      <c r="C3" s="65" t="s">
        <v>722</v>
      </c>
      <c r="D3" s="64" t="s">
        <v>8</v>
      </c>
      <c r="E3" s="195" t="s">
        <v>2423</v>
      </c>
      <c r="F3" s="44" t="s">
        <v>1783</v>
      </c>
      <c r="G3" s="366">
        <v>81897710018</v>
      </c>
      <c r="H3" s="322">
        <v>197.73978260869566</v>
      </c>
      <c r="I3" s="322">
        <f t="shared" ref="I3:I35" si="0">H3*B3</f>
        <v>197.73978260869566</v>
      </c>
    </row>
    <row r="4" spans="1:9" x14ac:dyDescent="0.25">
      <c r="A4" s="414" t="s">
        <v>723</v>
      </c>
      <c r="B4" s="44">
        <v>1</v>
      </c>
      <c r="C4" s="65" t="s">
        <v>724</v>
      </c>
      <c r="D4" s="64" t="s">
        <v>8</v>
      </c>
      <c r="E4" s="195" t="s">
        <v>2424</v>
      </c>
      <c r="F4" s="44" t="s">
        <v>1784</v>
      </c>
      <c r="G4" s="366">
        <v>81897710018</v>
      </c>
      <c r="H4" s="322">
        <v>197.73978260869566</v>
      </c>
      <c r="I4" s="322">
        <f t="shared" si="0"/>
        <v>197.73978260869566</v>
      </c>
    </row>
    <row r="5" spans="1:9" x14ac:dyDescent="0.25">
      <c r="A5" s="414" t="s">
        <v>725</v>
      </c>
      <c r="B5" s="44">
        <v>1</v>
      </c>
      <c r="C5" s="65" t="s">
        <v>726</v>
      </c>
      <c r="D5" s="64" t="s">
        <v>8</v>
      </c>
      <c r="E5" s="195" t="s">
        <v>725</v>
      </c>
      <c r="F5" s="44">
        <v>10659</v>
      </c>
      <c r="G5" s="514">
        <v>81087610008</v>
      </c>
      <c r="H5" s="322">
        <v>906.52173913043475</v>
      </c>
      <c r="I5" s="322">
        <f t="shared" si="0"/>
        <v>906.52173913043475</v>
      </c>
    </row>
    <row r="6" spans="1:9" x14ac:dyDescent="0.25">
      <c r="A6" s="414" t="s">
        <v>727</v>
      </c>
      <c r="B6" s="44">
        <v>1</v>
      </c>
      <c r="C6" s="65" t="s">
        <v>728</v>
      </c>
      <c r="D6" s="64" t="s">
        <v>8</v>
      </c>
      <c r="E6" s="195" t="s">
        <v>2425</v>
      </c>
      <c r="F6" s="44" t="s">
        <v>1806</v>
      </c>
      <c r="G6" s="366">
        <v>81897710001</v>
      </c>
      <c r="H6" s="322">
        <v>637.19999999999993</v>
      </c>
      <c r="I6" s="322">
        <f t="shared" si="0"/>
        <v>637.19999999999993</v>
      </c>
    </row>
    <row r="7" spans="1:9" x14ac:dyDescent="0.25">
      <c r="A7" s="414" t="s">
        <v>729</v>
      </c>
      <c r="B7" s="44">
        <v>3</v>
      </c>
      <c r="C7" s="195"/>
      <c r="D7" s="64" t="s">
        <v>4</v>
      </c>
      <c r="E7" s="195" t="s">
        <v>2426</v>
      </c>
      <c r="F7" s="137" t="s">
        <v>2652</v>
      </c>
      <c r="G7" s="366">
        <v>81897710023</v>
      </c>
      <c r="H7" s="322">
        <v>187.35065217391303</v>
      </c>
      <c r="I7" s="322">
        <f t="shared" si="0"/>
        <v>562.05195652173916</v>
      </c>
    </row>
    <row r="8" spans="1:9" x14ac:dyDescent="0.25">
      <c r="A8" s="15" t="s">
        <v>730</v>
      </c>
      <c r="B8" s="44">
        <v>1</v>
      </c>
      <c r="C8" s="64" t="s">
        <v>601</v>
      </c>
      <c r="D8" s="64" t="s">
        <v>8</v>
      </c>
      <c r="E8" s="195" t="s">
        <v>2247</v>
      </c>
      <c r="F8" s="44" t="s">
        <v>1731</v>
      </c>
      <c r="G8" s="366">
        <v>81897710023</v>
      </c>
      <c r="H8" s="322">
        <v>93.502173913043478</v>
      </c>
      <c r="I8" s="322">
        <f t="shared" si="0"/>
        <v>93.502173913043478</v>
      </c>
    </row>
    <row r="9" spans="1:9" x14ac:dyDescent="0.25">
      <c r="A9" s="15" t="s">
        <v>731</v>
      </c>
      <c r="B9" s="44">
        <v>1</v>
      </c>
      <c r="C9" s="65" t="s">
        <v>33</v>
      </c>
      <c r="D9" s="64" t="s">
        <v>8</v>
      </c>
      <c r="E9" s="195" t="s">
        <v>2248</v>
      </c>
      <c r="F9" s="48" t="s">
        <v>1730</v>
      </c>
      <c r="G9" s="366">
        <v>81897710023</v>
      </c>
      <c r="H9" s="322">
        <v>90.385434782608684</v>
      </c>
      <c r="I9" s="322">
        <f t="shared" si="0"/>
        <v>90.385434782608684</v>
      </c>
    </row>
    <row r="10" spans="1:9" x14ac:dyDescent="0.25">
      <c r="A10" s="15" t="s">
        <v>732</v>
      </c>
      <c r="B10" s="44">
        <v>4</v>
      </c>
      <c r="C10" s="65" t="s">
        <v>36</v>
      </c>
      <c r="D10" s="64" t="s">
        <v>8</v>
      </c>
      <c r="E10" s="195" t="s">
        <v>2249</v>
      </c>
      <c r="F10" s="44" t="s">
        <v>1848</v>
      </c>
      <c r="G10" s="366">
        <v>81897710001</v>
      </c>
      <c r="H10" s="322">
        <v>205.01217391304351</v>
      </c>
      <c r="I10" s="322">
        <f t="shared" si="0"/>
        <v>820.04869565217405</v>
      </c>
    </row>
    <row r="11" spans="1:9" x14ac:dyDescent="0.25">
      <c r="A11" s="15" t="s">
        <v>641</v>
      </c>
      <c r="B11" s="44">
        <v>1</v>
      </c>
      <c r="C11" s="65" t="s">
        <v>45</v>
      </c>
      <c r="D11" s="64" t="s">
        <v>8</v>
      </c>
      <c r="E11" s="195" t="s">
        <v>2253</v>
      </c>
      <c r="F11" s="48" t="s">
        <v>1852</v>
      </c>
      <c r="G11" s="366">
        <v>81897710023</v>
      </c>
      <c r="H11" s="322">
        <v>100.77456521739131</v>
      </c>
      <c r="I11" s="322">
        <f t="shared" si="0"/>
        <v>100.77456521739131</v>
      </c>
    </row>
    <row r="12" spans="1:9" x14ac:dyDescent="0.25">
      <c r="A12" s="15" t="s">
        <v>733</v>
      </c>
      <c r="B12" s="44">
        <v>1</v>
      </c>
      <c r="C12" s="65" t="s">
        <v>49</v>
      </c>
      <c r="D12" s="64" t="s">
        <v>8</v>
      </c>
      <c r="E12" s="195" t="s">
        <v>2255</v>
      </c>
      <c r="F12" s="44" t="s">
        <v>1854</v>
      </c>
      <c r="G12" s="366">
        <v>81897710023</v>
      </c>
      <c r="H12" s="322">
        <v>170.72804347826082</v>
      </c>
      <c r="I12" s="322">
        <f t="shared" si="0"/>
        <v>170.72804347826082</v>
      </c>
    </row>
    <row r="13" spans="1:9" x14ac:dyDescent="0.25">
      <c r="A13" s="4" t="s">
        <v>604</v>
      </c>
      <c r="B13" s="43">
        <v>5</v>
      </c>
      <c r="C13" s="46" t="s">
        <v>605</v>
      </c>
      <c r="D13" s="99" t="s">
        <v>8</v>
      </c>
      <c r="E13" s="195" t="s">
        <v>2258</v>
      </c>
      <c r="F13" s="117" t="s">
        <v>1861</v>
      </c>
      <c r="G13" s="366">
        <v>81897710001</v>
      </c>
      <c r="H13" s="322">
        <v>145.7941304347826</v>
      </c>
      <c r="I13" s="322">
        <f t="shared" si="0"/>
        <v>728.97065217391298</v>
      </c>
    </row>
    <row r="14" spans="1:9" x14ac:dyDescent="0.25">
      <c r="A14" s="4" t="s">
        <v>645</v>
      </c>
      <c r="B14" s="43">
        <v>1</v>
      </c>
      <c r="C14" s="46" t="s">
        <v>53</v>
      </c>
      <c r="D14" s="99" t="s">
        <v>8</v>
      </c>
      <c r="E14" s="195" t="s">
        <v>2260</v>
      </c>
      <c r="F14" s="48" t="s">
        <v>1866</v>
      </c>
      <c r="G14" s="366">
        <v>81897710001</v>
      </c>
      <c r="H14" s="322">
        <v>545.08304347826083</v>
      </c>
      <c r="I14" s="322">
        <f t="shared" si="0"/>
        <v>545.08304347826083</v>
      </c>
    </row>
    <row r="15" spans="1:9" x14ac:dyDescent="0.25">
      <c r="A15" s="4" t="s">
        <v>734</v>
      </c>
      <c r="B15" s="43">
        <v>1</v>
      </c>
      <c r="C15" s="46" t="s">
        <v>735</v>
      </c>
      <c r="D15" s="99" t="s">
        <v>8</v>
      </c>
      <c r="E15" s="195" t="s">
        <v>2427</v>
      </c>
      <c r="F15" s="43" t="s">
        <v>1867</v>
      </c>
      <c r="G15" s="366">
        <v>81897710001</v>
      </c>
      <c r="H15" s="322">
        <v>287.08630434782606</v>
      </c>
      <c r="I15" s="322">
        <f t="shared" si="0"/>
        <v>287.08630434782606</v>
      </c>
    </row>
    <row r="16" spans="1:9" x14ac:dyDescent="0.25">
      <c r="A16" s="15" t="s">
        <v>736</v>
      </c>
      <c r="B16" s="44">
        <v>1</v>
      </c>
      <c r="C16" s="65" t="s">
        <v>737</v>
      </c>
      <c r="D16" s="64" t="s">
        <v>10</v>
      </c>
      <c r="E16" s="195" t="s">
        <v>2284</v>
      </c>
      <c r="F16" s="44" t="s">
        <v>1870</v>
      </c>
      <c r="G16" s="366">
        <v>81897710023</v>
      </c>
      <c r="H16" s="322">
        <v>149.25717391304346</v>
      </c>
      <c r="I16" s="322">
        <f t="shared" si="0"/>
        <v>149.25717391304346</v>
      </c>
    </row>
    <row r="17" spans="1:9" x14ac:dyDescent="0.25">
      <c r="A17" s="15" t="s">
        <v>738</v>
      </c>
      <c r="B17" s="44">
        <v>1</v>
      </c>
      <c r="C17" s="65" t="s">
        <v>739</v>
      </c>
      <c r="D17" s="64" t="s">
        <v>10</v>
      </c>
      <c r="E17" s="195" t="s">
        <v>2428</v>
      </c>
      <c r="F17" s="30" t="s">
        <v>1871</v>
      </c>
      <c r="G17" s="366">
        <v>81897710023</v>
      </c>
      <c r="H17" s="322">
        <v>142.67739130434782</v>
      </c>
      <c r="I17" s="322">
        <f t="shared" si="0"/>
        <v>142.67739130434782</v>
      </c>
    </row>
    <row r="18" spans="1:9" x14ac:dyDescent="0.25">
      <c r="A18" s="15" t="s">
        <v>740</v>
      </c>
      <c r="B18" s="44">
        <v>1</v>
      </c>
      <c r="C18" s="65" t="s">
        <v>55</v>
      </c>
      <c r="D18" s="64" t="s">
        <v>8</v>
      </c>
      <c r="E18" s="195" t="s">
        <v>2264</v>
      </c>
      <c r="F18" s="343" t="s">
        <v>1875</v>
      </c>
      <c r="G18" s="366">
        <v>81897710023</v>
      </c>
      <c r="H18" s="322">
        <v>94.541086956521738</v>
      </c>
      <c r="I18" s="322">
        <f t="shared" si="0"/>
        <v>94.541086956521738</v>
      </c>
    </row>
    <row r="19" spans="1:9" x14ac:dyDescent="0.25">
      <c r="A19" s="15" t="s">
        <v>742</v>
      </c>
      <c r="B19" s="44">
        <v>1</v>
      </c>
      <c r="C19" s="65" t="s">
        <v>61</v>
      </c>
      <c r="D19" s="64" t="s">
        <v>8</v>
      </c>
      <c r="E19" s="195" t="s">
        <v>2267</v>
      </c>
      <c r="F19" s="44" t="s">
        <v>1877</v>
      </c>
      <c r="G19" s="366">
        <v>81897710023</v>
      </c>
      <c r="H19" s="322">
        <v>175.22999999999996</v>
      </c>
      <c r="I19" s="322">
        <f t="shared" si="0"/>
        <v>175.22999999999996</v>
      </c>
    </row>
    <row r="20" spans="1:9" x14ac:dyDescent="0.25">
      <c r="A20" s="15" t="s">
        <v>743</v>
      </c>
      <c r="B20" s="44">
        <v>1</v>
      </c>
      <c r="C20" s="65" t="s">
        <v>63</v>
      </c>
      <c r="D20" s="64" t="s">
        <v>8</v>
      </c>
      <c r="E20" s="195" t="s">
        <v>2268</v>
      </c>
      <c r="F20" s="44" t="s">
        <v>1878</v>
      </c>
      <c r="G20" s="366">
        <v>81897710023</v>
      </c>
      <c r="H20" s="322">
        <v>208.12891304347824</v>
      </c>
      <c r="I20" s="322">
        <f t="shared" si="0"/>
        <v>208.12891304347824</v>
      </c>
    </row>
    <row r="21" spans="1:9" x14ac:dyDescent="0.25">
      <c r="A21" s="15" t="s">
        <v>744</v>
      </c>
      <c r="B21" s="44">
        <v>1</v>
      </c>
      <c r="C21" s="65" t="s">
        <v>546</v>
      </c>
      <c r="D21" s="64" t="s">
        <v>8</v>
      </c>
      <c r="E21" s="195" t="s">
        <v>2386</v>
      </c>
      <c r="F21" s="44" t="s">
        <v>1884</v>
      </c>
      <c r="G21" s="366">
        <v>81897710001</v>
      </c>
      <c r="H21" s="322">
        <v>257.99673913043478</v>
      </c>
      <c r="I21" s="322">
        <f t="shared" si="0"/>
        <v>257.99673913043478</v>
      </c>
    </row>
    <row r="22" spans="1:9" x14ac:dyDescent="0.25">
      <c r="A22" s="15" t="s">
        <v>745</v>
      </c>
      <c r="B22" s="44">
        <v>4</v>
      </c>
      <c r="C22" s="65" t="s">
        <v>65</v>
      </c>
      <c r="D22" s="64" t="s">
        <v>8</v>
      </c>
      <c r="E22" s="195" t="s">
        <v>2270</v>
      </c>
      <c r="F22" s="44" t="s">
        <v>1894</v>
      </c>
      <c r="G22" s="366">
        <v>81897710001</v>
      </c>
      <c r="H22" s="322">
        <v>111.8563043478261</v>
      </c>
      <c r="I22" s="322">
        <f t="shared" si="0"/>
        <v>447.42521739130439</v>
      </c>
    </row>
    <row r="23" spans="1:9" x14ac:dyDescent="0.25">
      <c r="A23" s="15" t="s">
        <v>747</v>
      </c>
      <c r="B23" s="44">
        <v>4</v>
      </c>
      <c r="C23" s="65" t="s">
        <v>68</v>
      </c>
      <c r="D23" s="64" t="s">
        <v>8</v>
      </c>
      <c r="E23" s="195" t="s">
        <v>2272</v>
      </c>
      <c r="F23" s="316" t="s">
        <v>1896</v>
      </c>
      <c r="G23" s="366">
        <v>81897710001</v>
      </c>
      <c r="H23" s="322">
        <v>134.36608695652174</v>
      </c>
      <c r="I23" s="322">
        <f t="shared" si="0"/>
        <v>537.46434782608696</v>
      </c>
    </row>
    <row r="24" spans="1:9" x14ac:dyDescent="0.25">
      <c r="A24" s="15" t="s">
        <v>748</v>
      </c>
      <c r="B24" s="44">
        <v>3</v>
      </c>
      <c r="C24" s="65" t="s">
        <v>76</v>
      </c>
      <c r="D24" s="64" t="s">
        <v>8</v>
      </c>
      <c r="E24" s="195" t="s">
        <v>2275</v>
      </c>
      <c r="F24" s="30" t="s">
        <v>1902</v>
      </c>
      <c r="G24" s="366">
        <v>81897710001</v>
      </c>
      <c r="H24" s="322">
        <v>116.70456521739129</v>
      </c>
      <c r="I24" s="322">
        <f t="shared" si="0"/>
        <v>350.11369565217387</v>
      </c>
    </row>
    <row r="25" spans="1:9" x14ac:dyDescent="0.25">
      <c r="A25" s="15" t="s">
        <v>647</v>
      </c>
      <c r="B25" s="44">
        <v>4</v>
      </c>
      <c r="C25" s="65" t="s">
        <v>24</v>
      </c>
      <c r="D25" s="64" t="s">
        <v>8</v>
      </c>
      <c r="E25" s="195" t="s">
        <v>2243</v>
      </c>
      <c r="F25" s="44" t="s">
        <v>1844</v>
      </c>
      <c r="G25" s="366">
        <v>81897710001</v>
      </c>
      <c r="H25" s="322">
        <v>111.8563043478261</v>
      </c>
      <c r="I25" s="322">
        <f t="shared" si="0"/>
        <v>447.42521739130439</v>
      </c>
    </row>
    <row r="26" spans="1:9" x14ac:dyDescent="0.25">
      <c r="A26" s="15" t="s">
        <v>617</v>
      </c>
      <c r="B26" s="44">
        <v>4</v>
      </c>
      <c r="C26" s="65" t="s">
        <v>26</v>
      </c>
      <c r="D26" s="64" t="s">
        <v>8</v>
      </c>
      <c r="E26" s="195" t="s">
        <v>2244</v>
      </c>
      <c r="F26" s="30" t="s">
        <v>1845</v>
      </c>
      <c r="G26" s="366">
        <v>81897710001</v>
      </c>
      <c r="H26" s="322">
        <v>109.08586956521739</v>
      </c>
      <c r="I26" s="322">
        <f t="shared" si="0"/>
        <v>436.34347826086957</v>
      </c>
    </row>
    <row r="27" spans="1:9" x14ac:dyDescent="0.25">
      <c r="A27" s="15" t="s">
        <v>749</v>
      </c>
      <c r="B27" s="44">
        <v>1</v>
      </c>
      <c r="C27" s="65" t="s">
        <v>689</v>
      </c>
      <c r="D27" s="64" t="s">
        <v>8</v>
      </c>
      <c r="E27" s="195" t="s">
        <v>2419</v>
      </c>
      <c r="F27" s="44" t="s">
        <v>1911</v>
      </c>
      <c r="G27" s="366">
        <v>81897710001</v>
      </c>
      <c r="H27" s="322">
        <v>211.93826086956517</v>
      </c>
      <c r="I27" s="322">
        <f t="shared" si="0"/>
        <v>211.93826086956517</v>
      </c>
    </row>
    <row r="28" spans="1:9" x14ac:dyDescent="0.25">
      <c r="A28" s="15" t="s">
        <v>753</v>
      </c>
      <c r="B28" s="44">
        <v>1</v>
      </c>
      <c r="C28" s="65" t="s">
        <v>111</v>
      </c>
      <c r="D28" s="64" t="s">
        <v>8</v>
      </c>
      <c r="E28" s="195" t="s">
        <v>2429</v>
      </c>
      <c r="F28" s="61" t="s">
        <v>1927</v>
      </c>
      <c r="G28" s="366">
        <v>81897710001</v>
      </c>
      <c r="H28" s="322">
        <v>129.51782608695652</v>
      </c>
      <c r="I28" s="322">
        <f t="shared" si="0"/>
        <v>129.51782608695652</v>
      </c>
    </row>
    <row r="29" spans="1:9" x14ac:dyDescent="0.25">
      <c r="A29" s="15" t="s">
        <v>751</v>
      </c>
      <c r="B29" s="44">
        <v>1</v>
      </c>
      <c r="C29" s="65" t="s">
        <v>113</v>
      </c>
      <c r="D29" s="64" t="s">
        <v>8</v>
      </c>
      <c r="E29" s="195" t="s">
        <v>2405</v>
      </c>
      <c r="F29" s="44" t="s">
        <v>1929</v>
      </c>
      <c r="G29" s="366">
        <v>81897710001</v>
      </c>
      <c r="H29" s="322">
        <v>165.18717391304347</v>
      </c>
      <c r="I29" s="322">
        <f t="shared" si="0"/>
        <v>165.18717391304347</v>
      </c>
    </row>
    <row r="30" spans="1:9" x14ac:dyDescent="0.25">
      <c r="A30" s="15" t="s">
        <v>750</v>
      </c>
      <c r="B30" s="44">
        <v>1</v>
      </c>
      <c r="C30" s="65" t="s">
        <v>117</v>
      </c>
      <c r="D30" s="64" t="s">
        <v>8</v>
      </c>
      <c r="E30" s="195" t="s">
        <v>2430</v>
      </c>
      <c r="F30" s="44" t="s">
        <v>1931</v>
      </c>
      <c r="G30" s="366">
        <v>81897710001</v>
      </c>
      <c r="H30" s="322">
        <v>246.22239130434781</v>
      </c>
      <c r="I30" s="322">
        <f t="shared" si="0"/>
        <v>246.22239130434781</v>
      </c>
    </row>
    <row r="31" spans="1:9" x14ac:dyDescent="0.25">
      <c r="A31" s="15" t="s">
        <v>126</v>
      </c>
      <c r="B31" s="44">
        <v>1</v>
      </c>
      <c r="C31" s="65" t="s">
        <v>127</v>
      </c>
      <c r="D31" s="64" t="s">
        <v>8</v>
      </c>
      <c r="E31" s="195" t="s">
        <v>2298</v>
      </c>
      <c r="F31" s="44" t="s">
        <v>1950</v>
      </c>
      <c r="G31" s="366">
        <v>81897710023</v>
      </c>
      <c r="H31" s="322">
        <v>49.521521739130435</v>
      </c>
      <c r="I31" s="322">
        <f t="shared" si="0"/>
        <v>49.521521739130435</v>
      </c>
    </row>
    <row r="32" spans="1:9" x14ac:dyDescent="0.25">
      <c r="A32" s="15" t="s">
        <v>632</v>
      </c>
      <c r="B32" s="44">
        <v>1</v>
      </c>
      <c r="C32" s="65" t="s">
        <v>633</v>
      </c>
      <c r="D32" s="64" t="s">
        <v>8</v>
      </c>
      <c r="E32" s="195" t="s">
        <v>2409</v>
      </c>
      <c r="F32" s="44" t="s">
        <v>1963</v>
      </c>
      <c r="G32" s="366">
        <v>81897710017</v>
      </c>
      <c r="H32" s="322">
        <v>103.19869565217391</v>
      </c>
      <c r="I32" s="322">
        <f t="shared" si="0"/>
        <v>103.19869565217391</v>
      </c>
    </row>
    <row r="33" spans="1:9" x14ac:dyDescent="0.25">
      <c r="A33" s="15" t="s">
        <v>754</v>
      </c>
      <c r="B33" s="44">
        <v>1</v>
      </c>
      <c r="C33" s="65" t="s">
        <v>660</v>
      </c>
      <c r="D33" s="64" t="s">
        <v>8</v>
      </c>
      <c r="E33" s="195" t="s">
        <v>2414</v>
      </c>
      <c r="F33" s="44" t="s">
        <v>1955</v>
      </c>
      <c r="G33" s="366">
        <v>81897710017</v>
      </c>
      <c r="H33" s="322">
        <v>100.08195652173913</v>
      </c>
      <c r="I33" s="322">
        <f t="shared" si="0"/>
        <v>100.08195652173913</v>
      </c>
    </row>
    <row r="34" spans="1:9" x14ac:dyDescent="0.25">
      <c r="A34" s="15" t="s">
        <v>693</v>
      </c>
      <c r="B34" s="44">
        <v>1</v>
      </c>
      <c r="C34" s="65" t="s">
        <v>662</v>
      </c>
      <c r="D34" s="64" t="s">
        <v>8</v>
      </c>
      <c r="E34" s="195" t="s">
        <v>2306</v>
      </c>
      <c r="F34" s="30" t="s">
        <v>1967</v>
      </c>
      <c r="G34" s="366">
        <v>81897710017</v>
      </c>
      <c r="H34" s="322">
        <v>157.91478260869562</v>
      </c>
      <c r="I34" s="322">
        <f t="shared" si="0"/>
        <v>157.91478260869562</v>
      </c>
    </row>
    <row r="35" spans="1:9" x14ac:dyDescent="0.25">
      <c r="A35" s="96" t="s">
        <v>755</v>
      </c>
      <c r="B35" s="60">
        <v>1</v>
      </c>
      <c r="C35" s="69" t="s">
        <v>518</v>
      </c>
      <c r="D35" s="64" t="s">
        <v>8</v>
      </c>
      <c r="E35" s="195" t="s">
        <v>2305</v>
      </c>
      <c r="F35" s="30" t="s">
        <v>1969</v>
      </c>
      <c r="G35" s="366">
        <v>81897710017</v>
      </c>
      <c r="H35" s="322">
        <v>197.04717391304348</v>
      </c>
      <c r="I35" s="322">
        <f t="shared" si="0"/>
        <v>197.04717391304348</v>
      </c>
    </row>
    <row r="36" spans="1:9" x14ac:dyDescent="0.25">
      <c r="I36" s="412">
        <f>SUM(I2:I35)</f>
        <v>12323.406521739129</v>
      </c>
    </row>
  </sheetData>
  <sortState xmlns:xlrd2="http://schemas.microsoft.com/office/spreadsheetml/2017/richdata2" ref="A2:D35">
    <sortCondition ref="A1:A35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076DE-06E2-4FC5-8AED-9A719A5E3759}">
  <sheetPr codeName="Planilha18">
    <tabColor rgb="FFFF0000"/>
  </sheetPr>
  <dimension ref="A1:H59"/>
  <sheetViews>
    <sheetView workbookViewId="0">
      <pane ySplit="1" topLeftCell="A2" activePane="bottomLeft" state="frozen"/>
      <selection activeCell="A53" sqref="A53"/>
      <selection pane="bottomLeft" activeCell="A53" sqref="A53"/>
    </sheetView>
  </sheetViews>
  <sheetFormatPr defaultRowHeight="15" x14ac:dyDescent="0.25"/>
  <cols>
    <col min="1" max="1" width="52.5703125" customWidth="1"/>
    <col min="2" max="2" width="19.5703125" customWidth="1"/>
    <col min="3" max="3" width="19" customWidth="1"/>
    <col min="4" max="4" width="21.28515625" bestFit="1" customWidth="1"/>
    <col min="5" max="5" width="12.140625" bestFit="1" customWidth="1"/>
    <col min="6" max="6" width="12.5703125" bestFit="1" customWidth="1"/>
    <col min="7" max="7" width="7.85546875" bestFit="1" customWidth="1"/>
    <col min="8" max="8" width="16.7109375" bestFit="1" customWidth="1"/>
  </cols>
  <sheetData>
    <row r="1" spans="1:8" ht="15.75" x14ac:dyDescent="0.25">
      <c r="A1" s="84" t="s">
        <v>0</v>
      </c>
      <c r="B1" s="84" t="s">
        <v>305</v>
      </c>
      <c r="C1" s="89" t="s">
        <v>360</v>
      </c>
      <c r="D1" s="197" t="s">
        <v>1721</v>
      </c>
      <c r="E1" s="194" t="s">
        <v>1723</v>
      </c>
      <c r="F1" s="194" t="s">
        <v>1724</v>
      </c>
      <c r="G1" s="194" t="s">
        <v>1722</v>
      </c>
      <c r="H1" s="194" t="s">
        <v>1725</v>
      </c>
    </row>
    <row r="2" spans="1:8" x14ac:dyDescent="0.25">
      <c r="A2" s="204" t="s">
        <v>756</v>
      </c>
      <c r="B2" s="205">
        <v>1</v>
      </c>
      <c r="C2" s="206" t="s">
        <v>757</v>
      </c>
      <c r="D2" s="206" t="s">
        <v>162</v>
      </c>
      <c r="E2" s="195"/>
      <c r="F2" s="195"/>
      <c r="G2" s="195"/>
      <c r="H2" s="195"/>
    </row>
    <row r="3" spans="1:8" x14ac:dyDescent="0.25">
      <c r="A3" s="204" t="s">
        <v>758</v>
      </c>
      <c r="B3" s="205">
        <v>1</v>
      </c>
      <c r="C3" s="206">
        <v>277</v>
      </c>
      <c r="D3" s="206" t="s">
        <v>162</v>
      </c>
      <c r="E3" s="195"/>
      <c r="F3" s="195"/>
      <c r="G3" s="195"/>
      <c r="H3" s="195"/>
    </row>
    <row r="4" spans="1:8" x14ac:dyDescent="0.25">
      <c r="A4" s="204" t="s">
        <v>759</v>
      </c>
      <c r="B4" s="205">
        <v>1</v>
      </c>
      <c r="C4" s="206" t="s">
        <v>760</v>
      </c>
      <c r="D4" s="206" t="s">
        <v>162</v>
      </c>
      <c r="E4" s="195"/>
      <c r="F4" s="195"/>
      <c r="G4" s="195"/>
      <c r="H4" s="195"/>
    </row>
    <row r="5" spans="1:8" x14ac:dyDescent="0.25">
      <c r="A5" s="204" t="s">
        <v>761</v>
      </c>
      <c r="B5" s="205">
        <v>1</v>
      </c>
      <c r="C5" s="206" t="s">
        <v>762</v>
      </c>
      <c r="D5" s="206" t="s">
        <v>162</v>
      </c>
      <c r="E5" s="195"/>
      <c r="F5" s="195"/>
      <c r="G5" s="195"/>
      <c r="H5" s="195"/>
    </row>
    <row r="6" spans="1:8" x14ac:dyDescent="0.25">
      <c r="A6" s="204" t="s">
        <v>763</v>
      </c>
      <c r="B6" s="205">
        <v>1</v>
      </c>
      <c r="C6" s="206" t="s">
        <v>764</v>
      </c>
      <c r="D6" s="206" t="s">
        <v>162</v>
      </c>
      <c r="E6" s="195"/>
      <c r="F6" s="195"/>
      <c r="G6" s="195"/>
      <c r="H6" s="195"/>
    </row>
    <row r="7" spans="1:8" x14ac:dyDescent="0.25">
      <c r="A7" s="204" t="s">
        <v>765</v>
      </c>
      <c r="B7" s="205">
        <v>1</v>
      </c>
      <c r="C7" s="206" t="s">
        <v>766</v>
      </c>
      <c r="D7" s="206" t="s">
        <v>162</v>
      </c>
      <c r="E7" s="195"/>
      <c r="F7" s="195"/>
      <c r="G7" s="195"/>
      <c r="H7" s="195"/>
    </row>
    <row r="8" spans="1:8" x14ac:dyDescent="0.25">
      <c r="A8" s="204" t="s">
        <v>767</v>
      </c>
      <c r="B8" s="205">
        <v>1</v>
      </c>
      <c r="C8" s="206" t="s">
        <v>768</v>
      </c>
      <c r="D8" s="206" t="s">
        <v>162</v>
      </c>
      <c r="E8" s="195"/>
      <c r="F8" s="195"/>
      <c r="G8" s="195"/>
      <c r="H8" s="195"/>
    </row>
    <row r="9" spans="1:8" x14ac:dyDescent="0.25">
      <c r="A9" s="204" t="s">
        <v>769</v>
      </c>
      <c r="B9" s="205">
        <v>1</v>
      </c>
      <c r="C9" s="206" t="s">
        <v>770</v>
      </c>
      <c r="D9" s="206" t="s">
        <v>162</v>
      </c>
      <c r="E9" s="195"/>
      <c r="F9" s="195"/>
      <c r="G9" s="195"/>
      <c r="H9" s="195"/>
    </row>
    <row r="10" spans="1:8" x14ac:dyDescent="0.25">
      <c r="A10" s="204" t="s">
        <v>771</v>
      </c>
      <c r="B10" s="205">
        <v>1</v>
      </c>
      <c r="C10" s="206" t="s">
        <v>762</v>
      </c>
      <c r="D10" s="206" t="s">
        <v>162</v>
      </c>
      <c r="E10" s="195"/>
      <c r="F10" s="195"/>
      <c r="G10" s="195"/>
      <c r="H10" s="195"/>
    </row>
    <row r="11" spans="1:8" x14ac:dyDescent="0.25">
      <c r="A11" s="204" t="s">
        <v>772</v>
      </c>
      <c r="B11" s="205">
        <v>1</v>
      </c>
      <c r="C11" s="206" t="s">
        <v>773</v>
      </c>
      <c r="D11" s="206" t="s">
        <v>162</v>
      </c>
      <c r="E11" s="195"/>
      <c r="F11" s="195"/>
      <c r="G11" s="195"/>
      <c r="H11" s="195"/>
    </row>
    <row r="12" spans="1:8" x14ac:dyDescent="0.25">
      <c r="A12" s="204" t="s">
        <v>774</v>
      </c>
      <c r="B12" s="205">
        <v>1</v>
      </c>
      <c r="C12" s="206" t="s">
        <v>775</v>
      </c>
      <c r="D12" s="206" t="s">
        <v>162</v>
      </c>
      <c r="E12" s="195"/>
      <c r="F12" s="195"/>
      <c r="G12" s="195"/>
      <c r="H12" s="195"/>
    </row>
    <row r="13" spans="1:8" x14ac:dyDescent="0.25">
      <c r="A13" s="204" t="s">
        <v>776</v>
      </c>
      <c r="B13" s="205">
        <v>1</v>
      </c>
      <c r="C13" s="206" t="s">
        <v>777</v>
      </c>
      <c r="D13" s="206" t="s">
        <v>162</v>
      </c>
      <c r="E13" s="195"/>
      <c r="F13" s="195"/>
      <c r="G13" s="195"/>
      <c r="H13" s="195"/>
    </row>
    <row r="14" spans="1:8" x14ac:dyDescent="0.25">
      <c r="A14" s="204" t="s">
        <v>778</v>
      </c>
      <c r="B14" s="205">
        <v>1</v>
      </c>
      <c r="C14" s="206"/>
      <c r="D14" s="206"/>
      <c r="E14" s="195"/>
      <c r="F14" s="195"/>
      <c r="G14" s="195"/>
      <c r="H14" s="195"/>
    </row>
    <row r="15" spans="1:8" x14ac:dyDescent="0.25">
      <c r="A15" s="145"/>
      <c r="B15" s="114"/>
      <c r="C15" s="114"/>
      <c r="D15" s="114"/>
    </row>
    <row r="16" spans="1:8" x14ac:dyDescent="0.25">
      <c r="A16" s="145"/>
      <c r="B16" s="114"/>
      <c r="C16" s="114"/>
      <c r="D16" s="114"/>
    </row>
    <row r="17" spans="1:4" x14ac:dyDescent="0.25">
      <c r="A17" s="145"/>
      <c r="B17" s="114"/>
      <c r="C17" s="114"/>
      <c r="D17" s="114"/>
    </row>
    <row r="18" spans="1:4" x14ac:dyDescent="0.25">
      <c r="A18" s="145"/>
      <c r="B18" s="114"/>
      <c r="C18" s="114"/>
      <c r="D18" s="114"/>
    </row>
    <row r="19" spans="1:4" x14ac:dyDescent="0.25">
      <c r="A19" s="145"/>
      <c r="B19" s="114"/>
      <c r="C19" s="114"/>
      <c r="D19" s="114"/>
    </row>
    <row r="20" spans="1:4" x14ac:dyDescent="0.25">
      <c r="A20" s="145"/>
      <c r="B20" s="114"/>
      <c r="C20" s="114"/>
      <c r="D20" s="114"/>
    </row>
    <row r="21" spans="1:4" x14ac:dyDescent="0.25">
      <c r="A21" s="145"/>
      <c r="B21" s="114"/>
      <c r="C21" s="114"/>
      <c r="D21" s="114"/>
    </row>
    <row r="22" spans="1:4" x14ac:dyDescent="0.25">
      <c r="A22" s="145"/>
      <c r="B22" s="114"/>
      <c r="C22" s="114"/>
      <c r="D22" s="114"/>
    </row>
    <row r="23" spans="1:4" x14ac:dyDescent="0.25">
      <c r="A23" s="145"/>
      <c r="B23" s="114"/>
      <c r="C23" s="114"/>
      <c r="D23" s="114"/>
    </row>
    <row r="24" spans="1:4" x14ac:dyDescent="0.25">
      <c r="A24" s="145"/>
      <c r="B24" s="114"/>
      <c r="C24" s="114"/>
      <c r="D24" s="114"/>
    </row>
    <row r="25" spans="1:4" x14ac:dyDescent="0.25">
      <c r="A25" s="145"/>
      <c r="B25" s="114"/>
      <c r="C25" s="114"/>
      <c r="D25" s="114"/>
    </row>
    <row r="26" spans="1:4" x14ac:dyDescent="0.25">
      <c r="A26" s="145"/>
      <c r="B26" s="114"/>
      <c r="C26" s="114"/>
      <c r="D26" s="114"/>
    </row>
    <row r="27" spans="1:4" x14ac:dyDescent="0.25">
      <c r="A27" s="145"/>
      <c r="B27" s="114"/>
      <c r="C27" s="114"/>
      <c r="D27" s="114"/>
    </row>
    <row r="28" spans="1:4" x14ac:dyDescent="0.25">
      <c r="A28" s="145"/>
      <c r="B28" s="114"/>
      <c r="C28" s="114"/>
      <c r="D28" s="114"/>
    </row>
    <row r="29" spans="1:4" x14ac:dyDescent="0.25">
      <c r="A29" s="145"/>
      <c r="B29" s="114"/>
      <c r="C29" s="114"/>
      <c r="D29" s="114"/>
    </row>
    <row r="30" spans="1:4" x14ac:dyDescent="0.25">
      <c r="A30" s="145"/>
      <c r="B30" s="114"/>
      <c r="C30" s="114"/>
      <c r="D30" s="114"/>
    </row>
    <row r="31" spans="1:4" x14ac:dyDescent="0.25">
      <c r="A31" s="145"/>
      <c r="B31" s="114"/>
      <c r="C31" s="114"/>
      <c r="D31" s="114"/>
    </row>
    <row r="32" spans="1:4" x14ac:dyDescent="0.25">
      <c r="A32" s="145"/>
      <c r="B32" s="114"/>
      <c r="C32" s="114"/>
      <c r="D32" s="114"/>
    </row>
    <row r="33" spans="1:4" x14ac:dyDescent="0.25">
      <c r="A33" s="145"/>
      <c r="B33" s="114"/>
      <c r="C33" s="114"/>
      <c r="D33" s="114"/>
    </row>
    <row r="34" spans="1:4" x14ac:dyDescent="0.25">
      <c r="A34" s="145"/>
      <c r="B34" s="114"/>
      <c r="C34" s="114"/>
      <c r="D34" s="114"/>
    </row>
    <row r="35" spans="1:4" x14ac:dyDescent="0.25">
      <c r="A35" s="145"/>
      <c r="B35" s="114"/>
      <c r="C35" s="114"/>
      <c r="D35" s="114"/>
    </row>
    <row r="36" spans="1:4" x14ac:dyDescent="0.25">
      <c r="A36" s="145"/>
      <c r="B36" s="114"/>
      <c r="C36" s="114"/>
      <c r="D36" s="114"/>
    </row>
    <row r="37" spans="1:4" x14ac:dyDescent="0.25">
      <c r="A37" s="145"/>
      <c r="B37" s="114"/>
      <c r="C37" s="114"/>
      <c r="D37" s="114"/>
    </row>
    <row r="38" spans="1:4" x14ac:dyDescent="0.25">
      <c r="A38" s="145"/>
      <c r="B38" s="114"/>
      <c r="C38" s="114"/>
      <c r="D38" s="114"/>
    </row>
    <row r="39" spans="1:4" x14ac:dyDescent="0.25">
      <c r="A39" s="145"/>
      <c r="B39" s="114"/>
      <c r="C39" s="114"/>
      <c r="D39" s="114"/>
    </row>
    <row r="40" spans="1:4" x14ac:dyDescent="0.25">
      <c r="A40" s="145"/>
      <c r="B40" s="114"/>
      <c r="C40" s="114"/>
      <c r="D40" s="114"/>
    </row>
    <row r="41" spans="1:4" x14ac:dyDescent="0.25">
      <c r="A41" s="145"/>
      <c r="B41" s="114"/>
      <c r="C41" s="114"/>
      <c r="D41" s="114"/>
    </row>
    <row r="42" spans="1:4" x14ac:dyDescent="0.25">
      <c r="A42" s="145"/>
      <c r="B42" s="114"/>
      <c r="C42" s="114"/>
      <c r="D42" s="114"/>
    </row>
    <row r="43" spans="1:4" x14ac:dyDescent="0.25">
      <c r="A43" s="145"/>
      <c r="B43" s="114"/>
      <c r="C43" s="114"/>
      <c r="D43" s="114"/>
    </row>
    <row r="44" spans="1:4" x14ac:dyDescent="0.25">
      <c r="A44" s="145"/>
      <c r="B44" s="114"/>
      <c r="C44" s="114"/>
      <c r="D44" s="114"/>
    </row>
    <row r="45" spans="1:4" x14ac:dyDescent="0.25">
      <c r="A45" s="145"/>
      <c r="B45" s="114"/>
      <c r="C45" s="114"/>
      <c r="D45" s="114"/>
    </row>
    <row r="46" spans="1:4" x14ac:dyDescent="0.25">
      <c r="A46" s="145"/>
      <c r="B46" s="114"/>
      <c r="C46" s="114"/>
      <c r="D46" s="114"/>
    </row>
    <row r="47" spans="1:4" x14ac:dyDescent="0.25">
      <c r="A47" s="145"/>
      <c r="B47" s="114"/>
      <c r="C47" s="114"/>
      <c r="D47" s="114"/>
    </row>
    <row r="48" spans="1:4" x14ac:dyDescent="0.25">
      <c r="A48" s="145"/>
      <c r="B48" s="114"/>
      <c r="C48" s="114"/>
      <c r="D48" s="114"/>
    </row>
    <row r="49" spans="1:4" x14ac:dyDescent="0.25">
      <c r="A49" s="145"/>
      <c r="B49" s="114"/>
      <c r="C49" s="114"/>
      <c r="D49" s="114"/>
    </row>
    <row r="50" spans="1:4" x14ac:dyDescent="0.25">
      <c r="A50" s="146"/>
      <c r="B50" s="147"/>
      <c r="C50" s="114"/>
      <c r="D50" s="114"/>
    </row>
    <row r="51" spans="1:4" x14ac:dyDescent="0.25">
      <c r="A51" s="145"/>
      <c r="B51" s="146"/>
      <c r="C51" s="114"/>
      <c r="D51" s="114"/>
    </row>
    <row r="52" spans="1:4" x14ac:dyDescent="0.25">
      <c r="A52" s="145"/>
      <c r="B52" s="114"/>
      <c r="C52" s="114"/>
      <c r="D52" s="114"/>
    </row>
    <row r="53" spans="1:4" x14ac:dyDescent="0.25">
      <c r="A53" s="145"/>
      <c r="B53" s="114"/>
      <c r="C53" s="114"/>
      <c r="D53" s="114"/>
    </row>
    <row r="54" spans="1:4" x14ac:dyDescent="0.25">
      <c r="A54" s="145"/>
      <c r="B54" s="146"/>
      <c r="C54" s="114"/>
      <c r="D54" s="114"/>
    </row>
    <row r="55" spans="1:4" x14ac:dyDescent="0.25">
      <c r="A55" s="145"/>
      <c r="B55" s="114"/>
      <c r="C55" s="114"/>
      <c r="D55" s="114"/>
    </row>
    <row r="56" spans="1:4" x14ac:dyDescent="0.25">
      <c r="A56" s="145"/>
      <c r="B56" s="114"/>
      <c r="C56" s="114"/>
      <c r="D56" s="114"/>
    </row>
    <row r="57" spans="1:4" x14ac:dyDescent="0.25">
      <c r="A57" s="145"/>
      <c r="B57" s="114"/>
      <c r="C57" s="114"/>
      <c r="D57" s="114"/>
    </row>
    <row r="58" spans="1:4" x14ac:dyDescent="0.25">
      <c r="A58" s="145"/>
      <c r="B58" s="114"/>
      <c r="C58" s="114"/>
      <c r="D58" s="114"/>
    </row>
    <row r="59" spans="1:4" x14ac:dyDescent="0.25">
      <c r="A59" s="145"/>
      <c r="B59" s="114"/>
      <c r="C59" s="114"/>
      <c r="D59" s="11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AA26F-1ABA-4211-B3B3-0B4197240F60}">
  <sheetPr codeName="Planilha19">
    <tabColor rgb="FFFF0000"/>
  </sheetPr>
  <dimension ref="A1:H10"/>
  <sheetViews>
    <sheetView workbookViewId="0">
      <pane ySplit="1" topLeftCell="A2" activePane="bottomLeft" state="frozen"/>
      <selection activeCell="A53" sqref="A53"/>
      <selection pane="bottomLeft" activeCell="A53" sqref="A53"/>
    </sheetView>
  </sheetViews>
  <sheetFormatPr defaultRowHeight="15" x14ac:dyDescent="0.25"/>
  <cols>
    <col min="1" max="1" width="40.140625" customWidth="1"/>
    <col min="2" max="2" width="19" customWidth="1"/>
    <col min="3" max="3" width="14" customWidth="1"/>
    <col min="4" max="4" width="21.28515625" bestFit="1" customWidth="1"/>
  </cols>
  <sheetData>
    <row r="1" spans="1:8" ht="15.75" x14ac:dyDescent="0.25">
      <c r="A1" s="84" t="s">
        <v>0</v>
      </c>
      <c r="B1" s="42" t="s">
        <v>305</v>
      </c>
      <c r="C1" s="86" t="s">
        <v>360</v>
      </c>
      <c r="D1" s="197" t="s">
        <v>1721</v>
      </c>
      <c r="E1" s="194" t="s">
        <v>1723</v>
      </c>
      <c r="F1" s="194" t="s">
        <v>1724</v>
      </c>
      <c r="G1" s="194" t="s">
        <v>1722</v>
      </c>
      <c r="H1" s="194" t="s">
        <v>1725</v>
      </c>
    </row>
    <row r="2" spans="1:8" x14ac:dyDescent="0.25">
      <c r="A2" s="56" t="s">
        <v>313</v>
      </c>
      <c r="B2" s="61">
        <v>1</v>
      </c>
      <c r="C2" s="156">
        <v>662250</v>
      </c>
      <c r="D2" s="64" t="s">
        <v>501</v>
      </c>
      <c r="E2" s="195"/>
      <c r="F2" s="195"/>
      <c r="G2" s="195"/>
      <c r="H2" s="195"/>
    </row>
    <row r="3" spans="1:8" x14ac:dyDescent="0.25">
      <c r="A3" s="56" t="s">
        <v>767</v>
      </c>
      <c r="B3" s="61">
        <v>1</v>
      </c>
      <c r="C3" s="65" t="s">
        <v>768</v>
      </c>
      <c r="D3" s="64" t="s">
        <v>162</v>
      </c>
      <c r="E3" s="195"/>
      <c r="F3" s="195"/>
      <c r="G3" s="195"/>
      <c r="H3" s="195"/>
    </row>
    <row r="4" spans="1:8" x14ac:dyDescent="0.25">
      <c r="A4" s="56" t="s">
        <v>779</v>
      </c>
      <c r="B4" s="61">
        <v>1</v>
      </c>
      <c r="C4" s="65" t="s">
        <v>780</v>
      </c>
      <c r="D4" s="64" t="s">
        <v>162</v>
      </c>
      <c r="E4" s="195"/>
      <c r="F4" s="195"/>
      <c r="G4" s="195"/>
      <c r="H4" s="195"/>
    </row>
    <row r="5" spans="1:8" x14ac:dyDescent="0.25">
      <c r="A5" s="56" t="s">
        <v>781</v>
      </c>
      <c r="B5" s="61">
        <v>1</v>
      </c>
      <c r="C5" s="65" t="s">
        <v>782</v>
      </c>
      <c r="D5" s="64" t="s">
        <v>162</v>
      </c>
      <c r="E5" s="195"/>
      <c r="F5" s="195"/>
      <c r="G5" s="195"/>
      <c r="H5" s="195"/>
    </row>
    <row r="6" spans="1:8" x14ac:dyDescent="0.25">
      <c r="A6" s="56" t="s">
        <v>783</v>
      </c>
      <c r="B6" s="61">
        <v>1</v>
      </c>
      <c r="C6" s="65" t="s">
        <v>784</v>
      </c>
      <c r="D6" s="64" t="s">
        <v>162</v>
      </c>
      <c r="E6" s="195"/>
      <c r="F6" s="195"/>
      <c r="G6" s="195"/>
      <c r="H6" s="195"/>
    </row>
    <row r="7" spans="1:8" x14ac:dyDescent="0.25">
      <c r="A7" s="56" t="s">
        <v>769</v>
      </c>
      <c r="B7" s="61">
        <v>1</v>
      </c>
      <c r="C7" s="65" t="s">
        <v>770</v>
      </c>
      <c r="D7" s="64" t="s">
        <v>162</v>
      </c>
      <c r="E7" s="195"/>
      <c r="F7" s="195"/>
      <c r="G7" s="195"/>
      <c r="H7" s="195"/>
    </row>
    <row r="8" spans="1:8" x14ac:dyDescent="0.25">
      <c r="A8" s="56" t="s">
        <v>785</v>
      </c>
      <c r="B8" s="61">
        <v>1</v>
      </c>
      <c r="C8" s="65" t="s">
        <v>786</v>
      </c>
      <c r="D8" s="64" t="s">
        <v>162</v>
      </c>
      <c r="E8" s="195"/>
      <c r="F8" s="195"/>
      <c r="G8" s="195"/>
      <c r="H8" s="195"/>
    </row>
    <row r="9" spans="1:8" x14ac:dyDescent="0.25">
      <c r="A9" s="56" t="s">
        <v>787</v>
      </c>
      <c r="B9" s="61">
        <v>1</v>
      </c>
      <c r="C9" s="65">
        <v>277</v>
      </c>
      <c r="D9" s="64" t="s">
        <v>162</v>
      </c>
      <c r="E9" s="195"/>
      <c r="F9" s="195"/>
      <c r="G9" s="195"/>
      <c r="H9" s="195"/>
    </row>
    <row r="10" spans="1:8" x14ac:dyDescent="0.25">
      <c r="A10" s="66" t="s">
        <v>788</v>
      </c>
      <c r="B10" s="67">
        <v>1</v>
      </c>
      <c r="C10" s="69" t="s">
        <v>789</v>
      </c>
      <c r="D10" s="178" t="s">
        <v>162</v>
      </c>
      <c r="E10" s="195"/>
      <c r="F10" s="195"/>
      <c r="G10" s="195"/>
      <c r="H10" s="195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EDE9A-C117-42A7-A9DE-3F3944755DF9}">
  <sheetPr codeName="Planilha20">
    <tabColor rgb="FFFF0000"/>
  </sheetPr>
  <dimension ref="A1:H6"/>
  <sheetViews>
    <sheetView workbookViewId="0">
      <pane ySplit="1" topLeftCell="A2" activePane="bottomLeft" state="frozen"/>
      <selection activeCell="A53" sqref="A53"/>
      <selection pane="bottomLeft" activeCell="A53" sqref="A53"/>
    </sheetView>
  </sheetViews>
  <sheetFormatPr defaultRowHeight="15" x14ac:dyDescent="0.25"/>
  <cols>
    <col min="1" max="1" width="35" customWidth="1"/>
    <col min="2" max="2" width="20.140625" customWidth="1"/>
    <col min="3" max="3" width="14.85546875" customWidth="1"/>
    <col min="4" max="4" width="18.7109375" customWidth="1"/>
  </cols>
  <sheetData>
    <row r="1" spans="1:8" ht="15.75" x14ac:dyDescent="0.25">
      <c r="A1" s="84" t="s">
        <v>0</v>
      </c>
      <c r="B1" s="42" t="s">
        <v>305</v>
      </c>
      <c r="C1" s="85" t="s">
        <v>2</v>
      </c>
      <c r="D1" s="197" t="s">
        <v>1721</v>
      </c>
      <c r="E1" s="194" t="s">
        <v>1723</v>
      </c>
      <c r="F1" s="194" t="s">
        <v>1724</v>
      </c>
      <c r="G1" s="194" t="s">
        <v>1722</v>
      </c>
      <c r="H1" s="194" t="s">
        <v>1725</v>
      </c>
    </row>
    <row r="2" spans="1:8" x14ac:dyDescent="0.25">
      <c r="A2" s="1" t="s">
        <v>313</v>
      </c>
      <c r="B2" s="30">
        <v>1</v>
      </c>
      <c r="C2" s="13">
        <v>662250</v>
      </c>
      <c r="D2" s="99" t="s">
        <v>501</v>
      </c>
      <c r="E2" s="195"/>
      <c r="F2" s="195"/>
      <c r="G2" s="195"/>
      <c r="H2" s="195"/>
    </row>
    <row r="3" spans="1:8" x14ac:dyDescent="0.25">
      <c r="A3" s="1" t="s">
        <v>790</v>
      </c>
      <c r="B3" s="30">
        <v>1</v>
      </c>
      <c r="C3" s="25" t="s">
        <v>791</v>
      </c>
      <c r="D3" s="99" t="s">
        <v>162</v>
      </c>
      <c r="E3" s="195"/>
      <c r="F3" s="195"/>
      <c r="G3" s="195"/>
      <c r="H3" s="195"/>
    </row>
    <row r="4" spans="1:8" x14ac:dyDescent="0.25">
      <c r="A4" s="1" t="s">
        <v>792</v>
      </c>
      <c r="B4" s="30">
        <v>1</v>
      </c>
      <c r="C4" s="25" t="s">
        <v>793</v>
      </c>
      <c r="D4" s="99" t="s">
        <v>162</v>
      </c>
      <c r="E4" s="195"/>
      <c r="F4" s="195"/>
      <c r="G4" s="195"/>
      <c r="H4" s="195"/>
    </row>
    <row r="5" spans="1:8" x14ac:dyDescent="0.25">
      <c r="A5" s="1" t="s">
        <v>794</v>
      </c>
      <c r="B5" s="30">
        <v>1</v>
      </c>
      <c r="C5" s="25" t="s">
        <v>795</v>
      </c>
      <c r="D5" s="99" t="s">
        <v>162</v>
      </c>
      <c r="E5" s="195"/>
      <c r="F5" s="195"/>
      <c r="G5" s="195"/>
      <c r="H5" s="195"/>
    </row>
    <row r="6" spans="1:8" x14ac:dyDescent="0.25">
      <c r="A6" s="1" t="s">
        <v>796</v>
      </c>
      <c r="B6" s="30">
        <v>1</v>
      </c>
      <c r="C6" s="25" t="s">
        <v>797</v>
      </c>
      <c r="D6" s="99" t="s">
        <v>162</v>
      </c>
      <c r="E6" s="195"/>
      <c r="F6" s="195"/>
      <c r="G6" s="195"/>
      <c r="H6" s="195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3B12D-662D-4D04-A363-6597F88A4A15}">
  <sheetPr codeName="Planilha21">
    <tabColor rgb="FF92D050"/>
  </sheetPr>
  <dimension ref="A1:I7"/>
  <sheetViews>
    <sheetView workbookViewId="0">
      <pane ySplit="1" topLeftCell="A2" activePane="bottomLeft" state="frozen"/>
      <selection activeCell="A53" sqref="A53"/>
      <selection pane="bottomLeft" activeCell="F11" sqref="F11"/>
    </sheetView>
  </sheetViews>
  <sheetFormatPr defaultRowHeight="15" x14ac:dyDescent="0.25"/>
  <cols>
    <col min="1" max="1" width="31" customWidth="1"/>
    <col min="2" max="2" width="23.5703125" customWidth="1"/>
    <col min="3" max="3" width="16.85546875" customWidth="1"/>
    <col min="4" max="4" width="23.140625" customWidth="1"/>
    <col min="5" max="5" width="25.7109375" customWidth="1"/>
    <col min="6" max="6" width="12.85546875" style="40" bestFit="1" customWidth="1"/>
    <col min="7" max="7" width="16" style="40" customWidth="1"/>
    <col min="8" max="8" width="16.140625" style="324" customWidth="1"/>
    <col min="9" max="9" width="16" customWidth="1"/>
  </cols>
  <sheetData>
    <row r="1" spans="1:9" ht="15.75" x14ac:dyDescent="0.25">
      <c r="A1" s="84" t="s">
        <v>0</v>
      </c>
      <c r="B1" s="42" t="s">
        <v>305</v>
      </c>
      <c r="C1" s="85" t="s">
        <v>360</v>
      </c>
      <c r="D1" s="197" t="s">
        <v>1721</v>
      </c>
      <c r="E1" s="194" t="s">
        <v>1723</v>
      </c>
      <c r="F1" s="194" t="s">
        <v>1724</v>
      </c>
      <c r="G1" s="194" t="s">
        <v>1722</v>
      </c>
      <c r="H1" s="321" t="s">
        <v>1725</v>
      </c>
      <c r="I1" s="321" t="s">
        <v>2317</v>
      </c>
    </row>
    <row r="2" spans="1:9" x14ac:dyDescent="0.25">
      <c r="A2" s="303" t="s">
        <v>481</v>
      </c>
      <c r="B2" s="30">
        <v>1</v>
      </c>
      <c r="C2" s="13">
        <v>662290</v>
      </c>
      <c r="D2" s="99" t="s">
        <v>501</v>
      </c>
      <c r="E2" s="512" t="s">
        <v>2658</v>
      </c>
      <c r="F2" s="308" t="s">
        <v>2431</v>
      </c>
      <c r="G2" s="308" t="s">
        <v>2336</v>
      </c>
      <c r="H2" s="322">
        <v>2787.75</v>
      </c>
      <c r="I2" s="322">
        <f>H2*B2</f>
        <v>2787.75</v>
      </c>
    </row>
    <row r="3" spans="1:9" x14ac:dyDescent="0.25">
      <c r="A3" s="303" t="s">
        <v>798</v>
      </c>
      <c r="B3" s="30">
        <v>1</v>
      </c>
      <c r="C3" s="25" t="s">
        <v>799</v>
      </c>
      <c r="D3" s="99" t="s">
        <v>10</v>
      </c>
      <c r="E3" s="195" t="s">
        <v>2432</v>
      </c>
      <c r="F3" s="308" t="s">
        <v>2189</v>
      </c>
      <c r="G3" s="308">
        <v>81897710012</v>
      </c>
      <c r="H3" s="322">
        <v>1128.3057391304349</v>
      </c>
      <c r="I3" s="322">
        <f t="shared" ref="I3:I6" si="0">H3*B3</f>
        <v>1128.3057391304349</v>
      </c>
    </row>
    <row r="4" spans="1:9" x14ac:dyDescent="0.25">
      <c r="A4" s="303" t="s">
        <v>800</v>
      </c>
      <c r="B4" s="30">
        <v>1</v>
      </c>
      <c r="C4" s="25" t="s">
        <v>801</v>
      </c>
      <c r="D4" s="99" t="s">
        <v>10</v>
      </c>
      <c r="E4" s="195" t="s">
        <v>2433</v>
      </c>
      <c r="F4" s="30" t="s">
        <v>2190</v>
      </c>
      <c r="G4" s="308">
        <v>81897710012</v>
      </c>
      <c r="H4" s="322">
        <v>1030.8095217391306</v>
      </c>
      <c r="I4" s="322">
        <f t="shared" si="0"/>
        <v>1030.8095217391306</v>
      </c>
    </row>
    <row r="5" spans="1:9" x14ac:dyDescent="0.25">
      <c r="A5" s="303" t="s">
        <v>802</v>
      </c>
      <c r="B5" s="30">
        <v>1</v>
      </c>
      <c r="C5" s="25" t="s">
        <v>803</v>
      </c>
      <c r="D5" s="99" t="s">
        <v>10</v>
      </c>
      <c r="E5" s="195" t="s">
        <v>2434</v>
      </c>
      <c r="F5" s="30" t="s">
        <v>2110</v>
      </c>
      <c r="G5" s="308">
        <v>81897710009</v>
      </c>
      <c r="H5" s="322">
        <v>2383.135695652174</v>
      </c>
      <c r="I5" s="322">
        <f t="shared" si="0"/>
        <v>2383.135695652174</v>
      </c>
    </row>
    <row r="6" spans="1:9" x14ac:dyDescent="0.25">
      <c r="A6" s="303" t="s">
        <v>804</v>
      </c>
      <c r="B6" s="30">
        <v>1</v>
      </c>
      <c r="C6" s="25" t="s">
        <v>805</v>
      </c>
      <c r="D6" s="99" t="s">
        <v>10</v>
      </c>
      <c r="E6" s="195" t="s">
        <v>2435</v>
      </c>
      <c r="F6" s="308" t="s">
        <v>2109</v>
      </c>
      <c r="G6" s="308">
        <v>81897710011</v>
      </c>
      <c r="H6" s="322">
        <v>3454.6475217391303</v>
      </c>
      <c r="I6" s="322">
        <f t="shared" si="0"/>
        <v>3454.6475217391303</v>
      </c>
    </row>
    <row r="7" spans="1:9" x14ac:dyDescent="0.25">
      <c r="I7" s="324">
        <f>SUM(I2:I6)</f>
        <v>10784.64847826087</v>
      </c>
    </row>
  </sheetData>
  <sortState xmlns:xlrd2="http://schemas.microsoft.com/office/spreadsheetml/2017/richdata2" ref="A2:D6">
    <sortCondition ref="A1:A6"/>
  </sortState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822B7-6B7E-42FB-9C28-40204A943BC6}">
  <sheetPr codeName="Planilha22">
    <tabColor rgb="FFFF0000"/>
  </sheetPr>
  <dimension ref="A1:H5"/>
  <sheetViews>
    <sheetView workbookViewId="0">
      <pane ySplit="1" topLeftCell="A2" activePane="bottomLeft" state="frozen"/>
      <selection activeCell="A53" sqref="A53"/>
      <selection pane="bottomLeft" activeCell="A53" sqref="A53"/>
    </sheetView>
  </sheetViews>
  <sheetFormatPr defaultRowHeight="15" x14ac:dyDescent="0.25"/>
  <cols>
    <col min="1" max="1" width="29.5703125" customWidth="1"/>
    <col min="2" max="2" width="19" customWidth="1"/>
    <col min="3" max="3" width="14.85546875" customWidth="1"/>
    <col min="4" max="4" width="18.42578125" customWidth="1"/>
  </cols>
  <sheetData>
    <row r="1" spans="1:8" ht="15.75" x14ac:dyDescent="0.25">
      <c r="A1" s="84" t="s">
        <v>0</v>
      </c>
      <c r="B1" s="42" t="s">
        <v>305</v>
      </c>
      <c r="C1" s="85" t="s">
        <v>2</v>
      </c>
      <c r="D1" s="197" t="s">
        <v>1721</v>
      </c>
      <c r="E1" s="194" t="s">
        <v>1723</v>
      </c>
      <c r="F1" s="194" t="s">
        <v>1724</v>
      </c>
      <c r="G1" s="194" t="s">
        <v>1722</v>
      </c>
      <c r="H1" s="194" t="s">
        <v>1725</v>
      </c>
    </row>
    <row r="2" spans="1:8" ht="15" customHeight="1" x14ac:dyDescent="0.25">
      <c r="A2" s="1" t="s">
        <v>313</v>
      </c>
      <c r="B2" s="30">
        <v>1</v>
      </c>
      <c r="C2" s="13">
        <v>662250</v>
      </c>
      <c r="D2" s="99" t="s">
        <v>501</v>
      </c>
      <c r="E2" s="195"/>
      <c r="F2" s="195"/>
      <c r="G2" s="195"/>
      <c r="H2" s="195"/>
    </row>
    <row r="3" spans="1:8" ht="15" customHeight="1" x14ac:dyDescent="0.25">
      <c r="A3" s="71" t="s">
        <v>806</v>
      </c>
      <c r="B3" s="48">
        <v>1</v>
      </c>
      <c r="C3" s="72" t="s">
        <v>807</v>
      </c>
      <c r="D3" s="64" t="s">
        <v>162</v>
      </c>
      <c r="E3" s="195"/>
      <c r="F3" s="195"/>
      <c r="G3" s="195"/>
      <c r="H3" s="195"/>
    </row>
    <row r="4" spans="1:8" ht="15" customHeight="1" x14ac:dyDescent="0.25">
      <c r="A4" s="73" t="s">
        <v>808</v>
      </c>
      <c r="B4" s="48">
        <v>1</v>
      </c>
      <c r="C4" s="72" t="s">
        <v>809</v>
      </c>
      <c r="D4" s="64" t="s">
        <v>162</v>
      </c>
      <c r="E4" s="195"/>
      <c r="F4" s="195"/>
      <c r="G4" s="195"/>
      <c r="H4" s="195"/>
    </row>
    <row r="5" spans="1:8" ht="15" customHeight="1" x14ac:dyDescent="0.25">
      <c r="A5" s="74" t="s">
        <v>810</v>
      </c>
      <c r="B5" s="48">
        <v>1</v>
      </c>
      <c r="C5" s="75" t="s">
        <v>811</v>
      </c>
      <c r="D5" s="64" t="s">
        <v>162</v>
      </c>
      <c r="E5" s="195"/>
      <c r="F5" s="195"/>
      <c r="G5" s="195"/>
      <c r="H5" s="195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56966-7EC1-446D-B401-EA79F95607DF}">
  <sheetPr codeName="Planilha23">
    <tabColor rgb="FFFF0000"/>
  </sheetPr>
  <dimension ref="A1:H8"/>
  <sheetViews>
    <sheetView workbookViewId="0">
      <selection activeCell="A53" sqref="A53"/>
    </sheetView>
  </sheetViews>
  <sheetFormatPr defaultRowHeight="15" x14ac:dyDescent="0.25"/>
  <cols>
    <col min="1" max="1" width="27.28515625" customWidth="1"/>
    <col min="2" max="2" width="22.28515625" customWidth="1"/>
    <col min="3" max="3" width="16.140625" customWidth="1"/>
    <col min="4" max="4" width="27.85546875" customWidth="1"/>
  </cols>
  <sheetData>
    <row r="1" spans="1:8" ht="15.75" x14ac:dyDescent="0.25">
      <c r="A1" s="88" t="s">
        <v>0</v>
      </c>
      <c r="B1" s="42" t="s">
        <v>305</v>
      </c>
      <c r="C1" s="86" t="s">
        <v>2</v>
      </c>
      <c r="D1" s="197" t="s">
        <v>1721</v>
      </c>
      <c r="E1" s="194" t="s">
        <v>1723</v>
      </c>
      <c r="F1" s="194" t="s">
        <v>1724</v>
      </c>
      <c r="G1" s="194" t="s">
        <v>1722</v>
      </c>
      <c r="H1" s="194" t="s">
        <v>1725</v>
      </c>
    </row>
    <row r="2" spans="1:8" x14ac:dyDescent="0.25">
      <c r="A2" s="8" t="s">
        <v>481</v>
      </c>
      <c r="B2" s="34">
        <v>1</v>
      </c>
      <c r="C2" s="207">
        <v>662250</v>
      </c>
      <c r="D2" s="99" t="s">
        <v>501</v>
      </c>
      <c r="E2" s="195"/>
      <c r="F2" s="195"/>
      <c r="G2" s="195"/>
      <c r="H2" s="195"/>
    </row>
    <row r="3" spans="1:8" x14ac:dyDescent="0.25">
      <c r="A3" s="8" t="s">
        <v>812</v>
      </c>
      <c r="B3" s="34">
        <v>1</v>
      </c>
      <c r="C3" s="208" t="s">
        <v>813</v>
      </c>
      <c r="D3" s="64" t="s">
        <v>814</v>
      </c>
      <c r="E3" s="195"/>
      <c r="F3" s="195"/>
      <c r="G3" s="195"/>
      <c r="H3" s="195"/>
    </row>
    <row r="4" spans="1:8" x14ac:dyDescent="0.25">
      <c r="A4" s="8" t="s">
        <v>815</v>
      </c>
      <c r="B4" s="34">
        <v>1</v>
      </c>
      <c r="C4" s="208">
        <v>228</v>
      </c>
      <c r="D4" s="64" t="s">
        <v>814</v>
      </c>
      <c r="E4" s="195"/>
      <c r="F4" s="195"/>
      <c r="G4" s="195"/>
      <c r="H4" s="195"/>
    </row>
    <row r="5" spans="1:8" x14ac:dyDescent="0.25">
      <c r="A5" s="8" t="s">
        <v>816</v>
      </c>
      <c r="B5" s="34">
        <v>1</v>
      </c>
      <c r="C5" s="208">
        <v>118</v>
      </c>
      <c r="D5" s="64" t="s">
        <v>814</v>
      </c>
      <c r="E5" s="195"/>
      <c r="F5" s="195"/>
      <c r="G5" s="195"/>
      <c r="H5" s="195"/>
    </row>
    <row r="6" spans="1:8" x14ac:dyDescent="0.25">
      <c r="A6" s="8" t="s">
        <v>817</v>
      </c>
      <c r="B6" s="34">
        <v>1</v>
      </c>
      <c r="C6" s="208">
        <v>121</v>
      </c>
      <c r="D6" s="64" t="s">
        <v>814</v>
      </c>
      <c r="E6" s="195"/>
      <c r="F6" s="195"/>
      <c r="G6" s="195"/>
      <c r="H6" s="195"/>
    </row>
    <row r="7" spans="1:8" x14ac:dyDescent="0.25">
      <c r="A7" s="8" t="s">
        <v>818</v>
      </c>
      <c r="B7" s="34">
        <v>1</v>
      </c>
      <c r="C7" s="208">
        <v>69</v>
      </c>
      <c r="D7" s="64" t="s">
        <v>814</v>
      </c>
      <c r="E7" s="195"/>
      <c r="F7" s="195"/>
      <c r="G7" s="195"/>
      <c r="H7" s="195"/>
    </row>
    <row r="8" spans="1:8" x14ac:dyDescent="0.25">
      <c r="A8" s="8" t="s">
        <v>819</v>
      </c>
      <c r="B8" s="34">
        <v>1</v>
      </c>
      <c r="C8" s="208">
        <v>180</v>
      </c>
      <c r="D8" s="64" t="s">
        <v>814</v>
      </c>
      <c r="E8" s="195"/>
      <c r="F8" s="195"/>
      <c r="G8" s="195"/>
      <c r="H8" s="195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5758C-2994-4C15-855F-9FA593CEF956}">
  <sheetPr codeName="Planilha24">
    <tabColor rgb="FF92D050"/>
  </sheetPr>
  <dimension ref="A1:I17"/>
  <sheetViews>
    <sheetView workbookViewId="0">
      <pane ySplit="1" topLeftCell="A2" activePane="bottomLeft" state="frozen"/>
      <selection activeCell="A53" sqref="A53"/>
      <selection pane="bottomLeft" activeCell="E23" sqref="E23"/>
    </sheetView>
  </sheetViews>
  <sheetFormatPr defaultRowHeight="15" x14ac:dyDescent="0.25"/>
  <cols>
    <col min="1" max="1" width="35.140625" customWidth="1"/>
    <col min="2" max="2" width="15.28515625" customWidth="1"/>
    <col min="3" max="3" width="17.5703125" customWidth="1"/>
    <col min="4" max="4" width="19.28515625" customWidth="1"/>
    <col min="5" max="5" width="22.85546875" customWidth="1"/>
    <col min="6" max="6" width="11.28515625" style="40" customWidth="1"/>
    <col min="7" max="7" width="15" style="40" customWidth="1"/>
    <col min="8" max="8" width="15.42578125" style="388" customWidth="1"/>
    <col min="9" max="9" width="15" style="40" customWidth="1"/>
  </cols>
  <sheetData>
    <row r="1" spans="1:9" ht="31.5" x14ac:dyDescent="0.25">
      <c r="A1" s="84" t="s">
        <v>0</v>
      </c>
      <c r="B1" s="42" t="s">
        <v>305</v>
      </c>
      <c r="C1" s="85" t="s">
        <v>2</v>
      </c>
      <c r="D1" s="197" t="s">
        <v>1721</v>
      </c>
      <c r="E1" s="194" t="s">
        <v>1723</v>
      </c>
      <c r="F1" s="194" t="s">
        <v>1724</v>
      </c>
      <c r="G1" s="194" t="s">
        <v>1722</v>
      </c>
      <c r="H1" s="321" t="s">
        <v>1725</v>
      </c>
      <c r="I1" s="321" t="s">
        <v>2317</v>
      </c>
    </row>
    <row r="2" spans="1:9" x14ac:dyDescent="0.25">
      <c r="A2" s="1" t="s">
        <v>821</v>
      </c>
      <c r="B2" s="30">
        <v>1</v>
      </c>
      <c r="C2" s="25">
        <v>2058</v>
      </c>
      <c r="D2" s="99" t="s">
        <v>4</v>
      </c>
      <c r="E2" s="195" t="s">
        <v>2436</v>
      </c>
      <c r="F2" s="34" t="s">
        <v>1759</v>
      </c>
      <c r="G2" s="308">
        <v>81897719001</v>
      </c>
      <c r="H2" s="400">
        <v>217.47913043478263</v>
      </c>
      <c r="I2" s="400">
        <f>H2*B2</f>
        <v>217.47913043478263</v>
      </c>
    </row>
    <row r="3" spans="1:9" x14ac:dyDescent="0.25">
      <c r="A3" s="1" t="s">
        <v>822</v>
      </c>
      <c r="B3" s="30">
        <v>1</v>
      </c>
      <c r="C3" s="25">
        <v>2059</v>
      </c>
      <c r="D3" s="99" t="s">
        <v>4</v>
      </c>
      <c r="E3" s="195" t="s">
        <v>2437</v>
      </c>
      <c r="F3" s="34" t="s">
        <v>1760</v>
      </c>
      <c r="G3" s="308">
        <v>81897710023</v>
      </c>
      <c r="H3" s="400">
        <v>217.47913043478263</v>
      </c>
      <c r="I3" s="400">
        <f t="shared" ref="I3:I16" si="0">H3*B3</f>
        <v>217.47913043478263</v>
      </c>
    </row>
    <row r="4" spans="1:9" x14ac:dyDescent="0.25">
      <c r="A4" s="1" t="s">
        <v>823</v>
      </c>
      <c r="B4" s="30">
        <v>1</v>
      </c>
      <c r="C4" s="25">
        <v>2061</v>
      </c>
      <c r="D4" s="99" t="s">
        <v>4</v>
      </c>
      <c r="E4" s="195" t="s">
        <v>2438</v>
      </c>
      <c r="F4" s="34" t="s">
        <v>1761</v>
      </c>
      <c r="G4" s="308">
        <v>81897719001</v>
      </c>
      <c r="H4" s="400">
        <v>206.39739130434782</v>
      </c>
      <c r="I4" s="400">
        <f t="shared" si="0"/>
        <v>206.39739130434782</v>
      </c>
    </row>
    <row r="5" spans="1:9" x14ac:dyDescent="0.25">
      <c r="A5" s="303" t="s">
        <v>824</v>
      </c>
      <c r="B5" s="30">
        <v>1</v>
      </c>
      <c r="C5" s="25">
        <v>2063</v>
      </c>
      <c r="D5" s="99" t="s">
        <v>4</v>
      </c>
      <c r="E5" s="195" t="s">
        <v>2439</v>
      </c>
      <c r="F5" s="34" t="s">
        <v>1762</v>
      </c>
      <c r="G5" s="308">
        <v>81897719001</v>
      </c>
      <c r="H5" s="400">
        <v>206.39739130434782</v>
      </c>
      <c r="I5" s="400">
        <f t="shared" si="0"/>
        <v>206.39739130434782</v>
      </c>
    </row>
    <row r="6" spans="1:9" x14ac:dyDescent="0.25">
      <c r="A6" s="420" t="s">
        <v>830</v>
      </c>
      <c r="B6" s="48">
        <v>1</v>
      </c>
      <c r="C6" s="39">
        <v>223100</v>
      </c>
      <c r="D6" s="64" t="s">
        <v>162</v>
      </c>
      <c r="E6" s="195" t="s">
        <v>2440</v>
      </c>
      <c r="F6" s="308" t="s">
        <v>2178</v>
      </c>
      <c r="G6" s="308">
        <v>81897710018</v>
      </c>
      <c r="H6" s="400">
        <v>202.24173913043478</v>
      </c>
      <c r="I6" s="400">
        <f t="shared" si="0"/>
        <v>202.24173913043478</v>
      </c>
    </row>
    <row r="7" spans="1:9" x14ac:dyDescent="0.25">
      <c r="A7" s="303" t="s">
        <v>481</v>
      </c>
      <c r="B7" s="30">
        <v>1</v>
      </c>
      <c r="C7" s="47">
        <v>662550</v>
      </c>
      <c r="D7" s="99" t="s">
        <v>501</v>
      </c>
      <c r="E7" s="512" t="s">
        <v>2658</v>
      </c>
      <c r="F7" s="308" t="s">
        <v>2431</v>
      </c>
      <c r="G7" s="308" t="s">
        <v>2336</v>
      </c>
      <c r="H7" s="400">
        <v>2787.75</v>
      </c>
      <c r="I7" s="400">
        <f t="shared" si="0"/>
        <v>2787.75</v>
      </c>
    </row>
    <row r="8" spans="1:9" x14ac:dyDescent="0.25">
      <c r="A8" s="303" t="s">
        <v>825</v>
      </c>
      <c r="B8" s="30">
        <v>1</v>
      </c>
      <c r="C8" s="25">
        <v>2195</v>
      </c>
      <c r="D8" s="99" t="s">
        <v>4</v>
      </c>
      <c r="E8" s="195" t="s">
        <v>825</v>
      </c>
      <c r="F8" s="268" t="s">
        <v>2179</v>
      </c>
      <c r="G8" s="308">
        <v>80476380016</v>
      </c>
      <c r="H8" s="400">
        <v>260.86956521739131</v>
      </c>
      <c r="I8" s="400">
        <f t="shared" si="0"/>
        <v>260.86956521739131</v>
      </c>
    </row>
    <row r="9" spans="1:9" x14ac:dyDescent="0.25">
      <c r="A9" s="303" t="s">
        <v>829</v>
      </c>
      <c r="B9" s="30">
        <v>1</v>
      </c>
      <c r="C9" s="25">
        <v>4912</v>
      </c>
      <c r="D9" s="99" t="s">
        <v>4</v>
      </c>
      <c r="E9" s="195" t="s">
        <v>2441</v>
      </c>
      <c r="F9" s="308" t="s">
        <v>2180</v>
      </c>
      <c r="G9" s="308">
        <v>81897710018</v>
      </c>
      <c r="H9" s="400">
        <v>192.89152173913044</v>
      </c>
      <c r="I9" s="400">
        <f t="shared" si="0"/>
        <v>192.89152173913044</v>
      </c>
    </row>
    <row r="10" spans="1:9" x14ac:dyDescent="0.25">
      <c r="A10" s="303" t="s">
        <v>831</v>
      </c>
      <c r="B10" s="30">
        <v>1</v>
      </c>
      <c r="C10" s="25">
        <v>2556</v>
      </c>
      <c r="D10" s="99" t="s">
        <v>4</v>
      </c>
      <c r="E10" s="195" t="s">
        <v>2442</v>
      </c>
      <c r="F10" s="308" t="s">
        <v>2115</v>
      </c>
      <c r="G10" s="308">
        <v>81897710023</v>
      </c>
      <c r="H10" s="400">
        <v>77.225869565217408</v>
      </c>
      <c r="I10" s="400">
        <f t="shared" si="0"/>
        <v>77.225869565217408</v>
      </c>
    </row>
    <row r="11" spans="1:9" x14ac:dyDescent="0.25">
      <c r="A11" s="303" t="s">
        <v>832</v>
      </c>
      <c r="B11" s="30">
        <v>1</v>
      </c>
      <c r="C11" s="25">
        <v>2556</v>
      </c>
      <c r="D11" s="99" t="s">
        <v>4</v>
      </c>
      <c r="E11" s="195" t="s">
        <v>2443</v>
      </c>
      <c r="F11" s="308" t="s">
        <v>2116</v>
      </c>
      <c r="G11" s="308">
        <v>81897710023</v>
      </c>
      <c r="H11" s="400">
        <v>77.225869565217408</v>
      </c>
      <c r="I11" s="400">
        <f t="shared" si="0"/>
        <v>77.225869565217408</v>
      </c>
    </row>
    <row r="12" spans="1:9" x14ac:dyDescent="0.25">
      <c r="A12" s="303" t="s">
        <v>833</v>
      </c>
      <c r="B12" s="30">
        <v>1</v>
      </c>
      <c r="C12" s="25">
        <v>2556</v>
      </c>
      <c r="D12" s="99" t="s">
        <v>4</v>
      </c>
      <c r="E12" s="195" t="s">
        <v>2444</v>
      </c>
      <c r="F12" s="308" t="s">
        <v>2136</v>
      </c>
      <c r="G12" s="308">
        <v>81897710023</v>
      </c>
      <c r="H12" s="400">
        <v>79.996304347826097</v>
      </c>
      <c r="I12" s="400">
        <f t="shared" si="0"/>
        <v>79.996304347826097</v>
      </c>
    </row>
    <row r="13" spans="1:9" x14ac:dyDescent="0.25">
      <c r="A13" s="303" t="s">
        <v>826</v>
      </c>
      <c r="B13" s="30">
        <v>1</v>
      </c>
      <c r="C13" s="25">
        <v>2625</v>
      </c>
      <c r="D13" s="99" t="s">
        <v>4</v>
      </c>
      <c r="E13" s="195" t="s">
        <v>2445</v>
      </c>
      <c r="F13" s="308" t="s">
        <v>2182</v>
      </c>
      <c r="G13" s="308">
        <v>81897710018</v>
      </c>
      <c r="H13" s="400">
        <v>260.4208695652174</v>
      </c>
      <c r="I13" s="400">
        <f t="shared" si="0"/>
        <v>260.4208695652174</v>
      </c>
    </row>
    <row r="14" spans="1:9" x14ac:dyDescent="0.25">
      <c r="A14" s="303" t="s">
        <v>827</v>
      </c>
      <c r="B14" s="30">
        <v>1</v>
      </c>
      <c r="C14" s="25">
        <v>3462</v>
      </c>
      <c r="D14" s="99" t="s">
        <v>4</v>
      </c>
      <c r="E14" s="195" t="s">
        <v>2446</v>
      </c>
      <c r="F14" s="308" t="s">
        <v>2181</v>
      </c>
      <c r="G14" s="308">
        <v>81897710018</v>
      </c>
      <c r="H14" s="400">
        <v>254.88000000000005</v>
      </c>
      <c r="I14" s="400">
        <f t="shared" si="0"/>
        <v>254.88000000000005</v>
      </c>
    </row>
    <row r="15" spans="1:9" x14ac:dyDescent="0.25">
      <c r="A15" s="303" t="s">
        <v>820</v>
      </c>
      <c r="B15" s="30">
        <v>1</v>
      </c>
      <c r="C15" s="25">
        <v>1440</v>
      </c>
      <c r="D15" s="99" t="s">
        <v>4</v>
      </c>
      <c r="E15" s="195" t="s">
        <v>2447</v>
      </c>
      <c r="F15" s="308" t="s">
        <v>2183</v>
      </c>
      <c r="G15" s="308">
        <v>81897710001</v>
      </c>
      <c r="H15" s="400">
        <v>1073.8897826086959</v>
      </c>
      <c r="I15" s="400">
        <f t="shared" si="0"/>
        <v>1073.8897826086959</v>
      </c>
    </row>
    <row r="16" spans="1:9" x14ac:dyDescent="0.25">
      <c r="A16" s="303" t="s">
        <v>828</v>
      </c>
      <c r="B16" s="30">
        <v>1</v>
      </c>
      <c r="C16" s="25">
        <v>4871</v>
      </c>
      <c r="D16" s="99" t="s">
        <v>4</v>
      </c>
      <c r="E16" s="195" t="s">
        <v>2448</v>
      </c>
      <c r="F16" s="308" t="s">
        <v>2126</v>
      </c>
      <c r="G16" s="308">
        <v>81897710023</v>
      </c>
      <c r="H16" s="400">
        <v>71.685000000000002</v>
      </c>
      <c r="I16" s="400">
        <f t="shared" si="0"/>
        <v>71.685000000000002</v>
      </c>
    </row>
    <row r="17" spans="9:9" x14ac:dyDescent="0.25">
      <c r="I17" s="388">
        <f>SUM(I2:I16)</f>
        <v>6186.829565217392</v>
      </c>
    </row>
  </sheetData>
  <sortState xmlns:xlrd2="http://schemas.microsoft.com/office/spreadsheetml/2017/richdata2" ref="A2:D16">
    <sortCondition ref="A1:A16"/>
  </sortState>
  <phoneticPr fontId="27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5A917-87F5-457D-8A15-00729602AF4E}">
  <sheetPr codeName="Planilha25">
    <tabColor rgb="FF92D050"/>
  </sheetPr>
  <dimension ref="A1:I36"/>
  <sheetViews>
    <sheetView workbookViewId="0">
      <pane ySplit="1" topLeftCell="A2" activePane="bottomLeft" state="frozen"/>
      <selection activeCell="A53" sqref="A53"/>
      <selection pane="bottomLeft" activeCell="E11" sqref="E11"/>
    </sheetView>
  </sheetViews>
  <sheetFormatPr defaultRowHeight="15" x14ac:dyDescent="0.25"/>
  <cols>
    <col min="1" max="1" width="46.42578125" customWidth="1"/>
    <col min="2" max="2" width="17.42578125" customWidth="1"/>
    <col min="3" max="3" width="16.85546875" customWidth="1"/>
    <col min="4" max="4" width="18.42578125" customWidth="1"/>
    <col min="5" max="5" width="38.140625" customWidth="1"/>
    <col min="6" max="6" width="17" style="40" customWidth="1"/>
    <col min="7" max="7" width="13.7109375" style="40" customWidth="1"/>
    <col min="8" max="8" width="21" style="324" customWidth="1"/>
    <col min="9" max="9" width="13.7109375" style="40" customWidth="1"/>
  </cols>
  <sheetData>
    <row r="1" spans="1:9" ht="18.75" customHeight="1" x14ac:dyDescent="0.25">
      <c r="A1" s="84" t="s">
        <v>0</v>
      </c>
      <c r="B1" s="42" t="s">
        <v>305</v>
      </c>
      <c r="C1" s="86" t="s">
        <v>2</v>
      </c>
      <c r="D1" s="197" t="s">
        <v>1721</v>
      </c>
      <c r="E1" s="194" t="s">
        <v>1723</v>
      </c>
      <c r="F1" s="194" t="s">
        <v>1724</v>
      </c>
      <c r="G1" s="194" t="s">
        <v>1722</v>
      </c>
      <c r="H1" s="321" t="s">
        <v>1725</v>
      </c>
      <c r="I1" s="321" t="s">
        <v>2317</v>
      </c>
    </row>
    <row r="2" spans="1:9" x14ac:dyDescent="0.25">
      <c r="A2" s="3" t="s">
        <v>834</v>
      </c>
      <c r="B2" s="41">
        <v>2</v>
      </c>
      <c r="C2" s="46" t="s">
        <v>9</v>
      </c>
      <c r="D2" s="99" t="s">
        <v>10</v>
      </c>
      <c r="E2" s="195" t="s">
        <v>2199</v>
      </c>
      <c r="F2" s="308" t="s">
        <v>1733</v>
      </c>
      <c r="G2" s="308">
        <v>81897710023</v>
      </c>
      <c r="H2" s="322">
        <v>270.4636956521739</v>
      </c>
      <c r="I2" s="400">
        <f>H2*B2</f>
        <v>540.92739130434779</v>
      </c>
    </row>
    <row r="3" spans="1:9" x14ac:dyDescent="0.25">
      <c r="A3" s="3" t="s">
        <v>835</v>
      </c>
      <c r="B3" s="41">
        <v>2</v>
      </c>
      <c r="C3" s="46" t="s">
        <v>695</v>
      </c>
      <c r="D3" s="99" t="s">
        <v>10</v>
      </c>
      <c r="E3" s="195" t="s">
        <v>2198</v>
      </c>
      <c r="F3" s="308" t="s">
        <v>1740</v>
      </c>
      <c r="G3" s="308">
        <v>81897710023</v>
      </c>
      <c r="H3" s="322">
        <v>270.4636956521739</v>
      </c>
      <c r="I3" s="400">
        <f t="shared" ref="I3:I35" si="0">H3*B3</f>
        <v>540.92739130434779</v>
      </c>
    </row>
    <row r="4" spans="1:9" s="17" customFormat="1" x14ac:dyDescent="0.25">
      <c r="A4" s="414" t="s">
        <v>313</v>
      </c>
      <c r="B4" s="61">
        <v>1</v>
      </c>
      <c r="C4" s="65">
        <v>662550</v>
      </c>
      <c r="D4" s="64" t="s">
        <v>501</v>
      </c>
      <c r="E4" s="195" t="s">
        <v>2653</v>
      </c>
      <c r="F4" s="176" t="s">
        <v>2322</v>
      </c>
      <c r="G4" s="176" t="s">
        <v>2336</v>
      </c>
      <c r="H4" s="413">
        <v>2378.3413043478263</v>
      </c>
      <c r="I4" s="400">
        <f t="shared" si="0"/>
        <v>2378.3413043478263</v>
      </c>
    </row>
    <row r="5" spans="1:9" s="17" customFormat="1" x14ac:dyDescent="0.25">
      <c r="A5" s="56" t="s">
        <v>836</v>
      </c>
      <c r="B5" s="61">
        <v>2</v>
      </c>
      <c r="C5" s="65" t="s">
        <v>837</v>
      </c>
      <c r="D5" s="64" t="s">
        <v>10</v>
      </c>
      <c r="E5" s="211" t="s">
        <v>2236</v>
      </c>
      <c r="F5" s="176" t="s">
        <v>1838</v>
      </c>
      <c r="G5" s="176">
        <v>81897710023</v>
      </c>
      <c r="H5" s="413">
        <v>159.64630434782609</v>
      </c>
      <c r="I5" s="400">
        <f t="shared" si="0"/>
        <v>319.29260869565218</v>
      </c>
    </row>
    <row r="6" spans="1:9" s="17" customFormat="1" x14ac:dyDescent="0.25">
      <c r="A6" s="56" t="s">
        <v>838</v>
      </c>
      <c r="B6" s="61">
        <v>2</v>
      </c>
      <c r="C6" s="65" t="s">
        <v>839</v>
      </c>
      <c r="D6" s="64" t="s">
        <v>10</v>
      </c>
      <c r="E6" s="211" t="s">
        <v>2237</v>
      </c>
      <c r="F6" s="176" t="s">
        <v>1839</v>
      </c>
      <c r="G6" s="176">
        <v>81897710023</v>
      </c>
      <c r="H6" s="413">
        <v>182.15608695652173</v>
      </c>
      <c r="I6" s="400">
        <f t="shared" si="0"/>
        <v>364.31217391304347</v>
      </c>
    </row>
    <row r="7" spans="1:9" x14ac:dyDescent="0.25">
      <c r="A7" s="56" t="s">
        <v>159</v>
      </c>
      <c r="B7" s="61">
        <v>1</v>
      </c>
      <c r="C7" s="65" t="s">
        <v>702</v>
      </c>
      <c r="D7" s="64" t="s">
        <v>10</v>
      </c>
      <c r="E7" s="195" t="s">
        <v>2246</v>
      </c>
      <c r="F7" s="308" t="s">
        <v>1847</v>
      </c>
      <c r="G7" s="308">
        <v>81897710023</v>
      </c>
      <c r="H7" s="322">
        <v>156.87586956521739</v>
      </c>
      <c r="I7" s="400">
        <f t="shared" si="0"/>
        <v>156.87586956521739</v>
      </c>
    </row>
    <row r="8" spans="1:9" x14ac:dyDescent="0.25">
      <c r="A8" s="56" t="s">
        <v>703</v>
      </c>
      <c r="B8" s="61">
        <v>2</v>
      </c>
      <c r="C8" s="65" t="s">
        <v>31</v>
      </c>
      <c r="D8" s="64" t="s">
        <v>10</v>
      </c>
      <c r="E8" s="195" t="s">
        <v>2247</v>
      </c>
      <c r="F8" s="308" t="s">
        <v>1731</v>
      </c>
      <c r="G8" s="308">
        <v>81897710023</v>
      </c>
      <c r="H8" s="322">
        <v>93.502173913043478</v>
      </c>
      <c r="I8" s="400">
        <f t="shared" si="0"/>
        <v>187.00434782608696</v>
      </c>
    </row>
    <row r="9" spans="1:9" x14ac:dyDescent="0.25">
      <c r="A9" s="56" t="s">
        <v>840</v>
      </c>
      <c r="B9" s="61">
        <v>1</v>
      </c>
      <c r="C9" s="65" t="s">
        <v>841</v>
      </c>
      <c r="D9" s="64" t="s">
        <v>10</v>
      </c>
      <c r="E9" s="195" t="s">
        <v>2449</v>
      </c>
      <c r="F9" s="308" t="s">
        <v>2031</v>
      </c>
      <c r="G9" s="308">
        <v>81897710023</v>
      </c>
      <c r="H9" s="322">
        <v>110.12478260869567</v>
      </c>
      <c r="I9" s="400">
        <f t="shared" si="0"/>
        <v>110.12478260869567</v>
      </c>
    </row>
    <row r="10" spans="1:9" x14ac:dyDescent="0.25">
      <c r="A10" s="56" t="s">
        <v>704</v>
      </c>
      <c r="B10" s="61">
        <v>2</v>
      </c>
      <c r="C10" s="65" t="s">
        <v>34</v>
      </c>
      <c r="D10" s="64" t="s">
        <v>10</v>
      </c>
      <c r="E10" s="195" t="s">
        <v>2248</v>
      </c>
      <c r="F10" s="308" t="s">
        <v>1730</v>
      </c>
      <c r="G10" s="308">
        <v>81897710023</v>
      </c>
      <c r="H10" s="322">
        <v>90.385434782608684</v>
      </c>
      <c r="I10" s="400">
        <f t="shared" si="0"/>
        <v>180.77086956521737</v>
      </c>
    </row>
    <row r="11" spans="1:9" x14ac:dyDescent="0.25">
      <c r="A11" s="56" t="s">
        <v>842</v>
      </c>
      <c r="B11" s="61">
        <v>6</v>
      </c>
      <c r="C11" s="65" t="s">
        <v>37</v>
      </c>
      <c r="D11" s="64" t="s">
        <v>10</v>
      </c>
      <c r="E11" s="195" t="s">
        <v>2249</v>
      </c>
      <c r="F11" s="308" t="s">
        <v>1848</v>
      </c>
      <c r="G11" s="308">
        <v>81897710001</v>
      </c>
      <c r="H11" s="322">
        <v>205.01217391304351</v>
      </c>
      <c r="I11" s="400">
        <f t="shared" si="0"/>
        <v>1230.0730434782611</v>
      </c>
    </row>
    <row r="12" spans="1:9" x14ac:dyDescent="0.25">
      <c r="A12" s="56" t="s">
        <v>42</v>
      </c>
      <c r="B12" s="61">
        <v>1</v>
      </c>
      <c r="C12" s="65" t="s">
        <v>843</v>
      </c>
      <c r="D12" s="64" t="s">
        <v>10</v>
      </c>
      <c r="E12" s="195" t="s">
        <v>2252</v>
      </c>
      <c r="F12" s="308" t="s">
        <v>1851</v>
      </c>
      <c r="G12" s="308">
        <v>81897710023</v>
      </c>
      <c r="H12" s="322">
        <v>90.731739130434789</v>
      </c>
      <c r="I12" s="400">
        <f t="shared" si="0"/>
        <v>90.731739130434789</v>
      </c>
    </row>
    <row r="13" spans="1:9" x14ac:dyDescent="0.25">
      <c r="A13" s="56" t="s">
        <v>707</v>
      </c>
      <c r="B13" s="61">
        <v>10</v>
      </c>
      <c r="C13" s="65" t="s">
        <v>605</v>
      </c>
      <c r="D13" s="64" t="s">
        <v>8</v>
      </c>
      <c r="E13" s="195" t="s">
        <v>2258</v>
      </c>
      <c r="F13" s="308" t="s">
        <v>1861</v>
      </c>
      <c r="G13" s="308">
        <v>81897710001</v>
      </c>
      <c r="H13" s="322">
        <v>145.7941304347826</v>
      </c>
      <c r="I13" s="400">
        <f t="shared" si="0"/>
        <v>1457.941304347826</v>
      </c>
    </row>
    <row r="14" spans="1:9" x14ac:dyDescent="0.25">
      <c r="A14" s="56" t="s">
        <v>844</v>
      </c>
      <c r="B14" s="61">
        <v>1</v>
      </c>
      <c r="C14" s="65" t="s">
        <v>53</v>
      </c>
      <c r="D14" s="64" t="s">
        <v>8</v>
      </c>
      <c r="E14" s="195" t="s">
        <v>2260</v>
      </c>
      <c r="F14" s="308" t="s">
        <v>1866</v>
      </c>
      <c r="G14" s="308">
        <v>81897710001</v>
      </c>
      <c r="H14" s="322">
        <v>545.08304347826083</v>
      </c>
      <c r="I14" s="400">
        <f t="shared" si="0"/>
        <v>545.08304347826083</v>
      </c>
    </row>
    <row r="15" spans="1:9" x14ac:dyDescent="0.25">
      <c r="A15" s="56" t="s">
        <v>56</v>
      </c>
      <c r="B15" s="61">
        <v>2</v>
      </c>
      <c r="C15" s="65" t="s">
        <v>741</v>
      </c>
      <c r="D15" s="64" t="s">
        <v>10</v>
      </c>
      <c r="E15" s="195" t="s">
        <v>2265</v>
      </c>
      <c r="F15" s="308" t="s">
        <v>1876</v>
      </c>
      <c r="G15" s="308">
        <v>81897710023</v>
      </c>
      <c r="H15" s="322">
        <v>104.93021739130435</v>
      </c>
      <c r="I15" s="400">
        <f t="shared" si="0"/>
        <v>209.86043478260871</v>
      </c>
    </row>
    <row r="16" spans="1:9" x14ac:dyDescent="0.25">
      <c r="A16" s="56" t="s">
        <v>108</v>
      </c>
      <c r="B16" s="61">
        <v>1</v>
      </c>
      <c r="C16" s="65" t="s">
        <v>109</v>
      </c>
      <c r="D16" s="64" t="s">
        <v>10</v>
      </c>
      <c r="E16" s="195" t="s">
        <v>2269</v>
      </c>
      <c r="F16" s="308" t="s">
        <v>1888</v>
      </c>
      <c r="G16" s="308">
        <v>81897710023</v>
      </c>
      <c r="H16" s="322">
        <v>126.74739130434781</v>
      </c>
      <c r="I16" s="400">
        <f t="shared" si="0"/>
        <v>126.74739130434781</v>
      </c>
    </row>
    <row r="17" spans="1:9" x14ac:dyDescent="0.25">
      <c r="A17" s="56" t="s">
        <v>845</v>
      </c>
      <c r="B17" s="61">
        <v>6</v>
      </c>
      <c r="C17" s="65" t="s">
        <v>746</v>
      </c>
      <c r="D17" s="64" t="s">
        <v>10</v>
      </c>
      <c r="E17" s="195" t="s">
        <v>2270</v>
      </c>
      <c r="F17" s="308" t="s">
        <v>1894</v>
      </c>
      <c r="G17" s="308">
        <v>81897710001</v>
      </c>
      <c r="H17" s="322">
        <v>111.8563043478261</v>
      </c>
      <c r="I17" s="400">
        <f t="shared" si="0"/>
        <v>671.13782608695658</v>
      </c>
    </row>
    <row r="18" spans="1:9" x14ac:dyDescent="0.25">
      <c r="A18" s="56" t="s">
        <v>72</v>
      </c>
      <c r="B18" s="61">
        <v>2</v>
      </c>
      <c r="C18" s="65" t="s">
        <v>74</v>
      </c>
      <c r="D18" s="64" t="s">
        <v>10</v>
      </c>
      <c r="E18" s="195" t="s">
        <v>2276</v>
      </c>
      <c r="F18" s="308" t="s">
        <v>1901</v>
      </c>
      <c r="G18" s="308">
        <v>81897710001</v>
      </c>
      <c r="H18" s="322">
        <v>148.21826086956526</v>
      </c>
      <c r="I18" s="400">
        <f t="shared" si="0"/>
        <v>296.43652173913051</v>
      </c>
    </row>
    <row r="19" spans="1:9" x14ac:dyDescent="0.25">
      <c r="A19" s="56" t="s">
        <v>846</v>
      </c>
      <c r="B19" s="61">
        <v>2</v>
      </c>
      <c r="C19" s="65" t="s">
        <v>74</v>
      </c>
      <c r="D19" s="64" t="s">
        <v>10</v>
      </c>
      <c r="E19" s="195" t="s">
        <v>2277</v>
      </c>
      <c r="F19" s="308" t="s">
        <v>1900</v>
      </c>
      <c r="G19" s="308">
        <v>81897710001</v>
      </c>
      <c r="H19" s="322">
        <v>171.76695652173916</v>
      </c>
      <c r="I19" s="400">
        <f t="shared" si="0"/>
        <v>343.53391304347832</v>
      </c>
    </row>
    <row r="20" spans="1:9" x14ac:dyDescent="0.25">
      <c r="A20" s="56" t="s">
        <v>708</v>
      </c>
      <c r="B20" s="61">
        <v>8</v>
      </c>
      <c r="C20" s="65" t="s">
        <v>616</v>
      </c>
      <c r="D20" s="64" t="s">
        <v>10</v>
      </c>
      <c r="E20" s="195" t="s">
        <v>2243</v>
      </c>
      <c r="F20" s="308" t="s">
        <v>1844</v>
      </c>
      <c r="G20" s="308">
        <v>81897710001</v>
      </c>
      <c r="H20" s="322">
        <v>111.8563043478261</v>
      </c>
      <c r="I20" s="400">
        <f t="shared" si="0"/>
        <v>894.85043478260877</v>
      </c>
    </row>
    <row r="21" spans="1:9" x14ac:dyDescent="0.25">
      <c r="A21" s="56" t="s">
        <v>847</v>
      </c>
      <c r="B21" s="61">
        <v>4</v>
      </c>
      <c r="C21" s="65" t="s">
        <v>618</v>
      </c>
      <c r="D21" s="64" t="s">
        <v>10</v>
      </c>
      <c r="E21" s="195" t="s">
        <v>2244</v>
      </c>
      <c r="F21" s="308" t="s">
        <v>1845</v>
      </c>
      <c r="G21" s="308">
        <v>81897710001</v>
      </c>
      <c r="H21" s="322">
        <v>109.08586956521739</v>
      </c>
      <c r="I21" s="400">
        <f t="shared" si="0"/>
        <v>436.34347826086957</v>
      </c>
    </row>
    <row r="22" spans="1:9" x14ac:dyDescent="0.25">
      <c r="A22" s="56" t="s">
        <v>848</v>
      </c>
      <c r="B22" s="61">
        <v>2</v>
      </c>
      <c r="C22" s="65" t="s">
        <v>346</v>
      </c>
      <c r="D22" s="64" t="s">
        <v>10</v>
      </c>
      <c r="E22" s="195" t="s">
        <v>2245</v>
      </c>
      <c r="F22" s="308" t="s">
        <v>1846</v>
      </c>
      <c r="G22" s="308">
        <v>81897710001</v>
      </c>
      <c r="H22" s="322">
        <v>205.35847826086956</v>
      </c>
      <c r="I22" s="400">
        <f t="shared" si="0"/>
        <v>410.71695652173912</v>
      </c>
    </row>
    <row r="23" spans="1:9" x14ac:dyDescent="0.25">
      <c r="A23" s="56" t="s">
        <v>852</v>
      </c>
      <c r="B23" s="61">
        <v>2</v>
      </c>
      <c r="C23" s="65" t="s">
        <v>715</v>
      </c>
      <c r="D23" s="64" t="s">
        <v>10</v>
      </c>
      <c r="E23" s="195" t="s">
        <v>2286</v>
      </c>
      <c r="F23" s="316" t="s">
        <v>1922</v>
      </c>
      <c r="G23" s="308">
        <v>81897710001</v>
      </c>
      <c r="H23" s="322">
        <v>729.66326086956531</v>
      </c>
      <c r="I23" s="400">
        <f t="shared" si="0"/>
        <v>1459.3265217391306</v>
      </c>
    </row>
    <row r="24" spans="1:9" x14ac:dyDescent="0.25">
      <c r="A24" s="56" t="s">
        <v>853</v>
      </c>
      <c r="B24" s="61">
        <v>2</v>
      </c>
      <c r="C24" s="65" t="s">
        <v>90</v>
      </c>
      <c r="D24" s="64" t="s">
        <v>10</v>
      </c>
      <c r="E24" s="195" t="s">
        <v>2287</v>
      </c>
      <c r="F24" s="316" t="s">
        <v>1923</v>
      </c>
      <c r="G24" s="308">
        <v>81897710001</v>
      </c>
      <c r="H24" s="322">
        <v>806.88913043478249</v>
      </c>
      <c r="I24" s="400">
        <f t="shared" si="0"/>
        <v>1613.778260869565</v>
      </c>
    </row>
    <row r="25" spans="1:9" x14ac:dyDescent="0.25">
      <c r="A25" s="56" t="s">
        <v>855</v>
      </c>
      <c r="B25" s="61">
        <v>1</v>
      </c>
      <c r="C25" s="65" t="s">
        <v>92</v>
      </c>
      <c r="D25" s="64" t="s">
        <v>10</v>
      </c>
      <c r="E25" s="195" t="s">
        <v>2288</v>
      </c>
      <c r="F25" s="316" t="s">
        <v>1924</v>
      </c>
      <c r="G25" s="308">
        <v>81897710001</v>
      </c>
      <c r="H25" s="322">
        <v>930.51978260869555</v>
      </c>
      <c r="I25" s="400">
        <f t="shared" si="0"/>
        <v>930.51978260869555</v>
      </c>
    </row>
    <row r="26" spans="1:9" x14ac:dyDescent="0.25">
      <c r="A26" s="56" t="s">
        <v>93</v>
      </c>
      <c r="B26" s="61">
        <v>1</v>
      </c>
      <c r="C26" s="65" t="s">
        <v>94</v>
      </c>
      <c r="D26" s="64" t="s">
        <v>10</v>
      </c>
      <c r="E26" s="195" t="s">
        <v>2289</v>
      </c>
      <c r="F26" s="61" t="s">
        <v>1925</v>
      </c>
      <c r="G26" s="308">
        <v>81897710001</v>
      </c>
      <c r="H26" s="322">
        <v>674.60086956521741</v>
      </c>
      <c r="I26" s="400">
        <f t="shared" si="0"/>
        <v>674.60086956521741</v>
      </c>
    </row>
    <row r="27" spans="1:9" x14ac:dyDescent="0.25">
      <c r="A27" s="56" t="s">
        <v>849</v>
      </c>
      <c r="B27" s="61">
        <v>1</v>
      </c>
      <c r="C27" s="65" t="s">
        <v>752</v>
      </c>
      <c r="D27" s="64" t="s">
        <v>10</v>
      </c>
      <c r="E27" s="195" t="s">
        <v>2450</v>
      </c>
      <c r="F27" s="61" t="s">
        <v>1932</v>
      </c>
      <c r="G27" s="308">
        <v>81897710001</v>
      </c>
      <c r="H27" s="322">
        <v>743.51543478260862</v>
      </c>
      <c r="I27" s="400">
        <f t="shared" si="0"/>
        <v>743.51543478260862</v>
      </c>
    </row>
    <row r="28" spans="1:9" x14ac:dyDescent="0.25">
      <c r="A28" s="56" t="s">
        <v>850</v>
      </c>
      <c r="B28" s="61">
        <v>1</v>
      </c>
      <c r="C28" s="65" t="s">
        <v>851</v>
      </c>
      <c r="D28" s="64" t="s">
        <v>10</v>
      </c>
      <c r="E28" s="195" t="s">
        <v>2291</v>
      </c>
      <c r="F28" s="61" t="s">
        <v>1933</v>
      </c>
      <c r="G28" s="308">
        <v>81897710001</v>
      </c>
      <c r="H28" s="322">
        <v>806.88913043478249</v>
      </c>
      <c r="I28" s="400">
        <f t="shared" si="0"/>
        <v>806.88913043478249</v>
      </c>
    </row>
    <row r="29" spans="1:9" x14ac:dyDescent="0.25">
      <c r="A29" s="56" t="s">
        <v>856</v>
      </c>
      <c r="B29" s="61">
        <v>2</v>
      </c>
      <c r="C29" s="65" t="s">
        <v>119</v>
      </c>
      <c r="D29" s="64" t="s">
        <v>10</v>
      </c>
      <c r="E29" s="195" t="s">
        <v>2299</v>
      </c>
      <c r="F29" s="41" t="s">
        <v>1954</v>
      </c>
      <c r="G29" s="308">
        <v>81897710017</v>
      </c>
      <c r="H29" s="322">
        <v>83.805652173913046</v>
      </c>
      <c r="I29" s="400">
        <f t="shared" si="0"/>
        <v>167.61130434782609</v>
      </c>
    </row>
    <row r="30" spans="1:9" x14ac:dyDescent="0.25">
      <c r="A30" s="56" t="s">
        <v>120</v>
      </c>
      <c r="B30" s="76">
        <v>2</v>
      </c>
      <c r="C30" s="172" t="s">
        <v>121</v>
      </c>
      <c r="D30" s="64" t="s">
        <v>10</v>
      </c>
      <c r="E30" s="195" t="s">
        <v>2300</v>
      </c>
      <c r="F30" s="41" t="s">
        <v>1961</v>
      </c>
      <c r="G30" s="308">
        <v>81897710017</v>
      </c>
      <c r="H30" s="322">
        <v>81.035217391304343</v>
      </c>
      <c r="I30" s="400">
        <f t="shared" si="0"/>
        <v>162.07043478260869</v>
      </c>
    </row>
    <row r="31" spans="1:9" x14ac:dyDescent="0.25">
      <c r="A31" s="62" t="s">
        <v>718</v>
      </c>
      <c r="B31" s="77">
        <v>1</v>
      </c>
      <c r="C31" s="209" t="s">
        <v>857</v>
      </c>
      <c r="D31" s="64" t="s">
        <v>10</v>
      </c>
      <c r="E31" s="195" t="s">
        <v>2409</v>
      </c>
      <c r="F31" s="30" t="s">
        <v>1963</v>
      </c>
      <c r="G31" s="308">
        <v>81897710017</v>
      </c>
      <c r="H31" s="322">
        <v>103.19869565217391</v>
      </c>
      <c r="I31" s="400">
        <f t="shared" si="0"/>
        <v>103.19869565217391</v>
      </c>
    </row>
    <row r="32" spans="1:9" x14ac:dyDescent="0.25">
      <c r="A32" s="62" t="s">
        <v>858</v>
      </c>
      <c r="B32" s="77">
        <v>2</v>
      </c>
      <c r="C32" s="210" t="s">
        <v>859</v>
      </c>
      <c r="D32" s="64" t="s">
        <v>10</v>
      </c>
      <c r="E32" s="195" t="s">
        <v>2414</v>
      </c>
      <c r="F32" s="44" t="s">
        <v>1955</v>
      </c>
      <c r="G32" s="308">
        <v>81897710017</v>
      </c>
      <c r="H32" s="322">
        <v>100.08195652173913</v>
      </c>
      <c r="I32" s="400">
        <f t="shared" si="0"/>
        <v>200.16391304347826</v>
      </c>
    </row>
    <row r="33" spans="1:9" x14ac:dyDescent="0.25">
      <c r="A33" s="62" t="s">
        <v>860</v>
      </c>
      <c r="B33" s="77">
        <v>2</v>
      </c>
      <c r="C33" s="133" t="s">
        <v>103</v>
      </c>
      <c r="D33" s="64" t="s">
        <v>10</v>
      </c>
      <c r="E33" s="195" t="s">
        <v>2303</v>
      </c>
      <c r="F33" s="41" t="s">
        <v>1965</v>
      </c>
      <c r="G33" s="308">
        <v>81897710017</v>
      </c>
      <c r="H33" s="322">
        <v>121.55282608695654</v>
      </c>
      <c r="I33" s="400">
        <f t="shared" si="0"/>
        <v>243.10565217391309</v>
      </c>
    </row>
    <row r="34" spans="1:9" x14ac:dyDescent="0.25">
      <c r="A34" s="62" t="s">
        <v>99</v>
      </c>
      <c r="B34" s="77">
        <v>2</v>
      </c>
      <c r="C34" s="133" t="s">
        <v>100</v>
      </c>
      <c r="D34" s="64" t="s">
        <v>10</v>
      </c>
      <c r="E34" s="195" t="s">
        <v>2306</v>
      </c>
      <c r="F34" s="30" t="s">
        <v>1967</v>
      </c>
      <c r="G34" s="308">
        <v>81897710017</v>
      </c>
      <c r="H34" s="322">
        <v>157.91478260869562</v>
      </c>
      <c r="I34" s="400">
        <f t="shared" si="0"/>
        <v>315.82956521739123</v>
      </c>
    </row>
    <row r="35" spans="1:9" x14ac:dyDescent="0.25">
      <c r="A35" s="127" t="s">
        <v>519</v>
      </c>
      <c r="B35" s="60">
        <v>1</v>
      </c>
      <c r="C35" s="69" t="s">
        <v>105</v>
      </c>
      <c r="D35" s="64" t="s">
        <v>10</v>
      </c>
      <c r="E35" s="195" t="s">
        <v>2304</v>
      </c>
      <c r="F35" s="30" t="s">
        <v>1968</v>
      </c>
      <c r="G35" s="308">
        <v>81897710017</v>
      </c>
      <c r="H35" s="322">
        <v>171.42065217391303</v>
      </c>
      <c r="I35" s="400">
        <f t="shared" si="0"/>
        <v>171.42065217391303</v>
      </c>
    </row>
    <row r="36" spans="1:9" x14ac:dyDescent="0.25">
      <c r="I36" s="388">
        <f>SUM(I2:I35)</f>
        <v>19084.063043478262</v>
      </c>
    </row>
  </sheetData>
  <sortState xmlns:xlrd2="http://schemas.microsoft.com/office/spreadsheetml/2017/richdata2" ref="A2:D35">
    <sortCondition ref="A1:A35"/>
  </sortState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ED41F-3306-4283-B0F1-CC61DE6A468F}">
  <sheetPr codeName="Planilha26">
    <tabColor rgb="FF92D050"/>
  </sheetPr>
  <dimension ref="A1:I33"/>
  <sheetViews>
    <sheetView workbookViewId="0">
      <pane ySplit="1" topLeftCell="A2" activePane="bottomLeft" state="frozen"/>
      <selection activeCell="A53" sqref="A53"/>
      <selection pane="bottomLeft" activeCell="E11" sqref="E11"/>
    </sheetView>
  </sheetViews>
  <sheetFormatPr defaultRowHeight="15" x14ac:dyDescent="0.25"/>
  <cols>
    <col min="1" max="1" width="39.85546875" customWidth="1"/>
    <col min="2" max="2" width="21.5703125" customWidth="1"/>
    <col min="3" max="3" width="19" customWidth="1"/>
    <col min="4" max="4" width="19.140625" customWidth="1"/>
    <col min="5" max="5" width="32.85546875" customWidth="1"/>
    <col min="6" max="6" width="15.5703125" style="40" customWidth="1"/>
    <col min="7" max="7" width="13.28515625" style="40" customWidth="1"/>
    <col min="8" max="8" width="17.5703125" style="324" customWidth="1"/>
    <col min="9" max="9" width="13.28515625" style="40" customWidth="1"/>
  </cols>
  <sheetData>
    <row r="1" spans="1:9" ht="15.75" x14ac:dyDescent="0.25">
      <c r="A1" s="90" t="s">
        <v>0</v>
      </c>
      <c r="B1" s="91" t="s">
        <v>305</v>
      </c>
      <c r="C1" s="116" t="s">
        <v>360</v>
      </c>
      <c r="D1" s="197" t="s">
        <v>1721</v>
      </c>
      <c r="E1" s="194" t="s">
        <v>1723</v>
      </c>
      <c r="F1" s="194" t="s">
        <v>1724</v>
      </c>
      <c r="G1" s="194" t="s">
        <v>1722</v>
      </c>
      <c r="H1" s="321" t="s">
        <v>1725</v>
      </c>
      <c r="I1" s="321" t="s">
        <v>2317</v>
      </c>
    </row>
    <row r="2" spans="1:9" x14ac:dyDescent="0.25">
      <c r="A2" s="451" t="s">
        <v>864</v>
      </c>
      <c r="B2" s="34">
        <v>1</v>
      </c>
      <c r="C2" s="118" t="s">
        <v>865</v>
      </c>
      <c r="D2" s="99" t="s">
        <v>10</v>
      </c>
      <c r="E2" s="195" t="s">
        <v>2193</v>
      </c>
      <c r="F2" s="308" t="s">
        <v>1726</v>
      </c>
      <c r="G2" s="308">
        <v>81897710023</v>
      </c>
      <c r="H2" s="322">
        <v>137.8291304347826</v>
      </c>
      <c r="I2" s="400">
        <f>H2*B2</f>
        <v>137.8291304347826</v>
      </c>
    </row>
    <row r="3" spans="1:9" x14ac:dyDescent="0.25">
      <c r="A3" s="451" t="s">
        <v>866</v>
      </c>
      <c r="B3" s="34">
        <v>1</v>
      </c>
      <c r="C3" s="118" t="s">
        <v>867</v>
      </c>
      <c r="D3" s="99" t="s">
        <v>10</v>
      </c>
      <c r="E3" s="195" t="s">
        <v>2451</v>
      </c>
      <c r="F3" s="308" t="s">
        <v>2174</v>
      </c>
      <c r="G3" s="308">
        <v>81897710023</v>
      </c>
      <c r="H3" s="322">
        <v>234.10173913043479</v>
      </c>
      <c r="I3" s="400">
        <f t="shared" ref="I3:I32" si="0">H3*B3</f>
        <v>234.10173913043479</v>
      </c>
    </row>
    <row r="4" spans="1:9" x14ac:dyDescent="0.25">
      <c r="A4" s="445" t="s">
        <v>907</v>
      </c>
      <c r="B4" s="58">
        <v>1</v>
      </c>
      <c r="C4" s="133" t="s">
        <v>908</v>
      </c>
      <c r="D4" s="64" t="s">
        <v>10</v>
      </c>
      <c r="E4" s="195" t="s">
        <v>2195</v>
      </c>
      <c r="F4" s="345" t="s">
        <v>1737</v>
      </c>
      <c r="G4" s="308">
        <v>81897710023</v>
      </c>
      <c r="H4" s="322">
        <v>206.39739130434782</v>
      </c>
      <c r="I4" s="400">
        <f t="shared" si="0"/>
        <v>206.39739130434782</v>
      </c>
    </row>
    <row r="5" spans="1:9" x14ac:dyDescent="0.25">
      <c r="A5" s="445" t="s">
        <v>868</v>
      </c>
      <c r="B5" s="58">
        <v>1</v>
      </c>
      <c r="C5" s="133">
        <v>1866</v>
      </c>
      <c r="D5" s="64" t="s">
        <v>4</v>
      </c>
      <c r="E5" s="195" t="s">
        <v>868</v>
      </c>
      <c r="F5" s="308" t="s">
        <v>2078</v>
      </c>
      <c r="G5" s="308" t="e">
        <v>#N/A</v>
      </c>
      <c r="H5" s="322">
        <v>0</v>
      </c>
      <c r="I5" s="400">
        <f t="shared" si="0"/>
        <v>0</v>
      </c>
    </row>
    <row r="6" spans="1:9" x14ac:dyDescent="0.25">
      <c r="A6" s="445" t="s">
        <v>869</v>
      </c>
      <c r="B6" s="58">
        <v>1</v>
      </c>
      <c r="C6" s="156"/>
      <c r="D6" s="64" t="s">
        <v>146</v>
      </c>
      <c r="E6" s="195" t="s">
        <v>2452</v>
      </c>
      <c r="F6" s="308" t="s">
        <v>2122</v>
      </c>
      <c r="G6" s="308">
        <v>81897710023</v>
      </c>
      <c r="H6" s="322">
        <v>1274.7463043478263</v>
      </c>
      <c r="I6" s="400">
        <f t="shared" si="0"/>
        <v>1274.7463043478263</v>
      </c>
    </row>
    <row r="7" spans="1:9" x14ac:dyDescent="0.25">
      <c r="A7" s="445" t="s">
        <v>311</v>
      </c>
      <c r="B7" s="58">
        <v>1</v>
      </c>
      <c r="C7" s="216">
        <v>1999</v>
      </c>
      <c r="D7" s="64" t="s">
        <v>4</v>
      </c>
      <c r="E7" s="195" t="s">
        <v>311</v>
      </c>
      <c r="F7" s="262" t="s">
        <v>2077</v>
      </c>
      <c r="G7" s="308">
        <v>80476380016</v>
      </c>
      <c r="H7" s="322">
        <v>521.73913043478262</v>
      </c>
      <c r="I7" s="400">
        <f t="shared" si="0"/>
        <v>521.73913043478262</v>
      </c>
    </row>
    <row r="8" spans="1:9" x14ac:dyDescent="0.25">
      <c r="A8" s="445" t="s">
        <v>870</v>
      </c>
      <c r="B8" s="58">
        <v>1</v>
      </c>
      <c r="C8" s="133">
        <v>2049</v>
      </c>
      <c r="D8" s="64" t="s">
        <v>4</v>
      </c>
      <c r="E8" s="195" t="s">
        <v>2215</v>
      </c>
      <c r="F8" s="308" t="s">
        <v>1765</v>
      </c>
      <c r="G8" s="308">
        <v>81897719001</v>
      </c>
      <c r="H8" s="322">
        <v>205.01217391304351</v>
      </c>
      <c r="I8" s="400">
        <f t="shared" si="0"/>
        <v>205.01217391304351</v>
      </c>
    </row>
    <row r="9" spans="1:9" x14ac:dyDescent="0.25">
      <c r="A9" s="445" t="s">
        <v>871</v>
      </c>
      <c r="B9" s="58">
        <v>1</v>
      </c>
      <c r="C9" s="133">
        <v>2050</v>
      </c>
      <c r="D9" s="64" t="s">
        <v>4</v>
      </c>
      <c r="E9" s="195" t="s">
        <v>2216</v>
      </c>
      <c r="F9" s="308" t="s">
        <v>1766</v>
      </c>
      <c r="G9" s="308">
        <v>81897719001</v>
      </c>
      <c r="H9" s="322">
        <v>205.01217391304351</v>
      </c>
      <c r="I9" s="400">
        <f t="shared" si="0"/>
        <v>205.01217391304351</v>
      </c>
    </row>
    <row r="10" spans="1:9" x14ac:dyDescent="0.25">
      <c r="A10" s="451" t="s">
        <v>872</v>
      </c>
      <c r="B10" s="34">
        <v>1</v>
      </c>
      <c r="C10" s="118" t="s">
        <v>873</v>
      </c>
      <c r="D10" s="99" t="s">
        <v>10</v>
      </c>
      <c r="E10" s="195" t="s">
        <v>2453</v>
      </c>
      <c r="F10" s="308" t="s">
        <v>2032</v>
      </c>
      <c r="G10" s="308">
        <v>81897710023</v>
      </c>
      <c r="H10" s="322">
        <v>44.673260869565219</v>
      </c>
      <c r="I10" s="400">
        <f t="shared" si="0"/>
        <v>44.673260869565219</v>
      </c>
    </row>
    <row r="11" spans="1:9" x14ac:dyDescent="0.25">
      <c r="A11" s="451" t="s">
        <v>361</v>
      </c>
      <c r="B11" s="34">
        <v>1</v>
      </c>
      <c r="C11" s="106">
        <v>662590</v>
      </c>
      <c r="D11" s="99" t="s">
        <v>874</v>
      </c>
      <c r="E11" s="512" t="s">
        <v>2655</v>
      </c>
      <c r="F11" s="308" t="s">
        <v>2420</v>
      </c>
      <c r="G11" s="308" t="s">
        <v>2336</v>
      </c>
      <c r="H11" s="322">
        <v>2217.8869565217392</v>
      </c>
      <c r="I11" s="400">
        <f t="shared" si="0"/>
        <v>2217.8869565217392</v>
      </c>
    </row>
    <row r="12" spans="1:9" x14ac:dyDescent="0.25">
      <c r="A12" s="451" t="s">
        <v>875</v>
      </c>
      <c r="B12" s="34">
        <v>1</v>
      </c>
      <c r="C12" s="118" t="s">
        <v>876</v>
      </c>
      <c r="D12" s="99" t="s">
        <v>10</v>
      </c>
      <c r="E12" s="195" t="s">
        <v>2242</v>
      </c>
      <c r="F12" s="308" t="s">
        <v>2033</v>
      </c>
      <c r="G12" s="308">
        <v>81897710018</v>
      </c>
      <c r="H12" s="322">
        <v>906.97108695652173</v>
      </c>
      <c r="I12" s="400">
        <f t="shared" si="0"/>
        <v>906.97108695652173</v>
      </c>
    </row>
    <row r="13" spans="1:9" s="17" customFormat="1" x14ac:dyDescent="0.25">
      <c r="A13" s="445" t="s">
        <v>877</v>
      </c>
      <c r="B13" s="58">
        <v>1</v>
      </c>
      <c r="C13" s="133">
        <v>479100</v>
      </c>
      <c r="D13" s="64" t="s">
        <v>162</v>
      </c>
      <c r="E13" s="195" t="s">
        <v>2454</v>
      </c>
      <c r="F13" s="308" t="s">
        <v>2175</v>
      </c>
      <c r="G13" s="176">
        <v>81897710018</v>
      </c>
      <c r="H13" s="413">
        <v>297.47543478260872</v>
      </c>
      <c r="I13" s="400">
        <f t="shared" si="0"/>
        <v>297.47543478260872</v>
      </c>
    </row>
    <row r="14" spans="1:9" x14ac:dyDescent="0.25">
      <c r="A14" s="445" t="s">
        <v>878</v>
      </c>
      <c r="B14" s="58">
        <v>1</v>
      </c>
      <c r="C14" s="133" t="s">
        <v>393</v>
      </c>
      <c r="D14" s="64" t="s">
        <v>10</v>
      </c>
      <c r="E14" s="211" t="s">
        <v>2455</v>
      </c>
      <c r="F14" s="176" t="s">
        <v>2034</v>
      </c>
      <c r="G14" s="308">
        <v>81897710018</v>
      </c>
      <c r="H14" s="322">
        <v>231.33130434782606</v>
      </c>
      <c r="I14" s="400">
        <f t="shared" si="0"/>
        <v>231.33130434782606</v>
      </c>
    </row>
    <row r="15" spans="1:9" x14ac:dyDescent="0.25">
      <c r="A15" s="445" t="s">
        <v>879</v>
      </c>
      <c r="B15" s="58">
        <v>1</v>
      </c>
      <c r="C15" s="133" t="s">
        <v>880</v>
      </c>
      <c r="D15" s="64" t="s">
        <v>10</v>
      </c>
      <c r="E15" s="195" t="s">
        <v>2456</v>
      </c>
      <c r="F15" s="308" t="s">
        <v>2137</v>
      </c>
      <c r="G15" s="308">
        <v>81897710001</v>
      </c>
      <c r="H15" s="322">
        <v>307.86456521739132</v>
      </c>
      <c r="I15" s="400">
        <f t="shared" si="0"/>
        <v>307.86456521739132</v>
      </c>
    </row>
    <row r="16" spans="1:9" x14ac:dyDescent="0.25">
      <c r="A16" s="451" t="s">
        <v>881</v>
      </c>
      <c r="B16" s="34">
        <v>1</v>
      </c>
      <c r="C16" s="118" t="s">
        <v>882</v>
      </c>
      <c r="D16" s="99" t="s">
        <v>10</v>
      </c>
      <c r="E16" s="195" t="s">
        <v>2457</v>
      </c>
      <c r="F16" s="308" t="s">
        <v>2035</v>
      </c>
      <c r="G16" s="308">
        <v>81897710001</v>
      </c>
      <c r="H16" s="322">
        <v>329.68173913043478</v>
      </c>
      <c r="I16" s="400">
        <f t="shared" si="0"/>
        <v>329.68173913043478</v>
      </c>
    </row>
    <row r="17" spans="1:9" x14ac:dyDescent="0.25">
      <c r="A17" s="451" t="s">
        <v>883</v>
      </c>
      <c r="B17" s="34">
        <v>1</v>
      </c>
      <c r="C17" s="118" t="s">
        <v>884</v>
      </c>
      <c r="D17" s="99" t="s">
        <v>10</v>
      </c>
      <c r="E17" s="195" t="s">
        <v>2458</v>
      </c>
      <c r="F17" s="308" t="s">
        <v>2176</v>
      </c>
      <c r="G17" s="308">
        <v>81897710018</v>
      </c>
      <c r="H17" s="322">
        <v>322.06304347826097</v>
      </c>
      <c r="I17" s="400">
        <f t="shared" si="0"/>
        <v>322.06304347826097</v>
      </c>
    </row>
    <row r="18" spans="1:9" x14ac:dyDescent="0.25">
      <c r="A18" s="451" t="s">
        <v>885</v>
      </c>
      <c r="B18" s="34">
        <v>1</v>
      </c>
      <c r="C18" s="118" t="s">
        <v>886</v>
      </c>
      <c r="D18" s="99" t="s">
        <v>10</v>
      </c>
      <c r="E18" s="195" t="s">
        <v>2459</v>
      </c>
      <c r="F18" s="308" t="s">
        <v>2177</v>
      </c>
      <c r="G18" s="308">
        <v>81897710018</v>
      </c>
      <c r="H18" s="322">
        <v>322.06304347826097</v>
      </c>
      <c r="I18" s="400">
        <f t="shared" si="0"/>
        <v>322.06304347826097</v>
      </c>
    </row>
    <row r="19" spans="1:9" x14ac:dyDescent="0.25">
      <c r="A19" s="445" t="s">
        <v>891</v>
      </c>
      <c r="B19" s="58">
        <v>1</v>
      </c>
      <c r="C19" s="133" t="s">
        <v>892</v>
      </c>
      <c r="D19" s="64" t="s">
        <v>8</v>
      </c>
      <c r="E19" s="195" t="s">
        <v>2358</v>
      </c>
      <c r="F19" s="308" t="s">
        <v>2020</v>
      </c>
      <c r="G19" s="308">
        <v>81897710018</v>
      </c>
      <c r="H19" s="322">
        <v>211.59195652173918</v>
      </c>
      <c r="I19" s="400">
        <f t="shared" si="0"/>
        <v>211.59195652173918</v>
      </c>
    </row>
    <row r="20" spans="1:9" x14ac:dyDescent="0.25">
      <c r="A20" s="445" t="s">
        <v>887</v>
      </c>
      <c r="B20" s="58">
        <v>1</v>
      </c>
      <c r="C20" s="133" t="s">
        <v>888</v>
      </c>
      <c r="D20" s="64" t="s">
        <v>8</v>
      </c>
      <c r="E20" s="195" t="s">
        <v>2460</v>
      </c>
      <c r="F20" s="308" t="s">
        <v>2036</v>
      </c>
      <c r="G20" s="308">
        <v>81897710018</v>
      </c>
      <c r="H20" s="322">
        <v>191.5063043478261</v>
      </c>
      <c r="I20" s="400">
        <f t="shared" si="0"/>
        <v>191.5063043478261</v>
      </c>
    </row>
    <row r="21" spans="1:9" x14ac:dyDescent="0.25">
      <c r="A21" s="445" t="s">
        <v>889</v>
      </c>
      <c r="B21" s="58">
        <v>1</v>
      </c>
      <c r="C21" s="133" t="s">
        <v>890</v>
      </c>
      <c r="D21" s="64" t="s">
        <v>8</v>
      </c>
      <c r="E21" s="195" t="s">
        <v>2357</v>
      </c>
      <c r="F21" s="308" t="s">
        <v>2019</v>
      </c>
      <c r="G21" s="308">
        <v>81897710018</v>
      </c>
      <c r="H21" s="322">
        <v>205.01217391304351</v>
      </c>
      <c r="I21" s="400">
        <f t="shared" si="0"/>
        <v>205.01217391304351</v>
      </c>
    </row>
    <row r="22" spans="1:9" x14ac:dyDescent="0.25">
      <c r="A22" s="451" t="s">
        <v>893</v>
      </c>
      <c r="B22" s="34">
        <v>1</v>
      </c>
      <c r="C22" s="118" t="s">
        <v>837</v>
      </c>
      <c r="D22" s="99" t="s">
        <v>10</v>
      </c>
      <c r="E22" s="195" t="s">
        <v>2236</v>
      </c>
      <c r="F22" s="308" t="s">
        <v>1838</v>
      </c>
      <c r="G22" s="308">
        <v>81897710023</v>
      </c>
      <c r="H22" s="322">
        <v>159.64630434782609</v>
      </c>
      <c r="I22" s="400">
        <f t="shared" si="0"/>
        <v>159.64630434782609</v>
      </c>
    </row>
    <row r="23" spans="1:9" x14ac:dyDescent="0.25">
      <c r="A23" s="451" t="s">
        <v>894</v>
      </c>
      <c r="B23" s="34">
        <v>1</v>
      </c>
      <c r="C23" s="118" t="s">
        <v>895</v>
      </c>
      <c r="D23" s="99" t="s">
        <v>10</v>
      </c>
      <c r="E23" s="195" t="s">
        <v>2461</v>
      </c>
      <c r="F23" s="332" t="s">
        <v>2037</v>
      </c>
      <c r="G23" s="308">
        <v>81897710023</v>
      </c>
      <c r="H23" s="322">
        <v>180.77086956521737</v>
      </c>
      <c r="I23" s="400">
        <f t="shared" si="0"/>
        <v>180.77086956521737</v>
      </c>
    </row>
    <row r="24" spans="1:9" x14ac:dyDescent="0.25">
      <c r="A24" s="445" t="s">
        <v>896</v>
      </c>
      <c r="B24" s="58">
        <v>1</v>
      </c>
      <c r="C24" s="133" t="s">
        <v>897</v>
      </c>
      <c r="D24" s="64" t="s">
        <v>10</v>
      </c>
      <c r="E24" s="195" t="s">
        <v>2241</v>
      </c>
      <c r="F24" s="51" t="s">
        <v>1982</v>
      </c>
      <c r="G24" s="308">
        <v>81897710023</v>
      </c>
      <c r="H24" s="322">
        <v>858.48847826086967</v>
      </c>
      <c r="I24" s="400">
        <f t="shared" si="0"/>
        <v>858.48847826086967</v>
      </c>
    </row>
    <row r="25" spans="1:9" x14ac:dyDescent="0.25">
      <c r="A25" s="451" t="s">
        <v>155</v>
      </c>
      <c r="B25" s="34">
        <v>1</v>
      </c>
      <c r="C25" s="118" t="s">
        <v>898</v>
      </c>
      <c r="D25" s="99" t="s">
        <v>10</v>
      </c>
      <c r="E25" s="195" t="s">
        <v>2259</v>
      </c>
      <c r="F25" s="228" t="s">
        <v>1864</v>
      </c>
      <c r="G25" s="308">
        <v>81897710023</v>
      </c>
      <c r="H25" s="322">
        <v>135.05869565217392</v>
      </c>
      <c r="I25" s="400">
        <f t="shared" si="0"/>
        <v>135.05869565217392</v>
      </c>
    </row>
    <row r="26" spans="1:9" x14ac:dyDescent="0.25">
      <c r="A26" s="451" t="s">
        <v>899</v>
      </c>
      <c r="B26" s="34">
        <v>1</v>
      </c>
      <c r="C26" s="118" t="s">
        <v>900</v>
      </c>
      <c r="D26" s="99" t="s">
        <v>10</v>
      </c>
      <c r="E26" s="195" t="s">
        <v>2462</v>
      </c>
      <c r="F26" s="332" t="s">
        <v>2038</v>
      </c>
      <c r="G26" s="308">
        <v>81897710017</v>
      </c>
      <c r="H26" s="322">
        <v>983.50434782608704</v>
      </c>
      <c r="I26" s="400">
        <f t="shared" si="0"/>
        <v>983.50434782608704</v>
      </c>
    </row>
    <row r="27" spans="1:9" x14ac:dyDescent="0.25">
      <c r="A27" s="451" t="s">
        <v>901</v>
      </c>
      <c r="B27" s="34">
        <v>1</v>
      </c>
      <c r="C27" s="118" t="s">
        <v>902</v>
      </c>
      <c r="D27" s="99" t="s">
        <v>10</v>
      </c>
      <c r="E27" s="195" t="s">
        <v>2463</v>
      </c>
      <c r="F27" s="37" t="s">
        <v>1941</v>
      </c>
      <c r="G27" s="308">
        <v>81897710023</v>
      </c>
      <c r="H27" s="322">
        <v>203.62695652173912</v>
      </c>
      <c r="I27" s="400">
        <f t="shared" si="0"/>
        <v>203.62695652173912</v>
      </c>
    </row>
    <row r="28" spans="1:9" x14ac:dyDescent="0.25">
      <c r="A28" s="445" t="s">
        <v>903</v>
      </c>
      <c r="B28" s="58">
        <v>1</v>
      </c>
      <c r="C28" s="133" t="s">
        <v>904</v>
      </c>
      <c r="D28" s="64" t="s">
        <v>10</v>
      </c>
      <c r="E28" s="195" t="s">
        <v>2464</v>
      </c>
      <c r="F28" s="51" t="s">
        <v>1942</v>
      </c>
      <c r="G28" s="308">
        <v>81897710023</v>
      </c>
      <c r="H28" s="322">
        <v>327.60391304347831</v>
      </c>
      <c r="I28" s="400">
        <f t="shared" si="0"/>
        <v>327.60391304347831</v>
      </c>
    </row>
    <row r="29" spans="1:9" x14ac:dyDescent="0.25">
      <c r="A29" s="445" t="s">
        <v>905</v>
      </c>
      <c r="B29" s="58">
        <v>1</v>
      </c>
      <c r="C29" s="133" t="s">
        <v>906</v>
      </c>
      <c r="D29" s="64" t="s">
        <v>10</v>
      </c>
      <c r="E29" s="195" t="s">
        <v>2366</v>
      </c>
      <c r="F29" s="333" t="s">
        <v>1943</v>
      </c>
      <c r="G29" s="308">
        <v>81897710023</v>
      </c>
      <c r="H29" s="322">
        <v>272.54152173913042</v>
      </c>
      <c r="I29" s="400">
        <f t="shared" si="0"/>
        <v>272.54152173913042</v>
      </c>
    </row>
    <row r="30" spans="1:9" x14ac:dyDescent="0.25">
      <c r="A30" s="445" t="s">
        <v>909</v>
      </c>
      <c r="B30" s="58">
        <v>1</v>
      </c>
      <c r="C30" s="133">
        <v>513200</v>
      </c>
      <c r="D30" s="64" t="s">
        <v>162</v>
      </c>
      <c r="E30" s="195" t="s">
        <v>909</v>
      </c>
      <c r="F30" s="315" t="s">
        <v>2073</v>
      </c>
      <c r="G30" s="308">
        <v>80476380011</v>
      </c>
      <c r="H30" s="322">
        <v>717.39130434782601</v>
      </c>
      <c r="I30" s="400">
        <f t="shared" si="0"/>
        <v>717.39130434782601</v>
      </c>
    </row>
    <row r="31" spans="1:9" ht="14.25" customHeight="1" x14ac:dyDescent="0.25">
      <c r="A31" s="445" t="s">
        <v>910</v>
      </c>
      <c r="B31" s="58">
        <v>1</v>
      </c>
      <c r="C31" s="133" t="s">
        <v>911</v>
      </c>
      <c r="D31" s="64" t="s">
        <v>10</v>
      </c>
      <c r="E31" s="195" t="s">
        <v>2465</v>
      </c>
      <c r="F31" s="260" t="s">
        <v>1951</v>
      </c>
      <c r="G31" s="308">
        <v>81897710017</v>
      </c>
      <c r="H31" s="322">
        <v>264.23021739130434</v>
      </c>
      <c r="I31" s="400">
        <f t="shared" si="0"/>
        <v>264.23021739130434</v>
      </c>
    </row>
    <row r="32" spans="1:9" x14ac:dyDescent="0.25">
      <c r="A32" s="448" t="s">
        <v>912</v>
      </c>
      <c r="B32" s="60">
        <v>1</v>
      </c>
      <c r="C32" s="69" t="s">
        <v>913</v>
      </c>
      <c r="D32" s="178" t="s">
        <v>10</v>
      </c>
      <c r="E32" s="195" t="s">
        <v>2466</v>
      </c>
      <c r="F32" s="232" t="s">
        <v>1960</v>
      </c>
      <c r="G32" s="308">
        <v>81897710017</v>
      </c>
      <c r="H32" s="322">
        <v>296.7828260869565</v>
      </c>
      <c r="I32" s="400">
        <f t="shared" si="0"/>
        <v>296.7828260869565</v>
      </c>
    </row>
    <row r="33" spans="9:9" x14ac:dyDescent="0.25">
      <c r="I33" s="388">
        <f>SUM(I2:I32)</f>
        <v>12772.604347826089</v>
      </c>
    </row>
  </sheetData>
  <sortState xmlns:xlrd2="http://schemas.microsoft.com/office/spreadsheetml/2017/richdata2" ref="A2:F32">
    <sortCondition ref="A1:A32"/>
  </sortState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36245-9839-4FD9-9C79-368BCF4725CB}">
  <sheetPr codeName="Planilha27">
    <tabColor rgb="FF92D050"/>
  </sheetPr>
  <dimension ref="A1:I60"/>
  <sheetViews>
    <sheetView workbookViewId="0">
      <pane ySplit="1" topLeftCell="A32" activePane="bottomLeft" state="frozen"/>
      <selection activeCell="A53" sqref="A53"/>
      <selection pane="bottomLeft" activeCell="E8" sqref="E8"/>
    </sheetView>
  </sheetViews>
  <sheetFormatPr defaultRowHeight="15" x14ac:dyDescent="0.25"/>
  <cols>
    <col min="1" max="1" width="52.42578125" customWidth="1"/>
    <col min="2" max="2" width="13.42578125" customWidth="1"/>
    <col min="3" max="3" width="21.140625" style="26" customWidth="1"/>
    <col min="4" max="4" width="20.85546875" customWidth="1"/>
    <col min="5" max="5" width="24.7109375" customWidth="1"/>
    <col min="6" max="6" width="12.85546875" style="40" bestFit="1" customWidth="1"/>
    <col min="7" max="7" width="14.42578125" style="40" customWidth="1"/>
    <col min="8" max="8" width="16.85546875" style="324" customWidth="1"/>
    <col min="9" max="9" width="13" customWidth="1"/>
  </cols>
  <sheetData>
    <row r="1" spans="1:9" ht="31.5" x14ac:dyDescent="0.25">
      <c r="A1" s="84" t="s">
        <v>0</v>
      </c>
      <c r="B1" s="42" t="s">
        <v>305</v>
      </c>
      <c r="C1" s="86" t="s">
        <v>360</v>
      </c>
      <c r="D1" s="197" t="s">
        <v>1721</v>
      </c>
      <c r="E1" s="194" t="s">
        <v>1723</v>
      </c>
      <c r="F1" s="194" t="s">
        <v>1724</v>
      </c>
      <c r="G1" s="194" t="s">
        <v>1722</v>
      </c>
      <c r="H1" s="321" t="s">
        <v>1725</v>
      </c>
      <c r="I1" s="321" t="s">
        <v>2317</v>
      </c>
    </row>
    <row r="2" spans="1:9" x14ac:dyDescent="0.25">
      <c r="A2" s="303" t="s">
        <v>163</v>
      </c>
      <c r="B2" s="385">
        <v>1</v>
      </c>
      <c r="C2" s="415" t="s">
        <v>908</v>
      </c>
      <c r="D2" s="416" t="s">
        <v>10</v>
      </c>
      <c r="E2" s="361" t="s">
        <v>2195</v>
      </c>
      <c r="F2" s="417" t="s">
        <v>1737</v>
      </c>
      <c r="G2" s="366">
        <v>81897710023</v>
      </c>
      <c r="H2" s="362">
        <v>206.39739130434782</v>
      </c>
      <c r="I2" s="362">
        <f>H2*B2</f>
        <v>206.39739130434782</v>
      </c>
    </row>
    <row r="3" spans="1:9" x14ac:dyDescent="0.25">
      <c r="A3" s="303" t="s">
        <v>917</v>
      </c>
      <c r="B3" s="385">
        <v>1</v>
      </c>
      <c r="C3" s="418">
        <v>586040</v>
      </c>
      <c r="D3" s="416" t="s">
        <v>162</v>
      </c>
      <c r="E3" s="361" t="s">
        <v>917</v>
      </c>
      <c r="F3" s="419" t="s">
        <v>2161</v>
      </c>
      <c r="G3" s="366" t="e">
        <v>#N/A</v>
      </c>
      <c r="H3" s="362">
        <v>0</v>
      </c>
      <c r="I3" s="362">
        <f t="shared" ref="I3:I59" si="0">H3*B3</f>
        <v>0</v>
      </c>
    </row>
    <row r="4" spans="1:9" x14ac:dyDescent="0.25">
      <c r="A4" s="303" t="s">
        <v>918</v>
      </c>
      <c r="B4" s="385">
        <v>1</v>
      </c>
      <c r="C4" s="418">
        <v>586030</v>
      </c>
      <c r="D4" s="416" t="s">
        <v>162</v>
      </c>
      <c r="E4" s="361" t="s">
        <v>918</v>
      </c>
      <c r="F4" s="380" t="s">
        <v>2160</v>
      </c>
      <c r="G4" s="366" t="e">
        <v>#N/A</v>
      </c>
      <c r="H4" s="362">
        <v>423.91304347826082</v>
      </c>
      <c r="I4" s="362">
        <f t="shared" si="0"/>
        <v>423.91304347826082</v>
      </c>
    </row>
    <row r="5" spans="1:9" x14ac:dyDescent="0.25">
      <c r="A5" s="420" t="s">
        <v>164</v>
      </c>
      <c r="B5" s="386">
        <v>2</v>
      </c>
      <c r="C5" s="421">
        <v>2000</v>
      </c>
      <c r="D5" s="422" t="s">
        <v>4</v>
      </c>
      <c r="E5" s="361" t="s">
        <v>164</v>
      </c>
      <c r="F5" s="423" t="s">
        <v>2077</v>
      </c>
      <c r="G5" s="366" t="e">
        <v>#N/A</v>
      </c>
      <c r="H5" s="362">
        <v>521.73913043478262</v>
      </c>
      <c r="I5" s="362">
        <f t="shared" si="0"/>
        <v>1043.4782608695652</v>
      </c>
    </row>
    <row r="6" spans="1:9" x14ac:dyDescent="0.25">
      <c r="A6" s="420" t="s">
        <v>920</v>
      </c>
      <c r="B6" s="386">
        <v>1</v>
      </c>
      <c r="C6" s="421">
        <v>2049</v>
      </c>
      <c r="D6" s="422" t="s">
        <v>4</v>
      </c>
      <c r="E6" s="361" t="s">
        <v>2215</v>
      </c>
      <c r="F6" s="424" t="s">
        <v>1765</v>
      </c>
      <c r="G6" s="366">
        <v>81897719001</v>
      </c>
      <c r="H6" s="362">
        <v>205.01217391304351</v>
      </c>
      <c r="I6" s="362">
        <f t="shared" si="0"/>
        <v>205.01217391304351</v>
      </c>
    </row>
    <row r="7" spans="1:9" x14ac:dyDescent="0.25">
      <c r="A7" s="420" t="s">
        <v>921</v>
      </c>
      <c r="B7" s="386">
        <v>1</v>
      </c>
      <c r="C7" s="421">
        <v>2050</v>
      </c>
      <c r="D7" s="422" t="s">
        <v>4</v>
      </c>
      <c r="E7" s="361" t="s">
        <v>2216</v>
      </c>
      <c r="F7" s="424" t="s">
        <v>1766</v>
      </c>
      <c r="G7" s="366">
        <v>81897719001</v>
      </c>
      <c r="H7" s="362">
        <v>205.01217391304351</v>
      </c>
      <c r="I7" s="362">
        <f t="shared" si="0"/>
        <v>205.01217391304351</v>
      </c>
    </row>
    <row r="8" spans="1:9" x14ac:dyDescent="0.25">
      <c r="A8" s="303" t="s">
        <v>313</v>
      </c>
      <c r="B8" s="385">
        <v>1</v>
      </c>
      <c r="C8" s="418">
        <v>662250</v>
      </c>
      <c r="D8" s="416" t="s">
        <v>874</v>
      </c>
      <c r="E8" s="195" t="s">
        <v>2653</v>
      </c>
      <c r="F8" s="419" t="s">
        <v>2322</v>
      </c>
      <c r="G8" s="366" t="s">
        <v>2336</v>
      </c>
      <c r="H8" s="362">
        <v>2378.3413043478263</v>
      </c>
      <c r="I8" s="362">
        <f t="shared" si="0"/>
        <v>2378.3413043478263</v>
      </c>
    </row>
    <row r="9" spans="1:9" x14ac:dyDescent="0.25">
      <c r="A9" s="303" t="s">
        <v>924</v>
      </c>
      <c r="B9" s="385">
        <v>1</v>
      </c>
      <c r="C9" s="418">
        <v>628712</v>
      </c>
      <c r="D9" s="416" t="s">
        <v>162</v>
      </c>
      <c r="E9" s="361" t="s">
        <v>924</v>
      </c>
      <c r="F9" s="417" t="s">
        <v>2161</v>
      </c>
      <c r="G9" s="366" t="e">
        <v>#N/A</v>
      </c>
      <c r="H9" s="362">
        <v>0</v>
      </c>
      <c r="I9" s="362">
        <f t="shared" si="0"/>
        <v>0</v>
      </c>
    </row>
    <row r="10" spans="1:9" x14ac:dyDescent="0.25">
      <c r="A10" s="420" t="s">
        <v>925</v>
      </c>
      <c r="B10" s="386">
        <v>1</v>
      </c>
      <c r="C10" s="421">
        <v>628714</v>
      </c>
      <c r="D10" s="422" t="s">
        <v>162</v>
      </c>
      <c r="E10" s="361" t="s">
        <v>925</v>
      </c>
      <c r="F10" s="425" t="s">
        <v>2161</v>
      </c>
      <c r="G10" s="366" t="e">
        <v>#N/A</v>
      </c>
      <c r="H10" s="362">
        <v>0</v>
      </c>
      <c r="I10" s="362">
        <f t="shared" si="0"/>
        <v>0</v>
      </c>
    </row>
    <row r="11" spans="1:9" x14ac:dyDescent="0.25">
      <c r="A11" s="303" t="s">
        <v>157</v>
      </c>
      <c r="B11" s="385">
        <v>1</v>
      </c>
      <c r="C11" s="415" t="s">
        <v>916</v>
      </c>
      <c r="D11" s="416" t="s">
        <v>10</v>
      </c>
      <c r="E11" s="361" t="s">
        <v>2229</v>
      </c>
      <c r="F11" s="417" t="s">
        <v>1793</v>
      </c>
      <c r="G11" s="366">
        <v>81897710018</v>
      </c>
      <c r="H11" s="362">
        <v>294.70499999999998</v>
      </c>
      <c r="I11" s="362">
        <f t="shared" si="0"/>
        <v>294.70499999999998</v>
      </c>
    </row>
    <row r="12" spans="1:9" x14ac:dyDescent="0.25">
      <c r="A12" s="420" t="s">
        <v>161</v>
      </c>
      <c r="B12" s="386">
        <v>1</v>
      </c>
      <c r="C12" s="421">
        <v>479100</v>
      </c>
      <c r="D12" s="422" t="s">
        <v>162</v>
      </c>
      <c r="E12" s="361" t="s">
        <v>2230</v>
      </c>
      <c r="F12" s="425" t="s">
        <v>1981</v>
      </c>
      <c r="G12" s="366">
        <v>81897710018</v>
      </c>
      <c r="H12" s="362">
        <v>308.21086956521742</v>
      </c>
      <c r="I12" s="362">
        <f t="shared" si="0"/>
        <v>308.21086956521742</v>
      </c>
    </row>
    <row r="13" spans="1:9" x14ac:dyDescent="0.25">
      <c r="A13" s="420" t="s">
        <v>934</v>
      </c>
      <c r="B13" s="386">
        <v>1</v>
      </c>
      <c r="C13" s="421">
        <v>488603</v>
      </c>
      <c r="D13" s="422" t="s">
        <v>162</v>
      </c>
      <c r="E13" s="361" t="s">
        <v>2235</v>
      </c>
      <c r="F13" s="425" t="s">
        <v>1805</v>
      </c>
      <c r="G13" s="366">
        <v>81897710001</v>
      </c>
      <c r="H13" s="362">
        <v>413.1410869565218</v>
      </c>
      <c r="I13" s="362">
        <f t="shared" si="0"/>
        <v>413.1410869565218</v>
      </c>
    </row>
    <row r="14" spans="1:9" x14ac:dyDescent="0.25">
      <c r="A14" s="420" t="s">
        <v>935</v>
      </c>
      <c r="B14" s="386">
        <v>1</v>
      </c>
      <c r="C14" s="421">
        <v>488004</v>
      </c>
      <c r="D14" s="422" t="s">
        <v>162</v>
      </c>
      <c r="E14" s="361" t="s">
        <v>2234</v>
      </c>
      <c r="F14" s="425" t="s">
        <v>1804</v>
      </c>
      <c r="G14" s="366">
        <v>81897710001</v>
      </c>
      <c r="H14" s="362">
        <v>402.05934782608699</v>
      </c>
      <c r="I14" s="362">
        <f t="shared" si="0"/>
        <v>402.05934782608699</v>
      </c>
    </row>
    <row r="15" spans="1:9" x14ac:dyDescent="0.25">
      <c r="A15" s="420" t="s">
        <v>936</v>
      </c>
      <c r="B15" s="386">
        <v>1</v>
      </c>
      <c r="C15" s="426">
        <v>488002</v>
      </c>
      <c r="D15" s="422" t="s">
        <v>162</v>
      </c>
      <c r="E15" s="361" t="s">
        <v>2467</v>
      </c>
      <c r="F15" s="425" t="s">
        <v>2162</v>
      </c>
      <c r="G15" s="366">
        <v>81897710001</v>
      </c>
      <c r="H15" s="362">
        <v>318.94630434782619</v>
      </c>
      <c r="I15" s="362">
        <f t="shared" si="0"/>
        <v>318.94630434782619</v>
      </c>
    </row>
    <row r="16" spans="1:9" x14ac:dyDescent="0.25">
      <c r="A16" s="420" t="s">
        <v>932</v>
      </c>
      <c r="B16" s="386">
        <v>1</v>
      </c>
      <c r="C16" s="421">
        <v>400500</v>
      </c>
      <c r="D16" s="422" t="s">
        <v>162</v>
      </c>
      <c r="E16" s="361" t="s">
        <v>2233</v>
      </c>
      <c r="F16" s="425" t="s">
        <v>1803</v>
      </c>
      <c r="G16" s="366">
        <v>81897710001</v>
      </c>
      <c r="H16" s="362">
        <v>388.20717391304356</v>
      </c>
      <c r="I16" s="362">
        <f t="shared" si="0"/>
        <v>388.20717391304356</v>
      </c>
    </row>
    <row r="17" spans="1:9" x14ac:dyDescent="0.25">
      <c r="A17" s="420" t="s">
        <v>923</v>
      </c>
      <c r="B17" s="386">
        <v>1</v>
      </c>
      <c r="C17" s="421">
        <v>174200</v>
      </c>
      <c r="D17" s="422" t="s">
        <v>162</v>
      </c>
      <c r="E17" s="361" t="s">
        <v>2468</v>
      </c>
      <c r="F17" s="425" t="s">
        <v>1984</v>
      </c>
      <c r="G17" s="366">
        <v>81897710023</v>
      </c>
      <c r="H17" s="362">
        <v>662.13391304347829</v>
      </c>
      <c r="I17" s="362">
        <f t="shared" si="0"/>
        <v>662.13391304347829</v>
      </c>
    </row>
    <row r="18" spans="1:9" x14ac:dyDescent="0.25">
      <c r="A18" s="420" t="s">
        <v>966</v>
      </c>
      <c r="B18" s="427">
        <v>1</v>
      </c>
      <c r="C18" s="418">
        <v>673004</v>
      </c>
      <c r="D18" s="428" t="s">
        <v>162</v>
      </c>
      <c r="E18" s="361" t="s">
        <v>2469</v>
      </c>
      <c r="F18" s="425" t="s">
        <v>2039</v>
      </c>
      <c r="G18" s="366">
        <v>81897710018</v>
      </c>
      <c r="H18" s="362">
        <v>245.18347826086955</v>
      </c>
      <c r="I18" s="362">
        <f t="shared" si="0"/>
        <v>245.18347826086955</v>
      </c>
    </row>
    <row r="19" spans="1:9" x14ac:dyDescent="0.25">
      <c r="A19" s="420" t="s">
        <v>967</v>
      </c>
      <c r="B19" s="427">
        <v>1</v>
      </c>
      <c r="C19" s="418">
        <v>673004</v>
      </c>
      <c r="D19" s="428" t="s">
        <v>162</v>
      </c>
      <c r="E19" s="361" t="s">
        <v>2470</v>
      </c>
      <c r="F19" s="425" t="s">
        <v>2040</v>
      </c>
      <c r="G19" s="366">
        <v>81897710018</v>
      </c>
      <c r="H19" s="362">
        <v>261.45978260869566</v>
      </c>
      <c r="I19" s="362">
        <f t="shared" si="0"/>
        <v>261.45978260869566</v>
      </c>
    </row>
    <row r="20" spans="1:9" x14ac:dyDescent="0.25">
      <c r="A20" s="303" t="s">
        <v>159</v>
      </c>
      <c r="B20" s="385">
        <v>1</v>
      </c>
      <c r="C20" s="415" t="s">
        <v>702</v>
      </c>
      <c r="D20" s="416" t="s">
        <v>10</v>
      </c>
      <c r="E20" s="361" t="s">
        <v>2246</v>
      </c>
      <c r="F20" s="417" t="s">
        <v>1847</v>
      </c>
      <c r="G20" s="366">
        <v>81897710023</v>
      </c>
      <c r="H20" s="362">
        <v>156.87586956521739</v>
      </c>
      <c r="I20" s="362">
        <f t="shared" si="0"/>
        <v>156.87586956521739</v>
      </c>
    </row>
    <row r="21" spans="1:9" x14ac:dyDescent="0.25">
      <c r="A21" s="303" t="s">
        <v>703</v>
      </c>
      <c r="B21" s="385">
        <v>1</v>
      </c>
      <c r="C21" s="415" t="s">
        <v>31</v>
      </c>
      <c r="D21" s="416" t="s">
        <v>10</v>
      </c>
      <c r="E21" s="361" t="s">
        <v>2247</v>
      </c>
      <c r="F21" s="417" t="s">
        <v>1731</v>
      </c>
      <c r="G21" s="366">
        <v>81897710023</v>
      </c>
      <c r="H21" s="362">
        <v>93.502173913043478</v>
      </c>
      <c r="I21" s="362">
        <f t="shared" si="0"/>
        <v>93.502173913043478</v>
      </c>
    </row>
    <row r="22" spans="1:9" x14ac:dyDescent="0.25">
      <c r="A22" s="303" t="s">
        <v>704</v>
      </c>
      <c r="B22" s="385">
        <v>1</v>
      </c>
      <c r="C22" s="429" t="s">
        <v>34</v>
      </c>
      <c r="D22" s="416" t="s">
        <v>10</v>
      </c>
      <c r="E22" s="361" t="s">
        <v>2248</v>
      </c>
      <c r="F22" s="425" t="s">
        <v>1730</v>
      </c>
      <c r="G22" s="366">
        <v>81897710023</v>
      </c>
      <c r="H22" s="362">
        <v>90.385434782608684</v>
      </c>
      <c r="I22" s="362">
        <f t="shared" si="0"/>
        <v>90.385434782608684</v>
      </c>
    </row>
    <row r="23" spans="1:9" x14ac:dyDescent="0.25">
      <c r="A23" s="303" t="s">
        <v>964</v>
      </c>
      <c r="B23" s="430">
        <v>1</v>
      </c>
      <c r="C23" s="431">
        <v>459036</v>
      </c>
      <c r="D23" s="416" t="s">
        <v>162</v>
      </c>
      <c r="E23" s="361" t="s">
        <v>2471</v>
      </c>
      <c r="F23" s="417" t="s">
        <v>2163</v>
      </c>
      <c r="G23" s="366">
        <v>81897710001</v>
      </c>
      <c r="H23" s="362">
        <v>3503.2147826086957</v>
      </c>
      <c r="I23" s="362">
        <f t="shared" si="0"/>
        <v>3503.2147826086957</v>
      </c>
    </row>
    <row r="24" spans="1:9" x14ac:dyDescent="0.25">
      <c r="A24" s="303" t="s">
        <v>965</v>
      </c>
      <c r="B24" s="430">
        <v>1</v>
      </c>
      <c r="C24" s="431">
        <v>459016</v>
      </c>
      <c r="D24" s="416" t="s">
        <v>162</v>
      </c>
      <c r="E24" s="361" t="s">
        <v>965</v>
      </c>
      <c r="F24" s="417" t="s">
        <v>2161</v>
      </c>
      <c r="G24" s="366" t="e">
        <v>#N/A</v>
      </c>
      <c r="H24" s="362">
        <v>0</v>
      </c>
      <c r="I24" s="362">
        <f t="shared" si="0"/>
        <v>0</v>
      </c>
    </row>
    <row r="25" spans="1:9" x14ac:dyDescent="0.25">
      <c r="A25" s="303" t="s">
        <v>306</v>
      </c>
      <c r="B25" s="385">
        <v>2</v>
      </c>
      <c r="C25" s="418">
        <v>971</v>
      </c>
      <c r="D25" s="416" t="s">
        <v>4</v>
      </c>
      <c r="E25" s="361" t="s">
        <v>2257</v>
      </c>
      <c r="F25" s="432" t="s">
        <v>1862</v>
      </c>
      <c r="G25" s="366">
        <v>81897710001</v>
      </c>
      <c r="H25" s="362">
        <v>305.9021739130435</v>
      </c>
      <c r="I25" s="362">
        <f t="shared" si="0"/>
        <v>611.804347826087</v>
      </c>
    </row>
    <row r="26" spans="1:9" x14ac:dyDescent="0.25">
      <c r="A26" s="303" t="s">
        <v>308</v>
      </c>
      <c r="B26" s="385">
        <v>2</v>
      </c>
      <c r="C26" s="418">
        <v>957</v>
      </c>
      <c r="D26" s="416" t="s">
        <v>4</v>
      </c>
      <c r="E26" s="361" t="s">
        <v>2258</v>
      </c>
      <c r="F26" s="433" t="s">
        <v>1861</v>
      </c>
      <c r="G26" s="366">
        <v>81897710001</v>
      </c>
      <c r="H26" s="362">
        <v>145.7941304347826</v>
      </c>
      <c r="I26" s="362">
        <f t="shared" si="0"/>
        <v>291.5882608695652</v>
      </c>
    </row>
    <row r="27" spans="1:9" x14ac:dyDescent="0.25">
      <c r="A27" s="303" t="s">
        <v>155</v>
      </c>
      <c r="B27" s="385">
        <v>2</v>
      </c>
      <c r="C27" s="415" t="s">
        <v>156</v>
      </c>
      <c r="D27" s="416" t="s">
        <v>8</v>
      </c>
      <c r="E27" s="361" t="s">
        <v>2259</v>
      </c>
      <c r="F27" s="417" t="s">
        <v>1864</v>
      </c>
      <c r="G27" s="366">
        <v>81897710023</v>
      </c>
      <c r="H27" s="362">
        <v>135.05869565217392</v>
      </c>
      <c r="I27" s="362">
        <f t="shared" si="0"/>
        <v>270.11739130434785</v>
      </c>
    </row>
    <row r="28" spans="1:9" x14ac:dyDescent="0.25">
      <c r="A28" s="420" t="s">
        <v>946</v>
      </c>
      <c r="B28" s="386">
        <v>1</v>
      </c>
      <c r="C28" s="434" t="s">
        <v>947</v>
      </c>
      <c r="D28" s="422" t="s">
        <v>162</v>
      </c>
      <c r="E28" s="361" t="s">
        <v>2472</v>
      </c>
      <c r="F28" s="435" t="s">
        <v>2164</v>
      </c>
      <c r="G28" s="366">
        <v>81897710011</v>
      </c>
      <c r="H28" s="362">
        <v>8130.6796956521739</v>
      </c>
      <c r="I28" s="362">
        <f t="shared" si="0"/>
        <v>8130.6796956521739</v>
      </c>
    </row>
    <row r="29" spans="1:9" x14ac:dyDescent="0.25">
      <c r="A29" s="303" t="s">
        <v>948</v>
      </c>
      <c r="B29" s="385">
        <v>1</v>
      </c>
      <c r="C29" s="415" t="s">
        <v>949</v>
      </c>
      <c r="D29" s="416" t="s">
        <v>162</v>
      </c>
      <c r="E29" s="361" t="s">
        <v>2473</v>
      </c>
      <c r="F29" s="419" t="s">
        <v>2165</v>
      </c>
      <c r="G29" s="366">
        <v>81897710011</v>
      </c>
      <c r="H29" s="362">
        <v>7547.5955217391311</v>
      </c>
      <c r="I29" s="362">
        <f t="shared" si="0"/>
        <v>7547.5955217391311</v>
      </c>
    </row>
    <row r="30" spans="1:9" x14ac:dyDescent="0.25">
      <c r="A30" s="303" t="s">
        <v>950</v>
      </c>
      <c r="B30" s="385">
        <v>1</v>
      </c>
      <c r="C30" s="415" t="s">
        <v>951</v>
      </c>
      <c r="D30" s="416" t="s">
        <v>162</v>
      </c>
      <c r="E30" s="361" t="s">
        <v>2474</v>
      </c>
      <c r="F30" s="419" t="s">
        <v>2166</v>
      </c>
      <c r="G30" s="366">
        <v>81897710011</v>
      </c>
      <c r="H30" s="362">
        <v>7547.5955217391311</v>
      </c>
      <c r="I30" s="362">
        <f t="shared" si="0"/>
        <v>7547.5955217391311</v>
      </c>
    </row>
    <row r="31" spans="1:9" x14ac:dyDescent="0.25">
      <c r="A31" s="303" t="s">
        <v>937</v>
      </c>
      <c r="B31" s="385">
        <v>1</v>
      </c>
      <c r="C31" s="415" t="s">
        <v>334</v>
      </c>
      <c r="D31" s="416" t="s">
        <v>10</v>
      </c>
      <c r="E31" s="361" t="s">
        <v>2475</v>
      </c>
      <c r="F31" s="417" t="s">
        <v>2041</v>
      </c>
      <c r="G31" s="366">
        <v>81897710001</v>
      </c>
      <c r="H31" s="362">
        <v>743.51543478260862</v>
      </c>
      <c r="I31" s="362">
        <f t="shared" si="0"/>
        <v>743.51543478260862</v>
      </c>
    </row>
    <row r="32" spans="1:9" x14ac:dyDescent="0.25">
      <c r="A32" s="303" t="s">
        <v>943</v>
      </c>
      <c r="B32" s="385">
        <v>1</v>
      </c>
      <c r="C32" s="418">
        <v>651020</v>
      </c>
      <c r="D32" s="416" t="s">
        <v>162</v>
      </c>
      <c r="E32" s="361" t="s">
        <v>2476</v>
      </c>
      <c r="F32" s="417" t="s">
        <v>2167</v>
      </c>
      <c r="G32" s="366">
        <v>81897710011</v>
      </c>
      <c r="H32" s="362">
        <v>7767.1986521739127</v>
      </c>
      <c r="I32" s="362">
        <f t="shared" si="0"/>
        <v>7767.1986521739127</v>
      </c>
    </row>
    <row r="33" spans="1:9" x14ac:dyDescent="0.25">
      <c r="A33" s="303" t="s">
        <v>944</v>
      </c>
      <c r="B33" s="385">
        <v>1</v>
      </c>
      <c r="C33" s="418">
        <v>651010</v>
      </c>
      <c r="D33" s="416" t="s">
        <v>162</v>
      </c>
      <c r="E33" s="361" t="s">
        <v>2477</v>
      </c>
      <c r="F33" s="417" t="s">
        <v>2168</v>
      </c>
      <c r="G33" s="366">
        <v>81897710011</v>
      </c>
      <c r="H33" s="362">
        <v>8402.6594347826085</v>
      </c>
      <c r="I33" s="362">
        <f t="shared" si="0"/>
        <v>8402.6594347826085</v>
      </c>
    </row>
    <row r="34" spans="1:9" x14ac:dyDescent="0.25">
      <c r="A34" s="303" t="s">
        <v>959</v>
      </c>
      <c r="B34" s="385">
        <v>1</v>
      </c>
      <c r="C34" s="415" t="s">
        <v>960</v>
      </c>
      <c r="D34" s="416" t="s">
        <v>162</v>
      </c>
      <c r="E34" s="361" t="s">
        <v>959</v>
      </c>
      <c r="F34" s="417" t="s">
        <v>2161</v>
      </c>
      <c r="G34" s="366" t="e">
        <v>#N/A</v>
      </c>
      <c r="H34" s="362">
        <v>0</v>
      </c>
      <c r="I34" s="362">
        <f t="shared" si="0"/>
        <v>0</v>
      </c>
    </row>
    <row r="35" spans="1:9" x14ac:dyDescent="0.25">
      <c r="A35" s="303" t="s">
        <v>961</v>
      </c>
      <c r="B35" s="385">
        <v>1</v>
      </c>
      <c r="C35" s="415" t="s">
        <v>962</v>
      </c>
      <c r="D35" s="416" t="s">
        <v>162</v>
      </c>
      <c r="E35" s="361" t="s">
        <v>961</v>
      </c>
      <c r="F35" s="417" t="s">
        <v>2161</v>
      </c>
      <c r="G35" s="366" t="e">
        <v>#N/A</v>
      </c>
      <c r="H35" s="362">
        <v>0</v>
      </c>
      <c r="I35" s="362">
        <f t="shared" si="0"/>
        <v>0</v>
      </c>
    </row>
    <row r="36" spans="1:9" x14ac:dyDescent="0.25">
      <c r="A36" s="303" t="s">
        <v>952</v>
      </c>
      <c r="B36" s="385">
        <v>1</v>
      </c>
      <c r="C36" s="415" t="s">
        <v>953</v>
      </c>
      <c r="D36" s="416" t="s">
        <v>162</v>
      </c>
      <c r="E36" s="361" t="s">
        <v>2478</v>
      </c>
      <c r="F36" s="417" t="s">
        <v>2169</v>
      </c>
      <c r="G36" s="366">
        <v>81897710011</v>
      </c>
      <c r="H36" s="362">
        <v>7547.5955217391311</v>
      </c>
      <c r="I36" s="362">
        <f t="shared" si="0"/>
        <v>7547.5955217391311</v>
      </c>
    </row>
    <row r="37" spans="1:9" x14ac:dyDescent="0.25">
      <c r="A37" s="420" t="s">
        <v>938</v>
      </c>
      <c r="B37" s="386">
        <v>1</v>
      </c>
      <c r="C37" s="421">
        <v>455400</v>
      </c>
      <c r="D37" s="422" t="s">
        <v>162</v>
      </c>
      <c r="E37" s="361" t="s">
        <v>938</v>
      </c>
      <c r="F37" s="425" t="s">
        <v>2161</v>
      </c>
      <c r="G37" s="366" t="e">
        <v>#N/A</v>
      </c>
      <c r="H37" s="362">
        <v>0</v>
      </c>
      <c r="I37" s="362">
        <f t="shared" si="0"/>
        <v>0</v>
      </c>
    </row>
    <row r="38" spans="1:9" x14ac:dyDescent="0.25">
      <c r="A38" s="420" t="s">
        <v>939</v>
      </c>
      <c r="B38" s="386">
        <v>1</v>
      </c>
      <c r="C38" s="421">
        <v>428002</v>
      </c>
      <c r="D38" s="422" t="s">
        <v>162</v>
      </c>
      <c r="E38" s="361" t="s">
        <v>939</v>
      </c>
      <c r="F38" s="425" t="s">
        <v>2161</v>
      </c>
      <c r="G38" s="366" t="e">
        <v>#N/A</v>
      </c>
      <c r="H38" s="362">
        <v>0</v>
      </c>
      <c r="I38" s="362">
        <f t="shared" si="0"/>
        <v>0</v>
      </c>
    </row>
    <row r="39" spans="1:9" x14ac:dyDescent="0.25">
      <c r="A39" s="303" t="s">
        <v>914</v>
      </c>
      <c r="B39" s="385">
        <v>2</v>
      </c>
      <c r="C39" s="415" t="s">
        <v>915</v>
      </c>
      <c r="D39" s="416" t="s">
        <v>10</v>
      </c>
      <c r="E39" s="361" t="s">
        <v>2273</v>
      </c>
      <c r="F39" s="436" t="s">
        <v>1897</v>
      </c>
      <c r="G39" s="366">
        <v>81897710001</v>
      </c>
      <c r="H39" s="362">
        <v>109.08586956521739</v>
      </c>
      <c r="I39" s="362">
        <f t="shared" si="0"/>
        <v>218.17173913043479</v>
      </c>
    </row>
    <row r="40" spans="1:9" x14ac:dyDescent="0.25">
      <c r="A40" s="437" t="s">
        <v>969</v>
      </c>
      <c r="B40" s="427">
        <v>1</v>
      </c>
      <c r="C40" s="438" t="s">
        <v>970</v>
      </c>
      <c r="D40" s="428" t="s">
        <v>363</v>
      </c>
      <c r="E40" s="361" t="s">
        <v>2479</v>
      </c>
      <c r="F40" s="439" t="s">
        <v>2042</v>
      </c>
      <c r="G40" s="366">
        <v>81897710017</v>
      </c>
      <c r="H40" s="362">
        <v>2423.0915217391303</v>
      </c>
      <c r="I40" s="362">
        <f t="shared" si="0"/>
        <v>2423.0915217391303</v>
      </c>
    </row>
    <row r="41" spans="1:9" x14ac:dyDescent="0.25">
      <c r="A41" s="437" t="s">
        <v>971</v>
      </c>
      <c r="B41" s="427">
        <v>1</v>
      </c>
      <c r="C41" s="438" t="s">
        <v>972</v>
      </c>
      <c r="D41" s="428" t="s">
        <v>363</v>
      </c>
      <c r="E41" s="361" t="s">
        <v>2480</v>
      </c>
      <c r="F41" s="439" t="s">
        <v>2043</v>
      </c>
      <c r="G41" s="366">
        <v>81897710017</v>
      </c>
      <c r="H41" s="362">
        <v>2423.0915217391303</v>
      </c>
      <c r="I41" s="362">
        <f t="shared" si="0"/>
        <v>2423.0915217391303</v>
      </c>
    </row>
    <row r="42" spans="1:9" x14ac:dyDescent="0.25">
      <c r="A42" s="437" t="s">
        <v>973</v>
      </c>
      <c r="B42" s="427">
        <v>1</v>
      </c>
      <c r="C42" s="438" t="s">
        <v>974</v>
      </c>
      <c r="D42" s="428" t="s">
        <v>363</v>
      </c>
      <c r="E42" s="361" t="s">
        <v>2481</v>
      </c>
      <c r="F42" s="439" t="s">
        <v>2044</v>
      </c>
      <c r="G42" s="366">
        <v>81897710017</v>
      </c>
      <c r="H42" s="362">
        <v>2423.0915217391303</v>
      </c>
      <c r="I42" s="362">
        <f t="shared" si="0"/>
        <v>2423.0915217391303</v>
      </c>
    </row>
    <row r="43" spans="1:9" x14ac:dyDescent="0.25">
      <c r="A43" s="303" t="s">
        <v>954</v>
      </c>
      <c r="B43" s="385">
        <v>1</v>
      </c>
      <c r="C43" s="415" t="s">
        <v>955</v>
      </c>
      <c r="D43" s="416" t="s">
        <v>162</v>
      </c>
      <c r="E43" s="361" t="s">
        <v>954</v>
      </c>
      <c r="F43" s="417" t="s">
        <v>2161</v>
      </c>
      <c r="G43" s="366" t="e">
        <v>#N/A</v>
      </c>
      <c r="H43" s="362">
        <v>0</v>
      </c>
      <c r="I43" s="362">
        <f t="shared" si="0"/>
        <v>0</v>
      </c>
    </row>
    <row r="44" spans="1:9" x14ac:dyDescent="0.25">
      <c r="A44" s="420" t="s">
        <v>956</v>
      </c>
      <c r="B44" s="386">
        <v>1</v>
      </c>
      <c r="C44" s="434" t="s">
        <v>957</v>
      </c>
      <c r="D44" s="422" t="s">
        <v>162</v>
      </c>
      <c r="E44" s="361" t="s">
        <v>956</v>
      </c>
      <c r="F44" s="425" t="s">
        <v>2161</v>
      </c>
      <c r="G44" s="366" t="e">
        <v>#N/A</v>
      </c>
      <c r="H44" s="362">
        <v>0</v>
      </c>
      <c r="I44" s="362">
        <f t="shared" si="0"/>
        <v>0</v>
      </c>
    </row>
    <row r="45" spans="1:9" x14ac:dyDescent="0.25">
      <c r="A45" s="303" t="s">
        <v>963</v>
      </c>
      <c r="B45" s="385">
        <v>1</v>
      </c>
      <c r="C45" s="418">
        <v>651060</v>
      </c>
      <c r="D45" s="416" t="s">
        <v>162</v>
      </c>
      <c r="E45" s="361" t="s">
        <v>2482</v>
      </c>
      <c r="F45" s="417" t="s">
        <v>2170</v>
      </c>
      <c r="G45" s="366">
        <v>81897710011</v>
      </c>
      <c r="H45" s="362">
        <v>10959.963130434782</v>
      </c>
      <c r="I45" s="362">
        <f t="shared" si="0"/>
        <v>10959.963130434782</v>
      </c>
    </row>
    <row r="46" spans="1:9" x14ac:dyDescent="0.25">
      <c r="A46" s="303" t="s">
        <v>958</v>
      </c>
      <c r="B46" s="385">
        <v>1</v>
      </c>
      <c r="C46" s="418">
        <v>651055</v>
      </c>
      <c r="D46" s="416" t="s">
        <v>162</v>
      </c>
      <c r="E46" s="361" t="s">
        <v>2483</v>
      </c>
      <c r="F46" s="417" t="s">
        <v>2171</v>
      </c>
      <c r="G46" s="366">
        <v>81897710011</v>
      </c>
      <c r="H46" s="362">
        <v>10959.963130434782</v>
      </c>
      <c r="I46" s="362">
        <f t="shared" si="0"/>
        <v>10959.963130434782</v>
      </c>
    </row>
    <row r="47" spans="1:9" x14ac:dyDescent="0.25">
      <c r="A47" s="303" t="s">
        <v>945</v>
      </c>
      <c r="B47" s="385">
        <v>1</v>
      </c>
      <c r="C47" s="418">
        <v>653005</v>
      </c>
      <c r="D47" s="416" t="s">
        <v>162</v>
      </c>
      <c r="E47" s="361" t="s">
        <v>945</v>
      </c>
      <c r="F47" s="417" t="s">
        <v>2161</v>
      </c>
      <c r="G47" s="366" t="e">
        <v>#N/A</v>
      </c>
      <c r="H47" s="362">
        <v>0</v>
      </c>
      <c r="I47" s="362">
        <f t="shared" si="0"/>
        <v>0</v>
      </c>
    </row>
    <row r="48" spans="1:9" x14ac:dyDescent="0.25">
      <c r="A48" s="420" t="s">
        <v>941</v>
      </c>
      <c r="B48" s="386">
        <v>1</v>
      </c>
      <c r="C48" s="434" t="s">
        <v>942</v>
      </c>
      <c r="D48" s="422" t="s">
        <v>10</v>
      </c>
      <c r="E48" s="361" t="s">
        <v>2484</v>
      </c>
      <c r="F48" s="425" t="s">
        <v>2045</v>
      </c>
      <c r="G48" s="366">
        <v>81897710017</v>
      </c>
      <c r="H48" s="362">
        <v>1010.862391304348</v>
      </c>
      <c r="I48" s="362">
        <f t="shared" si="0"/>
        <v>1010.862391304348</v>
      </c>
    </row>
    <row r="49" spans="1:9" x14ac:dyDescent="0.25">
      <c r="A49" s="303" t="s">
        <v>940</v>
      </c>
      <c r="B49" s="385">
        <v>1</v>
      </c>
      <c r="C49" s="418">
        <v>455500</v>
      </c>
      <c r="D49" s="416" t="s">
        <v>162</v>
      </c>
      <c r="E49" s="361" t="s">
        <v>2462</v>
      </c>
      <c r="F49" s="371" t="s">
        <v>2038</v>
      </c>
      <c r="G49" s="366">
        <v>81897710017</v>
      </c>
      <c r="H49" s="362">
        <v>983.50434782608704</v>
      </c>
      <c r="I49" s="362">
        <f t="shared" si="0"/>
        <v>983.50434782608704</v>
      </c>
    </row>
    <row r="50" spans="1:9" x14ac:dyDescent="0.25">
      <c r="A50" s="303" t="s">
        <v>919</v>
      </c>
      <c r="B50" s="385">
        <v>1</v>
      </c>
      <c r="C50" s="415" t="s">
        <v>752</v>
      </c>
      <c r="D50" s="416" t="s">
        <v>10</v>
      </c>
      <c r="E50" s="361" t="s">
        <v>2286</v>
      </c>
      <c r="F50" s="360" t="s">
        <v>1922</v>
      </c>
      <c r="G50" s="366">
        <v>81897710001</v>
      </c>
      <c r="H50" s="362">
        <v>729.66326086956531</v>
      </c>
      <c r="I50" s="362">
        <f t="shared" si="0"/>
        <v>729.66326086956531</v>
      </c>
    </row>
    <row r="51" spans="1:9" x14ac:dyDescent="0.25">
      <c r="A51" s="303" t="s">
        <v>922</v>
      </c>
      <c r="B51" s="385">
        <v>1</v>
      </c>
      <c r="C51" s="418">
        <v>629820</v>
      </c>
      <c r="D51" s="416" t="s">
        <v>162</v>
      </c>
      <c r="E51" s="361" t="s">
        <v>2485</v>
      </c>
      <c r="F51" s="440" t="s">
        <v>2142</v>
      </c>
      <c r="G51" s="366">
        <v>81897710012</v>
      </c>
      <c r="H51" s="362">
        <v>915.95960869565215</v>
      </c>
      <c r="I51" s="362">
        <f t="shared" si="0"/>
        <v>915.95960869565215</v>
      </c>
    </row>
    <row r="52" spans="1:9" x14ac:dyDescent="0.25">
      <c r="A52" s="420" t="s">
        <v>933</v>
      </c>
      <c r="B52" s="386">
        <v>1</v>
      </c>
      <c r="C52" s="421">
        <v>513200</v>
      </c>
      <c r="D52" s="422" t="s">
        <v>162</v>
      </c>
      <c r="E52" s="361" t="s">
        <v>933</v>
      </c>
      <c r="F52" s="441" t="s">
        <v>2141</v>
      </c>
      <c r="G52" s="366">
        <v>80476380011</v>
      </c>
      <c r="H52" s="362">
        <v>815.21739130434787</v>
      </c>
      <c r="I52" s="362">
        <f t="shared" si="0"/>
        <v>815.21739130434787</v>
      </c>
    </row>
    <row r="53" spans="1:9" x14ac:dyDescent="0.25">
      <c r="A53" s="420" t="s">
        <v>926</v>
      </c>
      <c r="B53" s="386">
        <v>1</v>
      </c>
      <c r="C53" s="434" t="s">
        <v>927</v>
      </c>
      <c r="D53" s="422" t="s">
        <v>10</v>
      </c>
      <c r="E53" s="361" t="s">
        <v>2302</v>
      </c>
      <c r="F53" s="363" t="s">
        <v>1956</v>
      </c>
      <c r="G53" s="366">
        <v>81897710017</v>
      </c>
      <c r="H53" s="362">
        <v>126.74739130434781</v>
      </c>
      <c r="I53" s="362">
        <f t="shared" si="0"/>
        <v>126.74739130434781</v>
      </c>
    </row>
    <row r="54" spans="1:9" x14ac:dyDescent="0.25">
      <c r="A54" s="420" t="s">
        <v>929</v>
      </c>
      <c r="B54" s="363">
        <v>1</v>
      </c>
      <c r="C54" s="438" t="s">
        <v>913</v>
      </c>
      <c r="D54" s="422" t="s">
        <v>162</v>
      </c>
      <c r="E54" s="361" t="s">
        <v>2486</v>
      </c>
      <c r="F54" s="363" t="s">
        <v>2172</v>
      </c>
      <c r="G54" s="366">
        <v>81897710011</v>
      </c>
      <c r="H54" s="362">
        <v>950.03595652173919</v>
      </c>
      <c r="I54" s="362">
        <f t="shared" si="0"/>
        <v>950.03595652173919</v>
      </c>
    </row>
    <row r="55" spans="1:9" x14ac:dyDescent="0.25">
      <c r="A55" s="420" t="s">
        <v>930</v>
      </c>
      <c r="B55" s="363">
        <v>1</v>
      </c>
      <c r="C55" s="434" t="s">
        <v>931</v>
      </c>
      <c r="D55" s="422" t="s">
        <v>162</v>
      </c>
      <c r="E55" s="361" t="s">
        <v>930</v>
      </c>
      <c r="F55" s="363" t="s">
        <v>2161</v>
      </c>
      <c r="G55" s="366" t="e">
        <v>#N/A</v>
      </c>
      <c r="H55" s="362">
        <v>0</v>
      </c>
      <c r="I55" s="362">
        <f t="shared" si="0"/>
        <v>0</v>
      </c>
    </row>
    <row r="56" spans="1:9" x14ac:dyDescent="0.25">
      <c r="A56" s="442" t="s">
        <v>716</v>
      </c>
      <c r="B56" s="443">
        <v>1</v>
      </c>
      <c r="C56" s="444" t="s">
        <v>119</v>
      </c>
      <c r="D56" s="422" t="s">
        <v>10</v>
      </c>
      <c r="E56" s="361" t="s">
        <v>2299</v>
      </c>
      <c r="F56" s="372" t="s">
        <v>1954</v>
      </c>
      <c r="G56" s="366">
        <v>81897710017</v>
      </c>
      <c r="H56" s="362">
        <v>83.805652173913046</v>
      </c>
      <c r="I56" s="362">
        <f t="shared" si="0"/>
        <v>83.805652173913046</v>
      </c>
    </row>
    <row r="57" spans="1:9" x14ac:dyDescent="0.25">
      <c r="A57" s="445" t="s">
        <v>717</v>
      </c>
      <c r="B57" s="363">
        <v>1</v>
      </c>
      <c r="C57" s="446" t="s">
        <v>121</v>
      </c>
      <c r="D57" s="422" t="s">
        <v>10</v>
      </c>
      <c r="E57" s="361" t="s">
        <v>2300</v>
      </c>
      <c r="F57" s="372" t="s">
        <v>1961</v>
      </c>
      <c r="G57" s="366">
        <v>81897710017</v>
      </c>
      <c r="H57" s="362">
        <v>81.035217391304343</v>
      </c>
      <c r="I57" s="362">
        <f t="shared" si="0"/>
        <v>81.035217391304343</v>
      </c>
    </row>
    <row r="58" spans="1:9" x14ac:dyDescent="0.25">
      <c r="A58" s="445" t="s">
        <v>928</v>
      </c>
      <c r="B58" s="363">
        <v>1</v>
      </c>
      <c r="C58" s="447" t="s">
        <v>857</v>
      </c>
      <c r="D58" s="422" t="s">
        <v>10</v>
      </c>
      <c r="E58" s="361" t="s">
        <v>2303</v>
      </c>
      <c r="F58" s="372" t="s">
        <v>1965</v>
      </c>
      <c r="G58" s="366">
        <v>81897710017</v>
      </c>
      <c r="H58" s="362">
        <v>121.55282608695654</v>
      </c>
      <c r="I58" s="362">
        <f t="shared" si="0"/>
        <v>121.55282608695654</v>
      </c>
    </row>
    <row r="59" spans="1:9" x14ac:dyDescent="0.25">
      <c r="A59" s="448" t="s">
        <v>968</v>
      </c>
      <c r="B59" s="449">
        <v>1</v>
      </c>
      <c r="C59" s="450">
        <v>449201</v>
      </c>
      <c r="D59" s="428" t="s">
        <v>162</v>
      </c>
      <c r="E59" s="361" t="s">
        <v>2487</v>
      </c>
      <c r="F59" s="363" t="s">
        <v>2173</v>
      </c>
      <c r="G59" s="366">
        <v>81897710011</v>
      </c>
      <c r="H59" s="362">
        <v>8283.0766956521747</v>
      </c>
      <c r="I59" s="362">
        <f t="shared" si="0"/>
        <v>8283.0766956521747</v>
      </c>
    </row>
    <row r="60" spans="1:9" x14ac:dyDescent="0.25">
      <c r="A60" s="22" t="s">
        <v>304</v>
      </c>
      <c r="B60" s="14">
        <f>SUM(B2:B59)</f>
        <v>63</v>
      </c>
      <c r="I60" s="324">
        <f>SUM(I2:I59)</f>
        <v>103969.36265217394</v>
      </c>
    </row>
  </sheetData>
  <sortState xmlns:xlrd2="http://schemas.microsoft.com/office/spreadsheetml/2017/richdata2" ref="A2:D60">
    <sortCondition ref="A1:A60"/>
  </sortState>
  <phoneticPr fontId="27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41C8C-93B8-40A6-985B-74080CB00A33}">
  <sheetPr codeName="Planilha28">
    <tabColor rgb="FFFF0000"/>
  </sheetPr>
  <dimension ref="A1:H29"/>
  <sheetViews>
    <sheetView workbookViewId="0">
      <pane ySplit="1" topLeftCell="A5" activePane="bottomLeft" state="frozen"/>
      <selection activeCell="A53" sqref="A53"/>
      <selection pane="bottomLeft" activeCell="A53" sqref="A53"/>
    </sheetView>
  </sheetViews>
  <sheetFormatPr defaultRowHeight="15" x14ac:dyDescent="0.25"/>
  <cols>
    <col min="1" max="1" width="48.85546875" customWidth="1"/>
    <col min="2" max="2" width="24.140625" customWidth="1"/>
    <col min="3" max="3" width="16.5703125" customWidth="1"/>
    <col min="4" max="4" width="21.42578125" customWidth="1"/>
  </cols>
  <sheetData>
    <row r="1" spans="1:8" ht="15.75" x14ac:dyDescent="0.25">
      <c r="A1" s="90" t="s">
        <v>0</v>
      </c>
      <c r="B1" s="91" t="s">
        <v>305</v>
      </c>
      <c r="C1" s="116" t="s">
        <v>360</v>
      </c>
      <c r="D1" s="197" t="s">
        <v>1721</v>
      </c>
      <c r="E1" s="194" t="s">
        <v>1723</v>
      </c>
      <c r="F1" s="194" t="s">
        <v>1724</v>
      </c>
      <c r="G1" s="194" t="s">
        <v>1722</v>
      </c>
      <c r="H1" s="194" t="s">
        <v>1725</v>
      </c>
    </row>
    <row r="2" spans="1:8" x14ac:dyDescent="0.25">
      <c r="A2" s="18" t="s">
        <v>975</v>
      </c>
      <c r="B2" s="100">
        <v>1</v>
      </c>
      <c r="C2" s="46">
        <v>662250</v>
      </c>
      <c r="D2" s="99" t="s">
        <v>501</v>
      </c>
      <c r="E2" s="195"/>
      <c r="F2" s="195"/>
      <c r="G2" s="195"/>
      <c r="H2" s="195"/>
    </row>
    <row r="3" spans="1:8" x14ac:dyDescent="0.25">
      <c r="A3" s="98" t="s">
        <v>976</v>
      </c>
      <c r="B3" s="101">
        <v>2</v>
      </c>
      <c r="C3" s="118" t="s">
        <v>977</v>
      </c>
      <c r="D3" s="99" t="s">
        <v>162</v>
      </c>
      <c r="E3" s="195"/>
      <c r="F3" s="195"/>
      <c r="G3" s="195"/>
      <c r="H3" s="195"/>
    </row>
    <row r="4" spans="1:8" x14ac:dyDescent="0.25">
      <c r="A4" s="20" t="s">
        <v>978</v>
      </c>
      <c r="B4" s="102">
        <v>4</v>
      </c>
      <c r="C4" s="212" t="s">
        <v>979</v>
      </c>
      <c r="D4" s="99" t="s">
        <v>162</v>
      </c>
      <c r="E4" s="195"/>
      <c r="F4" s="195"/>
      <c r="G4" s="195"/>
      <c r="H4" s="195"/>
    </row>
    <row r="5" spans="1:8" x14ac:dyDescent="0.25">
      <c r="A5" s="3" t="s">
        <v>980</v>
      </c>
      <c r="B5" s="41">
        <v>1</v>
      </c>
      <c r="C5" s="173" t="s">
        <v>981</v>
      </c>
      <c r="D5" s="99" t="s">
        <v>162</v>
      </c>
      <c r="E5" s="195"/>
      <c r="F5" s="195"/>
      <c r="G5" s="195"/>
      <c r="H5" s="195"/>
    </row>
    <row r="6" spans="1:8" x14ac:dyDescent="0.25">
      <c r="A6" s="3" t="s">
        <v>982</v>
      </c>
      <c r="B6" s="41">
        <v>1</v>
      </c>
      <c r="C6" s="153" t="s">
        <v>983</v>
      </c>
      <c r="D6" s="99" t="s">
        <v>162</v>
      </c>
      <c r="E6" s="195"/>
      <c r="F6" s="195"/>
      <c r="G6" s="195"/>
      <c r="H6" s="195"/>
    </row>
    <row r="7" spans="1:8" x14ac:dyDescent="0.25">
      <c r="A7" s="3" t="s">
        <v>984</v>
      </c>
      <c r="B7" s="41">
        <v>2</v>
      </c>
      <c r="C7" s="153" t="s">
        <v>985</v>
      </c>
      <c r="D7" s="99" t="s">
        <v>162</v>
      </c>
      <c r="E7" s="195"/>
      <c r="F7" s="195"/>
      <c r="G7" s="195"/>
      <c r="H7" s="195"/>
    </row>
    <row r="8" spans="1:8" x14ac:dyDescent="0.25">
      <c r="A8" s="3" t="s">
        <v>986</v>
      </c>
      <c r="B8" s="41">
        <v>2</v>
      </c>
      <c r="C8" s="153" t="s">
        <v>987</v>
      </c>
      <c r="D8" s="99" t="s">
        <v>162</v>
      </c>
      <c r="E8" s="195"/>
      <c r="F8" s="195"/>
      <c r="G8" s="195"/>
      <c r="H8" s="195"/>
    </row>
    <row r="9" spans="1:8" x14ac:dyDescent="0.25">
      <c r="A9" s="128" t="s">
        <v>988</v>
      </c>
      <c r="B9" s="129">
        <v>1</v>
      </c>
      <c r="C9" s="213" t="s">
        <v>989</v>
      </c>
      <c r="D9" s="64" t="s">
        <v>162</v>
      </c>
      <c r="E9" s="195"/>
      <c r="F9" s="195"/>
      <c r="G9" s="195"/>
      <c r="H9" s="195"/>
    </row>
    <row r="10" spans="1:8" x14ac:dyDescent="0.25">
      <c r="A10" s="103" t="s">
        <v>990</v>
      </c>
      <c r="B10" s="61">
        <v>2</v>
      </c>
      <c r="C10" s="182" t="s">
        <v>991</v>
      </c>
      <c r="D10" s="214" t="s">
        <v>162</v>
      </c>
      <c r="E10" s="195"/>
      <c r="F10" s="195"/>
      <c r="G10" s="195"/>
      <c r="H10" s="195"/>
    </row>
    <row r="11" spans="1:8" x14ac:dyDescent="0.25">
      <c r="A11" s="3" t="s">
        <v>992</v>
      </c>
      <c r="B11" s="41">
        <v>4</v>
      </c>
      <c r="C11" s="181" t="s">
        <v>993</v>
      </c>
      <c r="D11" s="99" t="s">
        <v>162</v>
      </c>
      <c r="E11" s="195"/>
      <c r="F11" s="195"/>
      <c r="G11" s="195"/>
      <c r="H11" s="195"/>
    </row>
    <row r="12" spans="1:8" x14ac:dyDescent="0.25">
      <c r="A12" s="3" t="s">
        <v>994</v>
      </c>
      <c r="B12" s="41">
        <v>4</v>
      </c>
      <c r="C12" s="153" t="s">
        <v>995</v>
      </c>
      <c r="D12" s="99" t="s">
        <v>162</v>
      </c>
      <c r="E12" s="195"/>
      <c r="F12" s="195"/>
      <c r="G12" s="195"/>
      <c r="H12" s="195"/>
    </row>
    <row r="13" spans="1:8" x14ac:dyDescent="0.25">
      <c r="A13" s="3" t="s">
        <v>996</v>
      </c>
      <c r="B13" s="41">
        <v>1</v>
      </c>
      <c r="C13" s="153" t="s">
        <v>997</v>
      </c>
      <c r="D13" s="99" t="s">
        <v>162</v>
      </c>
      <c r="E13" s="195"/>
      <c r="F13" s="195"/>
      <c r="G13" s="195"/>
      <c r="H13" s="195"/>
    </row>
    <row r="14" spans="1:8" x14ac:dyDescent="0.25">
      <c r="A14" s="56" t="s">
        <v>998</v>
      </c>
      <c r="B14" s="61">
        <v>1</v>
      </c>
      <c r="C14" s="174" t="s">
        <v>999</v>
      </c>
      <c r="D14" s="64" t="s">
        <v>162</v>
      </c>
      <c r="E14" s="195"/>
      <c r="F14" s="195"/>
      <c r="G14" s="195"/>
      <c r="H14" s="195"/>
    </row>
    <row r="15" spans="1:8" x14ac:dyDescent="0.25">
      <c r="A15" s="3" t="s">
        <v>1000</v>
      </c>
      <c r="B15" s="41">
        <v>2</v>
      </c>
      <c r="C15" s="153" t="s">
        <v>1001</v>
      </c>
      <c r="D15" s="99" t="s">
        <v>162</v>
      </c>
      <c r="E15" s="195"/>
      <c r="F15" s="195"/>
      <c r="G15" s="195"/>
      <c r="H15" s="195"/>
    </row>
    <row r="16" spans="1:8" x14ac:dyDescent="0.25">
      <c r="A16" s="3" t="s">
        <v>1002</v>
      </c>
      <c r="B16" s="41">
        <v>1</v>
      </c>
      <c r="C16" s="153" t="s">
        <v>1003</v>
      </c>
      <c r="D16" s="99" t="s">
        <v>162</v>
      </c>
      <c r="E16" s="195"/>
      <c r="F16" s="195"/>
      <c r="G16" s="195"/>
      <c r="H16" s="195"/>
    </row>
    <row r="17" spans="1:8" x14ac:dyDescent="0.25">
      <c r="A17" s="56" t="s">
        <v>1004</v>
      </c>
      <c r="B17" s="61">
        <v>1</v>
      </c>
      <c r="C17" s="174" t="s">
        <v>1005</v>
      </c>
      <c r="D17" s="64" t="s">
        <v>162</v>
      </c>
      <c r="E17" s="195"/>
      <c r="F17" s="195"/>
      <c r="G17" s="195"/>
      <c r="H17" s="195"/>
    </row>
    <row r="18" spans="1:8" x14ac:dyDescent="0.25">
      <c r="A18" s="3" t="s">
        <v>1006</v>
      </c>
      <c r="B18" s="41">
        <v>1</v>
      </c>
      <c r="C18" s="153" t="s">
        <v>1007</v>
      </c>
      <c r="D18" s="99" t="s">
        <v>162</v>
      </c>
      <c r="E18" s="195"/>
      <c r="F18" s="195"/>
      <c r="G18" s="195"/>
      <c r="H18" s="195"/>
    </row>
    <row r="19" spans="1:8" x14ac:dyDescent="0.25">
      <c r="A19" s="3" t="s">
        <v>1008</v>
      </c>
      <c r="B19" s="41">
        <v>1</v>
      </c>
      <c r="C19" s="153" t="s">
        <v>1009</v>
      </c>
      <c r="D19" s="99" t="s">
        <v>162</v>
      </c>
      <c r="E19" s="195"/>
      <c r="F19" s="195"/>
      <c r="G19" s="195"/>
      <c r="H19" s="195"/>
    </row>
    <row r="20" spans="1:8" x14ac:dyDescent="0.25">
      <c r="A20" s="56" t="s">
        <v>1010</v>
      </c>
      <c r="B20" s="61">
        <v>1</v>
      </c>
      <c r="C20" s="182" t="s">
        <v>1011</v>
      </c>
      <c r="D20" s="214" t="s">
        <v>162</v>
      </c>
      <c r="E20" s="195"/>
      <c r="F20" s="195"/>
      <c r="G20" s="195"/>
      <c r="H20" s="195"/>
    </row>
    <row r="21" spans="1:8" x14ac:dyDescent="0.25">
      <c r="A21" s="3" t="s">
        <v>1012</v>
      </c>
      <c r="B21" s="41">
        <v>1</v>
      </c>
      <c r="C21" s="153" t="s">
        <v>1013</v>
      </c>
      <c r="D21" s="99" t="s">
        <v>162</v>
      </c>
      <c r="E21" s="195"/>
      <c r="F21" s="195"/>
      <c r="G21" s="195"/>
      <c r="H21" s="195"/>
    </row>
    <row r="22" spans="1:8" x14ac:dyDescent="0.25">
      <c r="A22" s="3" t="s">
        <v>1014</v>
      </c>
      <c r="B22" s="41">
        <v>1</v>
      </c>
      <c r="C22" s="153" t="s">
        <v>1015</v>
      </c>
      <c r="D22" s="99" t="s">
        <v>162</v>
      </c>
      <c r="E22" s="195"/>
      <c r="F22" s="195"/>
      <c r="G22" s="195"/>
      <c r="H22" s="195"/>
    </row>
    <row r="23" spans="1:8" x14ac:dyDescent="0.25">
      <c r="A23" s="56" t="s">
        <v>1016</v>
      </c>
      <c r="B23" s="61">
        <v>1</v>
      </c>
      <c r="C23" s="174">
        <v>33133</v>
      </c>
      <c r="D23" s="64" t="s">
        <v>162</v>
      </c>
      <c r="E23" s="195"/>
      <c r="F23" s="195"/>
      <c r="G23" s="195"/>
      <c r="H23" s="195"/>
    </row>
    <row r="24" spans="1:8" x14ac:dyDescent="0.25">
      <c r="A24" s="56" t="s">
        <v>1017</v>
      </c>
      <c r="B24" s="61">
        <v>5</v>
      </c>
      <c r="C24" s="174">
        <v>33123</v>
      </c>
      <c r="D24" s="64" t="s">
        <v>162</v>
      </c>
      <c r="E24" s="195"/>
      <c r="F24" s="195"/>
      <c r="G24" s="195"/>
      <c r="H24" s="195"/>
    </row>
    <row r="25" spans="1:8" x14ac:dyDescent="0.25">
      <c r="A25" s="56" t="s">
        <v>1018</v>
      </c>
      <c r="B25" s="61">
        <v>6</v>
      </c>
      <c r="C25" s="174">
        <v>33121</v>
      </c>
      <c r="D25" s="64" t="s">
        <v>162</v>
      </c>
      <c r="E25" s="195"/>
      <c r="F25" s="195"/>
      <c r="G25" s="195"/>
      <c r="H25" s="195"/>
    </row>
    <row r="26" spans="1:8" x14ac:dyDescent="0.25">
      <c r="A26" s="56" t="s">
        <v>1019</v>
      </c>
      <c r="B26" s="61">
        <v>11</v>
      </c>
      <c r="C26" s="174">
        <v>33500</v>
      </c>
      <c r="D26" s="64" t="s">
        <v>162</v>
      </c>
      <c r="E26" s="195"/>
      <c r="F26" s="195"/>
      <c r="G26" s="195"/>
      <c r="H26" s="195"/>
    </row>
    <row r="27" spans="1:8" x14ac:dyDescent="0.25">
      <c r="A27" s="3" t="s">
        <v>1020</v>
      </c>
      <c r="B27" s="41">
        <v>1</v>
      </c>
      <c r="C27" s="153">
        <v>33300</v>
      </c>
      <c r="D27" s="99" t="s">
        <v>162</v>
      </c>
      <c r="E27" s="195"/>
      <c r="F27" s="195"/>
      <c r="G27" s="195"/>
      <c r="H27" s="195"/>
    </row>
    <row r="28" spans="1:8" x14ac:dyDescent="0.25">
      <c r="A28" s="3" t="s">
        <v>1021</v>
      </c>
      <c r="B28" s="41">
        <v>1</v>
      </c>
      <c r="C28" s="153" t="s">
        <v>1022</v>
      </c>
      <c r="D28" s="99" t="s">
        <v>162</v>
      </c>
      <c r="E28" s="195"/>
      <c r="F28" s="195"/>
      <c r="G28" s="195"/>
      <c r="H28" s="195"/>
    </row>
    <row r="29" spans="1:8" x14ac:dyDescent="0.25">
      <c r="A29" s="3" t="s">
        <v>1023</v>
      </c>
      <c r="B29" s="41">
        <v>1</v>
      </c>
      <c r="C29" s="153" t="s">
        <v>1024</v>
      </c>
      <c r="D29" s="99" t="s">
        <v>162</v>
      </c>
      <c r="E29" s="195"/>
      <c r="F29" s="195"/>
      <c r="G29" s="195"/>
      <c r="H29" s="195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ECDB3-0226-4C5D-8C1E-D8DBEE7A62F4}">
  <sheetPr codeName="Planilha29">
    <tabColor rgb="FF92D050"/>
  </sheetPr>
  <dimension ref="A1:I16"/>
  <sheetViews>
    <sheetView workbookViewId="0">
      <pane ySplit="1" topLeftCell="A2" activePane="bottomLeft" state="frozen"/>
      <selection activeCell="A53" sqref="A53"/>
      <selection pane="bottomLeft" activeCell="E18" sqref="E18"/>
    </sheetView>
  </sheetViews>
  <sheetFormatPr defaultRowHeight="15" x14ac:dyDescent="0.25"/>
  <cols>
    <col min="1" max="1" width="36.5703125" bestFit="1" customWidth="1"/>
    <col min="2" max="2" width="6" customWidth="1"/>
    <col min="3" max="3" width="16" customWidth="1"/>
    <col min="4" max="4" width="19.85546875" customWidth="1"/>
    <col min="5" max="5" width="31.42578125" customWidth="1"/>
    <col min="6" max="6" width="12.85546875" style="348" customWidth="1"/>
    <col min="7" max="7" width="14.42578125" style="40" customWidth="1"/>
    <col min="8" max="8" width="13.140625" style="324" customWidth="1"/>
    <col min="9" max="9" width="14.42578125" style="40" customWidth="1"/>
  </cols>
  <sheetData>
    <row r="1" spans="1:9" ht="63" x14ac:dyDescent="0.25">
      <c r="A1" s="84" t="s">
        <v>0</v>
      </c>
      <c r="B1" s="42" t="s">
        <v>305</v>
      </c>
      <c r="C1" s="86" t="s">
        <v>360</v>
      </c>
      <c r="D1" s="197" t="s">
        <v>1721</v>
      </c>
      <c r="E1" s="194" t="s">
        <v>1723</v>
      </c>
      <c r="F1" s="472" t="s">
        <v>1724</v>
      </c>
      <c r="G1" s="194" t="s">
        <v>1722</v>
      </c>
      <c r="H1" s="321" t="s">
        <v>1725</v>
      </c>
      <c r="I1" s="321" t="s">
        <v>2317</v>
      </c>
    </row>
    <row r="2" spans="1:9" x14ac:dyDescent="0.25">
      <c r="A2" s="410" t="s">
        <v>481</v>
      </c>
      <c r="B2" s="41">
        <v>1</v>
      </c>
      <c r="C2" s="207">
        <v>662550</v>
      </c>
      <c r="D2" s="99" t="s">
        <v>501</v>
      </c>
      <c r="E2" s="195" t="s">
        <v>2653</v>
      </c>
      <c r="F2" s="325" t="s">
        <v>2322</v>
      </c>
      <c r="G2" s="308" t="s">
        <v>2336</v>
      </c>
      <c r="H2" s="322">
        <v>2378.3413043478263</v>
      </c>
      <c r="I2" s="400">
        <f>H2*B2</f>
        <v>2378.3413043478263</v>
      </c>
    </row>
    <row r="3" spans="1:9" x14ac:dyDescent="0.25">
      <c r="A3" s="410" t="s">
        <v>704</v>
      </c>
      <c r="B3" s="80">
        <v>1</v>
      </c>
      <c r="C3" s="79" t="s">
        <v>33</v>
      </c>
      <c r="D3" s="183" t="s">
        <v>8</v>
      </c>
      <c r="E3" s="195" t="s">
        <v>2248</v>
      </c>
      <c r="F3" s="345" t="s">
        <v>1730</v>
      </c>
      <c r="G3" s="308">
        <v>81897710023</v>
      </c>
      <c r="H3" s="322">
        <v>90.385434782608684</v>
      </c>
      <c r="I3" s="400">
        <f t="shared" ref="I3:I15" si="0">H3*B3</f>
        <v>90.385434782608684</v>
      </c>
    </row>
    <row r="4" spans="1:9" x14ac:dyDescent="0.25">
      <c r="A4" s="410" t="s">
        <v>306</v>
      </c>
      <c r="B4" s="80">
        <v>2</v>
      </c>
      <c r="C4" s="79">
        <v>971</v>
      </c>
      <c r="D4" s="183" t="s">
        <v>4</v>
      </c>
      <c r="E4" s="195" t="s">
        <v>2257</v>
      </c>
      <c r="F4" s="271" t="s">
        <v>1862</v>
      </c>
      <c r="G4" s="308">
        <v>81897710001</v>
      </c>
      <c r="H4" s="322">
        <v>305.9021739130435</v>
      </c>
      <c r="I4" s="400">
        <f t="shared" si="0"/>
        <v>611.804347826087</v>
      </c>
    </row>
    <row r="5" spans="1:9" x14ac:dyDescent="0.25">
      <c r="A5" s="410" t="s">
        <v>308</v>
      </c>
      <c r="B5" s="80">
        <v>2</v>
      </c>
      <c r="C5" s="79">
        <v>957</v>
      </c>
      <c r="D5" s="183" t="s">
        <v>4</v>
      </c>
      <c r="E5" s="195" t="s">
        <v>2258</v>
      </c>
      <c r="F5" s="346" t="s">
        <v>1861</v>
      </c>
      <c r="G5" s="308">
        <v>81897710001</v>
      </c>
      <c r="H5" s="322">
        <v>145.7941304347826</v>
      </c>
      <c r="I5" s="400">
        <f t="shared" si="0"/>
        <v>291.5882608695652</v>
      </c>
    </row>
    <row r="6" spans="1:9" x14ac:dyDescent="0.25">
      <c r="A6" s="410" t="s">
        <v>1027</v>
      </c>
      <c r="B6" s="41">
        <v>1</v>
      </c>
      <c r="C6" s="46" t="s">
        <v>1028</v>
      </c>
      <c r="D6" s="99" t="s">
        <v>8</v>
      </c>
      <c r="E6" s="195" t="s">
        <v>1027</v>
      </c>
      <c r="F6" s="331" t="s">
        <v>2074</v>
      </c>
      <c r="G6" s="308">
        <v>80476380011</v>
      </c>
      <c r="H6" s="322">
        <v>1467.391304347826</v>
      </c>
      <c r="I6" s="400">
        <f t="shared" si="0"/>
        <v>1467.391304347826</v>
      </c>
    </row>
    <row r="7" spans="1:9" ht="27" x14ac:dyDescent="0.25">
      <c r="A7" s="414" t="s">
        <v>1029</v>
      </c>
      <c r="B7" s="61">
        <v>1</v>
      </c>
      <c r="C7" s="46" t="s">
        <v>1030</v>
      </c>
      <c r="D7" s="99" t="s">
        <v>8</v>
      </c>
      <c r="E7" s="195" t="s">
        <v>1029</v>
      </c>
      <c r="F7" s="341" t="s">
        <v>2075</v>
      </c>
      <c r="G7" s="308" t="e">
        <v>#N/A</v>
      </c>
      <c r="H7" s="322">
        <v>0</v>
      </c>
      <c r="I7" s="400">
        <f t="shared" si="0"/>
        <v>0</v>
      </c>
    </row>
    <row r="8" spans="1:9" x14ac:dyDescent="0.25">
      <c r="A8" s="410" t="s">
        <v>1031</v>
      </c>
      <c r="B8" s="41">
        <v>1</v>
      </c>
      <c r="C8" s="46" t="s">
        <v>1032</v>
      </c>
      <c r="D8" s="99" t="s">
        <v>8</v>
      </c>
      <c r="E8" s="195" t="s">
        <v>2488</v>
      </c>
      <c r="F8" s="271" t="s">
        <v>1903</v>
      </c>
      <c r="G8" s="308">
        <v>81897710023</v>
      </c>
      <c r="H8" s="322">
        <v>344.22652173913048</v>
      </c>
      <c r="I8" s="400">
        <f t="shared" si="0"/>
        <v>344.22652173913048</v>
      </c>
    </row>
    <row r="9" spans="1:9" x14ac:dyDescent="0.25">
      <c r="A9" s="410" t="s">
        <v>615</v>
      </c>
      <c r="B9" s="41">
        <v>2</v>
      </c>
      <c r="C9" s="46" t="s">
        <v>24</v>
      </c>
      <c r="D9" s="99" t="s">
        <v>8</v>
      </c>
      <c r="E9" s="195" t="s">
        <v>2243</v>
      </c>
      <c r="F9" s="271" t="s">
        <v>1844</v>
      </c>
      <c r="G9" s="308">
        <v>81897710001</v>
      </c>
      <c r="H9" s="322">
        <v>111.8563043478261</v>
      </c>
      <c r="I9" s="400">
        <f t="shared" si="0"/>
        <v>223.71260869565219</v>
      </c>
    </row>
    <row r="10" spans="1:9" x14ac:dyDescent="0.25">
      <c r="A10" s="3" t="s">
        <v>1033</v>
      </c>
      <c r="B10" s="41">
        <v>2</v>
      </c>
      <c r="C10" s="46" t="s">
        <v>26</v>
      </c>
      <c r="D10" s="99" t="s">
        <v>8</v>
      </c>
      <c r="E10" s="195" t="s">
        <v>2244</v>
      </c>
      <c r="F10" s="347" t="s">
        <v>1845</v>
      </c>
      <c r="G10" s="308">
        <v>81897710001</v>
      </c>
      <c r="H10" s="322">
        <v>109.08586956521739</v>
      </c>
      <c r="I10" s="400">
        <f t="shared" si="0"/>
        <v>218.17173913043479</v>
      </c>
    </row>
    <row r="11" spans="1:9" x14ac:dyDescent="0.25">
      <c r="A11" s="3" t="s">
        <v>1034</v>
      </c>
      <c r="B11" s="41">
        <v>1</v>
      </c>
      <c r="C11" s="46" t="s">
        <v>711</v>
      </c>
      <c r="D11" s="99" t="s">
        <v>8</v>
      </c>
      <c r="E11" s="195" t="s">
        <v>2489</v>
      </c>
      <c r="F11" s="271" t="s">
        <v>1909</v>
      </c>
      <c r="G11" s="308">
        <v>81897710001</v>
      </c>
      <c r="H11" s="322">
        <v>189.42847826086958</v>
      </c>
      <c r="I11" s="400">
        <f t="shared" si="0"/>
        <v>189.42847826086958</v>
      </c>
    </row>
    <row r="12" spans="1:9" x14ac:dyDescent="0.25">
      <c r="A12" s="3" t="s">
        <v>714</v>
      </c>
      <c r="B12" s="41">
        <v>1</v>
      </c>
      <c r="C12" s="46" t="s">
        <v>88</v>
      </c>
      <c r="D12" s="99" t="s">
        <v>8</v>
      </c>
      <c r="E12" s="195" t="s">
        <v>2286</v>
      </c>
      <c r="F12" s="315" t="s">
        <v>1922</v>
      </c>
      <c r="G12" s="308">
        <v>81897710001</v>
      </c>
      <c r="H12" s="322">
        <v>729.66326086956531</v>
      </c>
      <c r="I12" s="400">
        <f t="shared" si="0"/>
        <v>729.66326086956531</v>
      </c>
    </row>
    <row r="13" spans="1:9" x14ac:dyDescent="0.25">
      <c r="A13" s="45" t="s">
        <v>1025</v>
      </c>
      <c r="B13" s="80">
        <v>1</v>
      </c>
      <c r="C13" s="79" t="s">
        <v>667</v>
      </c>
      <c r="D13" s="183" t="s">
        <v>8</v>
      </c>
      <c r="E13" s="195" t="s">
        <v>2299</v>
      </c>
      <c r="F13" s="271" t="s">
        <v>1954</v>
      </c>
      <c r="G13" s="308">
        <v>81897710017</v>
      </c>
      <c r="H13" s="322">
        <v>83.805652173913046</v>
      </c>
      <c r="I13" s="400">
        <f t="shared" si="0"/>
        <v>83.805652173913046</v>
      </c>
    </row>
    <row r="14" spans="1:9" x14ac:dyDescent="0.25">
      <c r="A14" s="288" t="s">
        <v>1026</v>
      </c>
      <c r="B14" s="289">
        <v>1</v>
      </c>
      <c r="C14" s="290" t="s">
        <v>665</v>
      </c>
      <c r="D14" s="183" t="s">
        <v>8</v>
      </c>
      <c r="E14" s="195" t="s">
        <v>2300</v>
      </c>
      <c r="F14" s="271" t="s">
        <v>1961</v>
      </c>
      <c r="G14" s="308">
        <v>81897710017</v>
      </c>
      <c r="H14" s="322">
        <v>81.035217391304343</v>
      </c>
      <c r="I14" s="400">
        <f t="shared" si="0"/>
        <v>81.035217391304343</v>
      </c>
    </row>
    <row r="15" spans="1:9" ht="15.75" customHeight="1" x14ac:dyDescent="0.25">
      <c r="A15" s="104" t="s">
        <v>1035</v>
      </c>
      <c r="B15" s="105">
        <v>1</v>
      </c>
      <c r="C15" s="215" t="s">
        <v>662</v>
      </c>
      <c r="D15" s="99" t="s">
        <v>8</v>
      </c>
      <c r="E15" s="195" t="s">
        <v>2306</v>
      </c>
      <c r="F15" s="347" t="s">
        <v>1967</v>
      </c>
      <c r="G15" s="308">
        <v>81897710017</v>
      </c>
      <c r="H15" s="322">
        <v>157.91478260869562</v>
      </c>
      <c r="I15" s="400">
        <f t="shared" si="0"/>
        <v>157.91478260869562</v>
      </c>
    </row>
    <row r="16" spans="1:9" x14ac:dyDescent="0.25">
      <c r="I16" s="388">
        <f>SUM(I2:I15)</f>
        <v>6867.4689130434772</v>
      </c>
    </row>
  </sheetData>
  <sortState xmlns:xlrd2="http://schemas.microsoft.com/office/spreadsheetml/2017/richdata2" ref="A2:D15">
    <sortCondition ref="A1:A15"/>
  </sortState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CDDB7-52A8-40FA-AB33-09564910B8E1}">
  <sheetPr codeName="Planilha30">
    <tabColor rgb="FF92D050"/>
  </sheetPr>
  <dimension ref="A1:I32"/>
  <sheetViews>
    <sheetView workbookViewId="0">
      <pane ySplit="1" topLeftCell="A2" activePane="bottomLeft" state="frozen"/>
      <selection activeCell="A53" sqref="A53"/>
      <selection pane="bottomLeft" activeCell="E2" sqref="E2"/>
    </sheetView>
  </sheetViews>
  <sheetFormatPr defaultRowHeight="15" x14ac:dyDescent="0.25"/>
  <cols>
    <col min="1" max="1" width="30.28515625" customWidth="1"/>
    <col min="2" max="2" width="21.5703125" customWidth="1"/>
    <col min="3" max="3" width="15.85546875" customWidth="1"/>
    <col min="4" max="4" width="21.28515625" bestFit="1" customWidth="1"/>
    <col min="5" max="5" width="31.28515625" customWidth="1"/>
    <col min="6" max="6" width="12.5703125" style="40" bestFit="1" customWidth="1"/>
    <col min="7" max="7" width="13.85546875" style="40" customWidth="1"/>
    <col min="8" max="8" width="16.7109375" style="324" bestFit="1" customWidth="1"/>
    <col min="9" max="9" width="13.85546875" style="40" customWidth="1"/>
  </cols>
  <sheetData>
    <row r="1" spans="1:9" ht="15.75" x14ac:dyDescent="0.25">
      <c r="A1" s="84" t="s">
        <v>0</v>
      </c>
      <c r="B1" s="42" t="s">
        <v>305</v>
      </c>
      <c r="C1" s="95" t="s">
        <v>2</v>
      </c>
      <c r="D1" s="197" t="s">
        <v>1721</v>
      </c>
      <c r="E1" s="194" t="s">
        <v>1723</v>
      </c>
      <c r="F1" s="194" t="s">
        <v>1724</v>
      </c>
      <c r="G1" s="194" t="s">
        <v>1722</v>
      </c>
      <c r="H1" s="321" t="s">
        <v>1725</v>
      </c>
      <c r="I1" s="321" t="s">
        <v>2317</v>
      </c>
    </row>
    <row r="2" spans="1:9" x14ac:dyDescent="0.25">
      <c r="A2" s="420" t="s">
        <v>481</v>
      </c>
      <c r="B2" s="48">
        <v>1</v>
      </c>
      <c r="C2" s="107">
        <v>662550</v>
      </c>
      <c r="D2" s="214" t="s">
        <v>501</v>
      </c>
      <c r="E2" s="195" t="s">
        <v>2653</v>
      </c>
      <c r="F2" s="325" t="s">
        <v>2322</v>
      </c>
      <c r="G2" s="308" t="s">
        <v>2336</v>
      </c>
      <c r="H2" s="322">
        <v>2378.3413043478263</v>
      </c>
      <c r="I2" s="400">
        <f>H2*B2</f>
        <v>2378.3413043478263</v>
      </c>
    </row>
    <row r="3" spans="1:9" x14ac:dyDescent="0.25">
      <c r="A3" s="23" t="s">
        <v>1036</v>
      </c>
      <c r="B3" s="48">
        <v>1</v>
      </c>
      <c r="C3" s="108" t="s">
        <v>1037</v>
      </c>
      <c r="D3" s="214" t="s">
        <v>8</v>
      </c>
      <c r="E3" s="195" t="s">
        <v>2490</v>
      </c>
      <c r="F3" s="260" t="s">
        <v>1985</v>
      </c>
      <c r="G3" s="308">
        <v>81897710023</v>
      </c>
      <c r="H3" s="322">
        <v>164.14826086956523</v>
      </c>
      <c r="I3" s="400">
        <f t="shared" ref="I3:I31" si="0">H3*B3</f>
        <v>164.14826086956523</v>
      </c>
    </row>
    <row r="4" spans="1:9" x14ac:dyDescent="0.25">
      <c r="A4" s="23" t="s">
        <v>1038</v>
      </c>
      <c r="B4" s="48">
        <v>1</v>
      </c>
      <c r="C4" s="108" t="s">
        <v>1039</v>
      </c>
      <c r="D4" s="214" t="s">
        <v>8</v>
      </c>
      <c r="E4" s="195" t="s">
        <v>2491</v>
      </c>
      <c r="F4" s="260" t="s">
        <v>1995</v>
      </c>
      <c r="G4" s="308">
        <v>81897710023</v>
      </c>
      <c r="H4" s="322">
        <v>164.14826086956523</v>
      </c>
      <c r="I4" s="400">
        <f t="shared" si="0"/>
        <v>164.14826086956523</v>
      </c>
    </row>
    <row r="5" spans="1:9" x14ac:dyDescent="0.25">
      <c r="A5" s="23" t="s">
        <v>1040</v>
      </c>
      <c r="B5" s="48">
        <v>1</v>
      </c>
      <c r="C5" s="108" t="s">
        <v>1041</v>
      </c>
      <c r="D5" s="214" t="s">
        <v>8</v>
      </c>
      <c r="E5" s="195" t="s">
        <v>2492</v>
      </c>
      <c r="F5" s="260" t="s">
        <v>1987</v>
      </c>
      <c r="G5" s="308">
        <v>81897710023</v>
      </c>
      <c r="H5" s="322">
        <v>164.14826086956523</v>
      </c>
      <c r="I5" s="400">
        <f t="shared" si="0"/>
        <v>164.14826086956523</v>
      </c>
    </row>
    <row r="6" spans="1:9" x14ac:dyDescent="0.25">
      <c r="A6" s="23" t="s">
        <v>1042</v>
      </c>
      <c r="B6" s="48">
        <v>1</v>
      </c>
      <c r="C6" s="108" t="s">
        <v>1043</v>
      </c>
      <c r="D6" s="214" t="s">
        <v>8</v>
      </c>
      <c r="E6" s="195" t="s">
        <v>2493</v>
      </c>
      <c r="F6" s="260" t="s">
        <v>1997</v>
      </c>
      <c r="G6" s="308">
        <v>81897710023</v>
      </c>
      <c r="H6" s="322">
        <v>164.14826086956523</v>
      </c>
      <c r="I6" s="400">
        <f t="shared" si="0"/>
        <v>164.14826086956523</v>
      </c>
    </row>
    <row r="7" spans="1:9" x14ac:dyDescent="0.25">
      <c r="A7" s="23" t="s">
        <v>1044</v>
      </c>
      <c r="B7" s="48">
        <v>1</v>
      </c>
      <c r="C7" s="108" t="s">
        <v>1045</v>
      </c>
      <c r="D7" s="214" t="s">
        <v>8</v>
      </c>
      <c r="E7" s="195" t="s">
        <v>2494</v>
      </c>
      <c r="F7" s="260" t="s">
        <v>1988</v>
      </c>
      <c r="G7" s="308">
        <v>81897710023</v>
      </c>
      <c r="H7" s="322">
        <v>164.14826086956523</v>
      </c>
      <c r="I7" s="400">
        <f t="shared" si="0"/>
        <v>164.14826086956523</v>
      </c>
    </row>
    <row r="8" spans="1:9" x14ac:dyDescent="0.25">
      <c r="A8" s="23" t="s">
        <v>1046</v>
      </c>
      <c r="B8" s="48">
        <v>1</v>
      </c>
      <c r="C8" s="108" t="s">
        <v>1047</v>
      </c>
      <c r="D8" s="214" t="s">
        <v>8</v>
      </c>
      <c r="E8" s="195" t="s">
        <v>2495</v>
      </c>
      <c r="F8" s="260" t="s">
        <v>1998</v>
      </c>
      <c r="G8" s="308">
        <v>81897710023</v>
      </c>
      <c r="H8" s="322">
        <v>164.14826086956523</v>
      </c>
      <c r="I8" s="400">
        <f t="shared" si="0"/>
        <v>164.14826086956523</v>
      </c>
    </row>
    <row r="9" spans="1:9" x14ac:dyDescent="0.25">
      <c r="A9" s="23" t="s">
        <v>1048</v>
      </c>
      <c r="B9" s="48">
        <v>1</v>
      </c>
      <c r="C9" s="108" t="s">
        <v>1049</v>
      </c>
      <c r="D9" s="214" t="s">
        <v>8</v>
      </c>
      <c r="E9" s="195" t="s">
        <v>2496</v>
      </c>
      <c r="F9" s="260" t="s">
        <v>1994</v>
      </c>
      <c r="G9" s="308">
        <v>81897710023</v>
      </c>
      <c r="H9" s="322">
        <v>164.14826086956523</v>
      </c>
      <c r="I9" s="400">
        <f t="shared" si="0"/>
        <v>164.14826086956523</v>
      </c>
    </row>
    <row r="10" spans="1:9" x14ac:dyDescent="0.25">
      <c r="A10" s="23" t="s">
        <v>1050</v>
      </c>
      <c r="B10" s="48">
        <v>1</v>
      </c>
      <c r="C10" s="108" t="s">
        <v>1051</v>
      </c>
      <c r="D10" s="214" t="s">
        <v>8</v>
      </c>
      <c r="E10" s="195" t="s">
        <v>2497</v>
      </c>
      <c r="F10" s="260" t="s">
        <v>1999</v>
      </c>
      <c r="G10" s="308">
        <v>81897710023</v>
      </c>
      <c r="H10" s="322">
        <v>164.14826086956523</v>
      </c>
      <c r="I10" s="400">
        <f t="shared" si="0"/>
        <v>164.14826086956523</v>
      </c>
    </row>
    <row r="11" spans="1:9" x14ac:dyDescent="0.25">
      <c r="A11" s="23" t="s">
        <v>1052</v>
      </c>
      <c r="B11" s="48">
        <v>1</v>
      </c>
      <c r="C11" s="108" t="s">
        <v>1053</v>
      </c>
      <c r="D11" s="214" t="s">
        <v>8</v>
      </c>
      <c r="E11" s="195" t="s">
        <v>2498</v>
      </c>
      <c r="F11" s="260" t="s">
        <v>1993</v>
      </c>
      <c r="G11" s="308">
        <v>81897710023</v>
      </c>
      <c r="H11" s="322">
        <v>164.14826086956523</v>
      </c>
      <c r="I11" s="400">
        <f t="shared" si="0"/>
        <v>164.14826086956523</v>
      </c>
    </row>
    <row r="12" spans="1:9" x14ac:dyDescent="0.25">
      <c r="A12" s="23" t="s">
        <v>1054</v>
      </c>
      <c r="B12" s="48">
        <v>1</v>
      </c>
      <c r="C12" s="108" t="s">
        <v>1055</v>
      </c>
      <c r="D12" s="214" t="s">
        <v>8</v>
      </c>
      <c r="E12" s="195" t="s">
        <v>2499</v>
      </c>
      <c r="F12" s="260" t="s">
        <v>2000</v>
      </c>
      <c r="G12" s="308">
        <v>81897710023</v>
      </c>
      <c r="H12" s="322">
        <v>164.14826086956523</v>
      </c>
      <c r="I12" s="400">
        <f t="shared" si="0"/>
        <v>164.14826086956523</v>
      </c>
    </row>
    <row r="13" spans="1:9" x14ac:dyDescent="0.25">
      <c r="A13" s="23" t="s">
        <v>1056</v>
      </c>
      <c r="B13" s="48">
        <v>1</v>
      </c>
      <c r="C13" s="108" t="s">
        <v>1057</v>
      </c>
      <c r="D13" s="214" t="s">
        <v>8</v>
      </c>
      <c r="E13" s="195" t="s">
        <v>2500</v>
      </c>
      <c r="F13" s="260" t="s">
        <v>1992</v>
      </c>
      <c r="G13" s="308">
        <v>81897710023</v>
      </c>
      <c r="H13" s="322">
        <v>164.14826086956523</v>
      </c>
      <c r="I13" s="400">
        <f t="shared" si="0"/>
        <v>164.14826086956523</v>
      </c>
    </row>
    <row r="14" spans="1:9" x14ac:dyDescent="0.25">
      <c r="A14" s="23" t="s">
        <v>1058</v>
      </c>
      <c r="B14" s="48">
        <v>1</v>
      </c>
      <c r="C14" s="108" t="s">
        <v>1059</v>
      </c>
      <c r="D14" s="214" t="s">
        <v>8</v>
      </c>
      <c r="E14" s="195" t="s">
        <v>2501</v>
      </c>
      <c r="F14" s="260" t="s">
        <v>2001</v>
      </c>
      <c r="G14" s="308">
        <v>81897710023</v>
      </c>
      <c r="H14" s="322">
        <v>222.32739130434783</v>
      </c>
      <c r="I14" s="400">
        <f t="shared" si="0"/>
        <v>222.32739130434783</v>
      </c>
    </row>
    <row r="15" spans="1:9" x14ac:dyDescent="0.25">
      <c r="A15" s="23" t="s">
        <v>1060</v>
      </c>
      <c r="B15" s="48">
        <v>1</v>
      </c>
      <c r="C15" s="108" t="s">
        <v>1061</v>
      </c>
      <c r="D15" s="214" t="s">
        <v>8</v>
      </c>
      <c r="E15" s="195" t="s">
        <v>2502</v>
      </c>
      <c r="F15" s="260" t="s">
        <v>1991</v>
      </c>
      <c r="G15" s="308">
        <v>81897710023</v>
      </c>
      <c r="H15" s="322">
        <v>222.32739130434783</v>
      </c>
      <c r="I15" s="400">
        <f t="shared" si="0"/>
        <v>222.32739130434783</v>
      </c>
    </row>
    <row r="16" spans="1:9" x14ac:dyDescent="0.25">
      <c r="A16" s="23" t="s">
        <v>1062</v>
      </c>
      <c r="B16" s="48">
        <v>1</v>
      </c>
      <c r="C16" s="108" t="s">
        <v>1063</v>
      </c>
      <c r="D16" s="214" t="s">
        <v>8</v>
      </c>
      <c r="E16" s="195" t="s">
        <v>2503</v>
      </c>
      <c r="F16" s="260" t="s">
        <v>2002</v>
      </c>
      <c r="G16" s="308">
        <v>81897710023</v>
      </c>
      <c r="H16" s="322">
        <v>222.32739130434783</v>
      </c>
      <c r="I16" s="400">
        <f t="shared" si="0"/>
        <v>222.32739130434783</v>
      </c>
    </row>
    <row r="17" spans="1:9" x14ac:dyDescent="0.25">
      <c r="A17" s="23" t="s">
        <v>1064</v>
      </c>
      <c r="B17" s="48">
        <v>1</v>
      </c>
      <c r="C17" s="108" t="s">
        <v>1065</v>
      </c>
      <c r="D17" s="214" t="s">
        <v>8</v>
      </c>
      <c r="E17" s="195" t="s">
        <v>2504</v>
      </c>
      <c r="F17" s="260" t="s">
        <v>1990</v>
      </c>
      <c r="G17" s="308">
        <v>81897710023</v>
      </c>
      <c r="H17" s="322">
        <v>222.32739130434783</v>
      </c>
      <c r="I17" s="400">
        <f t="shared" si="0"/>
        <v>222.32739130434783</v>
      </c>
    </row>
    <row r="18" spans="1:9" x14ac:dyDescent="0.25">
      <c r="A18" s="23" t="s">
        <v>1066</v>
      </c>
      <c r="B18" s="48">
        <v>1</v>
      </c>
      <c r="C18" s="108" t="s">
        <v>1067</v>
      </c>
      <c r="D18" s="214" t="s">
        <v>8</v>
      </c>
      <c r="E18" s="195" t="s">
        <v>2505</v>
      </c>
      <c r="F18" s="260" t="s">
        <v>2003</v>
      </c>
      <c r="G18" s="308">
        <v>81897710023</v>
      </c>
      <c r="H18" s="322">
        <v>222.32739130434783</v>
      </c>
      <c r="I18" s="400">
        <f t="shared" si="0"/>
        <v>222.32739130434783</v>
      </c>
    </row>
    <row r="19" spans="1:9" x14ac:dyDescent="0.25">
      <c r="A19" s="23" t="s">
        <v>1068</v>
      </c>
      <c r="B19" s="48">
        <v>1</v>
      </c>
      <c r="C19" s="108" t="s">
        <v>1069</v>
      </c>
      <c r="D19" s="214" t="s">
        <v>8</v>
      </c>
      <c r="E19" s="195" t="s">
        <v>2506</v>
      </c>
      <c r="F19" s="260" t="s">
        <v>1989</v>
      </c>
      <c r="G19" s="308">
        <v>81897710023</v>
      </c>
      <c r="H19" s="322">
        <v>222.32739130434783</v>
      </c>
      <c r="I19" s="400">
        <f t="shared" si="0"/>
        <v>222.32739130434783</v>
      </c>
    </row>
    <row r="20" spans="1:9" x14ac:dyDescent="0.25">
      <c r="A20" s="23" t="s">
        <v>1070</v>
      </c>
      <c r="B20" s="48">
        <v>1</v>
      </c>
      <c r="C20" s="108" t="s">
        <v>1071</v>
      </c>
      <c r="D20" s="214" t="s">
        <v>8</v>
      </c>
      <c r="E20" s="195" t="s">
        <v>2507</v>
      </c>
      <c r="F20" s="260" t="s">
        <v>2004</v>
      </c>
      <c r="G20" s="308">
        <v>81897710023</v>
      </c>
      <c r="H20" s="322">
        <v>222.32739130434783</v>
      </c>
      <c r="I20" s="400">
        <f t="shared" si="0"/>
        <v>222.32739130434783</v>
      </c>
    </row>
    <row r="21" spans="1:9" x14ac:dyDescent="0.25">
      <c r="A21" s="23" t="s">
        <v>1072</v>
      </c>
      <c r="B21" s="48">
        <v>1</v>
      </c>
      <c r="C21" s="108" t="s">
        <v>1073</v>
      </c>
      <c r="D21" s="214" t="s">
        <v>8</v>
      </c>
      <c r="E21" s="195" t="s">
        <v>2508</v>
      </c>
      <c r="F21" s="260" t="s">
        <v>1986</v>
      </c>
      <c r="G21" s="308">
        <v>81897710023</v>
      </c>
      <c r="H21" s="322">
        <v>222.32739130434783</v>
      </c>
      <c r="I21" s="400">
        <f t="shared" si="0"/>
        <v>222.32739130434783</v>
      </c>
    </row>
    <row r="22" spans="1:9" x14ac:dyDescent="0.25">
      <c r="A22" s="23" t="s">
        <v>1074</v>
      </c>
      <c r="B22" s="48">
        <v>1</v>
      </c>
      <c r="C22" s="108" t="s">
        <v>1075</v>
      </c>
      <c r="D22" s="214" t="s">
        <v>8</v>
      </c>
      <c r="E22" s="195" t="s">
        <v>2509</v>
      </c>
      <c r="F22" s="260" t="s">
        <v>1996</v>
      </c>
      <c r="G22" s="308">
        <v>81897710023</v>
      </c>
      <c r="H22" s="322">
        <v>222.32739130434783</v>
      </c>
      <c r="I22" s="400">
        <f t="shared" si="0"/>
        <v>222.32739130434783</v>
      </c>
    </row>
    <row r="23" spans="1:9" x14ac:dyDescent="0.25">
      <c r="A23" s="23" t="s">
        <v>1076</v>
      </c>
      <c r="B23" s="48">
        <v>1</v>
      </c>
      <c r="C23" s="108" t="s">
        <v>1077</v>
      </c>
      <c r="D23" s="64" t="s">
        <v>8</v>
      </c>
      <c r="E23" s="195" t="s">
        <v>2510</v>
      </c>
      <c r="F23" s="260" t="s">
        <v>1815</v>
      </c>
      <c r="G23" s="308">
        <v>81897710023</v>
      </c>
      <c r="H23" s="322">
        <v>222.32739130434783</v>
      </c>
      <c r="I23" s="400">
        <f t="shared" si="0"/>
        <v>222.32739130434783</v>
      </c>
    </row>
    <row r="24" spans="1:9" x14ac:dyDescent="0.25">
      <c r="A24" s="23" t="s">
        <v>1078</v>
      </c>
      <c r="B24" s="48">
        <v>1</v>
      </c>
      <c r="C24" s="108" t="s">
        <v>1079</v>
      </c>
      <c r="D24" s="64" t="s">
        <v>8</v>
      </c>
      <c r="E24" s="195" t="s">
        <v>2511</v>
      </c>
      <c r="F24" s="260" t="s">
        <v>1823</v>
      </c>
      <c r="G24" s="308">
        <v>81897710023</v>
      </c>
      <c r="H24" s="322">
        <v>222.32739130434783</v>
      </c>
      <c r="I24" s="400">
        <f t="shared" si="0"/>
        <v>222.32739130434783</v>
      </c>
    </row>
    <row r="25" spans="1:9" x14ac:dyDescent="0.25">
      <c r="A25" s="23" t="s">
        <v>1080</v>
      </c>
      <c r="B25" s="48">
        <v>1</v>
      </c>
      <c r="C25" s="108" t="s">
        <v>1081</v>
      </c>
      <c r="D25" s="64" t="s">
        <v>8</v>
      </c>
      <c r="E25" s="195" t="s">
        <v>2512</v>
      </c>
      <c r="F25" s="260" t="s">
        <v>1816</v>
      </c>
      <c r="G25" s="308">
        <v>81897710023</v>
      </c>
      <c r="H25" s="322">
        <v>222.32739130434783</v>
      </c>
      <c r="I25" s="400">
        <f t="shared" si="0"/>
        <v>222.32739130434783</v>
      </c>
    </row>
    <row r="26" spans="1:9" x14ac:dyDescent="0.25">
      <c r="A26" s="23" t="s">
        <v>1082</v>
      </c>
      <c r="B26" s="48">
        <v>1</v>
      </c>
      <c r="C26" s="108" t="s">
        <v>1083</v>
      </c>
      <c r="D26" s="64" t="s">
        <v>8</v>
      </c>
      <c r="E26" s="195" t="s">
        <v>2513</v>
      </c>
      <c r="F26" s="260" t="s">
        <v>1817</v>
      </c>
      <c r="G26" s="308">
        <v>81897710023</v>
      </c>
      <c r="H26" s="322">
        <v>222.32739130434783</v>
      </c>
      <c r="I26" s="400">
        <f t="shared" si="0"/>
        <v>222.32739130434783</v>
      </c>
    </row>
    <row r="27" spans="1:9" x14ac:dyDescent="0.25">
      <c r="A27" s="23" t="s">
        <v>1084</v>
      </c>
      <c r="B27" s="48">
        <v>1</v>
      </c>
      <c r="C27" s="108" t="s">
        <v>1085</v>
      </c>
      <c r="D27" s="64" t="s">
        <v>8</v>
      </c>
      <c r="E27" s="195" t="s">
        <v>2514</v>
      </c>
      <c r="F27" s="260" t="s">
        <v>1818</v>
      </c>
      <c r="G27" s="308">
        <v>81897710023</v>
      </c>
      <c r="H27" s="322">
        <v>222.32739130434783</v>
      </c>
      <c r="I27" s="400">
        <f t="shared" si="0"/>
        <v>222.32739130434783</v>
      </c>
    </row>
    <row r="28" spans="1:9" x14ac:dyDescent="0.25">
      <c r="A28" s="23" t="s">
        <v>1086</v>
      </c>
      <c r="B28" s="48">
        <v>1</v>
      </c>
      <c r="C28" s="108" t="s">
        <v>1087</v>
      </c>
      <c r="D28" s="64" t="s">
        <v>8</v>
      </c>
      <c r="E28" s="195" t="s">
        <v>2515</v>
      </c>
      <c r="F28" s="260" t="s">
        <v>1819</v>
      </c>
      <c r="G28" s="308">
        <v>81897710023</v>
      </c>
      <c r="H28" s="322">
        <v>222.32739130434783</v>
      </c>
      <c r="I28" s="400">
        <f t="shared" si="0"/>
        <v>222.32739130434783</v>
      </c>
    </row>
    <row r="29" spans="1:9" x14ac:dyDescent="0.25">
      <c r="A29" s="23" t="s">
        <v>1088</v>
      </c>
      <c r="B29" s="48">
        <v>1</v>
      </c>
      <c r="C29" s="108" t="s">
        <v>1089</v>
      </c>
      <c r="D29" s="64" t="s">
        <v>8</v>
      </c>
      <c r="E29" s="195" t="s">
        <v>2516</v>
      </c>
      <c r="F29" s="260" t="s">
        <v>1820</v>
      </c>
      <c r="G29" s="308">
        <v>81897710023</v>
      </c>
      <c r="H29" s="322">
        <v>222.32739130434783</v>
      </c>
      <c r="I29" s="400">
        <f t="shared" si="0"/>
        <v>222.32739130434783</v>
      </c>
    </row>
    <row r="30" spans="1:9" x14ac:dyDescent="0.25">
      <c r="A30" s="59" t="s">
        <v>1090</v>
      </c>
      <c r="B30" s="48">
        <v>1</v>
      </c>
      <c r="C30" s="109" t="s">
        <v>1091</v>
      </c>
      <c r="D30" s="214" t="s">
        <v>8</v>
      </c>
      <c r="E30" s="195" t="s">
        <v>2517</v>
      </c>
      <c r="F30" s="260" t="s">
        <v>1821</v>
      </c>
      <c r="G30" s="308">
        <v>81897710023</v>
      </c>
      <c r="H30" s="322">
        <v>233.40913043478258</v>
      </c>
      <c r="I30" s="400">
        <f t="shared" si="0"/>
        <v>233.40913043478258</v>
      </c>
    </row>
    <row r="31" spans="1:9" x14ac:dyDescent="0.25">
      <c r="A31" s="110" t="s">
        <v>1092</v>
      </c>
      <c r="B31" s="111">
        <v>1</v>
      </c>
      <c r="C31" s="109" t="s">
        <v>1093</v>
      </c>
      <c r="D31" s="214" t="s">
        <v>8</v>
      </c>
      <c r="E31" s="195" t="s">
        <v>2518</v>
      </c>
      <c r="F31" s="260" t="s">
        <v>1822</v>
      </c>
      <c r="G31" s="308">
        <v>81897710023</v>
      </c>
      <c r="H31" s="322">
        <v>233.40913043478258</v>
      </c>
      <c r="I31" s="400">
        <f t="shared" si="0"/>
        <v>233.40913043478258</v>
      </c>
    </row>
    <row r="32" spans="1:9" x14ac:dyDescent="0.25">
      <c r="I32" s="388">
        <f>SUM(I2:I31)</f>
        <v>8208.0286956521704</v>
      </c>
    </row>
  </sheetData>
  <sortState xmlns:xlrd2="http://schemas.microsoft.com/office/spreadsheetml/2017/richdata2" ref="A2:D31">
    <sortCondition ref="A1:A31"/>
  </sortState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8A4E1-9EF2-4559-B281-56D02F86D2C5}">
  <sheetPr codeName="Planilha31">
    <tabColor rgb="FF92D050"/>
  </sheetPr>
  <dimension ref="A1:I11"/>
  <sheetViews>
    <sheetView workbookViewId="0">
      <pane ySplit="1" topLeftCell="A2" activePane="bottomLeft" state="frozen"/>
      <selection activeCell="A53" sqref="A53"/>
      <selection pane="bottomLeft" activeCell="E14" sqref="E14"/>
    </sheetView>
  </sheetViews>
  <sheetFormatPr defaultRowHeight="15" x14ac:dyDescent="0.25"/>
  <cols>
    <col min="1" max="1" width="25.5703125" customWidth="1"/>
    <col min="2" max="2" width="23.42578125" customWidth="1"/>
    <col min="3" max="3" width="21.85546875" customWidth="1"/>
    <col min="4" max="4" width="21" customWidth="1"/>
    <col min="5" max="5" width="27.5703125" customWidth="1"/>
    <col min="6" max="6" width="11.42578125" style="40" customWidth="1"/>
    <col min="7" max="7" width="17" style="40" customWidth="1"/>
    <col min="8" max="8" width="17" style="330" customWidth="1"/>
    <col min="9" max="9" width="17" customWidth="1"/>
  </cols>
  <sheetData>
    <row r="1" spans="1:9" ht="15.75" x14ac:dyDescent="0.25">
      <c r="A1" s="112" t="s">
        <v>0</v>
      </c>
      <c r="B1" s="113" t="s">
        <v>305</v>
      </c>
      <c r="C1" s="95" t="s">
        <v>360</v>
      </c>
      <c r="D1" s="197" t="s">
        <v>1721</v>
      </c>
      <c r="E1" s="194" t="s">
        <v>1723</v>
      </c>
      <c r="F1" s="194" t="s">
        <v>1724</v>
      </c>
      <c r="G1" s="194" t="s">
        <v>1722</v>
      </c>
      <c r="H1" s="329" t="s">
        <v>1725</v>
      </c>
      <c r="I1" s="321" t="s">
        <v>2317</v>
      </c>
    </row>
    <row r="2" spans="1:9" x14ac:dyDescent="0.25">
      <c r="A2" s="420" t="s">
        <v>481</v>
      </c>
      <c r="B2" s="111">
        <v>1</v>
      </c>
      <c r="C2" s="107">
        <v>662550</v>
      </c>
      <c r="D2" s="214" t="s">
        <v>501</v>
      </c>
      <c r="E2" s="195" t="s">
        <v>2653</v>
      </c>
      <c r="F2" s="308" t="s">
        <v>2322</v>
      </c>
      <c r="G2" s="308" t="s">
        <v>2336</v>
      </c>
      <c r="H2" s="307">
        <v>2378.3413043478263</v>
      </c>
      <c r="I2" s="307">
        <f>H2*B2</f>
        <v>2378.3413043478263</v>
      </c>
    </row>
    <row r="3" spans="1:9" x14ac:dyDescent="0.25">
      <c r="A3" s="115" t="s">
        <v>1094</v>
      </c>
      <c r="B3" s="111">
        <v>1</v>
      </c>
      <c r="C3" s="109" t="s">
        <v>1095</v>
      </c>
      <c r="D3" s="214" t="s">
        <v>8</v>
      </c>
      <c r="E3" s="195" t="s">
        <v>2519</v>
      </c>
      <c r="F3" s="260" t="s">
        <v>1807</v>
      </c>
      <c r="G3" s="308">
        <v>81897710023</v>
      </c>
      <c r="H3" s="307">
        <v>307.86456521739132</v>
      </c>
      <c r="I3" s="307">
        <f t="shared" ref="I3:I10" si="0">H3*B3</f>
        <v>307.86456521739132</v>
      </c>
    </row>
    <row r="4" spans="1:9" x14ac:dyDescent="0.25">
      <c r="A4" s="115" t="s">
        <v>1096</v>
      </c>
      <c r="B4" s="111">
        <v>1</v>
      </c>
      <c r="C4" s="109" t="s">
        <v>1097</v>
      </c>
      <c r="D4" s="214" t="s">
        <v>8</v>
      </c>
      <c r="E4" s="195" t="s">
        <v>2520</v>
      </c>
      <c r="F4" s="260" t="s">
        <v>1808</v>
      </c>
      <c r="G4" s="308">
        <v>81897710023</v>
      </c>
      <c r="H4" s="307">
        <v>307.86456521739132</v>
      </c>
      <c r="I4" s="307">
        <f t="shared" si="0"/>
        <v>307.86456521739132</v>
      </c>
    </row>
    <row r="5" spans="1:9" x14ac:dyDescent="0.25">
      <c r="A5" s="115" t="s">
        <v>1098</v>
      </c>
      <c r="B5" s="111">
        <v>1</v>
      </c>
      <c r="C5" s="109" t="s">
        <v>1099</v>
      </c>
      <c r="D5" s="214" t="s">
        <v>8</v>
      </c>
      <c r="E5" s="195" t="s">
        <v>2521</v>
      </c>
      <c r="F5" s="260" t="s">
        <v>1809</v>
      </c>
      <c r="G5" s="308">
        <v>81897710023</v>
      </c>
      <c r="H5" s="307">
        <v>307.86456521739132</v>
      </c>
      <c r="I5" s="307">
        <f t="shared" si="0"/>
        <v>307.86456521739132</v>
      </c>
    </row>
    <row r="6" spans="1:9" x14ac:dyDescent="0.25">
      <c r="A6" s="115" t="s">
        <v>1100</v>
      </c>
      <c r="B6" s="111">
        <v>1</v>
      </c>
      <c r="C6" s="109" t="s">
        <v>1101</v>
      </c>
      <c r="D6" s="214" t="s">
        <v>8</v>
      </c>
      <c r="E6" s="195" t="s">
        <v>2522</v>
      </c>
      <c r="F6" s="260" t="s">
        <v>1810</v>
      </c>
      <c r="G6" s="308">
        <v>81897710023</v>
      </c>
      <c r="H6" s="307">
        <v>307.86456521739132</v>
      </c>
      <c r="I6" s="307">
        <f t="shared" si="0"/>
        <v>307.86456521739132</v>
      </c>
    </row>
    <row r="7" spans="1:9" x14ac:dyDescent="0.25">
      <c r="A7" s="115" t="s">
        <v>1102</v>
      </c>
      <c r="B7" s="111">
        <v>1</v>
      </c>
      <c r="C7" s="109" t="s">
        <v>1103</v>
      </c>
      <c r="D7" s="214" t="s">
        <v>8</v>
      </c>
      <c r="E7" s="195" t="s">
        <v>2523</v>
      </c>
      <c r="F7" s="260" t="s">
        <v>1811</v>
      </c>
      <c r="G7" s="308">
        <v>81897710023</v>
      </c>
      <c r="H7" s="307">
        <v>307.86456521739132</v>
      </c>
      <c r="I7" s="307">
        <f t="shared" si="0"/>
        <v>307.86456521739132</v>
      </c>
    </row>
    <row r="8" spans="1:9" x14ac:dyDescent="0.25">
      <c r="A8" s="115" t="s">
        <v>1104</v>
      </c>
      <c r="B8" s="111">
        <v>1</v>
      </c>
      <c r="C8" s="109" t="s">
        <v>1105</v>
      </c>
      <c r="D8" s="214" t="s">
        <v>8</v>
      </c>
      <c r="E8" s="195" t="s">
        <v>2524</v>
      </c>
      <c r="F8" s="260" t="s">
        <v>1812</v>
      </c>
      <c r="G8" s="308">
        <v>81897710023</v>
      </c>
      <c r="H8" s="307">
        <v>307.86456521739132</v>
      </c>
      <c r="I8" s="307">
        <f t="shared" si="0"/>
        <v>307.86456521739132</v>
      </c>
    </row>
    <row r="9" spans="1:9" x14ac:dyDescent="0.25">
      <c r="A9" s="115" t="s">
        <v>1106</v>
      </c>
      <c r="B9" s="111">
        <v>1</v>
      </c>
      <c r="C9" s="109" t="s">
        <v>1107</v>
      </c>
      <c r="D9" s="214" t="s">
        <v>8</v>
      </c>
      <c r="E9" s="195" t="s">
        <v>2525</v>
      </c>
      <c r="F9" s="260" t="s">
        <v>1813</v>
      </c>
      <c r="G9" s="308">
        <v>81897710023</v>
      </c>
      <c r="H9" s="307">
        <v>307.86456521739132</v>
      </c>
      <c r="I9" s="307">
        <f t="shared" si="0"/>
        <v>307.86456521739132</v>
      </c>
    </row>
    <row r="10" spans="1:9" x14ac:dyDescent="0.25">
      <c r="A10" s="115" t="s">
        <v>1108</v>
      </c>
      <c r="B10" s="111">
        <v>1</v>
      </c>
      <c r="C10" s="109" t="s">
        <v>1109</v>
      </c>
      <c r="D10" s="214" t="s">
        <v>8</v>
      </c>
      <c r="E10" s="195" t="s">
        <v>2526</v>
      </c>
      <c r="F10" s="349" t="s">
        <v>1814</v>
      </c>
      <c r="G10" s="308">
        <v>81897710023</v>
      </c>
      <c r="H10" s="307">
        <v>307.86456521739132</v>
      </c>
      <c r="I10" s="307">
        <f t="shared" si="0"/>
        <v>307.86456521739132</v>
      </c>
    </row>
    <row r="11" spans="1:9" x14ac:dyDescent="0.25">
      <c r="I11" s="330">
        <f>SUM(I2:I10)</f>
        <v>4841.2578260869559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BA31C-0F7F-4C47-ADAE-F8C64EA9C643}">
  <sheetPr codeName="Planilha32">
    <tabColor rgb="FFFF0000"/>
  </sheetPr>
  <dimension ref="A1:G2"/>
  <sheetViews>
    <sheetView workbookViewId="0">
      <selection activeCell="A53" sqref="A53"/>
    </sheetView>
  </sheetViews>
  <sheetFormatPr defaultRowHeight="15" x14ac:dyDescent="0.25"/>
  <cols>
    <col min="1" max="1" width="17.5703125" customWidth="1"/>
    <col min="2" max="2" width="25" customWidth="1"/>
    <col min="3" max="3" width="17.85546875" customWidth="1"/>
  </cols>
  <sheetData>
    <row r="1" spans="1:7" ht="15.75" x14ac:dyDescent="0.25">
      <c r="A1" s="6" t="s">
        <v>0</v>
      </c>
      <c r="B1" s="7" t="s">
        <v>360</v>
      </c>
      <c r="C1" s="197" t="s">
        <v>1721</v>
      </c>
      <c r="D1" s="194" t="s">
        <v>1723</v>
      </c>
      <c r="E1" s="194" t="s">
        <v>1724</v>
      </c>
      <c r="F1" s="194" t="s">
        <v>1722</v>
      </c>
      <c r="G1" s="194" t="s">
        <v>1725</v>
      </c>
    </row>
    <row r="2" spans="1:7" x14ac:dyDescent="0.25">
      <c r="A2" s="1" t="s">
        <v>1110</v>
      </c>
      <c r="B2" s="25" t="s">
        <v>1111</v>
      </c>
      <c r="C2" s="99" t="s">
        <v>455</v>
      </c>
      <c r="D2" s="195"/>
      <c r="E2" s="195"/>
      <c r="F2" s="195"/>
      <c r="G2" s="195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3E9DF-FE8C-4E83-8E62-7AA89ACECFA4}">
  <sheetPr codeName="Planilha33">
    <tabColor rgb="FFFF0000"/>
  </sheetPr>
  <dimension ref="A1:H8"/>
  <sheetViews>
    <sheetView workbookViewId="0">
      <pane ySplit="1" topLeftCell="A2" activePane="bottomLeft" state="frozen"/>
      <selection activeCell="A53" sqref="A53"/>
      <selection pane="bottomLeft" activeCell="A53" sqref="A53"/>
    </sheetView>
  </sheetViews>
  <sheetFormatPr defaultRowHeight="15" x14ac:dyDescent="0.25"/>
  <cols>
    <col min="1" max="1" width="35.85546875" customWidth="1"/>
    <col min="2" max="2" width="22.42578125" customWidth="1"/>
    <col min="3" max="3" width="27.7109375" customWidth="1"/>
    <col min="4" max="4" width="22.140625" customWidth="1"/>
  </cols>
  <sheetData>
    <row r="1" spans="1:8" ht="15.75" x14ac:dyDescent="0.25">
      <c r="A1" s="84" t="s">
        <v>0</v>
      </c>
      <c r="B1" s="42" t="s">
        <v>305</v>
      </c>
      <c r="C1" s="86" t="s">
        <v>360</v>
      </c>
      <c r="D1" s="197" t="s">
        <v>1721</v>
      </c>
      <c r="E1" s="194" t="s">
        <v>1723</v>
      </c>
      <c r="F1" s="194" t="s">
        <v>1724</v>
      </c>
      <c r="G1" s="194" t="s">
        <v>1722</v>
      </c>
      <c r="H1" s="194" t="s">
        <v>1725</v>
      </c>
    </row>
    <row r="2" spans="1:8" x14ac:dyDescent="0.25">
      <c r="A2" s="53" t="s">
        <v>1112</v>
      </c>
      <c r="B2" s="16">
        <v>1</v>
      </c>
      <c r="C2" s="46" t="s">
        <v>1113</v>
      </c>
      <c r="D2" s="99" t="s">
        <v>1114</v>
      </c>
      <c r="E2" s="195"/>
      <c r="F2" s="195"/>
      <c r="G2" s="195"/>
      <c r="H2" s="195"/>
    </row>
    <row r="3" spans="1:8" x14ac:dyDescent="0.25">
      <c r="A3" s="5" t="s">
        <v>1115</v>
      </c>
      <c r="B3" s="2">
        <v>1</v>
      </c>
      <c r="C3" s="46" t="s">
        <v>1116</v>
      </c>
      <c r="D3" s="99" t="s">
        <v>1114</v>
      </c>
      <c r="E3" s="195"/>
      <c r="F3" s="195"/>
      <c r="G3" s="195"/>
      <c r="H3" s="195"/>
    </row>
    <row r="4" spans="1:8" x14ac:dyDescent="0.25">
      <c r="A4" s="5" t="s">
        <v>1117</v>
      </c>
      <c r="B4" s="2">
        <v>1</v>
      </c>
      <c r="C4" s="46" t="s">
        <v>1118</v>
      </c>
      <c r="D4" s="99" t="s">
        <v>1114</v>
      </c>
      <c r="E4" s="195"/>
      <c r="F4" s="195"/>
      <c r="G4" s="195"/>
      <c r="H4" s="195"/>
    </row>
    <row r="5" spans="1:8" x14ac:dyDescent="0.25">
      <c r="A5" s="5" t="s">
        <v>1119</v>
      </c>
      <c r="B5" s="2">
        <v>1</v>
      </c>
      <c r="C5" s="46" t="s">
        <v>1120</v>
      </c>
      <c r="D5" s="99" t="s">
        <v>1114</v>
      </c>
      <c r="E5" s="195"/>
      <c r="F5" s="195"/>
      <c r="G5" s="195"/>
      <c r="H5" s="195"/>
    </row>
    <row r="6" spans="1:8" x14ac:dyDescent="0.25">
      <c r="A6" s="5" t="s">
        <v>1121</v>
      </c>
      <c r="B6" s="2">
        <v>1</v>
      </c>
      <c r="C6" s="46" t="s">
        <v>1122</v>
      </c>
      <c r="D6" s="99" t="s">
        <v>1114</v>
      </c>
      <c r="E6" s="195"/>
      <c r="F6" s="195"/>
      <c r="G6" s="195"/>
      <c r="H6" s="195"/>
    </row>
    <row r="7" spans="1:8" x14ac:dyDescent="0.25">
      <c r="A7" s="5" t="s">
        <v>1123</v>
      </c>
      <c r="B7" s="2">
        <v>1</v>
      </c>
      <c r="C7" s="46" t="s">
        <v>1124</v>
      </c>
      <c r="D7" s="99" t="s">
        <v>1114</v>
      </c>
      <c r="E7" s="195"/>
      <c r="F7" s="195"/>
      <c r="G7" s="195"/>
      <c r="H7" s="195"/>
    </row>
    <row r="8" spans="1:8" x14ac:dyDescent="0.25">
      <c r="A8" s="5" t="s">
        <v>1125</v>
      </c>
      <c r="B8" s="2">
        <v>1</v>
      </c>
      <c r="C8" s="46" t="s">
        <v>1126</v>
      </c>
      <c r="D8" s="99" t="s">
        <v>1114</v>
      </c>
      <c r="E8" s="195"/>
      <c r="F8" s="195"/>
      <c r="G8" s="195"/>
      <c r="H8" s="195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A49E2-D24E-4B54-8172-C8C10A87ECF7}">
  <sheetPr codeName="Planilha34">
    <tabColor rgb="FF92D050"/>
  </sheetPr>
  <dimension ref="A1:I10"/>
  <sheetViews>
    <sheetView workbookViewId="0">
      <pane ySplit="1" topLeftCell="A2" activePane="bottomLeft" state="frozen"/>
      <selection activeCell="A53" sqref="A53"/>
      <selection pane="bottomLeft" activeCell="E16" sqref="E16"/>
    </sheetView>
  </sheetViews>
  <sheetFormatPr defaultRowHeight="15" x14ac:dyDescent="0.25"/>
  <cols>
    <col min="1" max="1" width="34.42578125" customWidth="1"/>
    <col min="2" max="2" width="23.42578125" customWidth="1"/>
    <col min="3" max="3" width="16.7109375" customWidth="1"/>
    <col min="4" max="4" width="19.5703125" customWidth="1"/>
    <col min="5" max="5" width="34.140625" customWidth="1"/>
    <col min="6" max="6" width="13.28515625" customWidth="1"/>
    <col min="7" max="7" width="15.140625" style="40" customWidth="1"/>
    <col min="8" max="8" width="12.140625" style="324" bestFit="1" customWidth="1"/>
    <col min="9" max="9" width="13.85546875" customWidth="1"/>
  </cols>
  <sheetData>
    <row r="1" spans="1:9" ht="15.75" x14ac:dyDescent="0.25">
      <c r="A1" s="84" t="s">
        <v>0</v>
      </c>
      <c r="B1" s="42" t="s">
        <v>305</v>
      </c>
      <c r="C1" s="86" t="s">
        <v>360</v>
      </c>
      <c r="D1" s="197" t="s">
        <v>1721</v>
      </c>
      <c r="E1" s="194" t="s">
        <v>1723</v>
      </c>
      <c r="F1" s="194" t="s">
        <v>1724</v>
      </c>
      <c r="G1" s="194" t="s">
        <v>1722</v>
      </c>
      <c r="H1" s="321" t="s">
        <v>1725</v>
      </c>
      <c r="I1" s="321" t="s">
        <v>2317</v>
      </c>
    </row>
    <row r="2" spans="1:9" x14ac:dyDescent="0.25">
      <c r="A2" s="12" t="s">
        <v>1131</v>
      </c>
      <c r="B2" s="117">
        <v>1</v>
      </c>
      <c r="C2" s="46">
        <v>2049</v>
      </c>
      <c r="D2" s="99" t="s">
        <v>4</v>
      </c>
      <c r="E2" s="195" t="s">
        <v>2215</v>
      </c>
      <c r="F2" s="51" t="s">
        <v>1765</v>
      </c>
      <c r="G2" s="308">
        <v>81897719001</v>
      </c>
      <c r="H2" s="322">
        <v>205.01217391304351</v>
      </c>
      <c r="I2" s="322">
        <f>H2*B2</f>
        <v>205.01217391304351</v>
      </c>
    </row>
    <row r="3" spans="1:9" x14ac:dyDescent="0.25">
      <c r="A3" s="410" t="s">
        <v>481</v>
      </c>
      <c r="B3" s="41">
        <v>1</v>
      </c>
      <c r="C3" s="287">
        <v>662550</v>
      </c>
      <c r="D3" s="214" t="s">
        <v>501</v>
      </c>
      <c r="E3" s="195" t="s">
        <v>2653</v>
      </c>
      <c r="F3" s="325" t="s">
        <v>2322</v>
      </c>
      <c r="G3" s="308" t="s">
        <v>2336</v>
      </c>
      <c r="H3" s="322">
        <v>2378.3413043478263</v>
      </c>
      <c r="I3" s="322">
        <f t="shared" ref="I3:I9" si="0">H3*B3</f>
        <v>2378.3413043478263</v>
      </c>
    </row>
    <row r="4" spans="1:9" x14ac:dyDescent="0.25">
      <c r="A4" s="12" t="s">
        <v>1127</v>
      </c>
      <c r="B4" s="41">
        <v>1</v>
      </c>
      <c r="C4" s="46" t="s">
        <v>1128</v>
      </c>
      <c r="D4" s="99" t="s">
        <v>8</v>
      </c>
      <c r="E4" s="195" t="s">
        <v>2607</v>
      </c>
      <c r="F4" s="327" t="s">
        <v>1801</v>
      </c>
      <c r="G4" s="308">
        <v>81897710001</v>
      </c>
      <c r="H4" s="322">
        <v>329.68173913043478</v>
      </c>
      <c r="I4" s="322">
        <f t="shared" si="0"/>
        <v>329.68173913043478</v>
      </c>
    </row>
    <row r="5" spans="1:9" x14ac:dyDescent="0.25">
      <c r="A5" s="12" t="s">
        <v>1129</v>
      </c>
      <c r="B5" s="41">
        <v>1</v>
      </c>
      <c r="C5" s="46" t="s">
        <v>1130</v>
      </c>
      <c r="D5" s="99" t="s">
        <v>8</v>
      </c>
      <c r="E5" s="195" t="s">
        <v>2659</v>
      </c>
      <c r="F5" s="151" t="s">
        <v>1802</v>
      </c>
      <c r="G5" s="308">
        <v>81897710001</v>
      </c>
      <c r="H5" s="322">
        <v>340.76347826086953</v>
      </c>
      <c r="I5" s="322">
        <f t="shared" si="0"/>
        <v>340.76347826086953</v>
      </c>
    </row>
    <row r="6" spans="1:9" x14ac:dyDescent="0.25">
      <c r="A6" s="3" t="s">
        <v>1134</v>
      </c>
      <c r="B6" s="41">
        <v>1</v>
      </c>
      <c r="C6" s="46" t="s">
        <v>405</v>
      </c>
      <c r="D6" s="99" t="s">
        <v>8</v>
      </c>
      <c r="E6" s="195" t="s">
        <v>2359</v>
      </c>
      <c r="F6" s="328" t="s">
        <v>1857</v>
      </c>
      <c r="G6" s="308">
        <v>81897710001</v>
      </c>
      <c r="H6" s="322">
        <v>743.51543478260862</v>
      </c>
      <c r="I6" s="322">
        <f t="shared" si="0"/>
        <v>743.51543478260862</v>
      </c>
    </row>
    <row r="7" spans="1:9" x14ac:dyDescent="0.25">
      <c r="A7" s="3" t="s">
        <v>1135</v>
      </c>
      <c r="B7" s="41">
        <v>1</v>
      </c>
      <c r="C7" s="46" t="s">
        <v>331</v>
      </c>
      <c r="D7" s="99" t="s">
        <v>8</v>
      </c>
      <c r="E7" s="195" t="s">
        <v>2330</v>
      </c>
      <c r="F7" s="131" t="s">
        <v>1863</v>
      </c>
      <c r="G7" s="308">
        <v>81897710023</v>
      </c>
      <c r="H7" s="322">
        <v>156.87586956521739</v>
      </c>
      <c r="I7" s="322">
        <f t="shared" si="0"/>
        <v>156.87586956521739</v>
      </c>
    </row>
    <row r="8" spans="1:9" x14ac:dyDescent="0.25">
      <c r="A8" s="230" t="s">
        <v>1132</v>
      </c>
      <c r="B8" s="291">
        <v>1</v>
      </c>
      <c r="C8" s="175" t="s">
        <v>411</v>
      </c>
      <c r="D8" s="99" t="s">
        <v>8</v>
      </c>
      <c r="E8" s="195" t="s">
        <v>2362</v>
      </c>
      <c r="F8" s="151" t="s">
        <v>1916</v>
      </c>
      <c r="G8" s="308">
        <v>81897710001</v>
      </c>
      <c r="H8" s="322">
        <v>743.51543478260862</v>
      </c>
      <c r="I8" s="322">
        <f t="shared" si="0"/>
        <v>743.51543478260862</v>
      </c>
    </row>
    <row r="9" spans="1:9" x14ac:dyDescent="0.25">
      <c r="A9" s="20" t="s">
        <v>1133</v>
      </c>
      <c r="B9" s="100">
        <v>1</v>
      </c>
      <c r="C9" s="118" t="s">
        <v>413</v>
      </c>
      <c r="D9" s="99" t="s">
        <v>8</v>
      </c>
      <c r="E9" s="195" t="s">
        <v>2363</v>
      </c>
      <c r="F9" s="151" t="s">
        <v>1917</v>
      </c>
      <c r="G9" s="308">
        <v>81897710001</v>
      </c>
      <c r="H9" s="322">
        <v>743.51543478260862</v>
      </c>
      <c r="I9" s="322">
        <f t="shared" si="0"/>
        <v>743.51543478260862</v>
      </c>
    </row>
    <row r="10" spans="1:9" x14ac:dyDescent="0.25">
      <c r="I10" s="324">
        <f>SUM(I2:I9)</f>
        <v>5641.2208695652171</v>
      </c>
    </row>
  </sheetData>
  <sortState xmlns:xlrd2="http://schemas.microsoft.com/office/spreadsheetml/2017/richdata2" ref="A2:D9">
    <sortCondition ref="A1:A9"/>
  </sortState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4A660-427B-4704-9053-7EC662FD3E20}">
  <sheetPr codeName="Planilha35">
    <tabColor rgb="FFFF0000"/>
  </sheetPr>
  <dimension ref="A1:H40"/>
  <sheetViews>
    <sheetView workbookViewId="0">
      <pane ySplit="1" topLeftCell="A2" activePane="bottomLeft" state="frozen"/>
      <selection activeCell="A53" sqref="A53"/>
      <selection pane="bottomLeft" activeCell="A53" sqref="A53"/>
    </sheetView>
  </sheetViews>
  <sheetFormatPr defaultRowHeight="15" x14ac:dyDescent="0.25"/>
  <cols>
    <col min="1" max="1" width="59.42578125" customWidth="1"/>
    <col min="2" max="2" width="22.5703125" customWidth="1"/>
    <col min="3" max="3" width="20.28515625" customWidth="1"/>
    <col min="4" max="4" width="21.85546875" customWidth="1"/>
  </cols>
  <sheetData>
    <row r="1" spans="1:8" ht="15.75" x14ac:dyDescent="0.25">
      <c r="A1" s="84" t="s">
        <v>0</v>
      </c>
      <c r="B1" s="91" t="s">
        <v>305</v>
      </c>
      <c r="C1" s="116" t="s">
        <v>360</v>
      </c>
      <c r="D1" s="197" t="s">
        <v>1721</v>
      </c>
      <c r="E1" s="194" t="s">
        <v>1723</v>
      </c>
      <c r="F1" s="194" t="s">
        <v>1724</v>
      </c>
      <c r="G1" s="194" t="s">
        <v>1722</v>
      </c>
      <c r="H1" s="194" t="s">
        <v>1725</v>
      </c>
    </row>
    <row r="2" spans="1:8" x14ac:dyDescent="0.25">
      <c r="A2" s="12" t="s">
        <v>1136</v>
      </c>
      <c r="B2" s="22">
        <v>1</v>
      </c>
      <c r="C2" s="123" t="s">
        <v>1137</v>
      </c>
      <c r="D2" s="219" t="s">
        <v>356</v>
      </c>
      <c r="E2" s="195"/>
      <c r="F2" s="195"/>
      <c r="G2" s="195"/>
      <c r="H2" s="195"/>
    </row>
    <row r="3" spans="1:8" x14ac:dyDescent="0.25">
      <c r="A3" s="12" t="s">
        <v>1138</v>
      </c>
      <c r="B3" s="22">
        <v>1</v>
      </c>
      <c r="C3" s="123" t="s">
        <v>1137</v>
      </c>
      <c r="D3" s="219" t="s">
        <v>356</v>
      </c>
      <c r="E3" s="195"/>
      <c r="F3" s="195"/>
      <c r="G3" s="195"/>
      <c r="H3" s="195"/>
    </row>
    <row r="4" spans="1:8" x14ac:dyDescent="0.25">
      <c r="A4" s="12" t="s">
        <v>1139</v>
      </c>
      <c r="B4" s="22">
        <v>1</v>
      </c>
      <c r="C4" s="123" t="s">
        <v>1140</v>
      </c>
      <c r="D4" s="219" t="s">
        <v>356</v>
      </c>
      <c r="E4" s="195"/>
      <c r="F4" s="195"/>
      <c r="G4" s="195"/>
      <c r="H4" s="195"/>
    </row>
    <row r="5" spans="1:8" x14ac:dyDescent="0.25">
      <c r="A5" s="12" t="s">
        <v>1141</v>
      </c>
      <c r="B5" s="22">
        <v>1</v>
      </c>
      <c r="C5" s="123" t="s">
        <v>1142</v>
      </c>
      <c r="D5" s="219" t="s">
        <v>356</v>
      </c>
      <c r="E5" s="195"/>
      <c r="F5" s="195"/>
      <c r="G5" s="195"/>
      <c r="H5" s="195"/>
    </row>
    <row r="6" spans="1:8" x14ac:dyDescent="0.25">
      <c r="A6" s="12" t="s">
        <v>1143</v>
      </c>
      <c r="B6" s="22">
        <v>1</v>
      </c>
      <c r="C6" s="123" t="s">
        <v>1144</v>
      </c>
      <c r="D6" s="219" t="s">
        <v>356</v>
      </c>
      <c r="E6" s="195"/>
      <c r="F6" s="195"/>
      <c r="G6" s="195"/>
      <c r="H6" s="195"/>
    </row>
    <row r="7" spans="1:8" x14ac:dyDescent="0.25">
      <c r="A7" s="12" t="s">
        <v>1145</v>
      </c>
      <c r="B7" s="22">
        <v>1</v>
      </c>
      <c r="C7" s="123" t="s">
        <v>1146</v>
      </c>
      <c r="D7" s="219" t="s">
        <v>356</v>
      </c>
      <c r="E7" s="195"/>
      <c r="F7" s="195"/>
      <c r="G7" s="195"/>
      <c r="H7" s="195"/>
    </row>
    <row r="8" spans="1:8" x14ac:dyDescent="0.25">
      <c r="A8" s="12" t="s">
        <v>1147</v>
      </c>
      <c r="B8" s="22">
        <v>1</v>
      </c>
      <c r="C8" s="123" t="s">
        <v>1148</v>
      </c>
      <c r="D8" s="219" t="s">
        <v>356</v>
      </c>
      <c r="E8" s="195"/>
      <c r="F8" s="195"/>
      <c r="G8" s="195"/>
      <c r="H8" s="195"/>
    </row>
    <row r="9" spans="1:8" x14ac:dyDescent="0.25">
      <c r="A9" s="12" t="s">
        <v>1149</v>
      </c>
      <c r="B9" s="22">
        <v>1</v>
      </c>
      <c r="C9" s="123" t="s">
        <v>1150</v>
      </c>
      <c r="D9" s="219" t="s">
        <v>356</v>
      </c>
      <c r="E9" s="195"/>
      <c r="F9" s="195"/>
      <c r="G9" s="195"/>
      <c r="H9" s="195"/>
    </row>
    <row r="10" spans="1:8" x14ac:dyDescent="0.25">
      <c r="A10" s="12" t="s">
        <v>1151</v>
      </c>
      <c r="B10" s="22">
        <v>1</v>
      </c>
      <c r="C10" s="123" t="s">
        <v>1152</v>
      </c>
      <c r="D10" s="219" t="s">
        <v>356</v>
      </c>
      <c r="E10" s="195"/>
      <c r="F10" s="195"/>
      <c r="G10" s="195"/>
      <c r="H10" s="195"/>
    </row>
    <row r="11" spans="1:8" x14ac:dyDescent="0.25">
      <c r="A11" s="12" t="s">
        <v>1153</v>
      </c>
      <c r="B11" s="22">
        <v>1</v>
      </c>
      <c r="C11" s="220" t="s">
        <v>1154</v>
      </c>
      <c r="D11" s="219" t="s">
        <v>356</v>
      </c>
      <c r="E11" s="195"/>
      <c r="F11" s="195"/>
      <c r="G11" s="195"/>
      <c r="H11" s="195"/>
    </row>
    <row r="12" spans="1:8" x14ac:dyDescent="0.25">
      <c r="A12" s="12" t="s">
        <v>1155</v>
      </c>
      <c r="B12" s="22">
        <v>1</v>
      </c>
      <c r="C12" s="220" t="s">
        <v>1156</v>
      </c>
      <c r="D12" s="219" t="s">
        <v>356</v>
      </c>
      <c r="E12" s="195"/>
      <c r="F12" s="195"/>
      <c r="G12" s="195"/>
      <c r="H12" s="195"/>
    </row>
    <row r="13" spans="1:8" x14ac:dyDescent="0.25">
      <c r="A13" s="12" t="s">
        <v>1157</v>
      </c>
      <c r="B13" s="22">
        <v>1</v>
      </c>
      <c r="C13" s="220" t="s">
        <v>1158</v>
      </c>
      <c r="D13" s="219" t="s">
        <v>356</v>
      </c>
      <c r="E13" s="195"/>
      <c r="F13" s="195"/>
      <c r="G13" s="195"/>
      <c r="H13" s="195"/>
    </row>
    <row r="14" spans="1:8" x14ac:dyDescent="0.25">
      <c r="A14" s="12" t="s">
        <v>1159</v>
      </c>
      <c r="B14" s="22">
        <v>1</v>
      </c>
      <c r="C14" s="220" t="s">
        <v>1160</v>
      </c>
      <c r="D14" s="219" t="s">
        <v>356</v>
      </c>
      <c r="E14" s="195"/>
      <c r="F14" s="195"/>
      <c r="G14" s="195"/>
      <c r="H14" s="195"/>
    </row>
    <row r="15" spans="1:8" x14ac:dyDescent="0.25">
      <c r="A15" s="12" t="s">
        <v>1161</v>
      </c>
      <c r="B15" s="22">
        <v>1</v>
      </c>
      <c r="C15" s="220" t="s">
        <v>1162</v>
      </c>
      <c r="D15" s="219" t="s">
        <v>356</v>
      </c>
      <c r="E15" s="195"/>
      <c r="F15" s="195"/>
      <c r="G15" s="195"/>
      <c r="H15" s="195"/>
    </row>
    <row r="16" spans="1:8" x14ac:dyDescent="0.25">
      <c r="A16" s="12" t="s">
        <v>1163</v>
      </c>
      <c r="B16" s="22">
        <v>1</v>
      </c>
      <c r="C16" s="123" t="s">
        <v>1164</v>
      </c>
      <c r="D16" s="219" t="s">
        <v>356</v>
      </c>
      <c r="E16" s="195"/>
      <c r="F16" s="195"/>
      <c r="G16" s="195"/>
      <c r="H16" s="195"/>
    </row>
    <row r="17" spans="1:8" x14ac:dyDescent="0.25">
      <c r="A17" s="12" t="s">
        <v>1165</v>
      </c>
      <c r="B17" s="22">
        <v>1</v>
      </c>
      <c r="C17" s="123" t="s">
        <v>1164</v>
      </c>
      <c r="D17" s="219" t="s">
        <v>356</v>
      </c>
      <c r="E17" s="195"/>
      <c r="F17" s="195"/>
      <c r="G17" s="195"/>
      <c r="H17" s="195"/>
    </row>
    <row r="18" spans="1:8" x14ac:dyDescent="0.25">
      <c r="A18" s="12" t="s">
        <v>1166</v>
      </c>
      <c r="B18" s="22">
        <v>2</v>
      </c>
      <c r="C18" s="123" t="s">
        <v>1164</v>
      </c>
      <c r="D18" s="219" t="s">
        <v>356</v>
      </c>
      <c r="E18" s="195"/>
      <c r="F18" s="195"/>
      <c r="G18" s="195"/>
      <c r="H18" s="195"/>
    </row>
    <row r="19" spans="1:8" x14ac:dyDescent="0.25">
      <c r="A19" s="12" t="s">
        <v>1167</v>
      </c>
      <c r="B19" s="22">
        <v>1</v>
      </c>
      <c r="C19" s="123" t="s">
        <v>1168</v>
      </c>
      <c r="D19" s="219" t="s">
        <v>356</v>
      </c>
      <c r="E19" s="195"/>
      <c r="F19" s="195"/>
      <c r="G19" s="195"/>
      <c r="H19" s="195"/>
    </row>
    <row r="20" spans="1:8" x14ac:dyDescent="0.25">
      <c r="A20" s="12" t="s">
        <v>1167</v>
      </c>
      <c r="B20" s="22">
        <v>1</v>
      </c>
      <c r="C20" s="123" t="s">
        <v>1169</v>
      </c>
      <c r="D20" s="219" t="s">
        <v>356</v>
      </c>
      <c r="E20" s="195"/>
      <c r="F20" s="195"/>
      <c r="G20" s="195"/>
      <c r="H20" s="195"/>
    </row>
    <row r="21" spans="1:8" x14ac:dyDescent="0.25">
      <c r="A21" s="12" t="s">
        <v>1170</v>
      </c>
      <c r="B21" s="22">
        <v>1</v>
      </c>
      <c r="C21" s="123" t="s">
        <v>1171</v>
      </c>
      <c r="D21" s="219" t="s">
        <v>356</v>
      </c>
      <c r="E21" s="195"/>
      <c r="F21" s="195"/>
      <c r="G21" s="195"/>
      <c r="H21" s="195"/>
    </row>
    <row r="22" spans="1:8" x14ac:dyDescent="0.25">
      <c r="A22" s="12" t="s">
        <v>1172</v>
      </c>
      <c r="B22" s="22">
        <v>1</v>
      </c>
      <c r="C22" s="123" t="s">
        <v>1173</v>
      </c>
      <c r="D22" s="219" t="s">
        <v>356</v>
      </c>
      <c r="E22" s="195"/>
      <c r="F22" s="195"/>
      <c r="G22" s="195"/>
      <c r="H22" s="195"/>
    </row>
    <row r="23" spans="1:8" x14ac:dyDescent="0.25">
      <c r="A23" s="12" t="s">
        <v>1174</v>
      </c>
      <c r="B23" s="22">
        <v>1</v>
      </c>
      <c r="C23" s="123" t="s">
        <v>1175</v>
      </c>
      <c r="D23" s="219" t="s">
        <v>356</v>
      </c>
      <c r="E23" s="195"/>
      <c r="F23" s="195"/>
      <c r="G23" s="195"/>
      <c r="H23" s="195"/>
    </row>
    <row r="24" spans="1:8" x14ac:dyDescent="0.25">
      <c r="A24" s="12" t="s">
        <v>1176</v>
      </c>
      <c r="B24" s="22">
        <v>1</v>
      </c>
      <c r="C24" s="123" t="s">
        <v>1177</v>
      </c>
      <c r="D24" s="219" t="s">
        <v>356</v>
      </c>
      <c r="E24" s="195"/>
      <c r="F24" s="195"/>
      <c r="G24" s="195"/>
      <c r="H24" s="195"/>
    </row>
    <row r="25" spans="1:8" x14ac:dyDescent="0.25">
      <c r="A25" s="12" t="s">
        <v>1178</v>
      </c>
      <c r="B25" s="22">
        <v>1</v>
      </c>
      <c r="C25" s="123" t="s">
        <v>1179</v>
      </c>
      <c r="D25" s="219" t="s">
        <v>356</v>
      </c>
      <c r="E25" s="195"/>
      <c r="F25" s="195"/>
      <c r="G25" s="195"/>
      <c r="H25" s="195"/>
    </row>
    <row r="26" spans="1:8" x14ac:dyDescent="0.25">
      <c r="A26" s="12" t="s">
        <v>1180</v>
      </c>
      <c r="B26" s="22">
        <v>1</v>
      </c>
      <c r="C26" s="123" t="s">
        <v>1181</v>
      </c>
      <c r="D26" s="219" t="s">
        <v>356</v>
      </c>
      <c r="E26" s="195"/>
      <c r="F26" s="195"/>
      <c r="G26" s="195"/>
      <c r="H26" s="195"/>
    </row>
    <row r="27" spans="1:8" x14ac:dyDescent="0.25">
      <c r="A27" s="12" t="s">
        <v>1182</v>
      </c>
      <c r="B27" s="22">
        <v>1</v>
      </c>
      <c r="C27" s="123" t="s">
        <v>1183</v>
      </c>
      <c r="D27" s="219" t="s">
        <v>356</v>
      </c>
      <c r="E27" s="195"/>
      <c r="F27" s="195"/>
      <c r="G27" s="195"/>
      <c r="H27" s="195"/>
    </row>
    <row r="28" spans="1:8" x14ac:dyDescent="0.25">
      <c r="A28" s="12" t="s">
        <v>1184</v>
      </c>
      <c r="B28" s="22">
        <v>1</v>
      </c>
      <c r="C28" s="123" t="s">
        <v>1185</v>
      </c>
      <c r="D28" s="219" t="s">
        <v>356</v>
      </c>
      <c r="E28" s="195"/>
      <c r="F28" s="195"/>
      <c r="G28" s="195"/>
      <c r="H28" s="195"/>
    </row>
    <row r="29" spans="1:8" x14ac:dyDescent="0.25">
      <c r="A29" s="12" t="s">
        <v>1186</v>
      </c>
      <c r="B29" s="22">
        <v>1</v>
      </c>
      <c r="C29" s="123" t="s">
        <v>1187</v>
      </c>
      <c r="D29" s="219" t="s">
        <v>356</v>
      </c>
      <c r="E29" s="195"/>
      <c r="F29" s="195"/>
      <c r="G29" s="195"/>
      <c r="H29" s="195"/>
    </row>
    <row r="30" spans="1:8" x14ac:dyDescent="0.25">
      <c r="A30" s="12" t="s">
        <v>1188</v>
      </c>
      <c r="B30" s="22">
        <v>1</v>
      </c>
      <c r="C30" s="123" t="s">
        <v>1189</v>
      </c>
      <c r="D30" s="219" t="s">
        <v>356</v>
      </c>
      <c r="E30" s="195"/>
      <c r="F30" s="195"/>
      <c r="G30" s="195"/>
      <c r="H30" s="195"/>
    </row>
    <row r="31" spans="1:8" x14ac:dyDescent="0.25">
      <c r="A31" s="12" t="s">
        <v>1190</v>
      </c>
      <c r="B31" s="22">
        <v>1</v>
      </c>
      <c r="C31" s="123" t="s">
        <v>1191</v>
      </c>
      <c r="D31" s="219" t="s">
        <v>356</v>
      </c>
      <c r="E31" s="195"/>
      <c r="F31" s="195"/>
      <c r="G31" s="195"/>
      <c r="H31" s="195"/>
    </row>
    <row r="32" spans="1:8" x14ac:dyDescent="0.25">
      <c r="A32" s="12" t="s">
        <v>1192</v>
      </c>
      <c r="B32" s="22">
        <v>1</v>
      </c>
      <c r="C32" s="123" t="s">
        <v>1193</v>
      </c>
      <c r="D32" s="219" t="s">
        <v>356</v>
      </c>
      <c r="E32" s="195"/>
      <c r="F32" s="195"/>
      <c r="G32" s="195"/>
      <c r="H32" s="195"/>
    </row>
    <row r="33" spans="1:8" x14ac:dyDescent="0.25">
      <c r="A33" s="12" t="s">
        <v>1194</v>
      </c>
      <c r="B33" s="22">
        <v>1</v>
      </c>
      <c r="C33" s="123" t="s">
        <v>1195</v>
      </c>
      <c r="D33" s="219" t="s">
        <v>356</v>
      </c>
      <c r="E33" s="195"/>
      <c r="F33" s="195"/>
      <c r="G33" s="195"/>
      <c r="H33" s="195"/>
    </row>
    <row r="34" spans="1:8" x14ac:dyDescent="0.25">
      <c r="A34" s="12" t="s">
        <v>1196</v>
      </c>
      <c r="B34" s="22">
        <v>1</v>
      </c>
      <c r="C34" s="123" t="s">
        <v>1197</v>
      </c>
      <c r="D34" s="219" t="s">
        <v>356</v>
      </c>
      <c r="E34" s="195"/>
      <c r="F34" s="195"/>
      <c r="G34" s="195"/>
      <c r="H34" s="195"/>
    </row>
    <row r="35" spans="1:8" x14ac:dyDescent="0.25">
      <c r="A35" s="12" t="s">
        <v>1198</v>
      </c>
      <c r="B35" s="22">
        <v>1</v>
      </c>
      <c r="C35" s="123" t="s">
        <v>1199</v>
      </c>
      <c r="D35" s="219" t="s">
        <v>356</v>
      </c>
      <c r="E35" s="195"/>
      <c r="F35" s="195"/>
      <c r="G35" s="195"/>
      <c r="H35" s="195"/>
    </row>
    <row r="36" spans="1:8" x14ac:dyDescent="0.25">
      <c r="A36" s="12" t="s">
        <v>1200</v>
      </c>
      <c r="B36" s="22">
        <v>1</v>
      </c>
      <c r="C36" s="123" t="s">
        <v>1201</v>
      </c>
      <c r="D36" s="219" t="s">
        <v>356</v>
      </c>
      <c r="E36" s="195"/>
      <c r="F36" s="195"/>
      <c r="G36" s="195"/>
      <c r="H36" s="195"/>
    </row>
    <row r="37" spans="1:8" x14ac:dyDescent="0.25">
      <c r="A37" s="12" t="s">
        <v>1202</v>
      </c>
      <c r="B37" s="22">
        <v>1</v>
      </c>
      <c r="C37" s="123" t="s">
        <v>1203</v>
      </c>
      <c r="D37" s="219" t="s">
        <v>356</v>
      </c>
      <c r="E37" s="195"/>
      <c r="F37" s="195"/>
      <c r="G37" s="195"/>
      <c r="H37" s="195"/>
    </row>
    <row r="38" spans="1:8" x14ac:dyDescent="0.25">
      <c r="A38" s="12" t="s">
        <v>1204</v>
      </c>
      <c r="B38" s="22">
        <v>1</v>
      </c>
      <c r="C38" s="123" t="s">
        <v>1205</v>
      </c>
      <c r="D38" s="219" t="s">
        <v>356</v>
      </c>
      <c r="E38" s="195"/>
      <c r="F38" s="195"/>
      <c r="G38" s="195"/>
      <c r="H38" s="195"/>
    </row>
    <row r="39" spans="1:8" x14ac:dyDescent="0.25">
      <c r="A39" s="12" t="s">
        <v>1206</v>
      </c>
      <c r="B39" s="22">
        <v>1</v>
      </c>
      <c r="C39" s="123" t="s">
        <v>1207</v>
      </c>
      <c r="D39" s="219" t="s">
        <v>356</v>
      </c>
      <c r="E39" s="195"/>
      <c r="F39" s="195"/>
      <c r="G39" s="195"/>
      <c r="H39" s="195"/>
    </row>
    <row r="40" spans="1:8" x14ac:dyDescent="0.25">
      <c r="A40" s="12" t="s">
        <v>778</v>
      </c>
      <c r="B40" s="22">
        <v>1</v>
      </c>
      <c r="C40" s="216">
        <v>662550</v>
      </c>
      <c r="D40" s="214" t="s">
        <v>501</v>
      </c>
      <c r="E40" s="195"/>
      <c r="F40" s="195"/>
      <c r="G40" s="195"/>
      <c r="H40" s="195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BD6F7-4148-4CCE-A2C3-3ACF6F0004AC}">
  <sheetPr codeName="Planilha36">
    <tabColor rgb="FF92D050"/>
  </sheetPr>
  <dimension ref="A1:I58"/>
  <sheetViews>
    <sheetView workbookViewId="0">
      <pane ySplit="1" topLeftCell="A2" activePane="bottomLeft" state="frozen"/>
      <selection activeCell="A53" sqref="A53"/>
      <selection pane="bottomLeft" activeCell="I12" sqref="I12"/>
    </sheetView>
  </sheetViews>
  <sheetFormatPr defaultRowHeight="15" x14ac:dyDescent="0.25"/>
  <cols>
    <col min="1" max="1" width="51.85546875" customWidth="1"/>
    <col min="2" max="2" width="13" customWidth="1"/>
    <col min="3" max="3" width="17.140625" customWidth="1"/>
    <col min="4" max="4" width="16.85546875" customWidth="1"/>
    <col min="5" max="5" width="28.85546875" customWidth="1"/>
    <col min="6" max="6" width="15.7109375" style="40" customWidth="1"/>
    <col min="7" max="7" width="15.42578125" style="40" customWidth="1"/>
    <col min="8" max="8" width="15.42578125" style="324" customWidth="1"/>
    <col min="9" max="9" width="15.42578125" customWidth="1"/>
  </cols>
  <sheetData>
    <row r="1" spans="1:9" ht="31.5" x14ac:dyDescent="0.25">
      <c r="A1" s="140" t="s">
        <v>0</v>
      </c>
      <c r="B1" s="148" t="s">
        <v>305</v>
      </c>
      <c r="C1" s="149" t="s">
        <v>360</v>
      </c>
      <c r="D1" s="197" t="s">
        <v>1721</v>
      </c>
      <c r="E1" s="194" t="s">
        <v>1723</v>
      </c>
      <c r="F1" s="194" t="s">
        <v>1724</v>
      </c>
      <c r="G1" s="194" t="s">
        <v>1722</v>
      </c>
      <c r="H1" s="321" t="s">
        <v>1725</v>
      </c>
      <c r="I1" s="321" t="s">
        <v>2317</v>
      </c>
    </row>
    <row r="2" spans="1:9" x14ac:dyDescent="0.25">
      <c r="A2" s="110" t="s">
        <v>195</v>
      </c>
      <c r="B2" s="152">
        <v>1</v>
      </c>
      <c r="C2" s="138" t="s">
        <v>198</v>
      </c>
      <c r="D2" s="214" t="s">
        <v>8</v>
      </c>
      <c r="E2" s="195" t="s">
        <v>2194</v>
      </c>
      <c r="F2" s="308" t="s">
        <v>1736</v>
      </c>
      <c r="G2" s="308">
        <v>81897710001</v>
      </c>
      <c r="H2" s="322">
        <v>1827.7943478260872</v>
      </c>
      <c r="I2" s="322">
        <f>H2*B2</f>
        <v>1827.7943478260872</v>
      </c>
    </row>
    <row r="3" spans="1:9" x14ac:dyDescent="0.25">
      <c r="A3" s="139" t="s">
        <v>1208</v>
      </c>
      <c r="B3" s="150">
        <v>2</v>
      </c>
      <c r="C3" s="106" t="s">
        <v>14</v>
      </c>
      <c r="D3" s="183" t="s">
        <v>8</v>
      </c>
      <c r="E3" s="195" t="s">
        <v>2199</v>
      </c>
      <c r="F3" s="308" t="s">
        <v>1733</v>
      </c>
      <c r="G3" s="308">
        <v>81897710023</v>
      </c>
      <c r="H3" s="322">
        <v>270.4636956521739</v>
      </c>
      <c r="I3" s="322">
        <f t="shared" ref="I3:I57" si="0">H3*B3</f>
        <v>540.92739130434779</v>
      </c>
    </row>
    <row r="4" spans="1:9" x14ac:dyDescent="0.25">
      <c r="A4" s="139" t="s">
        <v>1209</v>
      </c>
      <c r="B4" s="150">
        <v>2</v>
      </c>
      <c r="C4" s="106" t="s">
        <v>22</v>
      </c>
      <c r="D4" s="183" t="s">
        <v>8</v>
      </c>
      <c r="E4" s="195" t="s">
        <v>2209</v>
      </c>
      <c r="F4" s="308" t="s">
        <v>1750</v>
      </c>
      <c r="G4" s="308">
        <v>81897710023</v>
      </c>
      <c r="H4" s="322">
        <v>451.58086956521737</v>
      </c>
      <c r="I4" s="322">
        <f t="shared" si="0"/>
        <v>903.16173913043474</v>
      </c>
    </row>
    <row r="5" spans="1:9" x14ac:dyDescent="0.25">
      <c r="A5" s="451" t="s">
        <v>975</v>
      </c>
      <c r="B5" s="150">
        <v>1</v>
      </c>
      <c r="C5" s="106" t="s">
        <v>307</v>
      </c>
      <c r="D5" s="183" t="s">
        <v>501</v>
      </c>
      <c r="E5" s="195" t="s">
        <v>2667</v>
      </c>
      <c r="F5" s="308" t="s">
        <v>2527</v>
      </c>
      <c r="G5" s="308" t="s">
        <v>2336</v>
      </c>
      <c r="H5" s="322">
        <v>2962.4413043478262</v>
      </c>
      <c r="I5" s="322">
        <f t="shared" si="0"/>
        <v>2962.4413043478262</v>
      </c>
    </row>
    <row r="6" spans="1:9" x14ac:dyDescent="0.25">
      <c r="A6" s="445" t="s">
        <v>1210</v>
      </c>
      <c r="B6" s="152">
        <v>1</v>
      </c>
      <c r="C6" s="138" t="s">
        <v>1211</v>
      </c>
      <c r="D6" s="214" t="s">
        <v>8</v>
      </c>
      <c r="E6" s="195" t="s">
        <v>2528</v>
      </c>
      <c r="F6" s="308" t="s">
        <v>2047</v>
      </c>
      <c r="G6" s="308">
        <v>81897710023</v>
      </c>
      <c r="H6" s="322">
        <v>198.08608695652174</v>
      </c>
      <c r="I6" s="322">
        <f t="shared" si="0"/>
        <v>198.08608695652174</v>
      </c>
    </row>
    <row r="7" spans="1:9" x14ac:dyDescent="0.25">
      <c r="A7" s="445" t="s">
        <v>1212</v>
      </c>
      <c r="B7" s="152">
        <v>1</v>
      </c>
      <c r="C7" s="138" t="s">
        <v>1213</v>
      </c>
      <c r="D7" s="214" t="s">
        <v>8</v>
      </c>
      <c r="E7" s="195" t="s">
        <v>2529</v>
      </c>
      <c r="F7" s="308" t="s">
        <v>2046</v>
      </c>
      <c r="G7" s="308">
        <v>81897710023</v>
      </c>
      <c r="H7" s="322">
        <v>203.62695652173912</v>
      </c>
      <c r="I7" s="322">
        <f t="shared" si="0"/>
        <v>203.62695652173912</v>
      </c>
    </row>
    <row r="8" spans="1:9" x14ac:dyDescent="0.25">
      <c r="A8" s="451" t="s">
        <v>1214</v>
      </c>
      <c r="B8" s="150">
        <v>1</v>
      </c>
      <c r="C8" s="106" t="s">
        <v>542</v>
      </c>
      <c r="D8" s="183" t="s">
        <v>8</v>
      </c>
      <c r="E8" s="195" t="s">
        <v>2384</v>
      </c>
      <c r="F8" s="308" t="s">
        <v>1837</v>
      </c>
      <c r="G8" s="308">
        <v>81897710001</v>
      </c>
      <c r="H8" s="322">
        <v>338.68565217391301</v>
      </c>
      <c r="I8" s="322">
        <f t="shared" si="0"/>
        <v>338.68565217391301</v>
      </c>
    </row>
    <row r="9" spans="1:9" x14ac:dyDescent="0.25">
      <c r="A9" s="451" t="s">
        <v>1215</v>
      </c>
      <c r="B9" s="150">
        <v>1</v>
      </c>
      <c r="C9" s="106" t="s">
        <v>544</v>
      </c>
      <c r="D9" s="183" t="s">
        <v>8</v>
      </c>
      <c r="E9" s="195" t="s">
        <v>2385</v>
      </c>
      <c r="F9" s="308" t="s">
        <v>1835</v>
      </c>
      <c r="G9" s="308">
        <v>81897710001</v>
      </c>
      <c r="H9" s="322">
        <v>324.48717391304348</v>
      </c>
      <c r="I9" s="322">
        <f t="shared" si="0"/>
        <v>324.48717391304348</v>
      </c>
    </row>
    <row r="10" spans="1:9" x14ac:dyDescent="0.25">
      <c r="A10" s="445" t="s">
        <v>1216</v>
      </c>
      <c r="B10" s="152">
        <v>2</v>
      </c>
      <c r="C10" s="138" t="s">
        <v>1217</v>
      </c>
      <c r="D10" s="214" t="s">
        <v>363</v>
      </c>
      <c r="E10" s="195" t="s">
        <v>2530</v>
      </c>
      <c r="F10" s="308" t="s">
        <v>2191</v>
      </c>
      <c r="G10" s="308">
        <v>81897710012</v>
      </c>
      <c r="H10" s="322">
        <v>493.476</v>
      </c>
      <c r="I10" s="322">
        <f t="shared" si="0"/>
        <v>986.952</v>
      </c>
    </row>
    <row r="11" spans="1:9" x14ac:dyDescent="0.25">
      <c r="A11" s="451" t="s">
        <v>703</v>
      </c>
      <c r="B11" s="150">
        <v>2</v>
      </c>
      <c r="C11" s="106" t="s">
        <v>601</v>
      </c>
      <c r="D11" s="183" t="s">
        <v>8</v>
      </c>
      <c r="E11" s="195" t="s">
        <v>2247</v>
      </c>
      <c r="F11" s="308" t="s">
        <v>1731</v>
      </c>
      <c r="G11" s="308">
        <v>81897710023</v>
      </c>
      <c r="H11" s="322">
        <v>93.502173913043478</v>
      </c>
      <c r="I11" s="322">
        <f t="shared" si="0"/>
        <v>187.00434782608696</v>
      </c>
    </row>
    <row r="12" spans="1:9" x14ac:dyDescent="0.25">
      <c r="A12" s="451" t="s">
        <v>704</v>
      </c>
      <c r="B12" s="150">
        <v>2</v>
      </c>
      <c r="C12" s="106" t="s">
        <v>33</v>
      </c>
      <c r="D12" s="183" t="s">
        <v>8</v>
      </c>
      <c r="E12" s="195" t="s">
        <v>2248</v>
      </c>
      <c r="F12" s="308" t="s">
        <v>1730</v>
      </c>
      <c r="G12" s="308">
        <v>81897710023</v>
      </c>
      <c r="H12" s="322">
        <v>90.385434782608684</v>
      </c>
      <c r="I12" s="322">
        <f t="shared" si="0"/>
        <v>180.77086956521737</v>
      </c>
    </row>
    <row r="13" spans="1:9" x14ac:dyDescent="0.25">
      <c r="A13" s="139" t="s">
        <v>1218</v>
      </c>
      <c r="B13" s="150">
        <v>4</v>
      </c>
      <c r="C13" s="106" t="s">
        <v>39</v>
      </c>
      <c r="D13" s="183" t="s">
        <v>8</v>
      </c>
      <c r="E13" s="195" t="s">
        <v>2250</v>
      </c>
      <c r="F13" s="308" t="s">
        <v>1850</v>
      </c>
      <c r="G13" s="308">
        <v>81897710001</v>
      </c>
      <c r="H13" s="322">
        <v>277.04347826086962</v>
      </c>
      <c r="I13" s="322">
        <f t="shared" si="0"/>
        <v>1108.1739130434785</v>
      </c>
    </row>
    <row r="14" spans="1:9" x14ac:dyDescent="0.25">
      <c r="A14" s="139" t="s">
        <v>705</v>
      </c>
      <c r="B14" s="150">
        <v>5</v>
      </c>
      <c r="C14" s="106" t="s">
        <v>36</v>
      </c>
      <c r="D14" s="183" t="s">
        <v>8</v>
      </c>
      <c r="E14" s="195" t="s">
        <v>2249</v>
      </c>
      <c r="F14" s="308" t="s">
        <v>1848</v>
      </c>
      <c r="G14" s="308">
        <v>81897710001</v>
      </c>
      <c r="H14" s="322">
        <v>205.01217391304351</v>
      </c>
      <c r="I14" s="322">
        <f t="shared" si="0"/>
        <v>1025.0608695652177</v>
      </c>
    </row>
    <row r="15" spans="1:9" x14ac:dyDescent="0.25">
      <c r="A15" s="139" t="s">
        <v>706</v>
      </c>
      <c r="B15" s="150">
        <v>2</v>
      </c>
      <c r="C15" s="106" t="s">
        <v>678</v>
      </c>
      <c r="D15" s="183" t="s">
        <v>8</v>
      </c>
      <c r="E15" s="195" t="s">
        <v>2416</v>
      </c>
      <c r="F15" s="308" t="s">
        <v>1853</v>
      </c>
      <c r="G15" s="308">
        <v>81897710023</v>
      </c>
      <c r="H15" s="322">
        <v>121.55282608695654</v>
      </c>
      <c r="I15" s="322">
        <f t="shared" si="0"/>
        <v>243.10565217391309</v>
      </c>
    </row>
    <row r="16" spans="1:9" x14ac:dyDescent="0.25">
      <c r="A16" s="139" t="s">
        <v>46</v>
      </c>
      <c r="B16" s="150">
        <v>2</v>
      </c>
      <c r="C16" s="106" t="s">
        <v>47</v>
      </c>
      <c r="D16" s="183" t="s">
        <v>8</v>
      </c>
      <c r="E16" s="195" t="s">
        <v>2254</v>
      </c>
      <c r="F16" s="308" t="s">
        <v>1855</v>
      </c>
      <c r="G16" s="308">
        <v>81897710023</v>
      </c>
      <c r="H16" s="322">
        <v>126.74739130434781</v>
      </c>
      <c r="I16" s="322">
        <f t="shared" si="0"/>
        <v>253.49478260869563</v>
      </c>
    </row>
    <row r="17" spans="1:9" x14ac:dyDescent="0.25">
      <c r="A17" s="139" t="s">
        <v>50</v>
      </c>
      <c r="B17" s="150">
        <v>1</v>
      </c>
      <c r="C17" s="106" t="s">
        <v>51</v>
      </c>
      <c r="D17" s="183" t="s">
        <v>8</v>
      </c>
      <c r="E17" s="195" t="s">
        <v>2256</v>
      </c>
      <c r="F17" s="308" t="s">
        <v>1856</v>
      </c>
      <c r="G17" s="308">
        <v>81897710023</v>
      </c>
      <c r="H17" s="322">
        <v>205.01217391304351</v>
      </c>
      <c r="I17" s="322">
        <f t="shared" si="0"/>
        <v>205.01217391304351</v>
      </c>
    </row>
    <row r="18" spans="1:9" x14ac:dyDescent="0.25">
      <c r="A18" s="139" t="s">
        <v>308</v>
      </c>
      <c r="B18" s="150">
        <v>4</v>
      </c>
      <c r="C18" s="106">
        <v>957</v>
      </c>
      <c r="D18" s="183" t="s">
        <v>4</v>
      </c>
      <c r="E18" s="195" t="s">
        <v>2258</v>
      </c>
      <c r="F18" s="308" t="s">
        <v>1861</v>
      </c>
      <c r="G18" s="308">
        <v>81897710001</v>
      </c>
      <c r="H18" s="322">
        <v>145.7941304347826</v>
      </c>
      <c r="I18" s="322">
        <f t="shared" si="0"/>
        <v>583.17652173913041</v>
      </c>
    </row>
    <row r="19" spans="1:9" x14ac:dyDescent="0.25">
      <c r="A19" s="139" t="s">
        <v>1219</v>
      </c>
      <c r="B19" s="150">
        <v>1</v>
      </c>
      <c r="C19" s="106" t="s">
        <v>53</v>
      </c>
      <c r="D19" s="183" t="s">
        <v>8</v>
      </c>
      <c r="E19" s="195" t="s">
        <v>2260</v>
      </c>
      <c r="F19" s="308" t="s">
        <v>1866</v>
      </c>
      <c r="G19" s="308">
        <v>81897710001</v>
      </c>
      <c r="H19" s="322">
        <v>545.08304347826083</v>
      </c>
      <c r="I19" s="322">
        <f t="shared" si="0"/>
        <v>545.08304347826083</v>
      </c>
    </row>
    <row r="20" spans="1:9" x14ac:dyDescent="0.25">
      <c r="A20" s="139" t="s">
        <v>1220</v>
      </c>
      <c r="B20" s="150">
        <v>2</v>
      </c>
      <c r="C20" s="106" t="s">
        <v>262</v>
      </c>
      <c r="D20" s="183" t="s">
        <v>8</v>
      </c>
      <c r="E20" s="195" t="s">
        <v>2263</v>
      </c>
      <c r="F20" s="308" t="s">
        <v>2009</v>
      </c>
      <c r="G20" s="308">
        <v>81897710023</v>
      </c>
      <c r="H20" s="322">
        <v>655.20782608695663</v>
      </c>
      <c r="I20" s="322">
        <f t="shared" si="0"/>
        <v>1310.4156521739133</v>
      </c>
    </row>
    <row r="21" spans="1:9" x14ac:dyDescent="0.25">
      <c r="A21" s="139" t="s">
        <v>56</v>
      </c>
      <c r="B21" s="150">
        <v>1</v>
      </c>
      <c r="C21" s="106" t="s">
        <v>57</v>
      </c>
      <c r="D21" s="183" t="s">
        <v>8</v>
      </c>
      <c r="E21" s="195" t="s">
        <v>2265</v>
      </c>
      <c r="F21" s="308" t="s">
        <v>1876</v>
      </c>
      <c r="G21" s="308">
        <v>81897710023</v>
      </c>
      <c r="H21" s="322">
        <v>104.93021739130435</v>
      </c>
      <c r="I21" s="322">
        <f t="shared" si="0"/>
        <v>104.93021739130435</v>
      </c>
    </row>
    <row r="22" spans="1:9" x14ac:dyDescent="0.25">
      <c r="A22" s="139" t="s">
        <v>1221</v>
      </c>
      <c r="B22" s="150">
        <v>1</v>
      </c>
      <c r="C22" s="106" t="s">
        <v>683</v>
      </c>
      <c r="D22" s="183" t="s">
        <v>8</v>
      </c>
      <c r="E22" s="195" t="s">
        <v>2417</v>
      </c>
      <c r="F22" s="308" t="s">
        <v>1879</v>
      </c>
      <c r="G22" s="308">
        <v>81897710023</v>
      </c>
      <c r="H22" s="322">
        <v>125.70847826086957</v>
      </c>
      <c r="I22" s="322">
        <f t="shared" si="0"/>
        <v>125.70847826086957</v>
      </c>
    </row>
    <row r="23" spans="1:9" x14ac:dyDescent="0.25">
      <c r="A23" s="139" t="s">
        <v>58</v>
      </c>
      <c r="B23" s="150">
        <v>2</v>
      </c>
      <c r="C23" s="106" t="s">
        <v>59</v>
      </c>
      <c r="D23" s="183" t="s">
        <v>8</v>
      </c>
      <c r="E23" s="195" t="s">
        <v>2266</v>
      </c>
      <c r="F23" s="308" t="s">
        <v>1880</v>
      </c>
      <c r="G23" s="308">
        <v>81897710023</v>
      </c>
      <c r="H23" s="322">
        <v>130.90304347826086</v>
      </c>
      <c r="I23" s="322">
        <f t="shared" si="0"/>
        <v>261.80608695652171</v>
      </c>
    </row>
    <row r="24" spans="1:9" x14ac:dyDescent="0.25">
      <c r="A24" s="139" t="s">
        <v>60</v>
      </c>
      <c r="B24" s="150">
        <v>1</v>
      </c>
      <c r="C24" s="106" t="s">
        <v>61</v>
      </c>
      <c r="D24" s="183" t="s">
        <v>8</v>
      </c>
      <c r="E24" s="195" t="s">
        <v>2267</v>
      </c>
      <c r="F24" s="308" t="s">
        <v>1877</v>
      </c>
      <c r="G24" s="308">
        <v>81897710023</v>
      </c>
      <c r="H24" s="322">
        <v>175.22999999999996</v>
      </c>
      <c r="I24" s="322">
        <f t="shared" si="0"/>
        <v>175.22999999999996</v>
      </c>
    </row>
    <row r="25" spans="1:9" x14ac:dyDescent="0.25">
      <c r="A25" s="139" t="s">
        <v>62</v>
      </c>
      <c r="B25" s="150">
        <v>1</v>
      </c>
      <c r="C25" s="106" t="s">
        <v>63</v>
      </c>
      <c r="D25" s="183" t="s">
        <v>8</v>
      </c>
      <c r="E25" s="195" t="s">
        <v>2268</v>
      </c>
      <c r="F25" s="308" t="s">
        <v>1878</v>
      </c>
      <c r="G25" s="308">
        <v>81897710023</v>
      </c>
      <c r="H25" s="322">
        <v>208.12891304347824</v>
      </c>
      <c r="I25" s="322">
        <f t="shared" si="0"/>
        <v>208.12891304347824</v>
      </c>
    </row>
    <row r="26" spans="1:9" x14ac:dyDescent="0.25">
      <c r="A26" s="139" t="s">
        <v>1222</v>
      </c>
      <c r="B26" s="150">
        <v>1</v>
      </c>
      <c r="C26" s="106" t="s">
        <v>1223</v>
      </c>
      <c r="D26" s="183" t="s">
        <v>8</v>
      </c>
      <c r="E26" s="195" t="s">
        <v>2531</v>
      </c>
      <c r="F26" s="308" t="s">
        <v>2048</v>
      </c>
      <c r="G26" s="308">
        <v>81897710001</v>
      </c>
      <c r="H26" s="322">
        <v>338.68565217391301</v>
      </c>
      <c r="I26" s="322">
        <f t="shared" si="0"/>
        <v>338.68565217391301</v>
      </c>
    </row>
    <row r="27" spans="1:9" x14ac:dyDescent="0.25">
      <c r="A27" s="139" t="s">
        <v>1224</v>
      </c>
      <c r="B27" s="150">
        <v>6</v>
      </c>
      <c r="C27" s="106" t="s">
        <v>1225</v>
      </c>
      <c r="D27" s="183" t="s">
        <v>8</v>
      </c>
      <c r="E27" s="195" t="s">
        <v>2532</v>
      </c>
      <c r="F27" s="308" t="s">
        <v>2049</v>
      </c>
      <c r="G27" s="308">
        <v>81897710001</v>
      </c>
      <c r="H27" s="322">
        <v>275.31195652173909</v>
      </c>
      <c r="I27" s="322">
        <f t="shared" si="0"/>
        <v>1651.8717391304344</v>
      </c>
    </row>
    <row r="28" spans="1:9" x14ac:dyDescent="0.25">
      <c r="A28" s="139" t="s">
        <v>1226</v>
      </c>
      <c r="B28" s="150">
        <v>1</v>
      </c>
      <c r="C28" s="106" t="s">
        <v>1227</v>
      </c>
      <c r="D28" s="183" t="s">
        <v>8</v>
      </c>
      <c r="E28" s="195" t="s">
        <v>2533</v>
      </c>
      <c r="F28" s="308" t="s">
        <v>2050</v>
      </c>
      <c r="G28" s="308">
        <v>81897710001</v>
      </c>
      <c r="H28" s="322">
        <v>190.46739130434781</v>
      </c>
      <c r="I28" s="322">
        <f t="shared" si="0"/>
        <v>190.46739130434781</v>
      </c>
    </row>
    <row r="29" spans="1:9" x14ac:dyDescent="0.25">
      <c r="A29" s="139" t="s">
        <v>1228</v>
      </c>
      <c r="B29" s="150">
        <v>1</v>
      </c>
      <c r="C29" s="106" t="s">
        <v>1229</v>
      </c>
      <c r="D29" s="183" t="s">
        <v>8</v>
      </c>
      <c r="E29" s="195" t="s">
        <v>2534</v>
      </c>
      <c r="F29" s="308" t="s">
        <v>1882</v>
      </c>
      <c r="G29" s="308">
        <v>81897710001</v>
      </c>
      <c r="H29" s="322">
        <v>261.11347826086956</v>
      </c>
      <c r="I29" s="322">
        <f t="shared" si="0"/>
        <v>261.11347826086956</v>
      </c>
    </row>
    <row r="30" spans="1:9" x14ac:dyDescent="0.25">
      <c r="A30" s="139" t="s">
        <v>1230</v>
      </c>
      <c r="B30" s="150">
        <v>6</v>
      </c>
      <c r="C30" s="106" t="s">
        <v>26</v>
      </c>
      <c r="D30" s="183" t="s">
        <v>8</v>
      </c>
      <c r="E30" s="195" t="s">
        <v>2244</v>
      </c>
      <c r="F30" s="308" t="s">
        <v>1845</v>
      </c>
      <c r="G30" s="308">
        <v>81897710001</v>
      </c>
      <c r="H30" s="322">
        <v>109.08586956521739</v>
      </c>
      <c r="I30" s="322">
        <f t="shared" si="0"/>
        <v>654.5152173913043</v>
      </c>
    </row>
    <row r="31" spans="1:9" x14ac:dyDescent="0.25">
      <c r="A31" s="139" t="s">
        <v>338</v>
      </c>
      <c r="B31" s="150">
        <v>8</v>
      </c>
      <c r="C31" s="106" t="s">
        <v>66</v>
      </c>
      <c r="D31" s="183" t="s">
        <v>8</v>
      </c>
      <c r="E31" s="195" t="s">
        <v>2271</v>
      </c>
      <c r="F31" s="308" t="s">
        <v>1895</v>
      </c>
      <c r="G31" s="308">
        <v>81897710001</v>
      </c>
      <c r="H31" s="322">
        <v>137.13652173913044</v>
      </c>
      <c r="I31" s="322">
        <f t="shared" si="0"/>
        <v>1097.0921739130436</v>
      </c>
    </row>
    <row r="32" spans="1:9" x14ac:dyDescent="0.25">
      <c r="A32" s="139" t="s">
        <v>339</v>
      </c>
      <c r="B32" s="150">
        <v>4</v>
      </c>
      <c r="C32" s="106" t="s">
        <v>68</v>
      </c>
      <c r="D32" s="183" t="s">
        <v>8</v>
      </c>
      <c r="E32" s="195" t="s">
        <v>2272</v>
      </c>
      <c r="F32" s="308" t="s">
        <v>1896</v>
      </c>
      <c r="G32" s="308">
        <v>81897710001</v>
      </c>
      <c r="H32" s="322">
        <v>134.36608695652174</v>
      </c>
      <c r="I32" s="322">
        <f t="shared" si="0"/>
        <v>537.46434782608696</v>
      </c>
    </row>
    <row r="33" spans="1:9" x14ac:dyDescent="0.25">
      <c r="A33" s="139" t="s">
        <v>1231</v>
      </c>
      <c r="B33" s="150">
        <v>6</v>
      </c>
      <c r="C33" s="106" t="s">
        <v>684</v>
      </c>
      <c r="D33" s="183" t="s">
        <v>8</v>
      </c>
      <c r="E33" s="195" t="s">
        <v>2418</v>
      </c>
      <c r="F33" s="308" t="s">
        <v>1898</v>
      </c>
      <c r="G33" s="308">
        <v>81897710001</v>
      </c>
      <c r="H33" s="322">
        <v>174.53739130434781</v>
      </c>
      <c r="I33" s="322">
        <f t="shared" si="0"/>
        <v>1047.2243478260868</v>
      </c>
    </row>
    <row r="34" spans="1:9" x14ac:dyDescent="0.25">
      <c r="A34" s="139" t="s">
        <v>72</v>
      </c>
      <c r="B34" s="150">
        <v>5</v>
      </c>
      <c r="C34" s="106" t="s">
        <v>73</v>
      </c>
      <c r="D34" s="183" t="s">
        <v>8</v>
      </c>
      <c r="E34" s="195" t="s">
        <v>2276</v>
      </c>
      <c r="F34" s="308" t="s">
        <v>1901</v>
      </c>
      <c r="G34" s="308">
        <v>81897710001</v>
      </c>
      <c r="H34" s="322">
        <v>148.21826086956526</v>
      </c>
      <c r="I34" s="322">
        <f t="shared" si="0"/>
        <v>741.09130434782628</v>
      </c>
    </row>
    <row r="35" spans="1:9" x14ac:dyDescent="0.25">
      <c r="A35" s="139" t="s">
        <v>77</v>
      </c>
      <c r="B35" s="150">
        <v>3</v>
      </c>
      <c r="C35" s="106" t="s">
        <v>78</v>
      </c>
      <c r="D35" s="183" t="s">
        <v>8</v>
      </c>
      <c r="E35" s="195" t="s">
        <v>2277</v>
      </c>
      <c r="F35" s="30" t="s">
        <v>1900</v>
      </c>
      <c r="G35" s="308">
        <v>81897710001</v>
      </c>
      <c r="H35" s="322">
        <v>171.76695652173916</v>
      </c>
      <c r="I35" s="322">
        <f t="shared" si="0"/>
        <v>515.30086956521745</v>
      </c>
    </row>
    <row r="36" spans="1:9" x14ac:dyDescent="0.25">
      <c r="A36" s="110" t="s">
        <v>1232</v>
      </c>
      <c r="B36" s="152">
        <v>2</v>
      </c>
      <c r="C36" s="221" t="s">
        <v>84</v>
      </c>
      <c r="D36" s="214" t="s">
        <v>8</v>
      </c>
      <c r="E36" s="195" t="s">
        <v>2282</v>
      </c>
      <c r="F36" s="48" t="s">
        <v>1904</v>
      </c>
      <c r="G36" s="308">
        <v>81897710001</v>
      </c>
      <c r="H36" s="322">
        <v>253.14847826086952</v>
      </c>
      <c r="I36" s="322">
        <f t="shared" si="0"/>
        <v>506.29695652173905</v>
      </c>
    </row>
    <row r="37" spans="1:9" x14ac:dyDescent="0.25">
      <c r="A37" s="110" t="s">
        <v>1233</v>
      </c>
      <c r="B37" s="152">
        <v>4</v>
      </c>
      <c r="C37" s="221" t="s">
        <v>1234</v>
      </c>
      <c r="D37" s="214" t="s">
        <v>8</v>
      </c>
      <c r="E37" s="195" t="s">
        <v>2535</v>
      </c>
      <c r="F37" s="48" t="s">
        <v>1906</v>
      </c>
      <c r="G37" s="308">
        <v>81897710001</v>
      </c>
      <c r="H37" s="322">
        <v>280.8528260869565</v>
      </c>
      <c r="I37" s="322">
        <f t="shared" si="0"/>
        <v>1123.411304347826</v>
      </c>
    </row>
    <row r="38" spans="1:9" x14ac:dyDescent="0.25">
      <c r="A38" s="139" t="s">
        <v>1235</v>
      </c>
      <c r="B38" s="150">
        <v>6</v>
      </c>
      <c r="C38" s="106" t="s">
        <v>24</v>
      </c>
      <c r="D38" s="183" t="s">
        <v>8</v>
      </c>
      <c r="E38" s="195" t="s">
        <v>2243</v>
      </c>
      <c r="F38" s="30" t="s">
        <v>1844</v>
      </c>
      <c r="G38" s="308">
        <v>81897710001</v>
      </c>
      <c r="H38" s="322">
        <v>111.8563043478261</v>
      </c>
      <c r="I38" s="322">
        <f t="shared" si="0"/>
        <v>671.13782608695658</v>
      </c>
    </row>
    <row r="39" spans="1:9" x14ac:dyDescent="0.25">
      <c r="A39" s="139" t="s">
        <v>549</v>
      </c>
      <c r="B39" s="150">
        <v>1</v>
      </c>
      <c r="C39" s="106" t="s">
        <v>550</v>
      </c>
      <c r="D39" s="183" t="s">
        <v>8</v>
      </c>
      <c r="E39" s="195" t="s">
        <v>2387</v>
      </c>
      <c r="F39" s="30" t="s">
        <v>1907</v>
      </c>
      <c r="G39" s="308">
        <v>81897710001</v>
      </c>
      <c r="H39" s="322">
        <v>310.9813043478261</v>
      </c>
      <c r="I39" s="322">
        <f t="shared" si="0"/>
        <v>310.9813043478261</v>
      </c>
    </row>
    <row r="40" spans="1:9" x14ac:dyDescent="0.25">
      <c r="A40" s="139" t="s">
        <v>527</v>
      </c>
      <c r="B40" s="150">
        <v>1</v>
      </c>
      <c r="C40" s="106" t="s">
        <v>252</v>
      </c>
      <c r="D40" s="183" t="s">
        <v>8</v>
      </c>
      <c r="E40" s="195" t="s">
        <v>2294</v>
      </c>
      <c r="F40" s="34" t="s">
        <v>1910</v>
      </c>
      <c r="G40" s="308">
        <v>81897710001</v>
      </c>
      <c r="H40" s="322">
        <v>221.28847826086957</v>
      </c>
      <c r="I40" s="322">
        <f t="shared" si="0"/>
        <v>221.28847826086957</v>
      </c>
    </row>
    <row r="41" spans="1:9" x14ac:dyDescent="0.25">
      <c r="A41" s="139" t="s">
        <v>919</v>
      </c>
      <c r="B41" s="150">
        <v>2</v>
      </c>
      <c r="C41" s="106" t="s">
        <v>88</v>
      </c>
      <c r="D41" s="183" t="s">
        <v>8</v>
      </c>
      <c r="E41" s="195" t="s">
        <v>2286</v>
      </c>
      <c r="F41" s="313" t="s">
        <v>1922</v>
      </c>
      <c r="G41" s="308">
        <v>81897710001</v>
      </c>
      <c r="H41" s="322">
        <v>729.66326086956531</v>
      </c>
      <c r="I41" s="322">
        <f t="shared" si="0"/>
        <v>1459.3265217391306</v>
      </c>
    </row>
    <row r="42" spans="1:9" x14ac:dyDescent="0.25">
      <c r="A42" s="139" t="s">
        <v>1238</v>
      </c>
      <c r="B42" s="150">
        <v>1</v>
      </c>
      <c r="C42" s="106" t="s">
        <v>111</v>
      </c>
      <c r="D42" s="183" t="s">
        <v>8</v>
      </c>
      <c r="E42" s="195" t="s">
        <v>2536</v>
      </c>
      <c r="F42" s="34" t="s">
        <v>1930</v>
      </c>
      <c r="G42" s="308">
        <v>81897710001</v>
      </c>
      <c r="H42" s="322">
        <v>147.17934782608697</v>
      </c>
      <c r="I42" s="322">
        <f t="shared" si="0"/>
        <v>147.17934782608697</v>
      </c>
    </row>
    <row r="43" spans="1:9" x14ac:dyDescent="0.25">
      <c r="A43" s="110" t="s">
        <v>1236</v>
      </c>
      <c r="B43" s="152">
        <v>1</v>
      </c>
      <c r="C43" s="138" t="s">
        <v>113</v>
      </c>
      <c r="D43" s="214" t="s">
        <v>8</v>
      </c>
      <c r="E43" s="195" t="s">
        <v>2405</v>
      </c>
      <c r="F43" s="58" t="s">
        <v>1929</v>
      </c>
      <c r="G43" s="308">
        <v>81897710001</v>
      </c>
      <c r="H43" s="322">
        <v>165.18717391304347</v>
      </c>
      <c r="I43" s="322">
        <f t="shared" si="0"/>
        <v>165.18717391304347</v>
      </c>
    </row>
    <row r="44" spans="1:9" x14ac:dyDescent="0.25">
      <c r="A44" s="139" t="s">
        <v>348</v>
      </c>
      <c r="B44" s="150">
        <v>3</v>
      </c>
      <c r="C44" s="106" t="s">
        <v>115</v>
      </c>
      <c r="D44" s="183" t="s">
        <v>8</v>
      </c>
      <c r="E44" s="195" t="s">
        <v>2335</v>
      </c>
      <c r="F44" s="100" t="s">
        <v>1928</v>
      </c>
      <c r="G44" s="308">
        <v>81897710001</v>
      </c>
      <c r="H44" s="322">
        <v>184.92652173913044</v>
      </c>
      <c r="I44" s="322">
        <f t="shared" si="0"/>
        <v>554.77956521739134</v>
      </c>
    </row>
    <row r="45" spans="1:9" x14ac:dyDescent="0.25">
      <c r="A45" s="110" t="s">
        <v>1237</v>
      </c>
      <c r="B45" s="152">
        <v>1</v>
      </c>
      <c r="C45" s="138" t="s">
        <v>117</v>
      </c>
      <c r="D45" s="214" t="s">
        <v>8</v>
      </c>
      <c r="E45" s="195" t="s">
        <v>2430</v>
      </c>
      <c r="F45" s="58" t="s">
        <v>1931</v>
      </c>
      <c r="G45" s="308">
        <v>81897710001</v>
      </c>
      <c r="H45" s="322">
        <v>246.22239130434781</v>
      </c>
      <c r="I45" s="322">
        <f t="shared" si="0"/>
        <v>246.22239130434781</v>
      </c>
    </row>
    <row r="46" spans="1:9" x14ac:dyDescent="0.25">
      <c r="A46" s="139" t="s">
        <v>1239</v>
      </c>
      <c r="B46" s="150">
        <v>1</v>
      </c>
      <c r="C46" s="106" t="s">
        <v>1240</v>
      </c>
      <c r="D46" s="183" t="s">
        <v>8</v>
      </c>
      <c r="E46" s="195" t="s">
        <v>2537</v>
      </c>
      <c r="F46" s="34" t="s">
        <v>1948</v>
      </c>
      <c r="G46" s="308">
        <v>81897710018</v>
      </c>
      <c r="H46" s="322">
        <v>307.86456521739132</v>
      </c>
      <c r="I46" s="322">
        <f t="shared" si="0"/>
        <v>307.86456521739132</v>
      </c>
    </row>
    <row r="47" spans="1:9" x14ac:dyDescent="0.25">
      <c r="A47" s="139" t="s">
        <v>95</v>
      </c>
      <c r="B47" s="150">
        <v>1</v>
      </c>
      <c r="C47" s="106" t="s">
        <v>96</v>
      </c>
      <c r="D47" s="183" t="s">
        <v>8</v>
      </c>
      <c r="E47" s="195" t="s">
        <v>2301</v>
      </c>
      <c r="F47" s="100" t="s">
        <v>1964</v>
      </c>
      <c r="G47" s="308">
        <v>81897710017</v>
      </c>
      <c r="H47" s="322">
        <v>130.2104347826087</v>
      </c>
      <c r="I47" s="322">
        <f t="shared" si="0"/>
        <v>130.2104347826087</v>
      </c>
    </row>
    <row r="48" spans="1:9" x14ac:dyDescent="0.25">
      <c r="A48" s="139" t="s">
        <v>1241</v>
      </c>
      <c r="B48" s="150">
        <v>1</v>
      </c>
      <c r="C48" s="106" t="s">
        <v>660</v>
      </c>
      <c r="D48" s="183" t="s">
        <v>8</v>
      </c>
      <c r="E48" s="195" t="s">
        <v>2414</v>
      </c>
      <c r="F48" s="314" t="s">
        <v>1955</v>
      </c>
      <c r="G48" s="308">
        <v>81897710017</v>
      </c>
      <c r="H48" s="322">
        <v>100.08195652173913</v>
      </c>
      <c r="I48" s="322">
        <f t="shared" si="0"/>
        <v>100.08195652173913</v>
      </c>
    </row>
    <row r="49" spans="1:9" x14ac:dyDescent="0.25">
      <c r="A49" s="110" t="s">
        <v>928</v>
      </c>
      <c r="B49" s="152">
        <v>1</v>
      </c>
      <c r="C49" s="138" t="s">
        <v>861</v>
      </c>
      <c r="D49" s="214" t="s">
        <v>363</v>
      </c>
      <c r="E49" s="195" t="s">
        <v>2303</v>
      </c>
      <c r="F49" s="100" t="s">
        <v>1965</v>
      </c>
      <c r="G49" s="308">
        <v>81897710017</v>
      </c>
      <c r="H49" s="322">
        <v>121.55282608695654</v>
      </c>
      <c r="I49" s="322">
        <f t="shared" si="0"/>
        <v>121.55282608695654</v>
      </c>
    </row>
    <row r="50" spans="1:9" x14ac:dyDescent="0.25">
      <c r="A50" s="110" t="s">
        <v>99</v>
      </c>
      <c r="B50" s="162">
        <v>1</v>
      </c>
      <c r="C50" s="138" t="s">
        <v>862</v>
      </c>
      <c r="D50" s="214" t="s">
        <v>363</v>
      </c>
      <c r="E50" s="195" t="s">
        <v>2306</v>
      </c>
      <c r="F50" s="34" t="s">
        <v>1967</v>
      </c>
      <c r="G50" s="308">
        <v>81897710017</v>
      </c>
      <c r="H50" s="322">
        <v>157.91478260869562</v>
      </c>
      <c r="I50" s="322">
        <f t="shared" si="0"/>
        <v>157.91478260869562</v>
      </c>
    </row>
    <row r="51" spans="1:9" x14ac:dyDescent="0.25">
      <c r="A51" s="110" t="s">
        <v>519</v>
      </c>
      <c r="B51" s="152">
        <v>2</v>
      </c>
      <c r="C51" s="138" t="s">
        <v>863</v>
      </c>
      <c r="D51" s="214" t="s">
        <v>363</v>
      </c>
      <c r="E51" s="195" t="s">
        <v>2304</v>
      </c>
      <c r="F51" s="34" t="s">
        <v>1968</v>
      </c>
      <c r="G51" s="308">
        <v>81897710017</v>
      </c>
      <c r="H51" s="322">
        <v>171.42065217391303</v>
      </c>
      <c r="I51" s="322">
        <f t="shared" si="0"/>
        <v>342.84130434782605</v>
      </c>
    </row>
    <row r="52" spans="1:9" x14ac:dyDescent="0.25">
      <c r="A52" s="110" t="s">
        <v>517</v>
      </c>
      <c r="B52" s="152">
        <v>2</v>
      </c>
      <c r="C52" s="138" t="s">
        <v>1242</v>
      </c>
      <c r="D52" s="214" t="s">
        <v>363</v>
      </c>
      <c r="E52" s="195" t="s">
        <v>2305</v>
      </c>
      <c r="F52" s="34" t="s">
        <v>1969</v>
      </c>
      <c r="G52" s="308">
        <v>81897710017</v>
      </c>
      <c r="H52" s="322">
        <v>197.04717391304348</v>
      </c>
      <c r="I52" s="322">
        <f t="shared" si="0"/>
        <v>394.09434782608696</v>
      </c>
    </row>
    <row r="53" spans="1:9" x14ac:dyDescent="0.25">
      <c r="A53" s="110" t="s">
        <v>1243</v>
      </c>
      <c r="B53" s="152">
        <v>1</v>
      </c>
      <c r="C53" s="222" t="s">
        <v>1244</v>
      </c>
      <c r="D53" s="214" t="s">
        <v>363</v>
      </c>
      <c r="E53" s="195" t="s">
        <v>2378</v>
      </c>
      <c r="F53" s="58" t="s">
        <v>1959</v>
      </c>
      <c r="G53" s="308">
        <v>81897710017</v>
      </c>
      <c r="H53" s="322">
        <v>1040.6445652173913</v>
      </c>
      <c r="I53" s="322">
        <f t="shared" si="0"/>
        <v>1040.6445652173913</v>
      </c>
    </row>
    <row r="54" spans="1:9" x14ac:dyDescent="0.25">
      <c r="A54" s="110" t="s">
        <v>1245</v>
      </c>
      <c r="B54" s="152">
        <v>1</v>
      </c>
      <c r="C54" s="138" t="s">
        <v>133</v>
      </c>
      <c r="D54" s="214" t="s">
        <v>8</v>
      </c>
      <c r="E54" s="195" t="s">
        <v>2309</v>
      </c>
      <c r="F54" s="58" t="s">
        <v>1824</v>
      </c>
      <c r="G54" s="308">
        <v>81897710023</v>
      </c>
      <c r="H54" s="322">
        <v>497.63934782608692</v>
      </c>
      <c r="I54" s="322">
        <f t="shared" si="0"/>
        <v>497.63934782608692</v>
      </c>
    </row>
    <row r="55" spans="1:9" x14ac:dyDescent="0.25">
      <c r="A55" s="110" t="s">
        <v>1246</v>
      </c>
      <c r="B55" s="152">
        <v>2</v>
      </c>
      <c r="C55" s="138" t="s">
        <v>143</v>
      </c>
      <c r="D55" s="214" t="s">
        <v>8</v>
      </c>
      <c r="E55" s="195" t="s">
        <v>2312</v>
      </c>
      <c r="F55" s="58" t="s">
        <v>1828</v>
      </c>
      <c r="G55" s="308">
        <v>81897710023</v>
      </c>
      <c r="H55" s="322">
        <v>451.58086956521737</v>
      </c>
      <c r="I55" s="322">
        <f t="shared" si="0"/>
        <v>903.16173913043474</v>
      </c>
    </row>
    <row r="56" spans="1:9" x14ac:dyDescent="0.25">
      <c r="A56" s="110" t="s">
        <v>1247</v>
      </c>
      <c r="B56" s="152">
        <v>2</v>
      </c>
      <c r="C56" s="138" t="s">
        <v>141</v>
      </c>
      <c r="D56" s="214" t="s">
        <v>8</v>
      </c>
      <c r="E56" s="195" t="s">
        <v>2313</v>
      </c>
      <c r="F56" s="102" t="s">
        <v>1825</v>
      </c>
      <c r="G56" s="308">
        <v>81897710023</v>
      </c>
      <c r="H56" s="322">
        <v>474.09065217391304</v>
      </c>
      <c r="I56" s="322">
        <f t="shared" si="0"/>
        <v>948.18130434782609</v>
      </c>
    </row>
    <row r="57" spans="1:9" x14ac:dyDescent="0.25">
      <c r="A57" s="445" t="s">
        <v>1248</v>
      </c>
      <c r="B57" s="152">
        <v>1</v>
      </c>
      <c r="C57" s="138" t="s">
        <v>1249</v>
      </c>
      <c r="D57" s="214" t="s">
        <v>10</v>
      </c>
      <c r="E57" s="195" t="s">
        <v>2538</v>
      </c>
      <c r="F57" s="58" t="s">
        <v>2111</v>
      </c>
      <c r="G57" s="308">
        <v>81897710023</v>
      </c>
      <c r="H57" s="322">
        <v>263.88391304347829</v>
      </c>
      <c r="I57" s="322">
        <f t="shared" si="0"/>
        <v>263.88391304347829</v>
      </c>
    </row>
    <row r="58" spans="1:9" x14ac:dyDescent="0.25">
      <c r="I58" s="324">
        <f>SUM(I2:I57)</f>
        <v>32451.972652173907</v>
      </c>
    </row>
  </sheetData>
  <sortState xmlns:xlrd2="http://schemas.microsoft.com/office/spreadsheetml/2017/richdata2" ref="A2:D57">
    <sortCondition ref="A1:A57"/>
  </sortState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CB3AC-A35A-408C-B604-2B3729CE9517}">
  <sheetPr codeName="Planilha37">
    <tabColor rgb="FF92D050"/>
  </sheetPr>
  <dimension ref="A1:I51"/>
  <sheetViews>
    <sheetView workbookViewId="0">
      <pane ySplit="1" topLeftCell="A2" activePane="bottomLeft" state="frozen"/>
      <selection activeCell="A53" sqref="A53"/>
      <selection pane="bottomLeft" activeCell="H12" sqref="H12"/>
    </sheetView>
  </sheetViews>
  <sheetFormatPr defaultRowHeight="15" x14ac:dyDescent="0.25"/>
  <cols>
    <col min="1" max="1" width="46.28515625" customWidth="1"/>
    <col min="2" max="2" width="11.85546875" customWidth="1"/>
    <col min="3" max="3" width="9.85546875" style="26" customWidth="1"/>
    <col min="4" max="4" width="9.85546875" customWidth="1"/>
    <col min="5" max="5" width="29.7109375" customWidth="1"/>
    <col min="6" max="6" width="14.28515625" style="40" bestFit="1" customWidth="1"/>
    <col min="7" max="7" width="14.7109375" style="40" customWidth="1"/>
    <col min="8" max="8" width="17.5703125" style="388" bestFit="1" customWidth="1"/>
    <col min="9" max="9" width="16.140625" style="40" customWidth="1"/>
  </cols>
  <sheetData>
    <row r="1" spans="1:9" ht="31.5" x14ac:dyDescent="0.25">
      <c r="A1" s="84" t="s">
        <v>0</v>
      </c>
      <c r="B1" s="42" t="s">
        <v>305</v>
      </c>
      <c r="C1" s="86" t="s">
        <v>360</v>
      </c>
      <c r="D1" s="197" t="s">
        <v>1721</v>
      </c>
      <c r="E1" s="194" t="s">
        <v>1723</v>
      </c>
      <c r="F1" s="194" t="s">
        <v>1724</v>
      </c>
      <c r="G1" s="194" t="s">
        <v>1722</v>
      </c>
      <c r="H1" s="321" t="s">
        <v>1725</v>
      </c>
      <c r="I1" s="321" t="s">
        <v>2317</v>
      </c>
    </row>
    <row r="2" spans="1:9" x14ac:dyDescent="0.25">
      <c r="A2" s="452" t="s">
        <v>1268</v>
      </c>
      <c r="B2" s="453">
        <v>1</v>
      </c>
      <c r="C2" s="454">
        <v>2047</v>
      </c>
      <c r="D2" s="416" t="s">
        <v>4</v>
      </c>
      <c r="E2" s="361" t="s">
        <v>2214</v>
      </c>
      <c r="F2" s="360" t="s">
        <v>1764</v>
      </c>
      <c r="G2" s="308">
        <v>81897719001</v>
      </c>
      <c r="H2" s="400">
        <v>205.01217391304351</v>
      </c>
      <c r="I2" s="400">
        <f>H2*B2</f>
        <v>205.01217391304351</v>
      </c>
    </row>
    <row r="3" spans="1:9" x14ac:dyDescent="0.25">
      <c r="A3" s="452" t="s">
        <v>1268</v>
      </c>
      <c r="B3" s="453">
        <v>1</v>
      </c>
      <c r="C3" s="415">
        <v>2049</v>
      </c>
      <c r="D3" s="416" t="s">
        <v>4</v>
      </c>
      <c r="E3" s="361" t="s">
        <v>2215</v>
      </c>
      <c r="F3" s="363" t="s">
        <v>1765</v>
      </c>
      <c r="G3" s="308">
        <v>81897719001</v>
      </c>
      <c r="H3" s="400">
        <v>205.01217391304351</v>
      </c>
      <c r="I3" s="400">
        <f t="shared" ref="I3:I50" si="0">H3*B3</f>
        <v>205.01217391304351</v>
      </c>
    </row>
    <row r="4" spans="1:9" x14ac:dyDescent="0.25">
      <c r="A4" s="452" t="s">
        <v>1268</v>
      </c>
      <c r="B4" s="453">
        <v>1</v>
      </c>
      <c r="C4" s="415">
        <v>2050</v>
      </c>
      <c r="D4" s="416" t="s">
        <v>4</v>
      </c>
      <c r="E4" s="361" t="s">
        <v>2216</v>
      </c>
      <c r="F4" s="363" t="s">
        <v>1766</v>
      </c>
      <c r="G4" s="308">
        <v>81897719001</v>
      </c>
      <c r="H4" s="400">
        <v>205.01217391304351</v>
      </c>
      <c r="I4" s="400">
        <f t="shared" si="0"/>
        <v>205.01217391304351</v>
      </c>
    </row>
    <row r="5" spans="1:9" x14ac:dyDescent="0.25">
      <c r="A5" s="452" t="s">
        <v>1267</v>
      </c>
      <c r="B5" s="453">
        <v>1</v>
      </c>
      <c r="C5" s="415">
        <v>1999</v>
      </c>
      <c r="D5" s="416" t="s">
        <v>4</v>
      </c>
      <c r="E5" s="361" t="s">
        <v>1267</v>
      </c>
      <c r="F5" s="423" t="s">
        <v>2077</v>
      </c>
      <c r="G5" s="308">
        <v>80476380016</v>
      </c>
      <c r="H5" s="400">
        <v>521.73913043478262</v>
      </c>
      <c r="I5" s="400">
        <f t="shared" si="0"/>
        <v>521.73913043478262</v>
      </c>
    </row>
    <row r="6" spans="1:9" x14ac:dyDescent="0.25">
      <c r="A6" s="452" t="s">
        <v>1267</v>
      </c>
      <c r="B6" s="453">
        <v>1</v>
      </c>
      <c r="C6" s="415">
        <v>2000</v>
      </c>
      <c r="D6" s="416" t="s">
        <v>4</v>
      </c>
      <c r="E6" s="361" t="s">
        <v>1267</v>
      </c>
      <c r="F6" s="423" t="s">
        <v>2077</v>
      </c>
      <c r="G6" s="308">
        <v>80476380016</v>
      </c>
      <c r="H6" s="400">
        <v>521.73913043478262</v>
      </c>
      <c r="I6" s="400">
        <f t="shared" si="0"/>
        <v>521.73913043478262</v>
      </c>
    </row>
    <row r="7" spans="1:9" x14ac:dyDescent="0.25">
      <c r="A7" s="452" t="s">
        <v>1266</v>
      </c>
      <c r="B7" s="453">
        <v>1</v>
      </c>
      <c r="C7" s="415">
        <v>2006</v>
      </c>
      <c r="D7" s="416" t="s">
        <v>4</v>
      </c>
      <c r="E7" s="361" t="s">
        <v>2485</v>
      </c>
      <c r="F7" s="455" t="s">
        <v>2142</v>
      </c>
      <c r="G7" s="308">
        <v>81897710012</v>
      </c>
      <c r="H7" s="400">
        <v>915.95960869565215</v>
      </c>
      <c r="I7" s="400">
        <f t="shared" si="0"/>
        <v>915.95960869565215</v>
      </c>
    </row>
    <row r="8" spans="1:9" x14ac:dyDescent="0.25">
      <c r="A8" s="452" t="s">
        <v>313</v>
      </c>
      <c r="B8" s="453">
        <v>1</v>
      </c>
      <c r="C8" s="421">
        <v>662550</v>
      </c>
      <c r="D8" s="422" t="s">
        <v>501</v>
      </c>
      <c r="E8" s="512" t="s">
        <v>2660</v>
      </c>
      <c r="F8" s="366" t="s">
        <v>2539</v>
      </c>
      <c r="G8" s="308" t="s">
        <v>2336</v>
      </c>
      <c r="H8" s="400">
        <v>1900.441304347826</v>
      </c>
      <c r="I8" s="400">
        <f t="shared" si="0"/>
        <v>1900.441304347826</v>
      </c>
    </row>
    <row r="9" spans="1:9" x14ac:dyDescent="0.25">
      <c r="A9" s="452" t="s">
        <v>1274</v>
      </c>
      <c r="B9" s="453">
        <v>1</v>
      </c>
      <c r="C9" s="415">
        <v>3430</v>
      </c>
      <c r="D9" s="416" t="s">
        <v>4</v>
      </c>
      <c r="E9" s="361" t="s">
        <v>1274</v>
      </c>
      <c r="F9" s="366" t="s">
        <v>2078</v>
      </c>
      <c r="G9" s="308" t="e">
        <v>#N/A</v>
      </c>
      <c r="H9" s="400">
        <v>0</v>
      </c>
      <c r="I9" s="400">
        <f t="shared" si="0"/>
        <v>0</v>
      </c>
    </row>
    <row r="10" spans="1:9" x14ac:dyDescent="0.25">
      <c r="A10" s="452" t="s">
        <v>1272</v>
      </c>
      <c r="B10" s="453">
        <v>1</v>
      </c>
      <c r="C10" s="415">
        <v>2423</v>
      </c>
      <c r="D10" s="416" t="s">
        <v>4</v>
      </c>
      <c r="E10" s="361" t="s">
        <v>2230</v>
      </c>
      <c r="F10" s="425" t="s">
        <v>1981</v>
      </c>
      <c r="G10" s="308">
        <v>81897710018</v>
      </c>
      <c r="H10" s="400">
        <v>308.21086956521742</v>
      </c>
      <c r="I10" s="400">
        <f t="shared" si="0"/>
        <v>308.21086956521742</v>
      </c>
    </row>
    <row r="11" spans="1:9" x14ac:dyDescent="0.25">
      <c r="A11" s="452" t="s">
        <v>436</v>
      </c>
      <c r="B11" s="453">
        <v>1</v>
      </c>
      <c r="C11" s="415">
        <v>2438</v>
      </c>
      <c r="D11" s="416" t="s">
        <v>4</v>
      </c>
      <c r="E11" s="361" t="s">
        <v>2229</v>
      </c>
      <c r="F11" s="369" t="s">
        <v>1793</v>
      </c>
      <c r="G11" s="308">
        <v>81897710018</v>
      </c>
      <c r="H11" s="400">
        <v>294.70499999999998</v>
      </c>
      <c r="I11" s="400">
        <f t="shared" si="0"/>
        <v>294.70499999999998</v>
      </c>
    </row>
    <row r="12" spans="1:9" x14ac:dyDescent="0.25">
      <c r="A12" s="452" t="s">
        <v>1269</v>
      </c>
      <c r="B12" s="453">
        <v>1</v>
      </c>
      <c r="C12" s="415" t="s">
        <v>170</v>
      </c>
      <c r="D12" s="416" t="s">
        <v>4</v>
      </c>
      <c r="E12" s="361" t="s">
        <v>2233</v>
      </c>
      <c r="F12" s="364" t="s">
        <v>1803</v>
      </c>
      <c r="G12" s="308">
        <v>81897710001</v>
      </c>
      <c r="H12" s="400">
        <v>388.20717391304356</v>
      </c>
      <c r="I12" s="400">
        <f t="shared" si="0"/>
        <v>388.20717391304356</v>
      </c>
    </row>
    <row r="13" spans="1:9" x14ac:dyDescent="0.25">
      <c r="A13" s="452" t="s">
        <v>1270</v>
      </c>
      <c r="B13" s="453">
        <v>1</v>
      </c>
      <c r="C13" s="415" t="s">
        <v>172</v>
      </c>
      <c r="D13" s="416" t="s">
        <v>4</v>
      </c>
      <c r="E13" s="361" t="s">
        <v>2234</v>
      </c>
      <c r="F13" s="360" t="s">
        <v>1804</v>
      </c>
      <c r="G13" s="308">
        <v>81897710001</v>
      </c>
      <c r="H13" s="400">
        <v>402.05934782608699</v>
      </c>
      <c r="I13" s="400">
        <f t="shared" si="0"/>
        <v>402.05934782608699</v>
      </c>
    </row>
    <row r="14" spans="1:9" x14ac:dyDescent="0.25">
      <c r="A14" s="452" t="s">
        <v>1271</v>
      </c>
      <c r="B14" s="453">
        <v>1</v>
      </c>
      <c r="C14" s="415" t="s">
        <v>174</v>
      </c>
      <c r="D14" s="416" t="s">
        <v>4</v>
      </c>
      <c r="E14" s="361" t="s">
        <v>2235</v>
      </c>
      <c r="F14" s="360" t="s">
        <v>1805</v>
      </c>
      <c r="G14" s="308">
        <v>81897710001</v>
      </c>
      <c r="H14" s="400">
        <v>413.1410869565218</v>
      </c>
      <c r="I14" s="400">
        <f t="shared" si="0"/>
        <v>413.1410869565218</v>
      </c>
    </row>
    <row r="15" spans="1:9" x14ac:dyDescent="0.25">
      <c r="A15" s="452" t="s">
        <v>1273</v>
      </c>
      <c r="B15" s="453">
        <v>1</v>
      </c>
      <c r="C15" s="415">
        <v>3467</v>
      </c>
      <c r="D15" s="416" t="s">
        <v>4</v>
      </c>
      <c r="E15" s="361" t="s">
        <v>2356</v>
      </c>
      <c r="F15" s="456" t="s">
        <v>2088</v>
      </c>
      <c r="G15" s="308">
        <v>81897710018</v>
      </c>
      <c r="H15" s="400">
        <v>250.72434782608696</v>
      </c>
      <c r="I15" s="400">
        <f t="shared" si="0"/>
        <v>250.72434782608696</v>
      </c>
    </row>
    <row r="16" spans="1:9" x14ac:dyDescent="0.25">
      <c r="A16" s="452" t="s">
        <v>1275</v>
      </c>
      <c r="B16" s="453">
        <v>1</v>
      </c>
      <c r="C16" s="415">
        <v>2766</v>
      </c>
      <c r="D16" s="416" t="s">
        <v>4</v>
      </c>
      <c r="E16" s="361" t="s">
        <v>2468</v>
      </c>
      <c r="F16" s="364" t="s">
        <v>1984</v>
      </c>
      <c r="G16" s="308">
        <v>81897710023</v>
      </c>
      <c r="H16" s="400">
        <v>662.13391304347829</v>
      </c>
      <c r="I16" s="400">
        <f t="shared" si="0"/>
        <v>662.13391304347829</v>
      </c>
    </row>
    <row r="17" spans="1:9" x14ac:dyDescent="0.25">
      <c r="A17" s="452" t="s">
        <v>1281</v>
      </c>
      <c r="B17" s="453">
        <v>1</v>
      </c>
      <c r="C17" s="415">
        <v>2893</v>
      </c>
      <c r="D17" s="416" t="s">
        <v>4</v>
      </c>
      <c r="E17" s="361" t="s">
        <v>2485</v>
      </c>
      <c r="F17" s="455" t="s">
        <v>2142</v>
      </c>
      <c r="G17" s="308">
        <v>81897710012</v>
      </c>
      <c r="H17" s="400">
        <v>915.95960869565215</v>
      </c>
      <c r="I17" s="400">
        <f t="shared" si="0"/>
        <v>915.95960869565215</v>
      </c>
    </row>
    <row r="18" spans="1:9" x14ac:dyDescent="0.25">
      <c r="A18" s="452" t="s">
        <v>1253</v>
      </c>
      <c r="B18" s="453">
        <v>1</v>
      </c>
      <c r="C18" s="415">
        <v>2835</v>
      </c>
      <c r="D18" s="416" t="s">
        <v>4</v>
      </c>
      <c r="E18" s="361" t="s">
        <v>2246</v>
      </c>
      <c r="F18" s="364" t="s">
        <v>1847</v>
      </c>
      <c r="G18" s="308">
        <v>81897710023</v>
      </c>
      <c r="H18" s="400">
        <v>156.87586956521739</v>
      </c>
      <c r="I18" s="400">
        <f t="shared" si="0"/>
        <v>156.87586956521739</v>
      </c>
    </row>
    <row r="19" spans="1:9" x14ac:dyDescent="0.25">
      <c r="A19" s="452" t="s">
        <v>1251</v>
      </c>
      <c r="B19" s="453">
        <v>1</v>
      </c>
      <c r="C19" s="415">
        <v>2834</v>
      </c>
      <c r="D19" s="416" t="s">
        <v>4</v>
      </c>
      <c r="E19" s="361" t="s">
        <v>2247</v>
      </c>
      <c r="F19" s="364" t="s">
        <v>1731</v>
      </c>
      <c r="G19" s="308">
        <v>81897710023</v>
      </c>
      <c r="H19" s="400">
        <v>93.502173913043478</v>
      </c>
      <c r="I19" s="400">
        <f t="shared" si="0"/>
        <v>93.502173913043478</v>
      </c>
    </row>
    <row r="20" spans="1:9" x14ac:dyDescent="0.25">
      <c r="A20" s="452" t="s">
        <v>1252</v>
      </c>
      <c r="B20" s="453">
        <v>1</v>
      </c>
      <c r="C20" s="415">
        <v>2833</v>
      </c>
      <c r="D20" s="416" t="s">
        <v>4</v>
      </c>
      <c r="E20" s="361" t="s">
        <v>2248</v>
      </c>
      <c r="F20" s="364" t="s">
        <v>1730</v>
      </c>
      <c r="G20" s="308">
        <v>81897710023</v>
      </c>
      <c r="H20" s="400">
        <v>90.385434782608684</v>
      </c>
      <c r="I20" s="400">
        <f t="shared" si="0"/>
        <v>90.385434782608684</v>
      </c>
    </row>
    <row r="21" spans="1:9" x14ac:dyDescent="0.25">
      <c r="A21" s="452" t="s">
        <v>1264</v>
      </c>
      <c r="B21" s="453">
        <v>4</v>
      </c>
      <c r="C21" s="415">
        <v>957</v>
      </c>
      <c r="D21" s="416" t="s">
        <v>4</v>
      </c>
      <c r="E21" s="361" t="s">
        <v>2258</v>
      </c>
      <c r="F21" s="364" t="s">
        <v>1861</v>
      </c>
      <c r="G21" s="308">
        <v>81897710001</v>
      </c>
      <c r="H21" s="400">
        <v>145.7941304347826</v>
      </c>
      <c r="I21" s="400">
        <f t="shared" si="0"/>
        <v>583.17652173913041</v>
      </c>
    </row>
    <row r="22" spans="1:9" x14ac:dyDescent="0.25">
      <c r="A22" s="452" t="s">
        <v>1250</v>
      </c>
      <c r="B22" s="453">
        <v>2</v>
      </c>
      <c r="C22" s="415">
        <v>2827</v>
      </c>
      <c r="D22" s="416" t="s">
        <v>4</v>
      </c>
      <c r="E22" s="361" t="s">
        <v>2330</v>
      </c>
      <c r="F22" s="364" t="s">
        <v>1863</v>
      </c>
      <c r="G22" s="308">
        <v>81897710023</v>
      </c>
      <c r="H22" s="400">
        <v>156.87586956521739</v>
      </c>
      <c r="I22" s="400">
        <f t="shared" si="0"/>
        <v>313.75173913043477</v>
      </c>
    </row>
    <row r="23" spans="1:9" x14ac:dyDescent="0.25">
      <c r="A23" s="452" t="s">
        <v>1284</v>
      </c>
      <c r="B23" s="453">
        <v>1</v>
      </c>
      <c r="C23" s="415">
        <v>3220</v>
      </c>
      <c r="D23" s="416" t="s">
        <v>4</v>
      </c>
      <c r="E23" s="361" t="s">
        <v>2472</v>
      </c>
      <c r="F23" s="364" t="s">
        <v>2164</v>
      </c>
      <c r="G23" s="308">
        <v>81897710011</v>
      </c>
      <c r="H23" s="400">
        <v>8130.6796956521739</v>
      </c>
      <c r="I23" s="400">
        <f t="shared" si="0"/>
        <v>8130.6796956521739</v>
      </c>
    </row>
    <row r="24" spans="1:9" x14ac:dyDescent="0.25">
      <c r="A24" s="452" t="s">
        <v>1283</v>
      </c>
      <c r="B24" s="453">
        <v>1</v>
      </c>
      <c r="C24" s="415">
        <v>3232</v>
      </c>
      <c r="D24" s="416" t="s">
        <v>4</v>
      </c>
      <c r="E24" s="361" t="s">
        <v>2473</v>
      </c>
      <c r="F24" s="364" t="s">
        <v>2165</v>
      </c>
      <c r="G24" s="308">
        <v>81897710011</v>
      </c>
      <c r="H24" s="400">
        <v>7547.5955217391311</v>
      </c>
      <c r="I24" s="400">
        <f t="shared" si="0"/>
        <v>7547.5955217391311</v>
      </c>
    </row>
    <row r="25" spans="1:9" x14ac:dyDescent="0.25">
      <c r="A25" s="452" t="s">
        <v>1288</v>
      </c>
      <c r="B25" s="453">
        <v>1</v>
      </c>
      <c r="C25" s="415">
        <v>3059</v>
      </c>
      <c r="D25" s="416" t="s">
        <v>4</v>
      </c>
      <c r="E25" s="361" t="s">
        <v>1288</v>
      </c>
      <c r="F25" s="457" t="s">
        <v>2185</v>
      </c>
      <c r="G25" s="308">
        <v>80476380011</v>
      </c>
      <c r="H25" s="400">
        <v>5217.391304347826</v>
      </c>
      <c r="I25" s="400">
        <f t="shared" si="0"/>
        <v>5217.391304347826</v>
      </c>
    </row>
    <row r="26" spans="1:9" x14ac:dyDescent="0.25">
      <c r="A26" s="452" t="s">
        <v>1280</v>
      </c>
      <c r="B26" s="453">
        <v>1</v>
      </c>
      <c r="C26" s="415">
        <v>3064</v>
      </c>
      <c r="D26" s="416" t="s">
        <v>4</v>
      </c>
      <c r="E26" s="361" t="s">
        <v>2540</v>
      </c>
      <c r="F26" s="364" t="s">
        <v>2186</v>
      </c>
      <c r="G26" s="308">
        <v>81897710001</v>
      </c>
      <c r="H26" s="400">
        <v>3503.2147826086957</v>
      </c>
      <c r="I26" s="400">
        <f t="shared" si="0"/>
        <v>3503.2147826086957</v>
      </c>
    </row>
    <row r="27" spans="1:9" x14ac:dyDescent="0.25">
      <c r="A27" s="452" t="s">
        <v>1279</v>
      </c>
      <c r="B27" s="453">
        <v>1</v>
      </c>
      <c r="C27" s="415">
        <v>3065</v>
      </c>
      <c r="D27" s="416" t="s">
        <v>4</v>
      </c>
      <c r="E27" s="361" t="s">
        <v>2471</v>
      </c>
      <c r="F27" s="458" t="s">
        <v>2187</v>
      </c>
      <c r="G27" s="308">
        <v>81897710001</v>
      </c>
      <c r="H27" s="400">
        <v>3475.8567391304346</v>
      </c>
      <c r="I27" s="400">
        <f t="shared" si="0"/>
        <v>3475.8567391304346</v>
      </c>
    </row>
    <row r="28" spans="1:9" x14ac:dyDescent="0.25">
      <c r="A28" s="452" t="s">
        <v>1292</v>
      </c>
      <c r="B28" s="453">
        <v>1</v>
      </c>
      <c r="C28" s="459">
        <v>3257</v>
      </c>
      <c r="D28" s="416" t="s">
        <v>4</v>
      </c>
      <c r="E28" s="361" t="s">
        <v>2541</v>
      </c>
      <c r="F28" s="458" t="s">
        <v>2188</v>
      </c>
      <c r="G28" s="308">
        <v>81897710001</v>
      </c>
      <c r="H28" s="400">
        <v>4675.108695652174</v>
      </c>
      <c r="I28" s="400">
        <f t="shared" si="0"/>
        <v>4675.108695652174</v>
      </c>
    </row>
    <row r="29" spans="1:9" x14ac:dyDescent="0.25">
      <c r="A29" s="452" t="s">
        <v>745</v>
      </c>
      <c r="B29" s="453">
        <v>1</v>
      </c>
      <c r="C29" s="415">
        <v>1317</v>
      </c>
      <c r="D29" s="416" t="s">
        <v>4</v>
      </c>
      <c r="E29" s="361" t="s">
        <v>2270</v>
      </c>
      <c r="F29" s="460" t="s">
        <v>1894</v>
      </c>
      <c r="G29" s="308">
        <v>81897710001</v>
      </c>
      <c r="H29" s="400">
        <v>111.8563043478261</v>
      </c>
      <c r="I29" s="400">
        <f t="shared" si="0"/>
        <v>111.8563043478261</v>
      </c>
    </row>
    <row r="30" spans="1:9" x14ac:dyDescent="0.25">
      <c r="A30" s="452" t="s">
        <v>1258</v>
      </c>
      <c r="B30" s="453">
        <v>1</v>
      </c>
      <c r="C30" s="415" t="s">
        <v>1259</v>
      </c>
      <c r="D30" s="416" t="s">
        <v>4</v>
      </c>
      <c r="E30" s="361" t="s">
        <v>2273</v>
      </c>
      <c r="F30" s="380" t="s">
        <v>1897</v>
      </c>
      <c r="G30" s="308">
        <v>81897710001</v>
      </c>
      <c r="H30" s="400">
        <v>109.08586956521739</v>
      </c>
      <c r="I30" s="400">
        <f t="shared" si="0"/>
        <v>109.08586956521739</v>
      </c>
    </row>
    <row r="31" spans="1:9" x14ac:dyDescent="0.25">
      <c r="A31" s="452" t="s">
        <v>1276</v>
      </c>
      <c r="B31" s="453">
        <v>1</v>
      </c>
      <c r="C31" s="459">
        <v>3153</v>
      </c>
      <c r="D31" s="416" t="s">
        <v>4</v>
      </c>
      <c r="E31" s="361" t="s">
        <v>2542</v>
      </c>
      <c r="F31" s="455" t="s">
        <v>2184</v>
      </c>
      <c r="G31" s="308">
        <v>81897710017</v>
      </c>
      <c r="H31" s="400">
        <v>2208.0365217391304</v>
      </c>
      <c r="I31" s="400">
        <f t="shared" si="0"/>
        <v>2208.0365217391304</v>
      </c>
    </row>
    <row r="32" spans="1:9" x14ac:dyDescent="0.25">
      <c r="A32" s="452" t="s">
        <v>1289</v>
      </c>
      <c r="B32" s="453">
        <v>1</v>
      </c>
      <c r="C32" s="415">
        <v>3263</v>
      </c>
      <c r="D32" s="416" t="s">
        <v>4</v>
      </c>
      <c r="E32" s="361" t="s">
        <v>1289</v>
      </c>
      <c r="F32" s="455" t="s">
        <v>2078</v>
      </c>
      <c r="G32" s="308" t="e">
        <v>#N/A</v>
      </c>
      <c r="H32" s="400">
        <v>0</v>
      </c>
      <c r="I32" s="400">
        <f t="shared" si="0"/>
        <v>0</v>
      </c>
    </row>
    <row r="33" spans="1:9" x14ac:dyDescent="0.25">
      <c r="A33" s="452" t="s">
        <v>1282</v>
      </c>
      <c r="B33" s="453">
        <v>1</v>
      </c>
      <c r="C33" s="415">
        <v>3247</v>
      </c>
      <c r="D33" s="416" t="s">
        <v>4</v>
      </c>
      <c r="E33" s="361" t="s">
        <v>2331</v>
      </c>
      <c r="F33" s="455" t="s">
        <v>1865</v>
      </c>
      <c r="G33" s="308">
        <v>81897710001</v>
      </c>
      <c r="H33" s="400">
        <v>743.51543478260862</v>
      </c>
      <c r="I33" s="400">
        <f t="shared" si="0"/>
        <v>743.51543478260862</v>
      </c>
    </row>
    <row r="34" spans="1:9" x14ac:dyDescent="0.25">
      <c r="A34" s="452" t="s">
        <v>1290</v>
      </c>
      <c r="B34" s="453">
        <v>1</v>
      </c>
      <c r="C34" s="510">
        <v>3261</v>
      </c>
      <c r="D34" s="416" t="s">
        <v>4</v>
      </c>
      <c r="E34" s="361" t="s">
        <v>2485</v>
      </c>
      <c r="F34" s="465" t="s">
        <v>2142</v>
      </c>
      <c r="G34" s="308">
        <v>81897710012</v>
      </c>
      <c r="H34" s="400">
        <v>915.95960869565215</v>
      </c>
      <c r="I34" s="400">
        <f t="shared" si="0"/>
        <v>915.95960869565215</v>
      </c>
    </row>
    <row r="35" spans="1:9" x14ac:dyDescent="0.25">
      <c r="A35" s="452" t="s">
        <v>1287</v>
      </c>
      <c r="B35" s="453">
        <v>1</v>
      </c>
      <c r="C35" s="415">
        <v>3256</v>
      </c>
      <c r="D35" s="416" t="s">
        <v>4</v>
      </c>
      <c r="E35" s="361" t="s">
        <v>1287</v>
      </c>
      <c r="F35" s="455" t="s">
        <v>2078</v>
      </c>
      <c r="G35" s="308" t="e">
        <v>#N/A</v>
      </c>
      <c r="H35" s="400">
        <v>0</v>
      </c>
      <c r="I35" s="400">
        <f t="shared" si="0"/>
        <v>0</v>
      </c>
    </row>
    <row r="36" spans="1:9" x14ac:dyDescent="0.25">
      <c r="A36" s="452" t="s">
        <v>1286</v>
      </c>
      <c r="B36" s="453">
        <v>1</v>
      </c>
      <c r="C36" s="415">
        <v>3254</v>
      </c>
      <c r="D36" s="416" t="s">
        <v>4</v>
      </c>
      <c r="E36" s="361" t="s">
        <v>2462</v>
      </c>
      <c r="F36" s="455" t="s">
        <v>2038</v>
      </c>
      <c r="G36" s="308">
        <v>81897710017</v>
      </c>
      <c r="H36" s="400">
        <v>983.50434782608704</v>
      </c>
      <c r="I36" s="400">
        <f t="shared" si="0"/>
        <v>983.50434782608704</v>
      </c>
    </row>
    <row r="37" spans="1:9" x14ac:dyDescent="0.25">
      <c r="A37" s="452" t="s">
        <v>1285</v>
      </c>
      <c r="B37" s="453">
        <v>1</v>
      </c>
      <c r="C37" s="415">
        <v>3255</v>
      </c>
      <c r="D37" s="416" t="s">
        <v>4</v>
      </c>
      <c r="E37" s="361" t="s">
        <v>2462</v>
      </c>
      <c r="F37" s="455" t="s">
        <v>2038</v>
      </c>
      <c r="G37" s="308">
        <v>81897710017</v>
      </c>
      <c r="H37" s="400">
        <v>983.50434782608704</v>
      </c>
      <c r="I37" s="400">
        <f t="shared" si="0"/>
        <v>983.50434782608704</v>
      </c>
    </row>
    <row r="38" spans="1:9" x14ac:dyDescent="0.25">
      <c r="A38" s="452" t="s">
        <v>1256</v>
      </c>
      <c r="B38" s="453">
        <v>1</v>
      </c>
      <c r="C38" s="415" t="s">
        <v>1257</v>
      </c>
      <c r="D38" s="416" t="s">
        <v>4</v>
      </c>
      <c r="E38" s="361" t="s">
        <v>2543</v>
      </c>
      <c r="F38" s="455" t="s">
        <v>2143</v>
      </c>
      <c r="G38" s="308">
        <v>81897710001</v>
      </c>
      <c r="H38" s="400">
        <v>806.88913043478249</v>
      </c>
      <c r="I38" s="400">
        <f t="shared" si="0"/>
        <v>806.88913043478249</v>
      </c>
    </row>
    <row r="39" spans="1:9" x14ac:dyDescent="0.25">
      <c r="A39" s="452" t="s">
        <v>1254</v>
      </c>
      <c r="B39" s="453">
        <v>1</v>
      </c>
      <c r="C39" s="415" t="s">
        <v>1255</v>
      </c>
      <c r="D39" s="416" t="s">
        <v>4</v>
      </c>
      <c r="E39" s="361" t="s">
        <v>2429</v>
      </c>
      <c r="F39" s="461" t="s">
        <v>1927</v>
      </c>
      <c r="G39" s="308">
        <v>81897710001</v>
      </c>
      <c r="H39" s="400">
        <v>129.51782608695652</v>
      </c>
      <c r="I39" s="400">
        <f t="shared" si="0"/>
        <v>129.51782608695652</v>
      </c>
    </row>
    <row r="40" spans="1:9" x14ac:dyDescent="0.25">
      <c r="A40" s="452" t="s">
        <v>1291</v>
      </c>
      <c r="B40" s="453">
        <v>1</v>
      </c>
      <c r="C40" s="415">
        <v>3261</v>
      </c>
      <c r="D40" s="416" t="s">
        <v>4</v>
      </c>
      <c r="E40" s="361" t="s">
        <v>2485</v>
      </c>
      <c r="F40" s="455" t="s">
        <v>2142</v>
      </c>
      <c r="G40" s="308">
        <v>81897710012</v>
      </c>
      <c r="H40" s="400">
        <v>915.95960869565215</v>
      </c>
      <c r="I40" s="400">
        <f t="shared" si="0"/>
        <v>915.95960869565215</v>
      </c>
    </row>
    <row r="41" spans="1:9" x14ac:dyDescent="0.25">
      <c r="A41" s="452" t="s">
        <v>1265</v>
      </c>
      <c r="B41" s="453">
        <v>1</v>
      </c>
      <c r="C41" s="415">
        <v>2906</v>
      </c>
      <c r="D41" s="416" t="s">
        <v>4</v>
      </c>
      <c r="E41" s="361" t="s">
        <v>2544</v>
      </c>
      <c r="F41" s="462" t="s">
        <v>2130</v>
      </c>
      <c r="G41" s="308">
        <v>81897710023</v>
      </c>
      <c r="H41" s="400">
        <v>214.70869565217396</v>
      </c>
      <c r="I41" s="400">
        <f t="shared" si="0"/>
        <v>214.70869565217396</v>
      </c>
    </row>
    <row r="42" spans="1:9" x14ac:dyDescent="0.25">
      <c r="A42" s="452" t="s">
        <v>1263</v>
      </c>
      <c r="B42" s="453">
        <v>1</v>
      </c>
      <c r="C42" s="415">
        <v>3367</v>
      </c>
      <c r="D42" s="416" t="s">
        <v>4</v>
      </c>
      <c r="E42" s="361" t="s">
        <v>1263</v>
      </c>
      <c r="F42" s="423" t="s">
        <v>2141</v>
      </c>
      <c r="G42" s="308">
        <v>80476380011</v>
      </c>
      <c r="H42" s="400">
        <v>815.21739130434787</v>
      </c>
      <c r="I42" s="400">
        <f t="shared" si="0"/>
        <v>815.21739130434787</v>
      </c>
    </row>
    <row r="43" spans="1:9" x14ac:dyDescent="0.25">
      <c r="A43" s="452" t="s">
        <v>1278</v>
      </c>
      <c r="B43" s="453">
        <v>2</v>
      </c>
      <c r="C43" s="415">
        <v>3358</v>
      </c>
      <c r="D43" s="416" t="s">
        <v>4</v>
      </c>
      <c r="E43" s="361" t="s">
        <v>2466</v>
      </c>
      <c r="F43" s="453" t="s">
        <v>1960</v>
      </c>
      <c r="G43" s="308">
        <v>81897710017</v>
      </c>
      <c r="H43" s="400">
        <v>296.7828260869565</v>
      </c>
      <c r="I43" s="400">
        <f t="shared" si="0"/>
        <v>593.56565217391301</v>
      </c>
    </row>
    <row r="44" spans="1:9" x14ac:dyDescent="0.25">
      <c r="A44" s="452" t="s">
        <v>1025</v>
      </c>
      <c r="B44" s="453">
        <v>1</v>
      </c>
      <c r="C44" s="415">
        <v>3320</v>
      </c>
      <c r="D44" s="416" t="s">
        <v>4</v>
      </c>
      <c r="E44" s="361" t="s">
        <v>2299</v>
      </c>
      <c r="F44" s="382" t="s">
        <v>1954</v>
      </c>
      <c r="G44" s="308">
        <v>81897710017</v>
      </c>
      <c r="H44" s="400">
        <v>83.805652173913046</v>
      </c>
      <c r="I44" s="400">
        <f t="shared" si="0"/>
        <v>83.805652173913046</v>
      </c>
    </row>
    <row r="45" spans="1:9" x14ac:dyDescent="0.25">
      <c r="A45" s="452" t="s">
        <v>1026</v>
      </c>
      <c r="B45" s="453">
        <v>1</v>
      </c>
      <c r="C45" s="415">
        <v>3316</v>
      </c>
      <c r="D45" s="416" t="s">
        <v>4</v>
      </c>
      <c r="E45" s="361" t="s">
        <v>2300</v>
      </c>
      <c r="F45" s="463" t="s">
        <v>1961</v>
      </c>
      <c r="G45" s="308">
        <v>81897710017</v>
      </c>
      <c r="H45" s="400">
        <v>81.035217391304343</v>
      </c>
      <c r="I45" s="400">
        <f t="shared" si="0"/>
        <v>81.035217391304343</v>
      </c>
    </row>
    <row r="46" spans="1:9" x14ac:dyDescent="0.25">
      <c r="A46" s="452" t="s">
        <v>1260</v>
      </c>
      <c r="B46" s="453">
        <v>1</v>
      </c>
      <c r="C46" s="415">
        <v>3356</v>
      </c>
      <c r="D46" s="416" t="s">
        <v>4</v>
      </c>
      <c r="E46" s="361" t="s">
        <v>2301</v>
      </c>
      <c r="F46" s="463" t="s">
        <v>1964</v>
      </c>
      <c r="G46" s="308">
        <v>81897710017</v>
      </c>
      <c r="H46" s="400">
        <v>130.2104347826087</v>
      </c>
      <c r="I46" s="400">
        <f t="shared" si="0"/>
        <v>130.2104347826087</v>
      </c>
    </row>
    <row r="47" spans="1:9" x14ac:dyDescent="0.25">
      <c r="A47" s="452" t="s">
        <v>754</v>
      </c>
      <c r="B47" s="453">
        <v>1</v>
      </c>
      <c r="C47" s="415">
        <v>3354</v>
      </c>
      <c r="D47" s="416" t="s">
        <v>4</v>
      </c>
      <c r="E47" s="361" t="s">
        <v>2414</v>
      </c>
      <c r="F47" s="464" t="s">
        <v>1955</v>
      </c>
      <c r="G47" s="308">
        <v>81897710017</v>
      </c>
      <c r="H47" s="400">
        <v>100.08195652173913</v>
      </c>
      <c r="I47" s="400">
        <f t="shared" si="0"/>
        <v>100.08195652173913</v>
      </c>
    </row>
    <row r="48" spans="1:9" x14ac:dyDescent="0.25">
      <c r="A48" s="452" t="s">
        <v>1262</v>
      </c>
      <c r="B48" s="453">
        <v>1</v>
      </c>
      <c r="C48" s="415">
        <v>3322</v>
      </c>
      <c r="D48" s="416" t="s">
        <v>4</v>
      </c>
      <c r="E48" s="361" t="s">
        <v>2306</v>
      </c>
      <c r="F48" s="430" t="s">
        <v>1967</v>
      </c>
      <c r="G48" s="308">
        <v>81897710017</v>
      </c>
      <c r="H48" s="400">
        <v>157.91478260869562</v>
      </c>
      <c r="I48" s="400">
        <f t="shared" si="0"/>
        <v>157.91478260869562</v>
      </c>
    </row>
    <row r="49" spans="1:9" x14ac:dyDescent="0.25">
      <c r="A49" s="12" t="s">
        <v>1261</v>
      </c>
      <c r="B49" s="117">
        <v>1</v>
      </c>
      <c r="C49" s="46">
        <v>3322</v>
      </c>
      <c r="D49" s="99" t="s">
        <v>4</v>
      </c>
      <c r="E49" s="195" t="s">
        <v>2411</v>
      </c>
      <c r="F49" s="117" t="s">
        <v>1970</v>
      </c>
      <c r="G49" s="308">
        <v>81897710017</v>
      </c>
      <c r="H49" s="400">
        <v>118.78239130434784</v>
      </c>
      <c r="I49" s="400">
        <f t="shared" si="0"/>
        <v>118.78239130434784</v>
      </c>
    </row>
    <row r="50" spans="1:9" x14ac:dyDescent="0.25">
      <c r="A50" s="452" t="s">
        <v>1277</v>
      </c>
      <c r="B50" s="117">
        <v>1</v>
      </c>
      <c r="C50" s="46">
        <v>3392</v>
      </c>
      <c r="D50" s="99" t="s">
        <v>4</v>
      </c>
      <c r="E50" s="195" t="s">
        <v>2545</v>
      </c>
      <c r="F50" s="117" t="s">
        <v>2144</v>
      </c>
      <c r="G50" s="308">
        <v>81897710017</v>
      </c>
      <c r="H50" s="400">
        <v>2222.9276086956525</v>
      </c>
      <c r="I50" s="400">
        <f t="shared" si="0"/>
        <v>2222.9276086956525</v>
      </c>
    </row>
    <row r="51" spans="1:9" x14ac:dyDescent="0.25">
      <c r="I51" s="388">
        <f>SUM(I2:I50)</f>
        <v>54323.674304347835</v>
      </c>
    </row>
  </sheetData>
  <sortState xmlns:xlrd2="http://schemas.microsoft.com/office/spreadsheetml/2017/richdata2" ref="A2:D50">
    <sortCondition ref="A1:A50"/>
  </sortState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A4B87-F7FA-4699-8FE4-950AF85E2A1B}">
  <sheetPr codeName="Planilha38">
    <tabColor rgb="FF92D050"/>
  </sheetPr>
  <dimension ref="A1:I31"/>
  <sheetViews>
    <sheetView workbookViewId="0">
      <pane ySplit="1" topLeftCell="A2" activePane="bottomLeft" state="frozen"/>
      <selection activeCell="A53" sqref="A53"/>
      <selection pane="bottomLeft" activeCell="E14" sqref="E14:E17"/>
    </sheetView>
  </sheetViews>
  <sheetFormatPr defaultRowHeight="15" x14ac:dyDescent="0.25"/>
  <cols>
    <col min="1" max="1" width="42.140625" customWidth="1"/>
    <col min="2" max="2" width="15.140625" customWidth="1"/>
    <col min="3" max="3" width="17.5703125" customWidth="1"/>
    <col min="4" max="4" width="15.85546875" customWidth="1"/>
    <col min="5" max="5" width="35.85546875" customWidth="1"/>
    <col min="6" max="6" width="16.85546875" style="40" customWidth="1"/>
    <col min="7" max="7" width="16.7109375" style="40" customWidth="1"/>
    <col min="8" max="8" width="16.7109375" style="324" customWidth="1"/>
    <col min="9" max="9" width="16.7109375" customWidth="1"/>
  </cols>
  <sheetData>
    <row r="1" spans="1:9" ht="31.5" x14ac:dyDescent="0.25">
      <c r="A1" s="84" t="s">
        <v>0</v>
      </c>
      <c r="B1" s="42" t="s">
        <v>305</v>
      </c>
      <c r="C1" s="85" t="s">
        <v>360</v>
      </c>
      <c r="D1" s="197" t="s">
        <v>1721</v>
      </c>
      <c r="E1" s="194" t="s">
        <v>1723</v>
      </c>
      <c r="F1" s="194" t="s">
        <v>1724</v>
      </c>
      <c r="G1" s="194" t="s">
        <v>1722</v>
      </c>
      <c r="H1" s="321" t="s">
        <v>1725</v>
      </c>
      <c r="I1" s="321" t="s">
        <v>2317</v>
      </c>
    </row>
    <row r="2" spans="1:9" x14ac:dyDescent="0.25">
      <c r="A2" s="410" t="s">
        <v>1295</v>
      </c>
      <c r="B2" s="432">
        <v>2</v>
      </c>
      <c r="C2" s="466" t="s">
        <v>1296</v>
      </c>
      <c r="D2" s="467" t="s">
        <v>10</v>
      </c>
      <c r="E2" s="361" t="s">
        <v>2550</v>
      </c>
      <c r="F2" s="382" t="s">
        <v>1734</v>
      </c>
      <c r="G2" s="366">
        <v>81897710001</v>
      </c>
      <c r="H2" s="362">
        <v>2076.0945652173914</v>
      </c>
      <c r="I2" s="322">
        <f>H2*B2</f>
        <v>4152.1891304347828</v>
      </c>
    </row>
    <row r="3" spans="1:9" x14ac:dyDescent="0.25">
      <c r="A3" s="410" t="s">
        <v>1293</v>
      </c>
      <c r="B3" s="432">
        <v>2</v>
      </c>
      <c r="C3" s="466" t="s">
        <v>1294</v>
      </c>
      <c r="D3" s="467" t="s">
        <v>10</v>
      </c>
      <c r="E3" s="361" t="s">
        <v>2551</v>
      </c>
      <c r="F3" s="386" t="s">
        <v>2051</v>
      </c>
      <c r="G3" s="366">
        <v>81897710001</v>
      </c>
      <c r="H3" s="362">
        <v>2076.0945652173914</v>
      </c>
      <c r="I3" s="322">
        <f t="shared" ref="I3:I29" si="0">H3*B3</f>
        <v>4152.1891304347828</v>
      </c>
    </row>
    <row r="4" spans="1:9" x14ac:dyDescent="0.25">
      <c r="A4" s="410" t="s">
        <v>1297</v>
      </c>
      <c r="B4" s="432">
        <v>2</v>
      </c>
      <c r="C4" s="466" t="s">
        <v>22</v>
      </c>
      <c r="D4" s="467" t="s">
        <v>8</v>
      </c>
      <c r="E4" s="361" t="s">
        <v>2209</v>
      </c>
      <c r="F4" s="386" t="s">
        <v>1750</v>
      </c>
      <c r="G4" s="366">
        <v>81897710023</v>
      </c>
      <c r="H4" s="362">
        <v>451.58086956521737</v>
      </c>
      <c r="I4" s="322">
        <f t="shared" si="0"/>
        <v>903.16173913043474</v>
      </c>
    </row>
    <row r="5" spans="1:9" x14ac:dyDescent="0.25">
      <c r="A5" s="410" t="s">
        <v>1298</v>
      </c>
      <c r="B5" s="432">
        <v>2</v>
      </c>
      <c r="C5" s="466" t="s">
        <v>1299</v>
      </c>
      <c r="D5" s="467" t="s">
        <v>10</v>
      </c>
      <c r="E5" s="361" t="s">
        <v>1298</v>
      </c>
      <c r="F5" s="382" t="s">
        <v>2078</v>
      </c>
      <c r="G5" s="366" t="e">
        <v>#N/A</v>
      </c>
      <c r="H5" s="362">
        <v>0</v>
      </c>
      <c r="I5" s="322">
        <f t="shared" si="0"/>
        <v>0</v>
      </c>
    </row>
    <row r="6" spans="1:9" x14ac:dyDescent="0.25">
      <c r="A6" s="410" t="s">
        <v>1131</v>
      </c>
      <c r="B6" s="432">
        <v>1</v>
      </c>
      <c r="C6" s="466">
        <v>2049</v>
      </c>
      <c r="D6" s="467" t="s">
        <v>4</v>
      </c>
      <c r="E6" s="361" t="s">
        <v>2215</v>
      </c>
      <c r="F6" s="386" t="s">
        <v>1765</v>
      </c>
      <c r="G6" s="366">
        <v>81897719001</v>
      </c>
      <c r="H6" s="362">
        <v>205.01217391304351</v>
      </c>
      <c r="I6" s="322">
        <f t="shared" si="0"/>
        <v>205.01217391304351</v>
      </c>
    </row>
    <row r="7" spans="1:9" x14ac:dyDescent="0.25">
      <c r="A7" s="410" t="s">
        <v>1300</v>
      </c>
      <c r="B7" s="432">
        <v>2</v>
      </c>
      <c r="C7" s="466" t="s">
        <v>1301</v>
      </c>
      <c r="D7" s="467" t="s">
        <v>10</v>
      </c>
      <c r="E7" s="361" t="s">
        <v>2552</v>
      </c>
      <c r="F7" s="382" t="s">
        <v>1974</v>
      </c>
      <c r="G7" s="366">
        <v>81897710001</v>
      </c>
      <c r="H7" s="362">
        <v>468.20347826086959</v>
      </c>
      <c r="I7" s="322">
        <f t="shared" si="0"/>
        <v>936.40695652173918</v>
      </c>
    </row>
    <row r="8" spans="1:9" x14ac:dyDescent="0.25">
      <c r="A8" s="410" t="s">
        <v>1302</v>
      </c>
      <c r="B8" s="432">
        <v>2</v>
      </c>
      <c r="C8" s="466" t="s">
        <v>1303</v>
      </c>
      <c r="D8" s="467" t="s">
        <v>10</v>
      </c>
      <c r="E8" s="361" t="s">
        <v>2553</v>
      </c>
      <c r="F8" s="382" t="s">
        <v>1975</v>
      </c>
      <c r="G8" s="366">
        <v>81897710001</v>
      </c>
      <c r="H8" s="362">
        <v>440.49913043478267</v>
      </c>
      <c r="I8" s="322">
        <f t="shared" si="0"/>
        <v>880.99826086956534</v>
      </c>
    </row>
    <row r="9" spans="1:9" x14ac:dyDescent="0.25">
      <c r="A9" s="410" t="s">
        <v>1317</v>
      </c>
      <c r="B9" s="432">
        <v>1</v>
      </c>
      <c r="C9" s="466" t="s">
        <v>1318</v>
      </c>
      <c r="D9" s="467" t="s">
        <v>10</v>
      </c>
      <c r="E9" s="361" t="s">
        <v>2554</v>
      </c>
      <c r="F9" s="382" t="s">
        <v>1777</v>
      </c>
      <c r="G9" s="366">
        <v>81897710001</v>
      </c>
      <c r="H9" s="362">
        <v>1073.8897826086959</v>
      </c>
      <c r="I9" s="322">
        <f t="shared" si="0"/>
        <v>1073.8897826086959</v>
      </c>
    </row>
    <row r="10" spans="1:9" x14ac:dyDescent="0.25">
      <c r="A10" s="410" t="s">
        <v>1315</v>
      </c>
      <c r="B10" s="432">
        <v>1</v>
      </c>
      <c r="C10" s="466" t="s">
        <v>1316</v>
      </c>
      <c r="D10" s="467" t="s">
        <v>10</v>
      </c>
      <c r="E10" s="361" t="s">
        <v>2555</v>
      </c>
      <c r="F10" s="382" t="s">
        <v>2155</v>
      </c>
      <c r="G10" s="366">
        <v>81897710001</v>
      </c>
      <c r="H10" s="362">
        <v>1073.8897826086959</v>
      </c>
      <c r="I10" s="322">
        <f t="shared" si="0"/>
        <v>1073.8897826086959</v>
      </c>
    </row>
    <row r="11" spans="1:9" x14ac:dyDescent="0.25">
      <c r="A11" s="410" t="s">
        <v>1313</v>
      </c>
      <c r="B11" s="432">
        <v>1</v>
      </c>
      <c r="C11" s="466" t="s">
        <v>1314</v>
      </c>
      <c r="D11" s="467" t="s">
        <v>10</v>
      </c>
      <c r="E11" s="361" t="s">
        <v>2556</v>
      </c>
      <c r="F11" s="382" t="s">
        <v>1778</v>
      </c>
      <c r="G11" s="366">
        <v>81897710001</v>
      </c>
      <c r="H11" s="362">
        <v>1294.1393478260868</v>
      </c>
      <c r="I11" s="322">
        <f t="shared" si="0"/>
        <v>1294.1393478260868</v>
      </c>
    </row>
    <row r="12" spans="1:9" x14ac:dyDescent="0.25">
      <c r="A12" s="410" t="s">
        <v>1311</v>
      </c>
      <c r="B12" s="432">
        <v>1</v>
      </c>
      <c r="C12" s="466" t="s">
        <v>1312</v>
      </c>
      <c r="D12" s="467" t="s">
        <v>10</v>
      </c>
      <c r="E12" s="361" t="s">
        <v>2557</v>
      </c>
      <c r="F12" s="382" t="s">
        <v>1781</v>
      </c>
      <c r="G12" s="366">
        <v>81897710001</v>
      </c>
      <c r="H12" s="362">
        <v>1376.5597826086955</v>
      </c>
      <c r="I12" s="322">
        <f t="shared" si="0"/>
        <v>1376.5597826086955</v>
      </c>
    </row>
    <row r="13" spans="1:9" x14ac:dyDescent="0.25">
      <c r="A13" s="410" t="s">
        <v>1309</v>
      </c>
      <c r="B13" s="432">
        <v>1</v>
      </c>
      <c r="C13" s="466" t="s">
        <v>1310</v>
      </c>
      <c r="D13" s="467" t="s">
        <v>10</v>
      </c>
      <c r="E13" s="361" t="s">
        <v>2558</v>
      </c>
      <c r="F13" s="382" t="s">
        <v>1780</v>
      </c>
      <c r="G13" s="366">
        <v>81897710001</v>
      </c>
      <c r="H13" s="362">
        <v>1321.4973913043477</v>
      </c>
      <c r="I13" s="322">
        <f t="shared" si="0"/>
        <v>1321.4973913043477</v>
      </c>
    </row>
    <row r="14" spans="1:9" ht="40.5" x14ac:dyDescent="0.25">
      <c r="A14" s="410" t="s">
        <v>1336</v>
      </c>
      <c r="B14" s="432">
        <v>1</v>
      </c>
      <c r="C14" s="361"/>
      <c r="D14" s="467"/>
      <c r="E14" s="410" t="s">
        <v>2661</v>
      </c>
      <c r="F14" s="432" t="s">
        <v>2546</v>
      </c>
      <c r="G14" s="366" t="s">
        <v>2336</v>
      </c>
      <c r="H14" s="362">
        <v>3731.6217391304349</v>
      </c>
      <c r="I14" s="322">
        <f t="shared" si="0"/>
        <v>3731.6217391304349</v>
      </c>
    </row>
    <row r="15" spans="1:9" ht="54" x14ac:dyDescent="0.25">
      <c r="A15" s="410" t="s">
        <v>700</v>
      </c>
      <c r="B15" s="432">
        <v>1</v>
      </c>
      <c r="C15" s="361"/>
      <c r="D15" s="467"/>
      <c r="E15" s="410" t="s">
        <v>2662</v>
      </c>
      <c r="F15" s="432" t="s">
        <v>2547</v>
      </c>
      <c r="G15" s="366" t="s">
        <v>2336</v>
      </c>
      <c r="H15" s="362">
        <v>4051.760869565217</v>
      </c>
      <c r="I15" s="322">
        <f t="shared" si="0"/>
        <v>4051.760869565217</v>
      </c>
    </row>
    <row r="16" spans="1:9" ht="27" x14ac:dyDescent="0.25">
      <c r="A16" s="410" t="s">
        <v>2153</v>
      </c>
      <c r="B16" s="432">
        <v>1</v>
      </c>
      <c r="C16" s="361"/>
      <c r="D16" s="467"/>
      <c r="E16" s="410" t="s">
        <v>2663</v>
      </c>
      <c r="F16" s="432" t="s">
        <v>2548</v>
      </c>
      <c r="G16" s="366" t="s">
        <v>2336</v>
      </c>
      <c r="H16" s="362">
        <v>2895.1043478260872</v>
      </c>
      <c r="I16" s="322">
        <f t="shared" si="0"/>
        <v>2895.1043478260872</v>
      </c>
    </row>
    <row r="17" spans="1:9" ht="27" x14ac:dyDescent="0.25">
      <c r="A17" s="410" t="s">
        <v>2154</v>
      </c>
      <c r="B17" s="432">
        <v>2</v>
      </c>
      <c r="C17" s="361"/>
      <c r="D17" s="467"/>
      <c r="E17" s="410" t="s">
        <v>2664</v>
      </c>
      <c r="F17" s="432" t="s">
        <v>2549</v>
      </c>
      <c r="G17" s="366" t="s">
        <v>2336</v>
      </c>
      <c r="H17" s="362">
        <v>65.413043478260875</v>
      </c>
      <c r="I17" s="322">
        <f t="shared" si="0"/>
        <v>130.82608695652175</v>
      </c>
    </row>
    <row r="18" spans="1:9" x14ac:dyDescent="0.25">
      <c r="A18" s="410" t="s">
        <v>1307</v>
      </c>
      <c r="B18" s="432">
        <v>1</v>
      </c>
      <c r="C18" s="467" t="s">
        <v>1308</v>
      </c>
      <c r="D18" s="467" t="s">
        <v>10</v>
      </c>
      <c r="E18" s="361" t="s">
        <v>2559</v>
      </c>
      <c r="F18" s="382" t="s">
        <v>2156</v>
      </c>
      <c r="G18" s="366">
        <v>81897710010</v>
      </c>
      <c r="H18" s="362">
        <v>904.91634782608708</v>
      </c>
      <c r="I18" s="322">
        <f t="shared" si="0"/>
        <v>904.91634782608708</v>
      </c>
    </row>
    <row r="19" spans="1:9" x14ac:dyDescent="0.25">
      <c r="A19" s="410" t="s">
        <v>1319</v>
      </c>
      <c r="B19" s="432">
        <v>1</v>
      </c>
      <c r="C19" s="466" t="s">
        <v>1320</v>
      </c>
      <c r="D19" s="467" t="s">
        <v>10</v>
      </c>
      <c r="E19" s="361" t="s">
        <v>2560</v>
      </c>
      <c r="F19" s="382" t="s">
        <v>2157</v>
      </c>
      <c r="G19" s="366">
        <v>81897710001</v>
      </c>
      <c r="H19" s="362">
        <v>1211.3726086956522</v>
      </c>
      <c r="I19" s="322">
        <f t="shared" si="0"/>
        <v>1211.3726086956522</v>
      </c>
    </row>
    <row r="20" spans="1:9" x14ac:dyDescent="0.25">
      <c r="A20" s="410" t="s">
        <v>1321</v>
      </c>
      <c r="B20" s="432">
        <v>1</v>
      </c>
      <c r="C20" s="466" t="s">
        <v>1322</v>
      </c>
      <c r="D20" s="467" t="s">
        <v>10</v>
      </c>
      <c r="E20" s="361" t="s">
        <v>2561</v>
      </c>
      <c r="F20" s="382" t="s">
        <v>2158</v>
      </c>
      <c r="G20" s="366">
        <v>81897710001</v>
      </c>
      <c r="H20" s="362">
        <v>991.12304347826102</v>
      </c>
      <c r="I20" s="322">
        <f t="shared" si="0"/>
        <v>991.12304347826102</v>
      </c>
    </row>
    <row r="21" spans="1:9" x14ac:dyDescent="0.25">
      <c r="A21" s="410" t="s">
        <v>1304</v>
      </c>
      <c r="B21" s="432">
        <v>1</v>
      </c>
      <c r="C21" s="466" t="s">
        <v>1305</v>
      </c>
      <c r="D21" s="467" t="s">
        <v>10</v>
      </c>
      <c r="E21" s="361" t="s">
        <v>2562</v>
      </c>
      <c r="F21" s="382" t="s">
        <v>1887</v>
      </c>
      <c r="G21" s="366">
        <v>81897710023</v>
      </c>
      <c r="H21" s="362">
        <v>215.74760869565222</v>
      </c>
      <c r="I21" s="322">
        <f t="shared" si="0"/>
        <v>215.74760869565222</v>
      </c>
    </row>
    <row r="22" spans="1:9" x14ac:dyDescent="0.25">
      <c r="A22" s="410" t="s">
        <v>1323</v>
      </c>
      <c r="B22" s="432">
        <v>1</v>
      </c>
      <c r="C22" s="466" t="s">
        <v>1324</v>
      </c>
      <c r="D22" s="467" t="s">
        <v>10</v>
      </c>
      <c r="E22" s="361" t="s">
        <v>2563</v>
      </c>
      <c r="F22" s="382" t="s">
        <v>2159</v>
      </c>
      <c r="G22" s="366">
        <v>81897710009</v>
      </c>
      <c r="H22" s="362">
        <v>3982.8309130434782</v>
      </c>
      <c r="I22" s="322">
        <f t="shared" si="0"/>
        <v>3982.8309130434782</v>
      </c>
    </row>
    <row r="23" spans="1:9" x14ac:dyDescent="0.25">
      <c r="A23" s="410" t="s">
        <v>1306</v>
      </c>
      <c r="B23" s="432">
        <v>1</v>
      </c>
      <c r="C23" s="466" t="s">
        <v>737</v>
      </c>
      <c r="D23" s="467" t="s">
        <v>10</v>
      </c>
      <c r="E23" s="361" t="s">
        <v>2284</v>
      </c>
      <c r="F23" s="382" t="s">
        <v>1870</v>
      </c>
      <c r="G23" s="366">
        <v>81897710023</v>
      </c>
      <c r="H23" s="362">
        <v>149.25717391304346</v>
      </c>
      <c r="I23" s="322">
        <f t="shared" si="0"/>
        <v>149.25717391304346</v>
      </c>
    </row>
    <row r="24" spans="1:9" x14ac:dyDescent="0.25">
      <c r="A24" s="410" t="s">
        <v>1325</v>
      </c>
      <c r="B24" s="432">
        <v>1</v>
      </c>
      <c r="C24" s="466" t="s">
        <v>1326</v>
      </c>
      <c r="D24" s="467" t="s">
        <v>8</v>
      </c>
      <c r="E24" s="361" t="s">
        <v>2564</v>
      </c>
      <c r="F24" s="373" t="s">
        <v>2112</v>
      </c>
      <c r="G24" s="366">
        <v>81897710001</v>
      </c>
      <c r="H24" s="362">
        <v>823.16543478260883</v>
      </c>
      <c r="I24" s="322">
        <f t="shared" si="0"/>
        <v>823.16543478260883</v>
      </c>
    </row>
    <row r="25" spans="1:9" x14ac:dyDescent="0.25">
      <c r="A25" s="410" t="s">
        <v>1327</v>
      </c>
      <c r="B25" s="432">
        <v>2</v>
      </c>
      <c r="C25" s="466" t="s">
        <v>1328</v>
      </c>
      <c r="D25" s="467" t="s">
        <v>10</v>
      </c>
      <c r="E25" s="361" t="s">
        <v>2565</v>
      </c>
      <c r="F25" s="382" t="s">
        <v>1936</v>
      </c>
      <c r="G25" s="366">
        <v>81897710001</v>
      </c>
      <c r="H25" s="362">
        <v>1068.3489130434782</v>
      </c>
      <c r="I25" s="322">
        <f t="shared" si="0"/>
        <v>2136.6978260869564</v>
      </c>
    </row>
    <row r="26" spans="1:9" x14ac:dyDescent="0.25">
      <c r="A26" s="410" t="s">
        <v>1331</v>
      </c>
      <c r="B26" s="432">
        <v>1</v>
      </c>
      <c r="C26" s="466" t="s">
        <v>1332</v>
      </c>
      <c r="D26" s="467" t="s">
        <v>10</v>
      </c>
      <c r="E26" s="361" t="s">
        <v>2565</v>
      </c>
      <c r="F26" s="382" t="s">
        <v>1936</v>
      </c>
      <c r="G26" s="366">
        <v>81897710001</v>
      </c>
      <c r="H26" s="362">
        <v>1068.3489130434782</v>
      </c>
      <c r="I26" s="322">
        <f t="shared" si="0"/>
        <v>1068.3489130434782</v>
      </c>
    </row>
    <row r="27" spans="1:9" x14ac:dyDescent="0.25">
      <c r="A27" s="410" t="s">
        <v>1329</v>
      </c>
      <c r="B27" s="432">
        <v>1</v>
      </c>
      <c r="C27" s="466" t="s">
        <v>1330</v>
      </c>
      <c r="D27" s="467" t="s">
        <v>10</v>
      </c>
      <c r="E27" s="361" t="s">
        <v>2566</v>
      </c>
      <c r="F27" s="382" t="s">
        <v>1937</v>
      </c>
      <c r="G27" s="366">
        <v>81897710001</v>
      </c>
      <c r="H27" s="362">
        <v>1109.5591304347824</v>
      </c>
      <c r="I27" s="322">
        <f t="shared" si="0"/>
        <v>1109.5591304347824</v>
      </c>
    </row>
    <row r="28" spans="1:9" x14ac:dyDescent="0.25">
      <c r="A28" s="410" t="s">
        <v>1335</v>
      </c>
      <c r="B28" s="432">
        <v>1</v>
      </c>
      <c r="C28" s="468" t="s">
        <v>640</v>
      </c>
      <c r="D28" s="467" t="s">
        <v>10</v>
      </c>
      <c r="E28" s="361" t="s">
        <v>2567</v>
      </c>
      <c r="F28" s="382" t="s">
        <v>1971</v>
      </c>
      <c r="G28" s="366">
        <v>81897710017</v>
      </c>
      <c r="H28" s="362">
        <v>324.83347826086958</v>
      </c>
      <c r="I28" s="322">
        <f t="shared" si="0"/>
        <v>324.83347826086958</v>
      </c>
    </row>
    <row r="29" spans="1:9" x14ac:dyDescent="0.25">
      <c r="A29" s="19" t="s">
        <v>1333</v>
      </c>
      <c r="B29" s="132">
        <v>1</v>
      </c>
      <c r="C29" s="130" t="s">
        <v>1334</v>
      </c>
      <c r="D29" s="223" t="s">
        <v>10</v>
      </c>
      <c r="E29" t="s">
        <v>2415</v>
      </c>
      <c r="F29" s="41" t="s">
        <v>1972</v>
      </c>
      <c r="G29" s="40">
        <v>81897710017</v>
      </c>
      <c r="H29" s="324">
        <v>330.37434782608693</v>
      </c>
      <c r="I29" s="322">
        <f t="shared" si="0"/>
        <v>330.37434782608693</v>
      </c>
    </row>
    <row r="30" spans="1:9" x14ac:dyDescent="0.25">
      <c r="A30" s="97" t="s">
        <v>304</v>
      </c>
      <c r="B30" s="14">
        <f>SUM(B2:B29)</f>
        <v>36</v>
      </c>
      <c r="C30" s="26"/>
      <c r="D30" s="26"/>
      <c r="I30" s="324">
        <f>SUM(I2:I29)</f>
        <v>41427.473347826097</v>
      </c>
    </row>
    <row r="31" spans="1:9" x14ac:dyDescent="0.25">
      <c r="C31" s="26"/>
      <c r="D31" s="26"/>
    </row>
  </sheetData>
  <sortState xmlns:xlrd2="http://schemas.microsoft.com/office/spreadsheetml/2017/richdata2" ref="A2:D31">
    <sortCondition ref="A1:A31"/>
  </sortState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CEB35-A849-4CD5-9DEB-63E797B71A85}">
  <sheetPr codeName="Planilha39">
    <tabColor rgb="FF92D050"/>
  </sheetPr>
  <dimension ref="A1:I75"/>
  <sheetViews>
    <sheetView workbookViewId="0">
      <pane ySplit="1" topLeftCell="A2" activePane="bottomLeft" state="frozen"/>
      <selection activeCell="A53" sqref="A53"/>
      <selection pane="bottomLeft" activeCell="K20" sqref="K20"/>
    </sheetView>
  </sheetViews>
  <sheetFormatPr defaultRowHeight="15" x14ac:dyDescent="0.25"/>
  <cols>
    <col min="1" max="1" width="39.140625" customWidth="1"/>
    <col min="2" max="2" width="13.140625" customWidth="1"/>
    <col min="3" max="3" width="19" customWidth="1"/>
    <col min="4" max="4" width="15.85546875" customWidth="1"/>
    <col min="5" max="5" width="33.85546875" customWidth="1"/>
    <col min="6" max="6" width="15.42578125" style="40" customWidth="1"/>
    <col min="7" max="7" width="13" style="40" customWidth="1"/>
    <col min="8" max="8" width="13.7109375" style="324" customWidth="1"/>
    <col min="9" max="9" width="13" style="40" customWidth="1"/>
  </cols>
  <sheetData>
    <row r="1" spans="1:9" ht="31.5" x14ac:dyDescent="0.25">
      <c r="A1" s="84" t="s">
        <v>0</v>
      </c>
      <c r="B1" s="91" t="s">
        <v>305</v>
      </c>
      <c r="C1" s="83" t="s">
        <v>360</v>
      </c>
      <c r="D1" s="197" t="s">
        <v>1721</v>
      </c>
      <c r="E1" s="194" t="s">
        <v>1723</v>
      </c>
      <c r="F1" s="194" t="s">
        <v>1724</v>
      </c>
      <c r="G1" s="194" t="s">
        <v>1722</v>
      </c>
      <c r="H1" s="321" t="s">
        <v>1725</v>
      </c>
      <c r="I1" s="321" t="s">
        <v>2317</v>
      </c>
    </row>
    <row r="2" spans="1:9" ht="15" customHeight="1" x14ac:dyDescent="0.25">
      <c r="A2" s="1" t="s">
        <v>834</v>
      </c>
      <c r="B2" s="37">
        <v>2</v>
      </c>
      <c r="C2" s="82" t="s">
        <v>14</v>
      </c>
      <c r="D2" s="224" t="s">
        <v>8</v>
      </c>
      <c r="E2" s="195" t="s">
        <v>2199</v>
      </c>
      <c r="F2" s="308" t="s">
        <v>1733</v>
      </c>
      <c r="G2" s="308">
        <v>81897710023</v>
      </c>
      <c r="H2" s="322">
        <v>270.4636956521739</v>
      </c>
      <c r="I2" s="400">
        <f>H2*B2</f>
        <v>540.92739130434779</v>
      </c>
    </row>
    <row r="3" spans="1:9" ht="15" customHeight="1" x14ac:dyDescent="0.25">
      <c r="A3" s="1" t="s">
        <v>1348</v>
      </c>
      <c r="B3" s="37">
        <v>2</v>
      </c>
      <c r="C3" s="82" t="s">
        <v>16</v>
      </c>
      <c r="D3" s="224" t="s">
        <v>8</v>
      </c>
      <c r="E3" s="195" t="s">
        <v>2200</v>
      </c>
      <c r="F3" s="308" t="s">
        <v>1742</v>
      </c>
      <c r="G3" s="308">
        <v>81897710021</v>
      </c>
      <c r="H3" s="322">
        <v>270.4636956521739</v>
      </c>
      <c r="I3" s="400">
        <f t="shared" ref="I3:I55" si="0">H3*B3</f>
        <v>540.92739130434779</v>
      </c>
    </row>
    <row r="4" spans="1:9" ht="15" customHeight="1" x14ac:dyDescent="0.25">
      <c r="A4" s="1" t="s">
        <v>1344</v>
      </c>
      <c r="B4" s="37">
        <v>2</v>
      </c>
      <c r="C4" s="82" t="s">
        <v>204</v>
      </c>
      <c r="D4" s="224" t="s">
        <v>8</v>
      </c>
      <c r="E4" s="195" t="s">
        <v>2206</v>
      </c>
      <c r="F4" s="308" t="s">
        <v>1746</v>
      </c>
      <c r="G4" s="308">
        <v>81897710023</v>
      </c>
      <c r="H4" s="322">
        <v>233.40913043478258</v>
      </c>
      <c r="I4" s="400">
        <f t="shared" si="0"/>
        <v>466.81826086956517</v>
      </c>
    </row>
    <row r="5" spans="1:9" ht="15" customHeight="1" x14ac:dyDescent="0.25">
      <c r="A5" s="1" t="s">
        <v>1343</v>
      </c>
      <c r="B5" s="37">
        <v>2</v>
      </c>
      <c r="C5" s="82" t="s">
        <v>202</v>
      </c>
      <c r="D5" s="224" t="s">
        <v>8</v>
      </c>
      <c r="E5" s="195" t="s">
        <v>2205</v>
      </c>
      <c r="F5" s="308" t="s">
        <v>1745</v>
      </c>
      <c r="G5" s="308">
        <v>81897710023</v>
      </c>
      <c r="H5" s="322">
        <v>233.40913043478258</v>
      </c>
      <c r="I5" s="400">
        <f t="shared" si="0"/>
        <v>466.81826086956517</v>
      </c>
    </row>
    <row r="6" spans="1:9" ht="15" customHeight="1" x14ac:dyDescent="0.25">
      <c r="A6" s="1" t="s">
        <v>1341</v>
      </c>
      <c r="B6" s="37">
        <v>2</v>
      </c>
      <c r="C6" s="82" t="s">
        <v>22</v>
      </c>
      <c r="D6" s="224" t="s">
        <v>8</v>
      </c>
      <c r="E6" s="195" t="s">
        <v>2209</v>
      </c>
      <c r="F6" s="308" t="s">
        <v>1750</v>
      </c>
      <c r="G6" s="308">
        <v>81897710023</v>
      </c>
      <c r="H6" s="322">
        <v>451.58086956521737</v>
      </c>
      <c r="I6" s="400">
        <f t="shared" si="0"/>
        <v>903.16173913043474</v>
      </c>
    </row>
    <row r="7" spans="1:9" ht="15" customHeight="1" x14ac:dyDescent="0.25">
      <c r="A7" s="1" t="s">
        <v>1342</v>
      </c>
      <c r="B7" s="37">
        <v>2</v>
      </c>
      <c r="C7" s="82" t="s">
        <v>20</v>
      </c>
      <c r="D7" s="224" t="s">
        <v>8</v>
      </c>
      <c r="E7" s="195" t="s">
        <v>2208</v>
      </c>
      <c r="F7" s="308" t="s">
        <v>1752</v>
      </c>
      <c r="G7" s="308">
        <v>81897710023</v>
      </c>
      <c r="H7" s="322">
        <v>421.10608695652172</v>
      </c>
      <c r="I7" s="400">
        <f t="shared" si="0"/>
        <v>842.21217391304344</v>
      </c>
    </row>
    <row r="8" spans="1:9" ht="15" customHeight="1" x14ac:dyDescent="0.25">
      <c r="A8" s="1" t="s">
        <v>1345</v>
      </c>
      <c r="B8" s="37">
        <v>2</v>
      </c>
      <c r="C8" s="82" t="s">
        <v>228</v>
      </c>
      <c r="D8" s="224" t="s">
        <v>8</v>
      </c>
      <c r="E8" s="195" t="s">
        <v>2297</v>
      </c>
      <c r="F8" s="308" t="s">
        <v>1753</v>
      </c>
      <c r="G8" s="308">
        <v>81897710023</v>
      </c>
      <c r="H8" s="322">
        <v>202.58804347826089</v>
      </c>
      <c r="I8" s="400">
        <f t="shared" si="0"/>
        <v>405.17608695652177</v>
      </c>
    </row>
    <row r="9" spans="1:9" ht="15" customHeight="1" x14ac:dyDescent="0.25">
      <c r="A9" s="1" t="s">
        <v>1346</v>
      </c>
      <c r="B9" s="37">
        <v>2</v>
      </c>
      <c r="C9" s="82" t="s">
        <v>1347</v>
      </c>
      <c r="D9" s="224" t="s">
        <v>8</v>
      </c>
      <c r="E9" s="195" t="s">
        <v>2569</v>
      </c>
      <c r="F9" s="308" t="s">
        <v>2052</v>
      </c>
      <c r="G9" s="308">
        <v>81897710023</v>
      </c>
      <c r="H9" s="322">
        <v>250.03173913043474</v>
      </c>
      <c r="I9" s="400">
        <f t="shared" si="0"/>
        <v>500.06347826086949</v>
      </c>
    </row>
    <row r="10" spans="1:9" ht="15" customHeight="1" x14ac:dyDescent="0.25">
      <c r="A10" s="303" t="s">
        <v>1397</v>
      </c>
      <c r="B10" s="37">
        <v>1</v>
      </c>
      <c r="C10" s="8"/>
      <c r="D10" s="224"/>
      <c r="E10" s="513" t="s">
        <v>2665</v>
      </c>
      <c r="F10" s="308" t="s">
        <v>2568</v>
      </c>
      <c r="G10" s="308" t="s">
        <v>2336</v>
      </c>
      <c r="H10" s="322">
        <v>3019.7739130434784</v>
      </c>
      <c r="I10" s="400">
        <f t="shared" si="0"/>
        <v>3019.7739130434784</v>
      </c>
    </row>
    <row r="11" spans="1:9" ht="15" customHeight="1" x14ac:dyDescent="0.25">
      <c r="A11" s="1" t="s">
        <v>1367</v>
      </c>
      <c r="B11" s="37">
        <v>2</v>
      </c>
      <c r="C11" s="82" t="s">
        <v>601</v>
      </c>
      <c r="D11" s="224" t="s">
        <v>8</v>
      </c>
      <c r="E11" s="195" t="s">
        <v>2247</v>
      </c>
      <c r="F11" s="308" t="s">
        <v>1731</v>
      </c>
      <c r="G11" s="308">
        <v>81897710023</v>
      </c>
      <c r="H11" s="322">
        <v>93.502173913043478</v>
      </c>
      <c r="I11" s="400">
        <f t="shared" si="0"/>
        <v>187.00434782608696</v>
      </c>
    </row>
    <row r="12" spans="1:9" ht="15" customHeight="1" x14ac:dyDescent="0.25">
      <c r="A12" s="1" t="s">
        <v>1368</v>
      </c>
      <c r="B12" s="37">
        <v>1</v>
      </c>
      <c r="C12" s="82" t="s">
        <v>33</v>
      </c>
      <c r="D12" s="224" t="s">
        <v>8</v>
      </c>
      <c r="E12" s="195" t="s">
        <v>2248</v>
      </c>
      <c r="F12" s="308" t="s">
        <v>1730</v>
      </c>
      <c r="G12" s="308">
        <v>81897710023</v>
      </c>
      <c r="H12" s="322">
        <v>90.385434782608684</v>
      </c>
      <c r="I12" s="400">
        <f t="shared" si="0"/>
        <v>90.385434782608684</v>
      </c>
    </row>
    <row r="13" spans="1:9" ht="15" customHeight="1" x14ac:dyDescent="0.25">
      <c r="A13" s="1" t="s">
        <v>1376</v>
      </c>
      <c r="B13" s="37">
        <v>6</v>
      </c>
      <c r="C13" s="82" t="s">
        <v>39</v>
      </c>
      <c r="D13" s="224" t="s">
        <v>8</v>
      </c>
      <c r="E13" s="195" t="s">
        <v>2250</v>
      </c>
      <c r="F13" s="30" t="s">
        <v>1850</v>
      </c>
      <c r="G13" s="308">
        <v>81897710001</v>
      </c>
      <c r="H13" s="322">
        <v>277.04347826086962</v>
      </c>
      <c r="I13" s="400">
        <f t="shared" si="0"/>
        <v>1662.2608695652177</v>
      </c>
    </row>
    <row r="14" spans="1:9" ht="15" customHeight="1" x14ac:dyDescent="0.25">
      <c r="A14" s="1" t="s">
        <v>1375</v>
      </c>
      <c r="B14" s="37">
        <v>6</v>
      </c>
      <c r="C14" s="82" t="s">
        <v>39</v>
      </c>
      <c r="D14" s="224" t="s">
        <v>8</v>
      </c>
      <c r="E14" s="195" t="s">
        <v>2251</v>
      </c>
      <c r="F14" s="308" t="s">
        <v>1849</v>
      </c>
      <c r="G14" s="308">
        <v>81897710001</v>
      </c>
      <c r="H14" s="322">
        <v>358.07869565217391</v>
      </c>
      <c r="I14" s="400">
        <f t="shared" si="0"/>
        <v>2148.4721739130437</v>
      </c>
    </row>
    <row r="15" spans="1:9" ht="15" customHeight="1" x14ac:dyDescent="0.25">
      <c r="A15" s="1" t="s">
        <v>1355</v>
      </c>
      <c r="B15" s="37">
        <v>1</v>
      </c>
      <c r="C15" s="82" t="s">
        <v>45</v>
      </c>
      <c r="D15" s="224" t="s">
        <v>8</v>
      </c>
      <c r="E15" s="195" t="s">
        <v>2253</v>
      </c>
      <c r="F15" s="308" t="s">
        <v>1852</v>
      </c>
      <c r="G15" s="308">
        <v>81897710023</v>
      </c>
      <c r="H15" s="322">
        <v>100.77456521739131</v>
      </c>
      <c r="I15" s="400">
        <f t="shared" si="0"/>
        <v>100.77456521739131</v>
      </c>
    </row>
    <row r="16" spans="1:9" ht="15" customHeight="1" x14ac:dyDescent="0.25">
      <c r="A16" s="1" t="s">
        <v>1356</v>
      </c>
      <c r="B16" s="37">
        <v>2</v>
      </c>
      <c r="C16" s="82" t="s">
        <v>47</v>
      </c>
      <c r="D16" s="224" t="s">
        <v>8</v>
      </c>
      <c r="E16" s="195" t="s">
        <v>2254</v>
      </c>
      <c r="F16" s="308" t="s">
        <v>1855</v>
      </c>
      <c r="G16" s="308">
        <v>81897710023</v>
      </c>
      <c r="H16" s="322">
        <v>126.74739130434781</v>
      </c>
      <c r="I16" s="400">
        <f t="shared" si="0"/>
        <v>253.49478260869563</v>
      </c>
    </row>
    <row r="17" spans="1:9" x14ac:dyDescent="0.25">
      <c r="A17" s="1" t="s">
        <v>1357</v>
      </c>
      <c r="B17" s="37">
        <v>1</v>
      </c>
      <c r="C17" s="82" t="s">
        <v>51</v>
      </c>
      <c r="D17" s="224" t="s">
        <v>8</v>
      </c>
      <c r="E17" s="195" t="s">
        <v>2256</v>
      </c>
      <c r="F17" s="308" t="s">
        <v>1856</v>
      </c>
      <c r="G17" s="308">
        <v>81897710023</v>
      </c>
      <c r="H17" s="322">
        <v>205.01217391304351</v>
      </c>
      <c r="I17" s="400">
        <f t="shared" si="0"/>
        <v>205.01217391304351</v>
      </c>
    </row>
    <row r="18" spans="1:9" x14ac:dyDescent="0.25">
      <c r="A18" s="1" t="s">
        <v>1371</v>
      </c>
      <c r="B18" s="37">
        <v>2</v>
      </c>
      <c r="C18" s="82" t="s">
        <v>84</v>
      </c>
      <c r="D18" s="224" t="s">
        <v>8</v>
      </c>
      <c r="E18" s="211" t="s">
        <v>2281</v>
      </c>
      <c r="F18" s="308" t="s">
        <v>1860</v>
      </c>
      <c r="G18" s="308">
        <v>81897710001</v>
      </c>
      <c r="H18" s="322">
        <v>234.10173913043479</v>
      </c>
      <c r="I18" s="400">
        <f t="shared" si="0"/>
        <v>468.20347826086959</v>
      </c>
    </row>
    <row r="19" spans="1:9" x14ac:dyDescent="0.25">
      <c r="A19" s="1" t="s">
        <v>1382</v>
      </c>
      <c r="B19" s="37">
        <v>8</v>
      </c>
      <c r="C19" s="292">
        <v>957</v>
      </c>
      <c r="D19" s="224" t="s">
        <v>4</v>
      </c>
      <c r="E19" s="195" t="s">
        <v>2258</v>
      </c>
      <c r="F19" s="117" t="s">
        <v>1861</v>
      </c>
      <c r="G19" s="308">
        <v>81897710001</v>
      </c>
      <c r="H19" s="322">
        <v>145.7941304347826</v>
      </c>
      <c r="I19" s="400">
        <f t="shared" si="0"/>
        <v>1166.3530434782608</v>
      </c>
    </row>
    <row r="20" spans="1:9" x14ac:dyDescent="0.25">
      <c r="A20" s="1" t="s">
        <v>1373</v>
      </c>
      <c r="B20" s="37">
        <v>4</v>
      </c>
      <c r="C20" s="82" t="s">
        <v>1374</v>
      </c>
      <c r="D20" s="224" t="s">
        <v>8</v>
      </c>
      <c r="E20" s="195" t="s">
        <v>2570</v>
      </c>
      <c r="F20" s="308" t="s">
        <v>2053</v>
      </c>
      <c r="G20" s="308">
        <v>81897710001</v>
      </c>
      <c r="H20" s="322">
        <v>145.7941304347826</v>
      </c>
      <c r="I20" s="400">
        <f t="shared" si="0"/>
        <v>583.17652173913041</v>
      </c>
    </row>
    <row r="21" spans="1:9" x14ac:dyDescent="0.25">
      <c r="A21" s="1" t="s">
        <v>1354</v>
      </c>
      <c r="B21" s="37">
        <v>1</v>
      </c>
      <c r="C21" s="82" t="s">
        <v>53</v>
      </c>
      <c r="D21" s="224" t="s">
        <v>8</v>
      </c>
      <c r="E21" s="195" t="s">
        <v>2260</v>
      </c>
      <c r="F21" s="308" t="s">
        <v>1866</v>
      </c>
      <c r="G21" s="308">
        <v>81897710001</v>
      </c>
      <c r="H21" s="322">
        <v>545.08304347826083</v>
      </c>
      <c r="I21" s="400">
        <f t="shared" si="0"/>
        <v>545.08304347826083</v>
      </c>
    </row>
    <row r="22" spans="1:9" x14ac:dyDescent="0.25">
      <c r="A22" s="1" t="s">
        <v>1349</v>
      </c>
      <c r="B22" s="37">
        <v>1</v>
      </c>
      <c r="C22" s="82" t="s">
        <v>735</v>
      </c>
      <c r="D22" s="224" t="s">
        <v>8</v>
      </c>
      <c r="E22" s="195" t="s">
        <v>2427</v>
      </c>
      <c r="F22" s="308" t="s">
        <v>1867</v>
      </c>
      <c r="G22" s="308">
        <v>81897710001</v>
      </c>
      <c r="H22" s="322">
        <v>287.08630434782606</v>
      </c>
      <c r="I22" s="400">
        <f t="shared" si="0"/>
        <v>287.08630434782606</v>
      </c>
    </row>
    <row r="23" spans="1:9" x14ac:dyDescent="0.25">
      <c r="A23" s="1" t="s">
        <v>1361</v>
      </c>
      <c r="B23" s="37">
        <v>2</v>
      </c>
      <c r="C23" s="82" t="s">
        <v>1362</v>
      </c>
      <c r="D23" s="224" t="s">
        <v>8</v>
      </c>
      <c r="E23" s="195" t="s">
        <v>2262</v>
      </c>
      <c r="F23" s="308" t="s">
        <v>2008</v>
      </c>
      <c r="G23" s="308">
        <v>81897710023</v>
      </c>
      <c r="H23" s="322">
        <v>545.08304347826083</v>
      </c>
      <c r="I23" s="400">
        <f t="shared" si="0"/>
        <v>1090.1660869565217</v>
      </c>
    </row>
    <row r="24" spans="1:9" x14ac:dyDescent="0.25">
      <c r="A24" s="1" t="s">
        <v>1363</v>
      </c>
      <c r="B24" s="37">
        <v>1</v>
      </c>
      <c r="C24" s="82" t="s">
        <v>1364</v>
      </c>
      <c r="D24" s="224" t="s">
        <v>8</v>
      </c>
      <c r="E24" s="195" t="s">
        <v>2263</v>
      </c>
      <c r="F24" s="308" t="s">
        <v>2009</v>
      </c>
      <c r="G24" s="308">
        <v>81897710023</v>
      </c>
      <c r="H24" s="322">
        <v>655.20782608695663</v>
      </c>
      <c r="I24" s="400">
        <f t="shared" si="0"/>
        <v>655.20782608695663</v>
      </c>
    </row>
    <row r="25" spans="1:9" x14ac:dyDescent="0.25">
      <c r="A25" s="1" t="s">
        <v>1365</v>
      </c>
      <c r="B25" s="37">
        <v>2</v>
      </c>
      <c r="C25" s="82" t="s">
        <v>1366</v>
      </c>
      <c r="D25" s="224" t="s">
        <v>8</v>
      </c>
      <c r="E25" s="195" t="s">
        <v>2571</v>
      </c>
      <c r="F25" s="308" t="s">
        <v>2054</v>
      </c>
      <c r="G25" s="308">
        <v>81897710023</v>
      </c>
      <c r="H25" s="322">
        <v>859.18108695652188</v>
      </c>
      <c r="I25" s="400">
        <f t="shared" si="0"/>
        <v>1718.3621739130438</v>
      </c>
    </row>
    <row r="26" spans="1:9" x14ac:dyDescent="0.25">
      <c r="A26" s="1" t="s">
        <v>1360</v>
      </c>
      <c r="B26" s="37">
        <v>1</v>
      </c>
      <c r="C26" s="82" t="s">
        <v>61</v>
      </c>
      <c r="D26" s="224" t="s">
        <v>8</v>
      </c>
      <c r="E26" s="195" t="s">
        <v>2267</v>
      </c>
      <c r="F26" s="308" t="s">
        <v>1877</v>
      </c>
      <c r="G26" s="308">
        <v>81897710023</v>
      </c>
      <c r="H26" s="322">
        <v>175.22999999999996</v>
      </c>
      <c r="I26" s="400">
        <f t="shared" si="0"/>
        <v>175.22999999999996</v>
      </c>
    </row>
    <row r="27" spans="1:9" x14ac:dyDescent="0.25">
      <c r="A27" s="1" t="s">
        <v>1358</v>
      </c>
      <c r="B27" s="37">
        <v>1</v>
      </c>
      <c r="C27" s="82" t="s">
        <v>57</v>
      </c>
      <c r="D27" s="224" t="s">
        <v>8</v>
      </c>
      <c r="E27" s="195" t="s">
        <v>2265</v>
      </c>
      <c r="F27" s="308" t="s">
        <v>1876</v>
      </c>
      <c r="G27" s="308">
        <v>81897710023</v>
      </c>
      <c r="H27" s="322">
        <v>104.93021739130435</v>
      </c>
      <c r="I27" s="400">
        <f t="shared" si="0"/>
        <v>104.93021739130435</v>
      </c>
    </row>
    <row r="28" spans="1:9" x14ac:dyDescent="0.25">
      <c r="A28" s="1" t="s">
        <v>1359</v>
      </c>
      <c r="B28" s="37">
        <v>2</v>
      </c>
      <c r="C28" s="82" t="s">
        <v>59</v>
      </c>
      <c r="D28" s="224" t="s">
        <v>8</v>
      </c>
      <c r="E28" s="195" t="s">
        <v>2266</v>
      </c>
      <c r="F28" s="308" t="s">
        <v>1880</v>
      </c>
      <c r="G28" s="308">
        <v>81897710023</v>
      </c>
      <c r="H28" s="322">
        <v>130.90304347826086</v>
      </c>
      <c r="I28" s="400">
        <f t="shared" si="0"/>
        <v>261.80608695652171</v>
      </c>
    </row>
    <row r="29" spans="1:9" s="17" customFormat="1" x14ac:dyDescent="0.25">
      <c r="A29" s="1" t="s">
        <v>1350</v>
      </c>
      <c r="B29" s="37">
        <v>1</v>
      </c>
      <c r="C29" s="82" t="s">
        <v>1351</v>
      </c>
      <c r="D29" s="224" t="s">
        <v>8</v>
      </c>
      <c r="E29" s="195" t="s">
        <v>2534</v>
      </c>
      <c r="F29" s="176" t="s">
        <v>1882</v>
      </c>
      <c r="G29" s="176">
        <v>81897710001</v>
      </c>
      <c r="H29" s="413">
        <v>261.11347826086956</v>
      </c>
      <c r="I29" s="400">
        <f t="shared" si="0"/>
        <v>261.11347826086956</v>
      </c>
    </row>
    <row r="30" spans="1:9" s="17" customFormat="1" x14ac:dyDescent="0.25">
      <c r="A30" s="1" t="s">
        <v>1352</v>
      </c>
      <c r="B30" s="37">
        <v>1</v>
      </c>
      <c r="C30" s="82" t="s">
        <v>1353</v>
      </c>
      <c r="D30" s="224" t="s">
        <v>8</v>
      </c>
      <c r="E30" s="195" t="s">
        <v>2386</v>
      </c>
      <c r="F30" s="176" t="s">
        <v>1884</v>
      </c>
      <c r="G30" s="176">
        <v>81897710001</v>
      </c>
      <c r="H30" s="413">
        <v>257.99673913043478</v>
      </c>
      <c r="I30" s="400">
        <f t="shared" si="0"/>
        <v>257.99673913043478</v>
      </c>
    </row>
    <row r="31" spans="1:9" s="17" customFormat="1" x14ac:dyDescent="0.25">
      <c r="A31" s="1" t="s">
        <v>1381</v>
      </c>
      <c r="B31" s="37">
        <v>10</v>
      </c>
      <c r="C31" s="82" t="s">
        <v>24</v>
      </c>
      <c r="D31" s="224" t="s">
        <v>8</v>
      </c>
      <c r="E31" s="195" t="s">
        <v>2243</v>
      </c>
      <c r="F31" s="30" t="s">
        <v>1844</v>
      </c>
      <c r="G31" s="176">
        <v>81897710001</v>
      </c>
      <c r="H31" s="413">
        <v>111.8563043478261</v>
      </c>
      <c r="I31" s="400">
        <f t="shared" si="0"/>
        <v>1118.5630434782611</v>
      </c>
    </row>
    <row r="32" spans="1:9" x14ac:dyDescent="0.25">
      <c r="A32" s="1" t="s">
        <v>1380</v>
      </c>
      <c r="B32" s="37">
        <v>6</v>
      </c>
      <c r="C32" s="82" t="s">
        <v>26</v>
      </c>
      <c r="D32" s="224" t="s">
        <v>8</v>
      </c>
      <c r="E32" s="195" t="s">
        <v>2244</v>
      </c>
      <c r="F32" s="30" t="s">
        <v>1845</v>
      </c>
      <c r="G32" s="308">
        <v>81897710001</v>
      </c>
      <c r="H32" s="322">
        <v>109.08586956521739</v>
      </c>
      <c r="I32" s="400">
        <f t="shared" si="0"/>
        <v>654.5152173913043</v>
      </c>
    </row>
    <row r="33" spans="1:9" x14ac:dyDescent="0.25">
      <c r="A33" s="1" t="s">
        <v>1379</v>
      </c>
      <c r="B33" s="37">
        <v>10</v>
      </c>
      <c r="C33" s="82" t="s">
        <v>65</v>
      </c>
      <c r="D33" s="224" t="s">
        <v>8</v>
      </c>
      <c r="E33" s="195" t="s">
        <v>2270</v>
      </c>
      <c r="F33" s="44" t="s">
        <v>1894</v>
      </c>
      <c r="G33" s="308">
        <v>81897710001</v>
      </c>
      <c r="H33" s="322">
        <v>111.8563043478261</v>
      </c>
      <c r="I33" s="400">
        <f t="shared" si="0"/>
        <v>1118.5630434782611</v>
      </c>
    </row>
    <row r="34" spans="1:9" x14ac:dyDescent="0.25">
      <c r="A34" s="1" t="s">
        <v>1378</v>
      </c>
      <c r="B34" s="37">
        <v>4</v>
      </c>
      <c r="C34" s="82" t="s">
        <v>69</v>
      </c>
      <c r="D34" s="224" t="s">
        <v>8</v>
      </c>
      <c r="E34" s="195" t="s">
        <v>2273</v>
      </c>
      <c r="F34" s="316" t="s">
        <v>1897</v>
      </c>
      <c r="G34" s="308">
        <v>81897710001</v>
      </c>
      <c r="H34" s="322">
        <v>109.08586956521739</v>
      </c>
      <c r="I34" s="400">
        <f t="shared" si="0"/>
        <v>436.34347826086957</v>
      </c>
    </row>
    <row r="35" spans="1:9" x14ac:dyDescent="0.25">
      <c r="A35" s="1" t="s">
        <v>1377</v>
      </c>
      <c r="B35" s="37">
        <v>4</v>
      </c>
      <c r="C35" s="1" t="s">
        <v>73</v>
      </c>
      <c r="D35" s="224" t="s">
        <v>8</v>
      </c>
      <c r="E35" s="195" t="s">
        <v>2276</v>
      </c>
      <c r="F35" s="30" t="s">
        <v>1901</v>
      </c>
      <c r="G35" s="308">
        <v>81897710001</v>
      </c>
      <c r="H35" s="322">
        <v>148.21826086956526</v>
      </c>
      <c r="I35" s="400">
        <f t="shared" si="0"/>
        <v>592.87304347826102</v>
      </c>
    </row>
    <row r="36" spans="1:9" x14ac:dyDescent="0.25">
      <c r="A36" s="1" t="s">
        <v>1370</v>
      </c>
      <c r="B36" s="37">
        <v>2</v>
      </c>
      <c r="C36" s="82" t="s">
        <v>82</v>
      </c>
      <c r="D36" s="224" t="s">
        <v>8</v>
      </c>
      <c r="E36" s="211" t="s">
        <v>2282</v>
      </c>
      <c r="F36" s="308" t="s">
        <v>1904</v>
      </c>
      <c r="G36" s="308">
        <v>81897710001</v>
      </c>
      <c r="H36" s="322">
        <v>253.14847826086952</v>
      </c>
      <c r="I36" s="400">
        <f t="shared" si="0"/>
        <v>506.29695652173905</v>
      </c>
    </row>
    <row r="37" spans="1:9" x14ac:dyDescent="0.25">
      <c r="A37" s="1" t="s">
        <v>1369</v>
      </c>
      <c r="B37" s="37">
        <v>2</v>
      </c>
      <c r="C37" s="82" t="s">
        <v>1234</v>
      </c>
      <c r="D37" s="224" t="s">
        <v>8</v>
      </c>
      <c r="E37" s="195" t="s">
        <v>2535</v>
      </c>
      <c r="F37" s="308" t="s">
        <v>1906</v>
      </c>
      <c r="G37" s="308">
        <v>81897710001</v>
      </c>
      <c r="H37" s="322">
        <v>280.8528260869565</v>
      </c>
      <c r="I37" s="400">
        <f t="shared" si="0"/>
        <v>561.70565217391299</v>
      </c>
    </row>
    <row r="38" spans="1:9" x14ac:dyDescent="0.25">
      <c r="A38" s="1" t="s">
        <v>1396</v>
      </c>
      <c r="B38" s="37">
        <v>1</v>
      </c>
      <c r="C38" s="8" t="s">
        <v>252</v>
      </c>
      <c r="D38" s="224" t="s">
        <v>8</v>
      </c>
      <c r="E38" s="195" t="s">
        <v>2294</v>
      </c>
      <c r="F38" s="30" t="s">
        <v>1910</v>
      </c>
      <c r="G38" s="308">
        <v>81897710001</v>
      </c>
      <c r="H38" s="322">
        <v>221.28847826086957</v>
      </c>
      <c r="I38" s="400">
        <f t="shared" si="0"/>
        <v>221.28847826086957</v>
      </c>
    </row>
    <row r="39" spans="1:9" x14ac:dyDescent="0.25">
      <c r="A39" s="1" t="s">
        <v>1372</v>
      </c>
      <c r="B39" s="37">
        <v>2</v>
      </c>
      <c r="C39" s="82" t="s">
        <v>28</v>
      </c>
      <c r="D39" s="224" t="s">
        <v>8</v>
      </c>
      <c r="E39" s="211" t="s">
        <v>2294</v>
      </c>
      <c r="F39" s="308" t="s">
        <v>1910</v>
      </c>
      <c r="G39" s="308">
        <v>81897710001</v>
      </c>
      <c r="H39" s="322">
        <v>221.28847826086957</v>
      </c>
      <c r="I39" s="400">
        <f t="shared" si="0"/>
        <v>442.57695652173913</v>
      </c>
    </row>
    <row r="40" spans="1:9" x14ac:dyDescent="0.25">
      <c r="A40" s="303" t="s">
        <v>1394</v>
      </c>
      <c r="B40" s="37">
        <v>1</v>
      </c>
      <c r="C40" s="1" t="s">
        <v>1395</v>
      </c>
      <c r="D40" s="224" t="s">
        <v>363</v>
      </c>
      <c r="E40" s="195" t="s">
        <v>2572</v>
      </c>
      <c r="F40" s="309" t="s">
        <v>2055</v>
      </c>
      <c r="G40" s="308">
        <v>81897710023</v>
      </c>
      <c r="H40" s="322">
        <v>237.91108695652173</v>
      </c>
      <c r="I40" s="400">
        <f t="shared" si="0"/>
        <v>237.91108695652173</v>
      </c>
    </row>
    <row r="41" spans="1:9" s="17" customFormat="1" x14ac:dyDescent="0.25">
      <c r="A41" s="1" t="s">
        <v>1386</v>
      </c>
      <c r="B41" s="37">
        <v>2</v>
      </c>
      <c r="C41" s="8" t="s">
        <v>111</v>
      </c>
      <c r="D41" s="224" t="s">
        <v>8</v>
      </c>
      <c r="E41" s="195" t="s">
        <v>2429</v>
      </c>
      <c r="F41" s="61" t="s">
        <v>1927</v>
      </c>
      <c r="G41" s="176">
        <v>81897710001</v>
      </c>
      <c r="H41" s="413">
        <v>129.51782608695652</v>
      </c>
      <c r="I41" s="400">
        <f t="shared" si="0"/>
        <v>259.03565217391304</v>
      </c>
    </row>
    <row r="42" spans="1:9" x14ac:dyDescent="0.25">
      <c r="A42" s="1" t="s">
        <v>1388</v>
      </c>
      <c r="B42" s="37">
        <v>2</v>
      </c>
      <c r="C42" s="8" t="s">
        <v>113</v>
      </c>
      <c r="D42" s="224" t="s">
        <v>8</v>
      </c>
      <c r="E42" s="195" t="s">
        <v>2405</v>
      </c>
      <c r="F42" s="30" t="s">
        <v>1929</v>
      </c>
      <c r="G42" s="308">
        <v>81897710001</v>
      </c>
      <c r="H42" s="322">
        <v>165.18717391304347</v>
      </c>
      <c r="I42" s="400">
        <f t="shared" si="0"/>
        <v>330.37434782608693</v>
      </c>
    </row>
    <row r="43" spans="1:9" x14ac:dyDescent="0.25">
      <c r="A43" s="1" t="s">
        <v>1387</v>
      </c>
      <c r="B43" s="37">
        <v>1</v>
      </c>
      <c r="C43" s="8" t="s">
        <v>115</v>
      </c>
      <c r="D43" s="224" t="s">
        <v>8</v>
      </c>
      <c r="E43" s="195" t="s">
        <v>2335</v>
      </c>
      <c r="F43" s="30" t="s">
        <v>1928</v>
      </c>
      <c r="G43" s="308">
        <v>81897710001</v>
      </c>
      <c r="H43" s="322">
        <v>184.92652173913044</v>
      </c>
      <c r="I43" s="400">
        <f t="shared" si="0"/>
        <v>184.92652173913044</v>
      </c>
    </row>
    <row r="44" spans="1:9" x14ac:dyDescent="0.25">
      <c r="A44" s="1" t="s">
        <v>1389</v>
      </c>
      <c r="B44" s="37">
        <v>2</v>
      </c>
      <c r="C44" s="8" t="s">
        <v>1390</v>
      </c>
      <c r="D44" s="224" t="s">
        <v>8</v>
      </c>
      <c r="E44" s="195" t="s">
        <v>2573</v>
      </c>
      <c r="F44" s="30" t="s">
        <v>1938</v>
      </c>
      <c r="G44" s="308">
        <v>81897710001</v>
      </c>
      <c r="H44" s="322">
        <v>839.78804347826099</v>
      </c>
      <c r="I44" s="400">
        <f t="shared" si="0"/>
        <v>1679.576086956522</v>
      </c>
    </row>
    <row r="45" spans="1:9" x14ac:dyDescent="0.25">
      <c r="A45" s="1" t="s">
        <v>1391</v>
      </c>
      <c r="B45" s="37">
        <v>1</v>
      </c>
      <c r="C45" s="8" t="s">
        <v>627</v>
      </c>
      <c r="D45" s="224" t="s">
        <v>8</v>
      </c>
      <c r="E45" s="195" t="s">
        <v>2406</v>
      </c>
      <c r="F45" s="30" t="s">
        <v>1939</v>
      </c>
      <c r="G45" s="308">
        <v>81897710001</v>
      </c>
      <c r="H45" s="322">
        <v>917.01391304347828</v>
      </c>
      <c r="I45" s="400">
        <f t="shared" si="0"/>
        <v>917.01391304347828</v>
      </c>
    </row>
    <row r="46" spans="1:9" x14ac:dyDescent="0.25">
      <c r="A46" s="1" t="s">
        <v>1392</v>
      </c>
      <c r="B46" s="37">
        <v>1</v>
      </c>
      <c r="C46" s="8" t="s">
        <v>1393</v>
      </c>
      <c r="D46" s="224" t="s">
        <v>8</v>
      </c>
      <c r="E46" s="195" t="s">
        <v>2574</v>
      </c>
      <c r="F46" s="30" t="s">
        <v>1940</v>
      </c>
      <c r="G46" s="308">
        <v>81897710001</v>
      </c>
      <c r="H46" s="322">
        <v>1082.2010869565215</v>
      </c>
      <c r="I46" s="400">
        <f t="shared" si="0"/>
        <v>1082.2010869565215</v>
      </c>
    </row>
    <row r="47" spans="1:9" x14ac:dyDescent="0.25">
      <c r="A47" s="1" t="s">
        <v>1385</v>
      </c>
      <c r="B47" s="37">
        <v>1</v>
      </c>
      <c r="C47" s="12" t="s">
        <v>96</v>
      </c>
      <c r="D47" s="224" t="s">
        <v>8</v>
      </c>
      <c r="E47" s="195" t="s">
        <v>2409</v>
      </c>
      <c r="F47" s="30" t="s">
        <v>1963</v>
      </c>
      <c r="G47" s="308">
        <v>81897710017</v>
      </c>
      <c r="H47" s="322">
        <v>103.19869565217391</v>
      </c>
      <c r="I47" s="400">
        <f t="shared" si="0"/>
        <v>103.19869565217391</v>
      </c>
    </row>
    <row r="48" spans="1:9" x14ac:dyDescent="0.25">
      <c r="A48" s="1" t="s">
        <v>1241</v>
      </c>
      <c r="B48" s="37">
        <v>1</v>
      </c>
      <c r="C48" s="12" t="s">
        <v>98</v>
      </c>
      <c r="D48" s="224" t="s">
        <v>8</v>
      </c>
      <c r="E48" s="195" t="s">
        <v>2414</v>
      </c>
      <c r="F48" s="44" t="s">
        <v>1955</v>
      </c>
      <c r="G48" s="308">
        <v>81897710017</v>
      </c>
      <c r="H48" s="322">
        <v>100.08195652173913</v>
      </c>
      <c r="I48" s="400">
        <f t="shared" si="0"/>
        <v>100.08195652173913</v>
      </c>
    </row>
    <row r="49" spans="1:9" x14ac:dyDescent="0.25">
      <c r="A49" s="1" t="s">
        <v>1384</v>
      </c>
      <c r="B49" s="37">
        <v>1</v>
      </c>
      <c r="C49" s="12" t="s">
        <v>635</v>
      </c>
      <c r="D49" s="224" t="s">
        <v>8</v>
      </c>
      <c r="E49" s="195" t="s">
        <v>2410</v>
      </c>
      <c r="F49" s="30" t="s">
        <v>1966</v>
      </c>
      <c r="G49" s="308">
        <v>81897710017</v>
      </c>
      <c r="H49" s="322">
        <v>121.55282608695654</v>
      </c>
      <c r="I49" s="400">
        <f t="shared" si="0"/>
        <v>121.55282608695654</v>
      </c>
    </row>
    <row r="50" spans="1:9" x14ac:dyDescent="0.25">
      <c r="A50" s="1" t="s">
        <v>1383</v>
      </c>
      <c r="B50" s="37">
        <v>1</v>
      </c>
      <c r="C50" s="12" t="s">
        <v>662</v>
      </c>
      <c r="D50" s="224" t="s">
        <v>8</v>
      </c>
      <c r="E50" s="195" t="s">
        <v>2306</v>
      </c>
      <c r="F50" s="30" t="s">
        <v>1967</v>
      </c>
      <c r="G50" s="308">
        <v>81897710017</v>
      </c>
      <c r="H50" s="322">
        <v>157.91478260869562</v>
      </c>
      <c r="I50" s="400">
        <f t="shared" si="0"/>
        <v>157.91478260869562</v>
      </c>
    </row>
    <row r="51" spans="1:9" x14ac:dyDescent="0.25">
      <c r="A51" s="1" t="s">
        <v>104</v>
      </c>
      <c r="B51" s="37">
        <v>2</v>
      </c>
      <c r="C51" s="12" t="s">
        <v>520</v>
      </c>
      <c r="D51" s="224" t="s">
        <v>8</v>
      </c>
      <c r="E51" s="195" t="s">
        <v>2304</v>
      </c>
      <c r="F51" s="30" t="s">
        <v>1968</v>
      </c>
      <c r="G51" s="308">
        <v>81897710017</v>
      </c>
      <c r="H51" s="322">
        <v>171.42065217391303</v>
      </c>
      <c r="I51" s="400">
        <f t="shared" si="0"/>
        <v>342.84130434782605</v>
      </c>
    </row>
    <row r="52" spans="1:9" x14ac:dyDescent="0.25">
      <c r="A52" s="1" t="s">
        <v>106</v>
      </c>
      <c r="B52" s="37">
        <v>1</v>
      </c>
      <c r="C52" s="12" t="s">
        <v>518</v>
      </c>
      <c r="D52" s="224" t="s">
        <v>8</v>
      </c>
      <c r="E52" s="211" t="s">
        <v>2305</v>
      </c>
      <c r="F52" s="30" t="s">
        <v>1969</v>
      </c>
      <c r="G52" s="308">
        <v>81897710017</v>
      </c>
      <c r="H52" s="322">
        <v>197.04717391304348</v>
      </c>
      <c r="I52" s="400">
        <f t="shared" si="0"/>
        <v>197.04717391304348</v>
      </c>
    </row>
    <row r="53" spans="1:9" x14ac:dyDescent="0.25">
      <c r="A53" s="1" t="s">
        <v>1337</v>
      </c>
      <c r="B53" s="37">
        <v>1</v>
      </c>
      <c r="C53" s="12" t="s">
        <v>143</v>
      </c>
      <c r="D53" s="224" t="s">
        <v>8</v>
      </c>
      <c r="E53" s="195" t="s">
        <v>2312</v>
      </c>
      <c r="F53" s="308" t="s">
        <v>1828</v>
      </c>
      <c r="G53" s="308">
        <v>81897710023</v>
      </c>
      <c r="H53" s="322">
        <v>451.58086956521737</v>
      </c>
      <c r="I53" s="400">
        <f t="shared" si="0"/>
        <v>451.58086956521737</v>
      </c>
    </row>
    <row r="54" spans="1:9" x14ac:dyDescent="0.25">
      <c r="A54" s="121" t="s">
        <v>1338</v>
      </c>
      <c r="B54" s="225">
        <v>1</v>
      </c>
      <c r="C54" s="230" t="s">
        <v>141</v>
      </c>
      <c r="D54" s="226" t="s">
        <v>8</v>
      </c>
      <c r="E54" s="227" t="s">
        <v>2313</v>
      </c>
      <c r="F54" s="350" t="s">
        <v>1825</v>
      </c>
      <c r="G54" s="350">
        <v>81897710023</v>
      </c>
      <c r="H54" s="469">
        <v>474.09065217391304</v>
      </c>
      <c r="I54" s="400">
        <f t="shared" si="0"/>
        <v>474.09065217391304</v>
      </c>
    </row>
    <row r="55" spans="1:9" x14ac:dyDescent="0.25">
      <c r="A55" s="224" t="s">
        <v>1339</v>
      </c>
      <c r="B55" s="228">
        <v>1</v>
      </c>
      <c r="C55" s="165" t="s">
        <v>1340</v>
      </c>
      <c r="D55" s="224" t="s">
        <v>8</v>
      </c>
      <c r="E55" s="195" t="s">
        <v>2314</v>
      </c>
      <c r="F55" s="308" t="s">
        <v>1829</v>
      </c>
      <c r="G55" s="308">
        <v>81897710023</v>
      </c>
      <c r="H55" s="322">
        <v>497.63934782608692</v>
      </c>
      <c r="I55" s="400">
        <f t="shared" si="0"/>
        <v>497.63934782608692</v>
      </c>
    </row>
    <row r="56" spans="1:9" x14ac:dyDescent="0.25">
      <c r="A56" s="119"/>
      <c r="B56" s="119"/>
      <c r="C56" s="119"/>
      <c r="D56" s="119"/>
      <c r="I56" s="388">
        <f>SUM(I2:I55)</f>
        <v>32697.710217391304</v>
      </c>
    </row>
    <row r="57" spans="1:9" x14ac:dyDescent="0.25">
      <c r="A57" s="120"/>
      <c r="C57" s="119"/>
    </row>
    <row r="58" spans="1:9" x14ac:dyDescent="0.25">
      <c r="A58" s="81"/>
    </row>
    <row r="59" spans="1:9" x14ac:dyDescent="0.25">
      <c r="A59" s="81"/>
    </row>
    <row r="60" spans="1:9" x14ac:dyDescent="0.25">
      <c r="A60" s="81"/>
    </row>
    <row r="61" spans="1:9" x14ac:dyDescent="0.25">
      <c r="A61" s="81"/>
    </row>
    <row r="62" spans="1:9" x14ac:dyDescent="0.25">
      <c r="A62" s="81"/>
    </row>
    <row r="63" spans="1:9" x14ac:dyDescent="0.25">
      <c r="A63" s="81"/>
    </row>
    <row r="64" spans="1:9" x14ac:dyDescent="0.25">
      <c r="A64" s="81"/>
    </row>
    <row r="65" spans="1:1" x14ac:dyDescent="0.25">
      <c r="A65" s="81"/>
    </row>
    <row r="66" spans="1:1" x14ac:dyDescent="0.25">
      <c r="A66" s="81"/>
    </row>
    <row r="67" spans="1:1" x14ac:dyDescent="0.25">
      <c r="A67" s="81"/>
    </row>
    <row r="68" spans="1:1" x14ac:dyDescent="0.25">
      <c r="A68" s="81"/>
    </row>
    <row r="69" spans="1:1" x14ac:dyDescent="0.25">
      <c r="A69" s="81"/>
    </row>
    <row r="70" spans="1:1" x14ac:dyDescent="0.25">
      <c r="A70" s="81"/>
    </row>
    <row r="71" spans="1:1" x14ac:dyDescent="0.25">
      <c r="A71" s="81"/>
    </row>
    <row r="72" spans="1:1" x14ac:dyDescent="0.25">
      <c r="A72" s="81"/>
    </row>
    <row r="73" spans="1:1" x14ac:dyDescent="0.25">
      <c r="A73" s="81"/>
    </row>
    <row r="74" spans="1:1" x14ac:dyDescent="0.25">
      <c r="A74" s="81"/>
    </row>
    <row r="75" spans="1:1" x14ac:dyDescent="0.25">
      <c r="A75" s="81"/>
    </row>
  </sheetData>
  <sortState xmlns:xlrd2="http://schemas.microsoft.com/office/spreadsheetml/2017/richdata2" ref="A2:E75">
    <sortCondition ref="A1:A75"/>
  </sortState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47E1F-7DF3-4BE2-99BB-0910DE01AC7B}">
  <sheetPr codeName="Planilha40">
    <tabColor rgb="FF92D050"/>
  </sheetPr>
  <dimension ref="A1:K24"/>
  <sheetViews>
    <sheetView workbookViewId="0">
      <pane ySplit="1" topLeftCell="A2" activePane="bottomLeft" state="frozen"/>
      <selection activeCell="A53" sqref="A53"/>
      <selection pane="bottomLeft" activeCell="E2" sqref="E2"/>
    </sheetView>
  </sheetViews>
  <sheetFormatPr defaultRowHeight="15" x14ac:dyDescent="0.25"/>
  <cols>
    <col min="1" max="1" width="41.7109375" customWidth="1"/>
    <col min="2" max="2" width="13.28515625" customWidth="1"/>
    <col min="3" max="4" width="14.42578125" customWidth="1"/>
    <col min="5" max="5" width="24.5703125" customWidth="1"/>
    <col min="6" max="6" width="12.85546875" style="40" bestFit="1" customWidth="1"/>
    <col min="7" max="7" width="14.85546875" style="471" customWidth="1"/>
    <col min="8" max="8" width="18.140625" style="324" customWidth="1"/>
    <col min="9" max="9" width="14.85546875" style="471" customWidth="1"/>
  </cols>
  <sheetData>
    <row r="1" spans="1:11" ht="31.5" x14ac:dyDescent="0.25">
      <c r="A1" s="94" t="s">
        <v>0</v>
      </c>
      <c r="B1" s="94" t="s">
        <v>305</v>
      </c>
      <c r="C1" s="157" t="s">
        <v>360</v>
      </c>
      <c r="D1" s="197" t="s">
        <v>1721</v>
      </c>
      <c r="E1" s="194" t="s">
        <v>1723</v>
      </c>
      <c r="F1" s="194" t="s">
        <v>1724</v>
      </c>
      <c r="G1" s="472" t="s">
        <v>1722</v>
      </c>
      <c r="H1" s="321" t="s">
        <v>1725</v>
      </c>
      <c r="I1" s="321" t="s">
        <v>2317</v>
      </c>
    </row>
    <row r="2" spans="1:11" x14ac:dyDescent="0.25">
      <c r="A2" s="452" t="s">
        <v>975</v>
      </c>
      <c r="B2" s="151">
        <v>1</v>
      </c>
      <c r="C2" s="123" t="s">
        <v>307</v>
      </c>
      <c r="D2" s="163"/>
      <c r="E2" s="512" t="s">
        <v>2655</v>
      </c>
      <c r="F2" s="308" t="s">
        <v>2420</v>
      </c>
      <c r="G2" s="470" t="s">
        <v>2336</v>
      </c>
      <c r="H2" s="322">
        <v>2217.8869565217392</v>
      </c>
      <c r="I2" s="473">
        <f>H2*B2</f>
        <v>2217.8869565217392</v>
      </c>
    </row>
    <row r="3" spans="1:11" x14ac:dyDescent="0.25">
      <c r="A3" s="452" t="s">
        <v>1417</v>
      </c>
      <c r="B3" s="151">
        <v>1</v>
      </c>
      <c r="C3" s="123" t="s">
        <v>1418</v>
      </c>
      <c r="D3" s="163" t="s">
        <v>8</v>
      </c>
      <c r="E3" s="195" t="s">
        <v>2575</v>
      </c>
      <c r="F3" s="117" t="s">
        <v>1976</v>
      </c>
      <c r="G3" s="470">
        <v>81897710018</v>
      </c>
      <c r="H3" s="322">
        <v>2044.2345652173917</v>
      </c>
      <c r="I3" s="473">
        <f t="shared" ref="I3:I20" si="0">H3*B3</f>
        <v>2044.2345652173917</v>
      </c>
    </row>
    <row r="4" spans="1:11" x14ac:dyDescent="0.25">
      <c r="A4" s="301" t="s">
        <v>1428</v>
      </c>
      <c r="B4" s="304">
        <v>1</v>
      </c>
      <c r="C4" s="305"/>
      <c r="D4" s="164" t="s">
        <v>10</v>
      </c>
      <c r="E4" s="176" t="s">
        <v>1428</v>
      </c>
      <c r="F4" s="326">
        <v>3245</v>
      </c>
      <c r="G4" s="471">
        <v>80310620016</v>
      </c>
      <c r="H4" s="322">
        <v>1777.173913043478</v>
      </c>
      <c r="I4" s="473">
        <f t="shared" si="0"/>
        <v>1777.173913043478</v>
      </c>
    </row>
    <row r="5" spans="1:11" x14ac:dyDescent="0.25">
      <c r="A5" s="301" t="s">
        <v>1429</v>
      </c>
      <c r="B5" s="304">
        <v>1</v>
      </c>
      <c r="C5" s="305"/>
      <c r="D5" s="164" t="s">
        <v>10</v>
      </c>
      <c r="E5" s="176" t="s">
        <v>1429</v>
      </c>
      <c r="F5" s="326">
        <v>3247</v>
      </c>
      <c r="G5" s="471">
        <v>80310620016</v>
      </c>
      <c r="H5" s="322">
        <v>1777.173913043478</v>
      </c>
      <c r="I5" s="473">
        <f t="shared" si="0"/>
        <v>1777.173913043478</v>
      </c>
    </row>
    <row r="6" spans="1:11" x14ac:dyDescent="0.25">
      <c r="A6" s="301" t="s">
        <v>1415</v>
      </c>
      <c r="B6" s="304">
        <v>1</v>
      </c>
      <c r="C6" s="305" t="s">
        <v>1416</v>
      </c>
      <c r="D6" s="164" t="s">
        <v>10</v>
      </c>
      <c r="E6" s="211" t="s">
        <v>2576</v>
      </c>
      <c r="F6" s="273" t="s">
        <v>1782</v>
      </c>
      <c r="G6" s="470">
        <v>81897710017</v>
      </c>
      <c r="H6" s="322">
        <v>6588.093913043479</v>
      </c>
      <c r="I6" s="473">
        <f t="shared" si="0"/>
        <v>6588.093913043479</v>
      </c>
    </row>
    <row r="7" spans="1:11" ht="30" x14ac:dyDescent="0.25">
      <c r="A7" s="452" t="s">
        <v>1398</v>
      </c>
      <c r="B7" s="151">
        <v>1</v>
      </c>
      <c r="C7" s="123" t="s">
        <v>1399</v>
      </c>
      <c r="D7" s="163" t="s">
        <v>363</v>
      </c>
      <c r="E7" s="195" t="s">
        <v>1398</v>
      </c>
      <c r="F7" s="117" t="s">
        <v>2078</v>
      </c>
      <c r="G7" s="470" t="e">
        <v>#N/A</v>
      </c>
      <c r="H7" s="322">
        <v>0</v>
      </c>
      <c r="I7" s="473">
        <f t="shared" si="0"/>
        <v>0</v>
      </c>
    </row>
    <row r="8" spans="1:11" x14ac:dyDescent="0.25">
      <c r="A8" s="452" t="s">
        <v>1419</v>
      </c>
      <c r="B8" s="151">
        <v>1</v>
      </c>
      <c r="C8" s="123" t="s">
        <v>1420</v>
      </c>
      <c r="D8" s="163" t="s">
        <v>8</v>
      </c>
      <c r="E8" s="195" t="s">
        <v>2577</v>
      </c>
      <c r="F8" s="117" t="s">
        <v>1842</v>
      </c>
      <c r="G8" s="470">
        <v>81897710001</v>
      </c>
      <c r="H8" s="322">
        <v>2044.2345652173917</v>
      </c>
      <c r="I8" s="473">
        <f t="shared" si="0"/>
        <v>2044.2345652173917</v>
      </c>
    </row>
    <row r="9" spans="1:11" x14ac:dyDescent="0.25">
      <c r="A9" s="452" t="s">
        <v>1411</v>
      </c>
      <c r="B9" s="151">
        <v>1</v>
      </c>
      <c r="C9" s="123" t="s">
        <v>1412</v>
      </c>
      <c r="D9" s="163" t="s">
        <v>8</v>
      </c>
      <c r="E9" s="195" t="s">
        <v>2578</v>
      </c>
      <c r="F9" s="117" t="s">
        <v>1889</v>
      </c>
      <c r="G9" s="470">
        <v>81897710001</v>
      </c>
      <c r="H9" s="322">
        <v>293.66608695652178</v>
      </c>
      <c r="I9" s="473">
        <f t="shared" si="0"/>
        <v>293.66608695652178</v>
      </c>
      <c r="K9" s="40"/>
    </row>
    <row r="10" spans="1:11" x14ac:dyDescent="0.25">
      <c r="A10" s="452" t="s">
        <v>1409</v>
      </c>
      <c r="B10" s="151">
        <v>1</v>
      </c>
      <c r="C10" s="123" t="s">
        <v>1410</v>
      </c>
      <c r="D10" s="163" t="s">
        <v>8</v>
      </c>
      <c r="E10" s="195" t="s">
        <v>2579</v>
      </c>
      <c r="F10" s="232" t="s">
        <v>1890</v>
      </c>
      <c r="G10" s="470">
        <v>81897710001</v>
      </c>
      <c r="H10" s="322">
        <v>323.79456521739132</v>
      </c>
      <c r="I10" s="473">
        <f t="shared" si="0"/>
        <v>323.79456521739132</v>
      </c>
    </row>
    <row r="11" spans="1:11" x14ac:dyDescent="0.25">
      <c r="A11" s="452" t="s">
        <v>1406</v>
      </c>
      <c r="B11" s="151">
        <v>1</v>
      </c>
      <c r="C11" s="123" t="s">
        <v>553</v>
      </c>
      <c r="D11" s="163" t="s">
        <v>8</v>
      </c>
      <c r="E11" s="195" t="s">
        <v>2388</v>
      </c>
      <c r="F11" s="232" t="s">
        <v>1891</v>
      </c>
      <c r="G11" s="470">
        <v>81897710001</v>
      </c>
      <c r="H11" s="322">
        <v>311.67391304347825</v>
      </c>
      <c r="I11" s="473">
        <f t="shared" si="0"/>
        <v>311.67391304347825</v>
      </c>
    </row>
    <row r="12" spans="1:11" x14ac:dyDescent="0.25">
      <c r="A12" s="452" t="s">
        <v>1407</v>
      </c>
      <c r="B12" s="151">
        <v>1</v>
      </c>
      <c r="C12" s="123" t="s">
        <v>1408</v>
      </c>
      <c r="D12" s="163" t="s">
        <v>8</v>
      </c>
      <c r="E12" s="195" t="s">
        <v>2580</v>
      </c>
      <c r="F12" s="232" t="s">
        <v>1892</v>
      </c>
      <c r="G12" s="470">
        <v>81897710001</v>
      </c>
      <c r="H12" s="322">
        <v>298.51434782608692</v>
      </c>
      <c r="I12" s="473">
        <f t="shared" si="0"/>
        <v>298.51434782608692</v>
      </c>
    </row>
    <row r="13" spans="1:11" x14ac:dyDescent="0.25">
      <c r="A13" s="452" t="s">
        <v>1404</v>
      </c>
      <c r="B13" s="151">
        <v>1</v>
      </c>
      <c r="C13" s="123" t="s">
        <v>1405</v>
      </c>
      <c r="D13" s="163" t="s">
        <v>8</v>
      </c>
      <c r="E13" s="195" t="s">
        <v>2581</v>
      </c>
      <c r="F13" s="232" t="s">
        <v>1893</v>
      </c>
      <c r="G13" s="470">
        <v>81897710001</v>
      </c>
      <c r="H13" s="322">
        <v>282.93065217391302</v>
      </c>
      <c r="I13" s="473">
        <f t="shared" si="0"/>
        <v>282.93065217391302</v>
      </c>
    </row>
    <row r="14" spans="1:11" x14ac:dyDescent="0.25">
      <c r="A14" s="452" t="s">
        <v>1400</v>
      </c>
      <c r="B14" s="151">
        <v>1</v>
      </c>
      <c r="C14" s="123" t="s">
        <v>1401</v>
      </c>
      <c r="D14" s="163" t="s">
        <v>10</v>
      </c>
      <c r="E14" s="195" t="s">
        <v>2582</v>
      </c>
      <c r="F14" s="232" t="s">
        <v>2113</v>
      </c>
      <c r="G14" s="470">
        <v>81897710001</v>
      </c>
      <c r="H14" s="322">
        <v>646.89652173913043</v>
      </c>
      <c r="I14" s="473">
        <f t="shared" si="0"/>
        <v>646.89652173913043</v>
      </c>
    </row>
    <row r="15" spans="1:11" x14ac:dyDescent="0.25">
      <c r="A15" s="452" t="s">
        <v>1402</v>
      </c>
      <c r="B15" s="151">
        <v>1</v>
      </c>
      <c r="C15" s="123" t="s">
        <v>1403</v>
      </c>
      <c r="D15" s="163" t="s">
        <v>10</v>
      </c>
      <c r="E15" s="195" t="s">
        <v>2583</v>
      </c>
      <c r="F15" s="232" t="s">
        <v>2114</v>
      </c>
      <c r="G15" s="470">
        <v>81897710001</v>
      </c>
      <c r="H15" s="322">
        <v>331.41326086956519</v>
      </c>
      <c r="I15" s="473">
        <f t="shared" si="0"/>
        <v>331.41326086956519</v>
      </c>
    </row>
    <row r="16" spans="1:11" x14ac:dyDescent="0.25">
      <c r="A16" s="452" t="s">
        <v>1413</v>
      </c>
      <c r="B16" s="151">
        <v>1</v>
      </c>
      <c r="C16" s="123" t="s">
        <v>1414</v>
      </c>
      <c r="D16" s="163" t="s">
        <v>8</v>
      </c>
      <c r="E16" s="195" t="s">
        <v>2584</v>
      </c>
      <c r="F16" s="232" t="s">
        <v>1919</v>
      </c>
      <c r="G16" s="470">
        <v>81897710001</v>
      </c>
      <c r="H16" s="322">
        <v>327.60391304347831</v>
      </c>
      <c r="I16" s="473">
        <f t="shared" si="0"/>
        <v>327.60391304347831</v>
      </c>
    </row>
    <row r="17" spans="1:9" x14ac:dyDescent="0.25">
      <c r="A17" s="452" t="s">
        <v>1421</v>
      </c>
      <c r="B17" s="151">
        <v>1</v>
      </c>
      <c r="C17" s="123" t="s">
        <v>1422</v>
      </c>
      <c r="D17" s="163" t="s">
        <v>8</v>
      </c>
      <c r="E17" s="195" t="s">
        <v>2585</v>
      </c>
      <c r="F17" s="117" t="s">
        <v>1944</v>
      </c>
      <c r="G17" s="470">
        <v>81897710018</v>
      </c>
      <c r="H17" s="322">
        <v>255.91891304347826</v>
      </c>
      <c r="I17" s="473">
        <f t="shared" si="0"/>
        <v>255.91891304347826</v>
      </c>
    </row>
    <row r="18" spans="1:9" x14ac:dyDescent="0.25">
      <c r="A18" s="12" t="s">
        <v>1423</v>
      </c>
      <c r="B18" s="151">
        <v>1</v>
      </c>
      <c r="C18" s="123" t="s">
        <v>1424</v>
      </c>
      <c r="D18" s="163" t="s">
        <v>8</v>
      </c>
      <c r="E18" s="195" t="s">
        <v>2586</v>
      </c>
      <c r="F18" s="117" t="s">
        <v>1945</v>
      </c>
      <c r="G18" s="470">
        <v>81897710018</v>
      </c>
      <c r="H18" s="322">
        <v>255.91891304347826</v>
      </c>
      <c r="I18" s="473">
        <f t="shared" si="0"/>
        <v>255.91891304347826</v>
      </c>
    </row>
    <row r="19" spans="1:9" x14ac:dyDescent="0.25">
      <c r="A19" s="230" t="s">
        <v>1425</v>
      </c>
      <c r="B19" s="295">
        <v>1</v>
      </c>
      <c r="C19" s="297" t="s">
        <v>416</v>
      </c>
      <c r="D19" s="163" t="s">
        <v>8</v>
      </c>
      <c r="E19" s="195" t="s">
        <v>2367</v>
      </c>
      <c r="F19" s="117" t="s">
        <v>1946</v>
      </c>
      <c r="G19" s="470">
        <v>81897710018</v>
      </c>
      <c r="H19" s="322">
        <v>223.02</v>
      </c>
      <c r="I19" s="473">
        <f t="shared" si="0"/>
        <v>223.02</v>
      </c>
    </row>
    <row r="20" spans="1:9" x14ac:dyDescent="0.25">
      <c r="A20" s="293" t="s">
        <v>1426</v>
      </c>
      <c r="B20" s="294">
        <v>1</v>
      </c>
      <c r="C20" s="296" t="s">
        <v>1427</v>
      </c>
      <c r="D20" s="164" t="s">
        <v>8</v>
      </c>
      <c r="E20" s="195" t="s">
        <v>2367</v>
      </c>
      <c r="F20" s="273" t="s">
        <v>1947</v>
      </c>
      <c r="G20" s="470">
        <v>81897710018</v>
      </c>
      <c r="H20" s="322">
        <v>223.02</v>
      </c>
      <c r="I20" s="473">
        <f t="shared" si="0"/>
        <v>223.02</v>
      </c>
    </row>
    <row r="21" spans="1:9" x14ac:dyDescent="0.25">
      <c r="A21" s="122"/>
      <c r="B21" s="122"/>
      <c r="C21" s="124"/>
      <c r="D21" s="124"/>
      <c r="I21" s="474">
        <f>SUM(I2:I20)</f>
        <v>20223.168913043482</v>
      </c>
    </row>
    <row r="22" spans="1:9" x14ac:dyDescent="0.25">
      <c r="A22" s="122"/>
      <c r="B22" s="122"/>
      <c r="C22" s="124"/>
      <c r="D22" s="124"/>
    </row>
    <row r="23" spans="1:9" x14ac:dyDescent="0.25">
      <c r="A23" s="122"/>
      <c r="B23" s="122"/>
      <c r="C23" s="124"/>
      <c r="D23" s="124"/>
    </row>
    <row r="24" spans="1:9" x14ac:dyDescent="0.25">
      <c r="A24" s="122"/>
      <c r="B24" s="122"/>
      <c r="C24" s="124"/>
      <c r="D24" s="124"/>
    </row>
  </sheetData>
  <sortState xmlns:xlrd2="http://schemas.microsoft.com/office/spreadsheetml/2017/richdata2" ref="A2:D24">
    <sortCondition ref="A1:A24"/>
  </sortState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96B67-7498-4074-9E4E-989D9DDED83E}">
  <sheetPr codeName="Planilha41">
    <tabColor rgb="FF92D050"/>
  </sheetPr>
  <dimension ref="A1:I40"/>
  <sheetViews>
    <sheetView workbookViewId="0">
      <pane ySplit="1" topLeftCell="A2" activePane="bottomLeft" state="frozen"/>
      <selection activeCell="A53" sqref="A53"/>
      <selection pane="bottomLeft" activeCell="E22" sqref="E22"/>
    </sheetView>
  </sheetViews>
  <sheetFormatPr defaultRowHeight="15" x14ac:dyDescent="0.25"/>
  <cols>
    <col min="1" max="1" width="43.7109375" customWidth="1"/>
    <col min="2" max="2" width="11.85546875" style="40" customWidth="1"/>
    <col min="3" max="3" width="20.7109375" customWidth="1"/>
    <col min="4" max="4" width="17.5703125" customWidth="1"/>
    <col min="5" max="5" width="28.85546875" customWidth="1"/>
    <col min="6" max="6" width="15.7109375" style="40" customWidth="1"/>
    <col min="7" max="7" width="14.5703125" style="40" customWidth="1"/>
    <col min="8" max="8" width="17.140625" style="324" customWidth="1"/>
    <col min="9" max="9" width="14.5703125" style="40" customWidth="1"/>
  </cols>
  <sheetData>
    <row r="1" spans="1:9" ht="31.5" x14ac:dyDescent="0.25">
      <c r="A1" s="94" t="s">
        <v>0</v>
      </c>
      <c r="B1" s="94" t="s">
        <v>305</v>
      </c>
      <c r="C1" s="157" t="s">
        <v>360</v>
      </c>
      <c r="D1" s="197" t="s">
        <v>1721</v>
      </c>
      <c r="E1" s="194" t="s">
        <v>1723</v>
      </c>
      <c r="F1" s="194" t="s">
        <v>1724</v>
      </c>
      <c r="G1" s="194" t="s">
        <v>1722</v>
      </c>
      <c r="H1" s="321" t="s">
        <v>1725</v>
      </c>
      <c r="I1" s="321" t="s">
        <v>2317</v>
      </c>
    </row>
    <row r="2" spans="1:9" x14ac:dyDescent="0.25">
      <c r="A2" s="20" t="s">
        <v>1436</v>
      </c>
      <c r="B2" s="102">
        <v>1</v>
      </c>
      <c r="C2" s="142" t="s">
        <v>601</v>
      </c>
      <c r="D2" s="163" t="s">
        <v>8</v>
      </c>
      <c r="E2" s="195" t="s">
        <v>2247</v>
      </c>
      <c r="F2" s="117" t="s">
        <v>1731</v>
      </c>
      <c r="G2" s="308">
        <v>81897710023</v>
      </c>
      <c r="H2" s="322">
        <v>93.502173913043478</v>
      </c>
      <c r="I2" s="400">
        <f>H2*B2</f>
        <v>93.502173913043478</v>
      </c>
    </row>
    <row r="3" spans="1:9" x14ac:dyDescent="0.25">
      <c r="A3" s="20" t="s">
        <v>1437</v>
      </c>
      <c r="B3" s="102">
        <v>1</v>
      </c>
      <c r="C3" s="142" t="s">
        <v>33</v>
      </c>
      <c r="D3" s="163" t="s">
        <v>8</v>
      </c>
      <c r="E3" s="195" t="s">
        <v>2248</v>
      </c>
      <c r="F3" s="117" t="s">
        <v>1730</v>
      </c>
      <c r="G3" s="308">
        <v>81897710023</v>
      </c>
      <c r="H3" s="322">
        <v>90.385434782608684</v>
      </c>
      <c r="I3" s="400">
        <f t="shared" ref="I3:I39" si="0">H3*B3</f>
        <v>90.385434782608684</v>
      </c>
    </row>
    <row r="4" spans="1:9" x14ac:dyDescent="0.25">
      <c r="A4" s="20" t="s">
        <v>1434</v>
      </c>
      <c r="B4" s="102">
        <v>2</v>
      </c>
      <c r="C4" s="142" t="s">
        <v>14</v>
      </c>
      <c r="D4" s="163" t="s">
        <v>8</v>
      </c>
      <c r="E4" s="195" t="s">
        <v>2199</v>
      </c>
      <c r="F4" s="117" t="s">
        <v>1733</v>
      </c>
      <c r="G4" s="308">
        <v>81897710023</v>
      </c>
      <c r="H4" s="322">
        <v>270.4636956521739</v>
      </c>
      <c r="I4" s="400">
        <f t="shared" si="0"/>
        <v>540.92739130434779</v>
      </c>
    </row>
    <row r="5" spans="1:9" x14ac:dyDescent="0.25">
      <c r="A5" s="475" t="s">
        <v>1448</v>
      </c>
      <c r="B5" s="364">
        <f>SUM(B4)</f>
        <v>2</v>
      </c>
      <c r="C5" s="476"/>
      <c r="D5" s="477"/>
      <c r="E5" s="195" t="s">
        <v>2666</v>
      </c>
      <c r="F5" s="117" t="s">
        <v>2587</v>
      </c>
      <c r="G5" s="308" t="s">
        <v>2336</v>
      </c>
      <c r="H5" s="322">
        <v>2663.4652173913046</v>
      </c>
      <c r="I5" s="400">
        <f t="shared" si="0"/>
        <v>5326.9304347826092</v>
      </c>
    </row>
    <row r="6" spans="1:9" x14ac:dyDescent="0.25">
      <c r="A6" s="20" t="s">
        <v>1433</v>
      </c>
      <c r="B6" s="102">
        <v>1</v>
      </c>
      <c r="C6" s="142" t="s">
        <v>544</v>
      </c>
      <c r="D6" s="163" t="s">
        <v>8</v>
      </c>
      <c r="E6" s="195" t="s">
        <v>2385</v>
      </c>
      <c r="F6" s="117" t="s">
        <v>1835</v>
      </c>
      <c r="G6" s="308">
        <v>81897710001</v>
      </c>
      <c r="H6" s="322">
        <v>324.48717391304348</v>
      </c>
      <c r="I6" s="400">
        <f t="shared" si="0"/>
        <v>324.48717391304348</v>
      </c>
    </row>
    <row r="7" spans="1:9" x14ac:dyDescent="0.25">
      <c r="A7" s="20" t="s">
        <v>1214</v>
      </c>
      <c r="B7" s="102">
        <v>1</v>
      </c>
      <c r="C7" s="142" t="s">
        <v>542</v>
      </c>
      <c r="D7" s="163" t="s">
        <v>8</v>
      </c>
      <c r="E7" s="195" t="s">
        <v>2384</v>
      </c>
      <c r="F7" s="41" t="s">
        <v>1837</v>
      </c>
      <c r="G7" s="308">
        <v>81897710001</v>
      </c>
      <c r="H7" s="322">
        <v>338.68565217391301</v>
      </c>
      <c r="I7" s="400">
        <f t="shared" si="0"/>
        <v>338.68565217391301</v>
      </c>
    </row>
    <row r="8" spans="1:9" x14ac:dyDescent="0.25">
      <c r="A8" s="20" t="s">
        <v>1445</v>
      </c>
      <c r="B8" s="102">
        <v>1</v>
      </c>
      <c r="C8" s="142" t="s">
        <v>250</v>
      </c>
      <c r="D8" s="163" t="s">
        <v>10</v>
      </c>
      <c r="E8" s="195" t="s">
        <v>2238</v>
      </c>
      <c r="F8" s="117" t="s">
        <v>1843</v>
      </c>
      <c r="G8" s="308">
        <v>81897710023</v>
      </c>
      <c r="H8" s="322">
        <v>163.45565217391302</v>
      </c>
      <c r="I8" s="400">
        <f t="shared" si="0"/>
        <v>163.45565217391302</v>
      </c>
    </row>
    <row r="9" spans="1:9" x14ac:dyDescent="0.25">
      <c r="A9" s="20" t="s">
        <v>1442</v>
      </c>
      <c r="B9" s="102">
        <v>4</v>
      </c>
      <c r="C9" s="142" t="s">
        <v>24</v>
      </c>
      <c r="D9" s="163" t="s">
        <v>8</v>
      </c>
      <c r="E9" s="195" t="s">
        <v>2243</v>
      </c>
      <c r="F9" s="117" t="s">
        <v>1844</v>
      </c>
      <c r="G9" s="308">
        <v>81897710001</v>
      </c>
      <c r="H9" s="322">
        <v>111.8563043478261</v>
      </c>
      <c r="I9" s="400">
        <f t="shared" si="0"/>
        <v>447.42521739130439</v>
      </c>
    </row>
    <row r="10" spans="1:9" x14ac:dyDescent="0.25">
      <c r="A10" s="20" t="s">
        <v>35</v>
      </c>
      <c r="B10" s="102">
        <v>4</v>
      </c>
      <c r="C10" s="142" t="s">
        <v>36</v>
      </c>
      <c r="D10" s="163" t="s">
        <v>8</v>
      </c>
      <c r="E10" s="195" t="s">
        <v>2249</v>
      </c>
      <c r="F10" s="44" t="s">
        <v>1848</v>
      </c>
      <c r="G10" s="308">
        <v>81897710001</v>
      </c>
      <c r="H10" s="322">
        <v>205.01217391304351</v>
      </c>
      <c r="I10" s="400">
        <f t="shared" si="0"/>
        <v>820.04869565217405</v>
      </c>
    </row>
    <row r="11" spans="1:9" x14ac:dyDescent="0.25">
      <c r="A11" s="20" t="s">
        <v>38</v>
      </c>
      <c r="B11" s="102">
        <v>2</v>
      </c>
      <c r="C11" s="142" t="s">
        <v>39</v>
      </c>
      <c r="D11" s="163" t="s">
        <v>8</v>
      </c>
      <c r="E11" s="195" t="s">
        <v>2250</v>
      </c>
      <c r="F11" s="30" t="s">
        <v>1850</v>
      </c>
      <c r="G11" s="308">
        <v>81897710001</v>
      </c>
      <c r="H11" s="322">
        <v>277.04347826086962</v>
      </c>
      <c r="I11" s="400">
        <f t="shared" si="0"/>
        <v>554.08695652173924</v>
      </c>
    </row>
    <row r="12" spans="1:9" x14ac:dyDescent="0.25">
      <c r="A12" s="20" t="s">
        <v>44</v>
      </c>
      <c r="B12" s="102">
        <v>1</v>
      </c>
      <c r="C12" s="142" t="s">
        <v>45</v>
      </c>
      <c r="D12" s="163" t="s">
        <v>8</v>
      </c>
      <c r="E12" s="195" t="s">
        <v>2253</v>
      </c>
      <c r="F12" s="117" t="s">
        <v>1852</v>
      </c>
      <c r="G12" s="308">
        <v>81897710023</v>
      </c>
      <c r="H12" s="322">
        <v>100.77456521739131</v>
      </c>
      <c r="I12" s="400">
        <f t="shared" si="0"/>
        <v>100.77456521739131</v>
      </c>
    </row>
    <row r="13" spans="1:9" x14ac:dyDescent="0.25">
      <c r="A13" s="20" t="s">
        <v>706</v>
      </c>
      <c r="B13" s="102">
        <v>1</v>
      </c>
      <c r="C13" s="142" t="s">
        <v>678</v>
      </c>
      <c r="D13" s="163" t="s">
        <v>8</v>
      </c>
      <c r="E13" s="195" t="s">
        <v>2416</v>
      </c>
      <c r="F13" s="117" t="s">
        <v>1853</v>
      </c>
      <c r="G13" s="308">
        <v>81897710023</v>
      </c>
      <c r="H13" s="322">
        <v>121.55282608695654</v>
      </c>
      <c r="I13" s="400">
        <f t="shared" si="0"/>
        <v>121.55282608695654</v>
      </c>
    </row>
    <row r="14" spans="1:9" x14ac:dyDescent="0.25">
      <c r="A14" s="20" t="s">
        <v>1443</v>
      </c>
      <c r="B14" s="102">
        <v>6</v>
      </c>
      <c r="C14" s="142">
        <v>957</v>
      </c>
      <c r="D14" s="163" t="s">
        <v>4</v>
      </c>
      <c r="E14" s="195" t="s">
        <v>2258</v>
      </c>
      <c r="F14" s="117" t="s">
        <v>1861</v>
      </c>
      <c r="G14" s="308">
        <v>81897710001</v>
      </c>
      <c r="H14" s="322">
        <v>145.7941304347826</v>
      </c>
      <c r="I14" s="400">
        <f t="shared" si="0"/>
        <v>874.76478260869567</v>
      </c>
    </row>
    <row r="15" spans="1:9" x14ac:dyDescent="0.25">
      <c r="A15" s="20" t="s">
        <v>525</v>
      </c>
      <c r="B15" s="102">
        <v>1</v>
      </c>
      <c r="C15" s="142" t="s">
        <v>53</v>
      </c>
      <c r="D15" s="163" t="s">
        <v>8</v>
      </c>
      <c r="E15" s="195" t="s">
        <v>2260</v>
      </c>
      <c r="F15" s="48" t="s">
        <v>1866</v>
      </c>
      <c r="G15" s="308">
        <v>81897710001</v>
      </c>
      <c r="H15" s="322">
        <v>545.08304347826083</v>
      </c>
      <c r="I15" s="400">
        <f t="shared" si="0"/>
        <v>545.08304347826083</v>
      </c>
    </row>
    <row r="16" spans="1:9" x14ac:dyDescent="0.25">
      <c r="A16" s="20" t="s">
        <v>1435</v>
      </c>
      <c r="B16" s="102">
        <v>2</v>
      </c>
      <c r="C16" s="142" t="s">
        <v>735</v>
      </c>
      <c r="D16" s="163" t="s">
        <v>8</v>
      </c>
      <c r="E16" s="195" t="s">
        <v>2427</v>
      </c>
      <c r="F16" s="117" t="s">
        <v>1867</v>
      </c>
      <c r="G16" s="308">
        <v>81897710001</v>
      </c>
      <c r="H16" s="322">
        <v>287.08630434782606</v>
      </c>
      <c r="I16" s="400">
        <f t="shared" si="0"/>
        <v>574.17260869565212</v>
      </c>
    </row>
    <row r="17" spans="1:9" x14ac:dyDescent="0.25">
      <c r="A17" s="20" t="s">
        <v>56</v>
      </c>
      <c r="B17" s="102">
        <v>1</v>
      </c>
      <c r="C17" s="142" t="s">
        <v>57</v>
      </c>
      <c r="D17" s="163" t="s">
        <v>8</v>
      </c>
      <c r="E17" s="195" t="s">
        <v>2265</v>
      </c>
      <c r="F17" s="343" t="s">
        <v>1876</v>
      </c>
      <c r="G17" s="308">
        <v>81897710023</v>
      </c>
      <c r="H17" s="322">
        <v>104.93021739130435</v>
      </c>
      <c r="I17" s="400">
        <f t="shared" si="0"/>
        <v>104.93021739130435</v>
      </c>
    </row>
    <row r="18" spans="1:9" x14ac:dyDescent="0.25">
      <c r="A18" s="20" t="s">
        <v>1221</v>
      </c>
      <c r="B18" s="102">
        <v>1</v>
      </c>
      <c r="C18" s="142" t="s">
        <v>683</v>
      </c>
      <c r="D18" s="163" t="s">
        <v>8</v>
      </c>
      <c r="E18" s="195" t="s">
        <v>2417</v>
      </c>
      <c r="F18" s="117" t="s">
        <v>1879</v>
      </c>
      <c r="G18" s="308">
        <v>81897710023</v>
      </c>
      <c r="H18" s="322">
        <v>125.70847826086957</v>
      </c>
      <c r="I18" s="400">
        <f t="shared" si="0"/>
        <v>125.70847826086957</v>
      </c>
    </row>
    <row r="19" spans="1:9" x14ac:dyDescent="0.25">
      <c r="A19" s="20" t="s">
        <v>1438</v>
      </c>
      <c r="B19" s="102">
        <v>2</v>
      </c>
      <c r="C19" s="142" t="s">
        <v>1225</v>
      </c>
      <c r="D19" s="163" t="s">
        <v>8</v>
      </c>
      <c r="E19" s="195" t="s">
        <v>2532</v>
      </c>
      <c r="F19" s="117" t="s">
        <v>1881</v>
      </c>
      <c r="G19" s="308">
        <v>81897710001</v>
      </c>
      <c r="H19" s="322">
        <v>275.31195652173909</v>
      </c>
      <c r="I19" s="400">
        <f t="shared" si="0"/>
        <v>550.62391304347818</v>
      </c>
    </row>
    <row r="20" spans="1:9" x14ac:dyDescent="0.25">
      <c r="A20" s="20" t="s">
        <v>1446</v>
      </c>
      <c r="B20" s="102">
        <v>2</v>
      </c>
      <c r="C20" s="142" t="s">
        <v>1351</v>
      </c>
      <c r="D20" s="163" t="s">
        <v>8</v>
      </c>
      <c r="E20" s="195" t="s">
        <v>2534</v>
      </c>
      <c r="F20" s="117" t="s">
        <v>1882</v>
      </c>
      <c r="G20" s="308">
        <v>81897710001</v>
      </c>
      <c r="H20" s="322">
        <v>261.11347826086956</v>
      </c>
      <c r="I20" s="400">
        <f t="shared" si="0"/>
        <v>522.22695652173911</v>
      </c>
    </row>
    <row r="21" spans="1:9" x14ac:dyDescent="0.25">
      <c r="A21" s="20" t="s">
        <v>1447</v>
      </c>
      <c r="B21" s="102">
        <v>1</v>
      </c>
      <c r="C21" s="142" t="s">
        <v>1353</v>
      </c>
      <c r="D21" s="163" t="s">
        <v>8</v>
      </c>
      <c r="E21" s="195" t="s">
        <v>2386</v>
      </c>
      <c r="F21" s="117" t="s">
        <v>1884</v>
      </c>
      <c r="G21" s="308">
        <v>81897710001</v>
      </c>
      <c r="H21" s="322">
        <v>257.99673913043478</v>
      </c>
      <c r="I21" s="400">
        <f t="shared" si="0"/>
        <v>257.99673913043478</v>
      </c>
    </row>
    <row r="22" spans="1:9" x14ac:dyDescent="0.25">
      <c r="A22" s="20" t="s">
        <v>338</v>
      </c>
      <c r="B22" s="102">
        <v>4</v>
      </c>
      <c r="C22" s="142" t="s">
        <v>66</v>
      </c>
      <c r="D22" s="163" t="s">
        <v>8</v>
      </c>
      <c r="E22" s="195" t="s">
        <v>2271</v>
      </c>
      <c r="F22" s="44" t="s">
        <v>1895</v>
      </c>
      <c r="G22" s="308">
        <v>81897710001</v>
      </c>
      <c r="H22" s="322">
        <v>137.13652173913044</v>
      </c>
      <c r="I22" s="400">
        <f t="shared" si="0"/>
        <v>548.54608695652178</v>
      </c>
    </row>
    <row r="23" spans="1:9" x14ac:dyDescent="0.25">
      <c r="A23" s="20" t="s">
        <v>339</v>
      </c>
      <c r="B23" s="102">
        <v>4</v>
      </c>
      <c r="C23" s="142" t="s">
        <v>68</v>
      </c>
      <c r="D23" s="163" t="s">
        <v>8</v>
      </c>
      <c r="E23" s="195" t="s">
        <v>2272</v>
      </c>
      <c r="F23" s="316" t="s">
        <v>1896</v>
      </c>
      <c r="G23" s="308">
        <v>81897710001</v>
      </c>
      <c r="H23" s="322">
        <v>134.36608695652174</v>
      </c>
      <c r="I23" s="400">
        <f t="shared" si="0"/>
        <v>537.46434782608696</v>
      </c>
    </row>
    <row r="24" spans="1:9" x14ac:dyDescent="0.25">
      <c r="A24" s="20" t="s">
        <v>1439</v>
      </c>
      <c r="B24" s="102">
        <v>2</v>
      </c>
      <c r="C24" s="142" t="s">
        <v>684</v>
      </c>
      <c r="D24" s="163" t="s">
        <v>8</v>
      </c>
      <c r="E24" s="195" t="s">
        <v>2418</v>
      </c>
      <c r="F24" s="117" t="s">
        <v>1898</v>
      </c>
      <c r="G24" s="308">
        <v>81897710001</v>
      </c>
      <c r="H24" s="322">
        <v>174.53739130434781</v>
      </c>
      <c r="I24" s="400">
        <f t="shared" si="0"/>
        <v>349.07478260869561</v>
      </c>
    </row>
    <row r="25" spans="1:9" x14ac:dyDescent="0.25">
      <c r="A25" s="20" t="s">
        <v>1440</v>
      </c>
      <c r="B25" s="102">
        <v>4</v>
      </c>
      <c r="C25" s="142" t="s">
        <v>73</v>
      </c>
      <c r="D25" s="163" t="s">
        <v>8</v>
      </c>
      <c r="E25" s="195" t="s">
        <v>2276</v>
      </c>
      <c r="F25" s="117" t="s">
        <v>1901</v>
      </c>
      <c r="G25" s="308">
        <v>81897710001</v>
      </c>
      <c r="H25" s="322">
        <v>148.21826086956526</v>
      </c>
      <c r="I25" s="400">
        <f t="shared" si="0"/>
        <v>592.87304347826102</v>
      </c>
    </row>
    <row r="26" spans="1:9" x14ac:dyDescent="0.25">
      <c r="A26" s="20" t="s">
        <v>1369</v>
      </c>
      <c r="B26" s="102">
        <v>2</v>
      </c>
      <c r="C26" s="142" t="s">
        <v>1234</v>
      </c>
      <c r="D26" s="163" t="s">
        <v>8</v>
      </c>
      <c r="E26" s="195" t="s">
        <v>2535</v>
      </c>
      <c r="F26" s="117" t="s">
        <v>1906</v>
      </c>
      <c r="G26" s="308">
        <v>81897710001</v>
      </c>
      <c r="H26" s="322">
        <v>280.8528260869565</v>
      </c>
      <c r="I26" s="400">
        <f t="shared" si="0"/>
        <v>561.70565217391299</v>
      </c>
    </row>
    <row r="27" spans="1:9" x14ac:dyDescent="0.25">
      <c r="A27" s="20" t="s">
        <v>1441</v>
      </c>
      <c r="B27" s="102">
        <v>4</v>
      </c>
      <c r="C27" s="142" t="s">
        <v>26</v>
      </c>
      <c r="D27" s="163" t="s">
        <v>8</v>
      </c>
      <c r="E27" s="195" t="s">
        <v>2244</v>
      </c>
      <c r="F27" s="30" t="s">
        <v>1845</v>
      </c>
      <c r="G27" s="308">
        <v>81897710001</v>
      </c>
      <c r="H27" s="322">
        <v>109.08586956521739</v>
      </c>
      <c r="I27" s="400">
        <f t="shared" si="0"/>
        <v>436.34347826086957</v>
      </c>
    </row>
    <row r="28" spans="1:9" x14ac:dyDescent="0.25">
      <c r="A28" s="20" t="s">
        <v>549</v>
      </c>
      <c r="B28" s="102">
        <v>1</v>
      </c>
      <c r="C28" s="142" t="s">
        <v>550</v>
      </c>
      <c r="D28" s="163" t="s">
        <v>8</v>
      </c>
      <c r="E28" s="195" t="s">
        <v>2387</v>
      </c>
      <c r="F28" s="117" t="s">
        <v>1907</v>
      </c>
      <c r="G28" s="308">
        <v>81897710001</v>
      </c>
      <c r="H28" s="322">
        <v>310.9813043478261</v>
      </c>
      <c r="I28" s="400">
        <f t="shared" si="0"/>
        <v>310.9813043478261</v>
      </c>
    </row>
    <row r="29" spans="1:9" x14ac:dyDescent="0.25">
      <c r="A29" s="20" t="s">
        <v>551</v>
      </c>
      <c r="B29" s="102">
        <v>1</v>
      </c>
      <c r="C29" s="142" t="s">
        <v>252</v>
      </c>
      <c r="D29" s="163" t="s">
        <v>8</v>
      </c>
      <c r="E29" s="195" t="s">
        <v>2294</v>
      </c>
      <c r="F29" s="117" t="s">
        <v>1910</v>
      </c>
      <c r="G29" s="308">
        <v>81897710001</v>
      </c>
      <c r="H29" s="322">
        <v>221.28847826086957</v>
      </c>
      <c r="I29" s="400">
        <f t="shared" si="0"/>
        <v>221.28847826086957</v>
      </c>
    </row>
    <row r="30" spans="1:9" x14ac:dyDescent="0.25">
      <c r="A30" s="20" t="s">
        <v>1388</v>
      </c>
      <c r="B30" s="102">
        <v>1</v>
      </c>
      <c r="C30" s="142" t="s">
        <v>113</v>
      </c>
      <c r="D30" s="163" t="s">
        <v>8</v>
      </c>
      <c r="E30" s="195" t="s">
        <v>2405</v>
      </c>
      <c r="F30" s="117" t="s">
        <v>1929</v>
      </c>
      <c r="G30" s="308">
        <v>81897710001</v>
      </c>
      <c r="H30" s="322">
        <v>165.18717391304347</v>
      </c>
      <c r="I30" s="400">
        <f t="shared" si="0"/>
        <v>165.18717391304347</v>
      </c>
    </row>
    <row r="31" spans="1:9" x14ac:dyDescent="0.25">
      <c r="A31" s="20" t="s">
        <v>1387</v>
      </c>
      <c r="B31" s="102">
        <v>2</v>
      </c>
      <c r="C31" s="142" t="s">
        <v>115</v>
      </c>
      <c r="D31" s="163" t="s">
        <v>8</v>
      </c>
      <c r="E31" s="195" t="s">
        <v>2335</v>
      </c>
      <c r="F31" s="30" t="s">
        <v>1928</v>
      </c>
      <c r="G31" s="308">
        <v>81897710001</v>
      </c>
      <c r="H31" s="322">
        <v>184.92652173913044</v>
      </c>
      <c r="I31" s="400">
        <f t="shared" si="0"/>
        <v>369.85304347826087</v>
      </c>
    </row>
    <row r="32" spans="1:9" x14ac:dyDescent="0.25">
      <c r="A32" s="20" t="s">
        <v>95</v>
      </c>
      <c r="B32" s="102">
        <v>1</v>
      </c>
      <c r="C32" s="142" t="s">
        <v>96</v>
      </c>
      <c r="D32" s="163" t="s">
        <v>8</v>
      </c>
      <c r="E32" s="195" t="s">
        <v>2301</v>
      </c>
      <c r="F32" s="41" t="s">
        <v>1964</v>
      </c>
      <c r="G32" s="308">
        <v>81897710017</v>
      </c>
      <c r="H32" s="322">
        <v>130.2104347826087</v>
      </c>
      <c r="I32" s="400">
        <f t="shared" si="0"/>
        <v>130.2104347826087</v>
      </c>
    </row>
    <row r="33" spans="1:9" x14ac:dyDescent="0.25">
      <c r="A33" s="20" t="s">
        <v>97</v>
      </c>
      <c r="B33" s="102">
        <v>1</v>
      </c>
      <c r="C33" s="142" t="s">
        <v>98</v>
      </c>
      <c r="D33" s="163" t="s">
        <v>8</v>
      </c>
      <c r="E33" s="195" t="s">
        <v>2302</v>
      </c>
      <c r="F33" s="44" t="s">
        <v>1956</v>
      </c>
      <c r="G33" s="308">
        <v>81897710017</v>
      </c>
      <c r="H33" s="322">
        <v>126.74739130434781</v>
      </c>
      <c r="I33" s="400">
        <f t="shared" si="0"/>
        <v>126.74739130434781</v>
      </c>
    </row>
    <row r="34" spans="1:9" x14ac:dyDescent="0.25">
      <c r="A34" s="20" t="s">
        <v>928</v>
      </c>
      <c r="B34" s="102">
        <v>1</v>
      </c>
      <c r="C34" s="142" t="s">
        <v>1444</v>
      </c>
      <c r="D34" s="163" t="s">
        <v>8</v>
      </c>
      <c r="E34" s="195" t="s">
        <v>2303</v>
      </c>
      <c r="F34" s="41" t="s">
        <v>1965</v>
      </c>
      <c r="G34" s="308">
        <v>81897710017</v>
      </c>
      <c r="H34" s="322">
        <v>121.55282608695654</v>
      </c>
      <c r="I34" s="400">
        <f t="shared" si="0"/>
        <v>121.55282608695654</v>
      </c>
    </row>
    <row r="35" spans="1:9" x14ac:dyDescent="0.25">
      <c r="A35" s="20" t="s">
        <v>99</v>
      </c>
      <c r="B35" s="102">
        <v>2</v>
      </c>
      <c r="C35" s="142" t="s">
        <v>662</v>
      </c>
      <c r="D35" s="163" t="s">
        <v>8</v>
      </c>
      <c r="E35" s="195" t="s">
        <v>2306</v>
      </c>
      <c r="F35" s="30" t="s">
        <v>1967</v>
      </c>
      <c r="G35" s="308">
        <v>81897710017</v>
      </c>
      <c r="H35" s="322">
        <v>157.91478260869562</v>
      </c>
      <c r="I35" s="400">
        <f t="shared" si="0"/>
        <v>315.82956521739123</v>
      </c>
    </row>
    <row r="36" spans="1:9" x14ac:dyDescent="0.25">
      <c r="A36" s="20" t="s">
        <v>517</v>
      </c>
      <c r="B36" s="102">
        <v>1</v>
      </c>
      <c r="C36" s="142" t="s">
        <v>518</v>
      </c>
      <c r="D36" s="163" t="s">
        <v>8</v>
      </c>
      <c r="E36" s="195" t="s">
        <v>2305</v>
      </c>
      <c r="F36" s="30" t="s">
        <v>1969</v>
      </c>
      <c r="G36" s="308">
        <v>81897710017</v>
      </c>
      <c r="H36" s="322">
        <v>197.04717391304348</v>
      </c>
      <c r="I36" s="400">
        <f t="shared" si="0"/>
        <v>197.04717391304348</v>
      </c>
    </row>
    <row r="37" spans="1:9" x14ac:dyDescent="0.25">
      <c r="A37" s="20" t="s">
        <v>1430</v>
      </c>
      <c r="B37" s="102">
        <v>1</v>
      </c>
      <c r="C37" s="229" t="s">
        <v>141</v>
      </c>
      <c r="D37" s="357" t="s">
        <v>8</v>
      </c>
      <c r="E37" s="227" t="s">
        <v>2313</v>
      </c>
      <c r="F37" s="291" t="s">
        <v>1825</v>
      </c>
      <c r="G37" s="350">
        <v>81897710023</v>
      </c>
      <c r="H37" s="469">
        <v>474.09065217391304</v>
      </c>
      <c r="I37" s="400">
        <f t="shared" si="0"/>
        <v>474.09065217391304</v>
      </c>
    </row>
    <row r="38" spans="1:9" x14ac:dyDescent="0.25">
      <c r="A38" s="20" t="s">
        <v>1337</v>
      </c>
      <c r="B38" s="141">
        <v>1</v>
      </c>
      <c r="C38" s="163" t="s">
        <v>143</v>
      </c>
      <c r="D38" s="163" t="s">
        <v>8</v>
      </c>
      <c r="E38" s="195" t="s">
        <v>2312</v>
      </c>
      <c r="F38" s="260" t="s">
        <v>1828</v>
      </c>
      <c r="G38" s="308">
        <v>81897710023</v>
      </c>
      <c r="H38" s="322">
        <v>451.58086956521737</v>
      </c>
      <c r="I38" s="400">
        <f t="shared" si="0"/>
        <v>451.58086956521737</v>
      </c>
    </row>
    <row r="39" spans="1:9" x14ac:dyDescent="0.25">
      <c r="A39" s="509" t="s">
        <v>1431</v>
      </c>
      <c r="B39" s="263">
        <v>2</v>
      </c>
      <c r="C39" s="163" t="s">
        <v>1432</v>
      </c>
      <c r="D39" s="163" t="s">
        <v>8</v>
      </c>
      <c r="E39" s="195" t="s">
        <v>2588</v>
      </c>
      <c r="F39" s="309" t="s">
        <v>2091</v>
      </c>
      <c r="G39" s="308">
        <v>81897710023</v>
      </c>
      <c r="H39" s="322">
        <v>451.58086956521737</v>
      </c>
      <c r="I39" s="400">
        <f t="shared" si="0"/>
        <v>903.16173913043474</v>
      </c>
    </row>
    <row r="40" spans="1:9" x14ac:dyDescent="0.25">
      <c r="I40" s="388">
        <f>SUM(I2:I39)</f>
        <v>19291.306956521737</v>
      </c>
    </row>
  </sheetData>
  <sortState xmlns:xlrd2="http://schemas.microsoft.com/office/spreadsheetml/2017/richdata2" ref="A2:D39">
    <sortCondition ref="A1:A39"/>
  </sortState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400ED-AB05-47E8-9351-B33E093868EE}">
  <sheetPr codeName="Planilha42">
    <tabColor rgb="FF92D050"/>
    <pageSetUpPr fitToPage="1"/>
  </sheetPr>
  <dimension ref="A1:I58"/>
  <sheetViews>
    <sheetView workbookViewId="0">
      <pane ySplit="1" topLeftCell="A2" activePane="bottomLeft" state="frozen"/>
      <selection activeCell="A53" sqref="A53"/>
      <selection pane="bottomLeft" activeCell="E5" sqref="E5"/>
    </sheetView>
  </sheetViews>
  <sheetFormatPr defaultRowHeight="15" x14ac:dyDescent="0.25"/>
  <cols>
    <col min="1" max="1" width="45" customWidth="1"/>
    <col min="2" max="2" width="14.7109375" customWidth="1"/>
    <col min="3" max="3" width="19.140625" customWidth="1"/>
    <col min="4" max="4" width="18.7109375" customWidth="1"/>
    <col min="5" max="5" width="26.7109375" customWidth="1"/>
    <col min="6" max="6" width="13.85546875" style="40" customWidth="1"/>
    <col min="7" max="7" width="17.42578125" style="40" customWidth="1"/>
    <col min="8" max="8" width="17.42578125" style="324" customWidth="1"/>
    <col min="9" max="9" width="17.42578125" customWidth="1"/>
  </cols>
  <sheetData>
    <row r="1" spans="1:9" ht="31.5" x14ac:dyDescent="0.25">
      <c r="A1" s="84" t="s">
        <v>0</v>
      </c>
      <c r="B1" s="42" t="s">
        <v>305</v>
      </c>
      <c r="C1" s="149" t="s">
        <v>360</v>
      </c>
      <c r="D1" s="197" t="s">
        <v>1721</v>
      </c>
      <c r="E1" s="194" t="s">
        <v>1723</v>
      </c>
      <c r="F1" s="194" t="s">
        <v>1724</v>
      </c>
      <c r="G1" s="194" t="s">
        <v>1722</v>
      </c>
      <c r="H1" s="321" t="s">
        <v>1725</v>
      </c>
      <c r="I1" s="321" t="s">
        <v>2317</v>
      </c>
    </row>
    <row r="2" spans="1:9" x14ac:dyDescent="0.25">
      <c r="A2" s="12" t="s">
        <v>1493</v>
      </c>
      <c r="B2" s="125">
        <v>1</v>
      </c>
      <c r="C2" s="142" t="s">
        <v>1494</v>
      </c>
      <c r="D2" s="219" t="s">
        <v>8</v>
      </c>
      <c r="E2" s="195" t="s">
        <v>2589</v>
      </c>
      <c r="F2" s="232" t="s">
        <v>1732</v>
      </c>
      <c r="G2" s="308">
        <v>81897710001</v>
      </c>
      <c r="H2" s="322">
        <v>1908.1369565217392</v>
      </c>
      <c r="I2" s="322">
        <f>H2*B2</f>
        <v>1908.1369565217392</v>
      </c>
    </row>
    <row r="3" spans="1:9" x14ac:dyDescent="0.25">
      <c r="A3" s="12" t="s">
        <v>1434</v>
      </c>
      <c r="B3" s="125">
        <v>2</v>
      </c>
      <c r="C3" s="142" t="s">
        <v>14</v>
      </c>
      <c r="D3" s="219" t="s">
        <v>8</v>
      </c>
      <c r="E3" s="195" t="s">
        <v>2199</v>
      </c>
      <c r="F3" s="232" t="s">
        <v>1733</v>
      </c>
      <c r="G3" s="308">
        <v>81897710023</v>
      </c>
      <c r="H3" s="322">
        <v>270.4636956521739</v>
      </c>
      <c r="I3" s="322">
        <f t="shared" ref="I3:I57" si="0">H3*B3</f>
        <v>540.92739130434779</v>
      </c>
    </row>
    <row r="4" spans="1:9" x14ac:dyDescent="0.25">
      <c r="A4" s="12" t="s">
        <v>1499</v>
      </c>
      <c r="B4" s="125">
        <v>1</v>
      </c>
      <c r="C4" s="142" t="s">
        <v>131</v>
      </c>
      <c r="D4" s="219" t="s">
        <v>8</v>
      </c>
      <c r="E4" s="195" t="s">
        <v>2217</v>
      </c>
      <c r="F4" s="232" t="s">
        <v>1767</v>
      </c>
      <c r="G4" s="308">
        <v>81897719001</v>
      </c>
      <c r="H4" s="322">
        <v>306.825652173913</v>
      </c>
      <c r="I4" s="322">
        <f t="shared" si="0"/>
        <v>306.825652173913</v>
      </c>
    </row>
    <row r="5" spans="1:9" x14ac:dyDescent="0.25">
      <c r="A5" s="452" t="s">
        <v>1448</v>
      </c>
      <c r="B5" s="125">
        <v>1</v>
      </c>
      <c r="C5" s="142"/>
      <c r="D5" s="219"/>
      <c r="E5" s="195" t="s">
        <v>2653</v>
      </c>
      <c r="F5" s="308" t="s">
        <v>2322</v>
      </c>
      <c r="G5" s="308" t="s">
        <v>2336</v>
      </c>
      <c r="H5" s="322">
        <v>2378.3413043478263</v>
      </c>
      <c r="I5" s="322">
        <f t="shared" si="0"/>
        <v>2378.3413043478263</v>
      </c>
    </row>
    <row r="6" spans="1:9" x14ac:dyDescent="0.25">
      <c r="A6" s="12" t="s">
        <v>1473</v>
      </c>
      <c r="B6" s="125">
        <v>2</v>
      </c>
      <c r="C6" s="142" t="s">
        <v>1474</v>
      </c>
      <c r="D6" s="219" t="s">
        <v>8</v>
      </c>
      <c r="E6" s="195" t="s">
        <v>2590</v>
      </c>
      <c r="F6" s="308" t="s">
        <v>2056</v>
      </c>
      <c r="G6" s="308">
        <v>81897710001</v>
      </c>
      <c r="H6" s="322">
        <v>391.67021739130439</v>
      </c>
      <c r="I6" s="322">
        <f t="shared" si="0"/>
        <v>783.34043478260878</v>
      </c>
    </row>
    <row r="7" spans="1:9" x14ac:dyDescent="0.25">
      <c r="A7" s="12" t="s">
        <v>1498</v>
      </c>
      <c r="B7" s="125">
        <v>1</v>
      </c>
      <c r="C7" s="142" t="s">
        <v>1211</v>
      </c>
      <c r="D7" s="219" t="s">
        <v>8</v>
      </c>
      <c r="E7" s="195" t="s">
        <v>2591</v>
      </c>
      <c r="F7" s="232" t="s">
        <v>1798</v>
      </c>
      <c r="G7" s="308">
        <v>81897710023</v>
      </c>
      <c r="H7" s="322">
        <v>181.80978260869566</v>
      </c>
      <c r="I7" s="322">
        <f t="shared" si="0"/>
        <v>181.80978260869566</v>
      </c>
    </row>
    <row r="8" spans="1:9" x14ac:dyDescent="0.25">
      <c r="A8" s="12" t="s">
        <v>1496</v>
      </c>
      <c r="B8" s="125">
        <v>1</v>
      </c>
      <c r="C8" s="142" t="s">
        <v>1497</v>
      </c>
      <c r="D8" s="219" t="s">
        <v>8</v>
      </c>
      <c r="E8" s="195" t="s">
        <v>2592</v>
      </c>
      <c r="F8" s="232" t="s">
        <v>1800</v>
      </c>
      <c r="G8" s="308">
        <v>81897710023</v>
      </c>
      <c r="H8" s="322">
        <v>265.26913043478265</v>
      </c>
      <c r="I8" s="322">
        <f t="shared" si="0"/>
        <v>265.26913043478265</v>
      </c>
    </row>
    <row r="9" spans="1:9" x14ac:dyDescent="0.25">
      <c r="A9" s="12" t="s">
        <v>703</v>
      </c>
      <c r="B9" s="125">
        <v>2</v>
      </c>
      <c r="C9" s="142" t="s">
        <v>601</v>
      </c>
      <c r="D9" s="219" t="s">
        <v>8</v>
      </c>
      <c r="E9" s="195" t="s">
        <v>2247</v>
      </c>
      <c r="F9" s="308" t="s">
        <v>1731</v>
      </c>
      <c r="G9" s="308">
        <v>81897710023</v>
      </c>
      <c r="H9" s="322">
        <v>93.502173913043478</v>
      </c>
      <c r="I9" s="322">
        <f t="shared" si="0"/>
        <v>187.00434782608696</v>
      </c>
    </row>
    <row r="10" spans="1:9" x14ac:dyDescent="0.25">
      <c r="A10" s="12" t="s">
        <v>1455</v>
      </c>
      <c r="B10" s="125">
        <v>1</v>
      </c>
      <c r="C10" s="142" t="s">
        <v>33</v>
      </c>
      <c r="D10" s="219" t="s">
        <v>8</v>
      </c>
      <c r="E10" s="195" t="s">
        <v>2248</v>
      </c>
      <c r="F10" s="308" t="s">
        <v>1730</v>
      </c>
      <c r="G10" s="308">
        <v>81897710023</v>
      </c>
      <c r="H10" s="322">
        <v>90.385434782608684</v>
      </c>
      <c r="I10" s="322">
        <f t="shared" si="0"/>
        <v>90.385434782608684</v>
      </c>
    </row>
    <row r="11" spans="1:9" x14ac:dyDescent="0.25">
      <c r="A11" s="12" t="s">
        <v>1463</v>
      </c>
      <c r="B11" s="125">
        <v>4</v>
      </c>
      <c r="C11" s="142" t="s">
        <v>36</v>
      </c>
      <c r="D11" s="219" t="s">
        <v>8</v>
      </c>
      <c r="E11" s="195" t="s">
        <v>2249</v>
      </c>
      <c r="F11" s="308" t="s">
        <v>1848</v>
      </c>
      <c r="G11" s="308">
        <v>81897710001</v>
      </c>
      <c r="H11" s="322">
        <v>205.01217391304351</v>
      </c>
      <c r="I11" s="322">
        <f t="shared" si="0"/>
        <v>820.04869565217405</v>
      </c>
    </row>
    <row r="12" spans="1:9" x14ac:dyDescent="0.25">
      <c r="A12" s="12" t="s">
        <v>38</v>
      </c>
      <c r="B12" s="125">
        <v>4</v>
      </c>
      <c r="C12" s="142" t="s">
        <v>36</v>
      </c>
      <c r="D12" s="219" t="s">
        <v>8</v>
      </c>
      <c r="E12" s="195" t="s">
        <v>2251</v>
      </c>
      <c r="F12" s="308" t="s">
        <v>1849</v>
      </c>
      <c r="G12" s="308">
        <v>81897710001</v>
      </c>
      <c r="H12" s="322">
        <v>358.07869565217391</v>
      </c>
      <c r="I12" s="322">
        <f t="shared" si="0"/>
        <v>1432.3147826086956</v>
      </c>
    </row>
    <row r="13" spans="1:9" x14ac:dyDescent="0.25">
      <c r="A13" s="12" t="s">
        <v>1450</v>
      </c>
      <c r="B13" s="125">
        <v>1</v>
      </c>
      <c r="C13" s="142" t="s">
        <v>47</v>
      </c>
      <c r="D13" s="219" t="s">
        <v>8</v>
      </c>
      <c r="E13" s="195" t="s">
        <v>2254</v>
      </c>
      <c r="F13" s="308" t="s">
        <v>1855</v>
      </c>
      <c r="G13" s="308">
        <v>81897710023</v>
      </c>
      <c r="H13" s="322">
        <v>126.74739130434781</v>
      </c>
      <c r="I13" s="322">
        <f t="shared" si="0"/>
        <v>126.74739130434781</v>
      </c>
    </row>
    <row r="14" spans="1:9" x14ac:dyDescent="0.25">
      <c r="A14" s="12" t="s">
        <v>1449</v>
      </c>
      <c r="B14" s="125">
        <v>1</v>
      </c>
      <c r="C14" s="78" t="s">
        <v>51</v>
      </c>
      <c r="D14" s="219" t="s">
        <v>8</v>
      </c>
      <c r="E14" s="195" t="s">
        <v>2256</v>
      </c>
      <c r="F14" s="308" t="s">
        <v>1856</v>
      </c>
      <c r="G14" s="308">
        <v>81897710023</v>
      </c>
      <c r="H14" s="322">
        <v>205.01217391304351</v>
      </c>
      <c r="I14" s="322">
        <f t="shared" si="0"/>
        <v>205.01217391304351</v>
      </c>
    </row>
    <row r="15" spans="1:9" x14ac:dyDescent="0.25">
      <c r="A15" s="12" t="s">
        <v>48</v>
      </c>
      <c r="B15" s="125">
        <v>2</v>
      </c>
      <c r="C15" s="142" t="s">
        <v>49</v>
      </c>
      <c r="D15" s="219" t="s">
        <v>8</v>
      </c>
      <c r="E15" s="195" t="s">
        <v>2255</v>
      </c>
      <c r="F15" s="308" t="s">
        <v>1854</v>
      </c>
      <c r="G15" s="308">
        <v>81897710023</v>
      </c>
      <c r="H15" s="322">
        <v>170.72804347826082</v>
      </c>
      <c r="I15" s="322">
        <f t="shared" si="0"/>
        <v>341.45608695652163</v>
      </c>
    </row>
    <row r="16" spans="1:9" x14ac:dyDescent="0.25">
      <c r="A16" s="12" t="s">
        <v>1466</v>
      </c>
      <c r="B16" s="125">
        <v>2</v>
      </c>
      <c r="C16" s="142" t="s">
        <v>1467</v>
      </c>
      <c r="D16" s="219" t="s">
        <v>8</v>
      </c>
      <c r="E16" s="195" t="s">
        <v>2593</v>
      </c>
      <c r="F16" s="308" t="s">
        <v>2057</v>
      </c>
      <c r="G16" s="308">
        <v>81897710001</v>
      </c>
      <c r="H16" s="322">
        <v>288.47152173913042</v>
      </c>
      <c r="I16" s="322">
        <f t="shared" si="0"/>
        <v>576.94304347826085</v>
      </c>
    </row>
    <row r="17" spans="1:9" x14ac:dyDescent="0.25">
      <c r="A17" s="12" t="s">
        <v>1464</v>
      </c>
      <c r="B17" s="125">
        <v>2</v>
      </c>
      <c r="C17" s="142" t="s">
        <v>1465</v>
      </c>
      <c r="D17" s="219" t="s">
        <v>8</v>
      </c>
      <c r="E17" s="195" t="s">
        <v>2594</v>
      </c>
      <c r="F17" s="308" t="s">
        <v>1858</v>
      </c>
      <c r="G17" s="308">
        <v>81897710001</v>
      </c>
      <c r="H17" s="322">
        <v>245.52978260869568</v>
      </c>
      <c r="I17" s="322">
        <f t="shared" si="0"/>
        <v>491.05956521739137</v>
      </c>
    </row>
    <row r="18" spans="1:9" x14ac:dyDescent="0.25">
      <c r="A18" s="12" t="s">
        <v>1484</v>
      </c>
      <c r="B18" s="125">
        <v>2</v>
      </c>
      <c r="C18" s="142" t="s">
        <v>84</v>
      </c>
      <c r="D18" s="219" t="s">
        <v>8</v>
      </c>
      <c r="E18" s="195" t="s">
        <v>2281</v>
      </c>
      <c r="F18" s="232" t="s">
        <v>1860</v>
      </c>
      <c r="G18" s="308">
        <v>81897710001</v>
      </c>
      <c r="H18" s="322">
        <v>234.10173913043479</v>
      </c>
      <c r="I18" s="322">
        <f t="shared" si="0"/>
        <v>468.20347826086959</v>
      </c>
    </row>
    <row r="19" spans="1:9" x14ac:dyDescent="0.25">
      <c r="A19" s="12" t="s">
        <v>537</v>
      </c>
      <c r="B19" s="125">
        <v>4</v>
      </c>
      <c r="C19" s="142">
        <v>971</v>
      </c>
      <c r="D19" s="219" t="s">
        <v>4</v>
      </c>
      <c r="E19" s="195" t="s">
        <v>2257</v>
      </c>
      <c r="F19" s="40" t="s">
        <v>1862</v>
      </c>
      <c r="G19" s="308">
        <v>81897710001</v>
      </c>
      <c r="H19" s="322">
        <v>305.9021739130435</v>
      </c>
      <c r="I19" s="322">
        <f t="shared" si="0"/>
        <v>1223.608695652174</v>
      </c>
    </row>
    <row r="20" spans="1:9" x14ac:dyDescent="0.25">
      <c r="A20" s="12" t="s">
        <v>308</v>
      </c>
      <c r="B20" s="125">
        <v>4</v>
      </c>
      <c r="C20" s="142">
        <v>957</v>
      </c>
      <c r="D20" s="219" t="s">
        <v>4</v>
      </c>
      <c r="E20" s="195" t="s">
        <v>2258</v>
      </c>
      <c r="F20" s="308" t="s">
        <v>1861</v>
      </c>
      <c r="G20" s="308">
        <v>81897710001</v>
      </c>
      <c r="H20" s="322">
        <v>145.7941304347826</v>
      </c>
      <c r="I20" s="322">
        <f t="shared" si="0"/>
        <v>583.17652173913041</v>
      </c>
    </row>
    <row r="21" spans="1:9" x14ac:dyDescent="0.25">
      <c r="A21" s="12" t="s">
        <v>1492</v>
      </c>
      <c r="B21" s="125">
        <v>1</v>
      </c>
      <c r="C21" s="142" t="s">
        <v>53</v>
      </c>
      <c r="D21" s="219" t="s">
        <v>8</v>
      </c>
      <c r="E21" s="195" t="s">
        <v>2260</v>
      </c>
      <c r="F21" s="260" t="s">
        <v>1866</v>
      </c>
      <c r="G21" s="308">
        <v>81897710001</v>
      </c>
      <c r="H21" s="322">
        <v>545.08304347826083</v>
      </c>
      <c r="I21" s="322">
        <f t="shared" si="0"/>
        <v>545.08304347826083</v>
      </c>
    </row>
    <row r="22" spans="1:9" x14ac:dyDescent="0.25">
      <c r="A22" s="12" t="s">
        <v>1485</v>
      </c>
      <c r="B22" s="125">
        <v>1</v>
      </c>
      <c r="C22" s="142" t="s">
        <v>53</v>
      </c>
      <c r="D22" s="219" t="s">
        <v>8</v>
      </c>
      <c r="E22" s="195" t="s">
        <v>2260</v>
      </c>
      <c r="F22" s="260" t="s">
        <v>1866</v>
      </c>
      <c r="G22" s="308">
        <v>81897710001</v>
      </c>
      <c r="H22" s="322">
        <v>545.08304347826083</v>
      </c>
      <c r="I22" s="322">
        <f t="shared" si="0"/>
        <v>545.08304347826083</v>
      </c>
    </row>
    <row r="23" spans="1:9" x14ac:dyDescent="0.25">
      <c r="A23" s="12" t="s">
        <v>1471</v>
      </c>
      <c r="B23" s="125">
        <v>2</v>
      </c>
      <c r="C23" s="142" t="s">
        <v>1472</v>
      </c>
      <c r="D23" s="219" t="s">
        <v>8</v>
      </c>
      <c r="E23" s="195" t="s">
        <v>2595</v>
      </c>
      <c r="F23" s="308" t="s">
        <v>2058</v>
      </c>
      <c r="G23" s="308">
        <v>81897710001</v>
      </c>
      <c r="H23" s="322">
        <v>295.05130434782609</v>
      </c>
      <c r="I23" s="322">
        <f t="shared" si="0"/>
        <v>590.10260869565218</v>
      </c>
    </row>
    <row r="24" spans="1:9" x14ac:dyDescent="0.25">
      <c r="A24" s="12" t="s">
        <v>1454</v>
      </c>
      <c r="B24" s="125">
        <v>2</v>
      </c>
      <c r="C24" s="142" t="s">
        <v>1362</v>
      </c>
      <c r="D24" s="219" t="s">
        <v>8</v>
      </c>
      <c r="E24" s="195" t="s">
        <v>2262</v>
      </c>
      <c r="F24" s="308" t="s">
        <v>2008</v>
      </c>
      <c r="G24" s="308">
        <v>81897710023</v>
      </c>
      <c r="H24" s="322">
        <v>545.08304347826083</v>
      </c>
      <c r="I24" s="322">
        <f t="shared" si="0"/>
        <v>1090.1660869565217</v>
      </c>
    </row>
    <row r="25" spans="1:9" x14ac:dyDescent="0.25">
      <c r="A25" s="12" t="s">
        <v>1453</v>
      </c>
      <c r="B25" s="125">
        <v>2</v>
      </c>
      <c r="C25" s="142" t="s">
        <v>1364</v>
      </c>
      <c r="D25" s="219" t="s">
        <v>8</v>
      </c>
      <c r="E25" s="195" t="s">
        <v>2263</v>
      </c>
      <c r="F25" s="308" t="s">
        <v>2009</v>
      </c>
      <c r="G25" s="308">
        <v>81897710023</v>
      </c>
      <c r="H25" s="322">
        <v>655.20782608695663</v>
      </c>
      <c r="I25" s="322">
        <f t="shared" si="0"/>
        <v>1310.4156521739133</v>
      </c>
    </row>
    <row r="26" spans="1:9" x14ac:dyDescent="0.25">
      <c r="A26" s="12" t="s">
        <v>1452</v>
      </c>
      <c r="B26" s="125">
        <v>1</v>
      </c>
      <c r="C26" s="142" t="s">
        <v>1366</v>
      </c>
      <c r="D26" s="219" t="s">
        <v>8</v>
      </c>
      <c r="E26" s="195" t="s">
        <v>2571</v>
      </c>
      <c r="F26" s="308" t="s">
        <v>2054</v>
      </c>
      <c r="G26" s="308">
        <v>81897710023</v>
      </c>
      <c r="H26" s="322">
        <v>859.18108695652188</v>
      </c>
      <c r="I26" s="322">
        <f t="shared" si="0"/>
        <v>859.18108695652188</v>
      </c>
    </row>
    <row r="27" spans="1:9" x14ac:dyDescent="0.25">
      <c r="A27" s="452" t="s">
        <v>1490</v>
      </c>
      <c r="B27" s="125">
        <v>1</v>
      </c>
      <c r="C27" s="142" t="s">
        <v>1491</v>
      </c>
      <c r="D27" s="219" t="s">
        <v>8</v>
      </c>
      <c r="E27" s="195" t="s">
        <v>1490</v>
      </c>
      <c r="F27" s="308" t="s">
        <v>2078</v>
      </c>
      <c r="G27" s="308" t="e">
        <v>#N/A</v>
      </c>
      <c r="H27" s="322">
        <v>0</v>
      </c>
      <c r="I27" s="322">
        <f t="shared" si="0"/>
        <v>0</v>
      </c>
    </row>
    <row r="28" spans="1:9" x14ac:dyDescent="0.25">
      <c r="A28" s="12" t="s">
        <v>1486</v>
      </c>
      <c r="B28" s="125">
        <v>1</v>
      </c>
      <c r="C28" s="142" t="s">
        <v>1487</v>
      </c>
      <c r="D28" s="219" t="s">
        <v>8</v>
      </c>
      <c r="E28" s="195" t="s">
        <v>2596</v>
      </c>
      <c r="F28" s="308" t="s">
        <v>2062</v>
      </c>
      <c r="G28" s="308">
        <v>81897710001</v>
      </c>
      <c r="H28" s="322">
        <v>1266.4349999999999</v>
      </c>
      <c r="I28" s="322">
        <f t="shared" si="0"/>
        <v>1266.4349999999999</v>
      </c>
    </row>
    <row r="29" spans="1:9" x14ac:dyDescent="0.25">
      <c r="A29" s="12" t="s">
        <v>1488</v>
      </c>
      <c r="B29" s="125">
        <v>1</v>
      </c>
      <c r="C29" s="142" t="s">
        <v>1489</v>
      </c>
      <c r="D29" s="219" t="s">
        <v>8</v>
      </c>
      <c r="E29" s="195" t="s">
        <v>2558</v>
      </c>
      <c r="F29" s="308" t="s">
        <v>1780</v>
      </c>
      <c r="G29" s="308">
        <v>81897710001</v>
      </c>
      <c r="H29" s="322">
        <v>1321.4973913043477</v>
      </c>
      <c r="I29" s="322">
        <f t="shared" si="0"/>
        <v>1321.4973913043477</v>
      </c>
    </row>
    <row r="30" spans="1:9" x14ac:dyDescent="0.25">
      <c r="A30" s="12" t="s">
        <v>1451</v>
      </c>
      <c r="B30" s="125">
        <v>1</v>
      </c>
      <c r="C30" s="142" t="s">
        <v>63</v>
      </c>
      <c r="D30" s="219" t="s">
        <v>8</v>
      </c>
      <c r="E30" s="195" t="s">
        <v>2268</v>
      </c>
      <c r="F30" s="308" t="s">
        <v>1878</v>
      </c>
      <c r="G30" s="308">
        <v>81897710023</v>
      </c>
      <c r="H30" s="322">
        <v>208.12891304347824</v>
      </c>
      <c r="I30" s="322">
        <f t="shared" si="0"/>
        <v>208.12891304347824</v>
      </c>
    </row>
    <row r="31" spans="1:9" x14ac:dyDescent="0.25">
      <c r="A31" s="12" t="s">
        <v>58</v>
      </c>
      <c r="B31" s="125">
        <v>2</v>
      </c>
      <c r="C31" s="142" t="s">
        <v>59</v>
      </c>
      <c r="D31" s="219" t="s">
        <v>8</v>
      </c>
      <c r="E31" s="195" t="s">
        <v>2266</v>
      </c>
      <c r="F31" s="308" t="s">
        <v>1880</v>
      </c>
      <c r="G31" s="308">
        <v>81897710023</v>
      </c>
      <c r="H31" s="322">
        <v>130.90304347826086</v>
      </c>
      <c r="I31" s="322">
        <f t="shared" si="0"/>
        <v>261.80608695652171</v>
      </c>
    </row>
    <row r="32" spans="1:9" x14ac:dyDescent="0.25">
      <c r="A32" s="12" t="s">
        <v>60</v>
      </c>
      <c r="B32" s="125">
        <v>1</v>
      </c>
      <c r="C32" s="142" t="s">
        <v>61</v>
      </c>
      <c r="D32" s="219" t="s">
        <v>8</v>
      </c>
      <c r="E32" s="195" t="s">
        <v>2267</v>
      </c>
      <c r="F32" s="308" t="s">
        <v>1877</v>
      </c>
      <c r="G32" s="308">
        <v>81897710023</v>
      </c>
      <c r="H32" s="322">
        <v>175.22999999999996</v>
      </c>
      <c r="I32" s="322">
        <f t="shared" si="0"/>
        <v>175.22999999999996</v>
      </c>
    </row>
    <row r="33" spans="1:9" x14ac:dyDescent="0.25">
      <c r="A33" s="12" t="s">
        <v>1481</v>
      </c>
      <c r="B33" s="125">
        <v>4</v>
      </c>
      <c r="C33" s="142" t="s">
        <v>1225</v>
      </c>
      <c r="D33" s="219" t="s">
        <v>8</v>
      </c>
      <c r="E33" s="195" t="s">
        <v>2532</v>
      </c>
      <c r="F33" s="308" t="s">
        <v>2049</v>
      </c>
      <c r="G33" s="308">
        <v>81897710001</v>
      </c>
      <c r="H33" s="322">
        <v>275.31195652173909</v>
      </c>
      <c r="I33" s="322">
        <f t="shared" si="0"/>
        <v>1101.2478260869564</v>
      </c>
    </row>
    <row r="34" spans="1:9" x14ac:dyDescent="0.25">
      <c r="A34" s="12" t="s">
        <v>1470</v>
      </c>
      <c r="B34" s="125">
        <v>1</v>
      </c>
      <c r="C34" s="142" t="s">
        <v>1351</v>
      </c>
      <c r="D34" s="219" t="s">
        <v>8</v>
      </c>
      <c r="E34" s="195" t="s">
        <v>2534</v>
      </c>
      <c r="F34" s="308" t="s">
        <v>1882</v>
      </c>
      <c r="G34" s="308">
        <v>81897710001</v>
      </c>
      <c r="H34" s="322">
        <v>261.11347826086956</v>
      </c>
      <c r="I34" s="322">
        <f t="shared" si="0"/>
        <v>261.11347826086956</v>
      </c>
    </row>
    <row r="35" spans="1:9" x14ac:dyDescent="0.25">
      <c r="A35" s="12" t="s">
        <v>1468</v>
      </c>
      <c r="B35" s="125">
        <v>1</v>
      </c>
      <c r="C35" s="142" t="s">
        <v>1469</v>
      </c>
      <c r="D35" s="219" t="s">
        <v>8</v>
      </c>
      <c r="E35" s="195" t="s">
        <v>2386</v>
      </c>
      <c r="F35" s="308" t="s">
        <v>1884</v>
      </c>
      <c r="G35" s="308">
        <v>81897710001</v>
      </c>
      <c r="H35" s="322">
        <v>257.99673913043478</v>
      </c>
      <c r="I35" s="322">
        <f t="shared" si="0"/>
        <v>257.99673913043478</v>
      </c>
    </row>
    <row r="36" spans="1:9" x14ac:dyDescent="0.25">
      <c r="A36" s="158" t="s">
        <v>1482</v>
      </c>
      <c r="B36" s="159">
        <v>2</v>
      </c>
      <c r="C36" s="221" t="s">
        <v>1483</v>
      </c>
      <c r="D36" s="178" t="s">
        <v>10</v>
      </c>
      <c r="E36" s="195" t="s">
        <v>2597</v>
      </c>
      <c r="F36" s="308" t="s">
        <v>2059</v>
      </c>
      <c r="G36" s="308">
        <v>81897710001</v>
      </c>
      <c r="H36" s="322">
        <v>329.68173913043478</v>
      </c>
      <c r="I36" s="322">
        <f t="shared" si="0"/>
        <v>659.36347826086956</v>
      </c>
    </row>
    <row r="37" spans="1:9" x14ac:dyDescent="0.25">
      <c r="A37" s="12" t="s">
        <v>1458</v>
      </c>
      <c r="B37" s="125">
        <v>8</v>
      </c>
      <c r="C37" s="142" t="s">
        <v>66</v>
      </c>
      <c r="D37" s="219" t="s">
        <v>8</v>
      </c>
      <c r="E37" s="195" t="s">
        <v>2271</v>
      </c>
      <c r="F37" s="308" t="s">
        <v>1895</v>
      </c>
      <c r="G37" s="308">
        <v>81897710001</v>
      </c>
      <c r="H37" s="322">
        <v>137.13652173913044</v>
      </c>
      <c r="I37" s="322">
        <f t="shared" si="0"/>
        <v>1097.0921739130436</v>
      </c>
    </row>
    <row r="38" spans="1:9" x14ac:dyDescent="0.25">
      <c r="A38" s="12" t="s">
        <v>1457</v>
      </c>
      <c r="B38" s="125">
        <v>4</v>
      </c>
      <c r="C38" s="142" t="s">
        <v>68</v>
      </c>
      <c r="D38" s="219" t="s">
        <v>8</v>
      </c>
      <c r="E38" s="195" t="s">
        <v>2272</v>
      </c>
      <c r="F38" s="308" t="s">
        <v>1896</v>
      </c>
      <c r="G38" s="308">
        <v>81897710001</v>
      </c>
      <c r="H38" s="322">
        <v>134.36608695652174</v>
      </c>
      <c r="I38" s="322">
        <f t="shared" si="0"/>
        <v>537.46434782608696</v>
      </c>
    </row>
    <row r="39" spans="1:9" x14ac:dyDescent="0.25">
      <c r="A39" s="12" t="s">
        <v>1461</v>
      </c>
      <c r="B39" s="125">
        <v>4</v>
      </c>
      <c r="C39" s="142" t="s">
        <v>1462</v>
      </c>
      <c r="D39" s="219" t="s">
        <v>8</v>
      </c>
      <c r="E39" s="195" t="s">
        <v>2598</v>
      </c>
      <c r="F39" s="308" t="s">
        <v>2061</v>
      </c>
      <c r="G39" s="308">
        <v>81897710001</v>
      </c>
      <c r="H39" s="322">
        <v>207.09000000000003</v>
      </c>
      <c r="I39" s="322">
        <f t="shared" si="0"/>
        <v>828.36000000000013</v>
      </c>
    </row>
    <row r="40" spans="1:9" x14ac:dyDescent="0.25">
      <c r="A40" s="12" t="s">
        <v>1459</v>
      </c>
      <c r="B40" s="125">
        <v>4</v>
      </c>
      <c r="C40" s="142" t="s">
        <v>1460</v>
      </c>
      <c r="D40" s="219" t="s">
        <v>8</v>
      </c>
      <c r="E40" s="195" t="s">
        <v>2599</v>
      </c>
      <c r="F40" s="308" t="s">
        <v>2060</v>
      </c>
      <c r="G40" s="308">
        <v>81897710001</v>
      </c>
      <c r="H40" s="322">
        <v>204.31956521739133</v>
      </c>
      <c r="I40" s="322">
        <f t="shared" si="0"/>
        <v>817.27826086956532</v>
      </c>
    </row>
    <row r="41" spans="1:9" x14ac:dyDescent="0.25">
      <c r="A41" s="12" t="s">
        <v>1480</v>
      </c>
      <c r="B41" s="125">
        <v>2</v>
      </c>
      <c r="C41" s="142" t="s">
        <v>82</v>
      </c>
      <c r="D41" s="219" t="s">
        <v>8</v>
      </c>
      <c r="E41" s="195" t="s">
        <v>2282</v>
      </c>
      <c r="F41" s="308" t="s">
        <v>1904</v>
      </c>
      <c r="G41" s="308">
        <v>81897710001</v>
      </c>
      <c r="H41" s="322">
        <v>253.14847826086952</v>
      </c>
      <c r="I41" s="322">
        <f t="shared" si="0"/>
        <v>506.29695652173905</v>
      </c>
    </row>
    <row r="42" spans="1:9" x14ac:dyDescent="0.25">
      <c r="A42" s="12" t="s">
        <v>1233</v>
      </c>
      <c r="B42" s="125">
        <v>4</v>
      </c>
      <c r="C42" s="142" t="s">
        <v>1234</v>
      </c>
      <c r="D42" s="219" t="s">
        <v>8</v>
      </c>
      <c r="E42" s="195" t="s">
        <v>2535</v>
      </c>
      <c r="F42" s="308" t="s">
        <v>1906</v>
      </c>
      <c r="G42" s="308">
        <v>81897710001</v>
      </c>
      <c r="H42" s="322">
        <v>280.8528260869565</v>
      </c>
      <c r="I42" s="322">
        <f t="shared" si="0"/>
        <v>1123.411304347826</v>
      </c>
    </row>
    <row r="43" spans="1:9" x14ac:dyDescent="0.25">
      <c r="A43" s="12" t="s">
        <v>1456</v>
      </c>
      <c r="B43" s="125">
        <v>8</v>
      </c>
      <c r="C43" s="142" t="s">
        <v>24</v>
      </c>
      <c r="D43" s="219" t="s">
        <v>8</v>
      </c>
      <c r="E43" s="195" t="s">
        <v>2243</v>
      </c>
      <c r="F43" s="308" t="s">
        <v>1844</v>
      </c>
      <c r="G43" s="308">
        <v>81897710001</v>
      </c>
      <c r="H43" s="322">
        <v>111.8563043478261</v>
      </c>
      <c r="I43" s="322">
        <f t="shared" si="0"/>
        <v>894.85043478260877</v>
      </c>
    </row>
    <row r="44" spans="1:9" x14ac:dyDescent="0.25">
      <c r="A44" s="12" t="s">
        <v>1441</v>
      </c>
      <c r="B44" s="125">
        <v>4</v>
      </c>
      <c r="C44" s="142" t="s">
        <v>26</v>
      </c>
      <c r="D44" s="219" t="s">
        <v>8</v>
      </c>
      <c r="E44" s="195" t="s">
        <v>2244</v>
      </c>
      <c r="F44" s="22" t="s">
        <v>1845</v>
      </c>
      <c r="G44" s="308">
        <v>81897710001</v>
      </c>
      <c r="H44" s="322">
        <v>109.08586956521739</v>
      </c>
      <c r="I44" s="322">
        <f t="shared" si="0"/>
        <v>436.34347826086957</v>
      </c>
    </row>
    <row r="45" spans="1:9" x14ac:dyDescent="0.25">
      <c r="A45" s="12" t="s">
        <v>1479</v>
      </c>
      <c r="B45" s="125">
        <v>2</v>
      </c>
      <c r="C45" s="142" t="s">
        <v>28</v>
      </c>
      <c r="D45" s="219" t="s">
        <v>8</v>
      </c>
      <c r="E45" s="195" t="s">
        <v>2245</v>
      </c>
      <c r="F45" s="22" t="s">
        <v>1846</v>
      </c>
      <c r="G45" s="308">
        <v>81897710001</v>
      </c>
      <c r="H45" s="322">
        <v>205.35847826086956</v>
      </c>
      <c r="I45" s="322">
        <f t="shared" si="0"/>
        <v>410.71695652173912</v>
      </c>
    </row>
    <row r="46" spans="1:9" x14ac:dyDescent="0.25">
      <c r="A46" s="12" t="s">
        <v>1476</v>
      </c>
      <c r="B46" s="125">
        <v>1</v>
      </c>
      <c r="C46" s="142" t="s">
        <v>88</v>
      </c>
      <c r="D46" s="219" t="s">
        <v>8</v>
      </c>
      <c r="E46" s="195" t="s">
        <v>2286</v>
      </c>
      <c r="F46" s="308" t="s">
        <v>1922</v>
      </c>
      <c r="G46" s="308">
        <v>81897710001</v>
      </c>
      <c r="H46" s="322">
        <v>729.66326086956531</v>
      </c>
      <c r="I46" s="322">
        <f t="shared" si="0"/>
        <v>729.66326086956531</v>
      </c>
    </row>
    <row r="47" spans="1:9" x14ac:dyDescent="0.25">
      <c r="A47" s="12" t="s">
        <v>1386</v>
      </c>
      <c r="B47" s="125">
        <v>2</v>
      </c>
      <c r="C47" s="142" t="s">
        <v>1478</v>
      </c>
      <c r="D47" s="219" t="s">
        <v>8</v>
      </c>
      <c r="E47" s="195" t="s">
        <v>2429</v>
      </c>
      <c r="F47" s="308" t="s">
        <v>1927</v>
      </c>
      <c r="G47" s="308">
        <v>81897710001</v>
      </c>
      <c r="H47" s="322">
        <v>129.51782608695652</v>
      </c>
      <c r="I47" s="322">
        <f t="shared" si="0"/>
        <v>259.03565217391304</v>
      </c>
    </row>
    <row r="48" spans="1:9" x14ac:dyDescent="0.25">
      <c r="A48" s="12" t="s">
        <v>1388</v>
      </c>
      <c r="B48" s="125">
        <v>1</v>
      </c>
      <c r="C48" s="142" t="s">
        <v>113</v>
      </c>
      <c r="D48" s="219" t="s">
        <v>8</v>
      </c>
      <c r="E48" s="195" t="s">
        <v>2405</v>
      </c>
      <c r="F48" s="308" t="s">
        <v>1929</v>
      </c>
      <c r="G48" s="308">
        <v>81897710001</v>
      </c>
      <c r="H48" s="322">
        <v>165.18717391304347</v>
      </c>
      <c r="I48" s="322">
        <f t="shared" si="0"/>
        <v>165.18717391304347</v>
      </c>
    </row>
    <row r="49" spans="1:9" x14ac:dyDescent="0.25">
      <c r="A49" s="12" t="s">
        <v>1387</v>
      </c>
      <c r="B49" s="125">
        <v>2</v>
      </c>
      <c r="C49" s="142" t="s">
        <v>115</v>
      </c>
      <c r="D49" s="219" t="s">
        <v>8</v>
      </c>
      <c r="E49" s="195" t="s">
        <v>2335</v>
      </c>
      <c r="F49" s="22" t="s">
        <v>1928</v>
      </c>
      <c r="G49" s="308">
        <v>81897710001</v>
      </c>
      <c r="H49" s="322">
        <v>184.92652173913044</v>
      </c>
      <c r="I49" s="322">
        <f t="shared" si="0"/>
        <v>369.85304347826087</v>
      </c>
    </row>
    <row r="50" spans="1:9" x14ac:dyDescent="0.25">
      <c r="A50" s="12" t="s">
        <v>1477</v>
      </c>
      <c r="B50" s="125">
        <v>1</v>
      </c>
      <c r="C50" s="142" t="s">
        <v>117</v>
      </c>
      <c r="D50" s="219" t="s">
        <v>8</v>
      </c>
      <c r="E50" s="195" t="s">
        <v>2430</v>
      </c>
      <c r="F50" s="22" t="s">
        <v>1931</v>
      </c>
      <c r="G50" s="308">
        <v>81897710001</v>
      </c>
      <c r="H50" s="322">
        <v>246.22239130434781</v>
      </c>
      <c r="I50" s="322">
        <f t="shared" si="0"/>
        <v>246.22239130434781</v>
      </c>
    </row>
    <row r="51" spans="1:9" x14ac:dyDescent="0.25">
      <c r="A51" s="12" t="s">
        <v>1475</v>
      </c>
      <c r="B51" s="125">
        <v>1</v>
      </c>
      <c r="C51" s="142" t="s">
        <v>96</v>
      </c>
      <c r="D51" s="219" t="s">
        <v>8</v>
      </c>
      <c r="E51" s="195" t="s">
        <v>2301</v>
      </c>
      <c r="F51" s="22" t="s">
        <v>1964</v>
      </c>
      <c r="G51" s="308">
        <v>81897710017</v>
      </c>
      <c r="H51" s="322">
        <v>130.2104347826087</v>
      </c>
      <c r="I51" s="322">
        <f t="shared" si="0"/>
        <v>130.2104347826087</v>
      </c>
    </row>
    <row r="52" spans="1:9" x14ac:dyDescent="0.25">
      <c r="A52" s="12" t="s">
        <v>97</v>
      </c>
      <c r="B52" s="125">
        <v>2</v>
      </c>
      <c r="C52" s="142" t="s">
        <v>98</v>
      </c>
      <c r="D52" s="219" t="s">
        <v>8</v>
      </c>
      <c r="E52" s="195" t="s">
        <v>2302</v>
      </c>
      <c r="F52" s="308" t="s">
        <v>1956</v>
      </c>
      <c r="G52" s="308">
        <v>81897710017</v>
      </c>
      <c r="H52" s="322">
        <v>126.74739130434781</v>
      </c>
      <c r="I52" s="322">
        <f t="shared" si="0"/>
        <v>253.49478260869563</v>
      </c>
    </row>
    <row r="53" spans="1:9" x14ac:dyDescent="0.25">
      <c r="A53" s="12" t="s">
        <v>1383</v>
      </c>
      <c r="B53" s="125">
        <v>2</v>
      </c>
      <c r="C53" s="142" t="s">
        <v>662</v>
      </c>
      <c r="D53" s="219" t="s">
        <v>8</v>
      </c>
      <c r="E53" s="195" t="s">
        <v>2306</v>
      </c>
      <c r="F53" s="308" t="s">
        <v>1967</v>
      </c>
      <c r="G53" s="308">
        <v>81897710017</v>
      </c>
      <c r="H53" s="322">
        <v>157.91478260869562</v>
      </c>
      <c r="I53" s="322">
        <f t="shared" si="0"/>
        <v>315.82956521739123</v>
      </c>
    </row>
    <row r="54" spans="1:9" x14ac:dyDescent="0.25">
      <c r="A54" s="12" t="s">
        <v>104</v>
      </c>
      <c r="B54" s="125">
        <v>1</v>
      </c>
      <c r="C54" s="142" t="s">
        <v>520</v>
      </c>
      <c r="D54" s="219" t="s">
        <v>8</v>
      </c>
      <c r="E54" s="195" t="s">
        <v>2304</v>
      </c>
      <c r="F54" s="22" t="s">
        <v>1968</v>
      </c>
      <c r="G54" s="308">
        <v>81897710017</v>
      </c>
      <c r="H54" s="322">
        <v>171.42065217391303</v>
      </c>
      <c r="I54" s="322">
        <f t="shared" si="0"/>
        <v>171.42065217391303</v>
      </c>
    </row>
    <row r="55" spans="1:9" x14ac:dyDescent="0.25">
      <c r="A55" s="12" t="s">
        <v>517</v>
      </c>
      <c r="B55" s="125">
        <v>1</v>
      </c>
      <c r="C55" s="142" t="s">
        <v>518</v>
      </c>
      <c r="D55" s="219" t="s">
        <v>8</v>
      </c>
      <c r="E55" s="195" t="s">
        <v>2305</v>
      </c>
      <c r="F55" s="22" t="s">
        <v>1969</v>
      </c>
      <c r="G55" s="308">
        <v>81897710017</v>
      </c>
      <c r="H55" s="322">
        <v>197.04717391304348</v>
      </c>
      <c r="I55" s="322">
        <f t="shared" si="0"/>
        <v>197.04717391304348</v>
      </c>
    </row>
    <row r="56" spans="1:9" x14ac:dyDescent="0.25">
      <c r="A56" s="230" t="s">
        <v>1495</v>
      </c>
      <c r="B56" s="126">
        <v>2</v>
      </c>
      <c r="C56" s="229" t="s">
        <v>135</v>
      </c>
      <c r="D56" s="231" t="s">
        <v>8</v>
      </c>
      <c r="E56" s="227" t="s">
        <v>2310</v>
      </c>
      <c r="F56" s="313" t="s">
        <v>1826</v>
      </c>
      <c r="G56" s="350">
        <v>81897710023</v>
      </c>
      <c r="H56" s="469">
        <v>572.0947826086956</v>
      </c>
      <c r="I56" s="322">
        <f t="shared" si="0"/>
        <v>1144.1895652173912</v>
      </c>
    </row>
    <row r="57" spans="1:9" x14ac:dyDescent="0.25">
      <c r="A57" s="165" t="s">
        <v>1339</v>
      </c>
      <c r="B57" s="232">
        <v>1</v>
      </c>
      <c r="C57" s="163" t="s">
        <v>137</v>
      </c>
      <c r="D57" s="219" t="s">
        <v>8</v>
      </c>
      <c r="E57" s="195" t="s">
        <v>2314</v>
      </c>
      <c r="F57" s="232" t="s">
        <v>1829</v>
      </c>
      <c r="G57" s="308">
        <v>81897710023</v>
      </c>
      <c r="H57" s="322">
        <v>497.63934782608692</v>
      </c>
      <c r="I57" s="322">
        <f t="shared" si="0"/>
        <v>497.63934782608692</v>
      </c>
    </row>
    <row r="58" spans="1:9" x14ac:dyDescent="0.25">
      <c r="I58" s="324">
        <f>SUM(I2:I57)</f>
        <v>34495.068260869572</v>
      </c>
    </row>
  </sheetData>
  <sortState xmlns:xlrd2="http://schemas.microsoft.com/office/spreadsheetml/2017/richdata2" ref="A2:H57">
    <sortCondition ref="A1:A57"/>
  </sortState>
  <pageMargins left="0.7" right="0.7" top="0.75" bottom="0.75" header="0.3" footer="0.3"/>
  <pageSetup paperSize="9" fitToHeight="0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5B867-17F4-430B-BCC7-7D53F5E21672}">
  <sheetPr codeName="Planilha43">
    <tabColor rgb="FF92D050"/>
  </sheetPr>
  <dimension ref="A1:I52"/>
  <sheetViews>
    <sheetView workbookViewId="0">
      <pane ySplit="1" topLeftCell="A2" activePane="bottomLeft" state="frozen"/>
      <selection activeCell="A53" sqref="A53"/>
      <selection pane="bottomLeft" activeCell="G1" sqref="G1:G1048576"/>
    </sheetView>
  </sheetViews>
  <sheetFormatPr defaultRowHeight="15" x14ac:dyDescent="0.25"/>
  <cols>
    <col min="1" max="1" width="46" customWidth="1"/>
    <col min="2" max="2" width="13" customWidth="1"/>
    <col min="3" max="4" width="17.28515625" customWidth="1"/>
    <col min="5" max="5" width="29.85546875" customWidth="1"/>
    <col min="6" max="6" width="17.5703125" style="40" customWidth="1"/>
    <col min="7" max="7" width="16.140625" style="40" customWidth="1"/>
    <col min="8" max="8" width="14.5703125" style="324" customWidth="1"/>
    <col min="9" max="9" width="14.5703125" customWidth="1"/>
  </cols>
  <sheetData>
    <row r="1" spans="1:9" ht="31.5" x14ac:dyDescent="0.25">
      <c r="A1" s="84" t="s">
        <v>0</v>
      </c>
      <c r="B1" s="42" t="s">
        <v>305</v>
      </c>
      <c r="C1" s="86" t="s">
        <v>360</v>
      </c>
      <c r="D1" s="197" t="s">
        <v>1721</v>
      </c>
      <c r="E1" s="194" t="s">
        <v>1723</v>
      </c>
      <c r="F1" s="194" t="s">
        <v>1724</v>
      </c>
      <c r="G1" s="194" t="s">
        <v>1722</v>
      </c>
      <c r="H1" s="321" t="s">
        <v>1725</v>
      </c>
      <c r="I1" s="321" t="s">
        <v>2317</v>
      </c>
    </row>
    <row r="2" spans="1:9" x14ac:dyDescent="0.25">
      <c r="A2" s="414" t="s">
        <v>1500</v>
      </c>
      <c r="B2" s="384">
        <v>2</v>
      </c>
      <c r="C2" s="438" t="s">
        <v>12</v>
      </c>
      <c r="D2" s="428" t="s">
        <v>8</v>
      </c>
      <c r="E2" s="361" t="s">
        <v>2198</v>
      </c>
      <c r="F2" s="386" t="s">
        <v>1740</v>
      </c>
      <c r="G2" s="366">
        <v>81897710023</v>
      </c>
      <c r="H2" s="322">
        <v>270.4636956521739</v>
      </c>
      <c r="I2" s="322">
        <f>H2*B2</f>
        <v>540.92739130434779</v>
      </c>
    </row>
    <row r="3" spans="1:9" x14ac:dyDescent="0.25">
      <c r="A3" s="414" t="s">
        <v>1501</v>
      </c>
      <c r="B3" s="384">
        <v>2</v>
      </c>
      <c r="C3" s="481" t="s">
        <v>230</v>
      </c>
      <c r="D3" s="428" t="s">
        <v>8</v>
      </c>
      <c r="E3" s="361" t="s">
        <v>2297</v>
      </c>
      <c r="F3" s="384" t="s">
        <v>1753</v>
      </c>
      <c r="G3" s="366">
        <v>81897710023</v>
      </c>
      <c r="H3" s="322">
        <v>202.58804347826089</v>
      </c>
      <c r="I3" s="322">
        <f t="shared" ref="I3:I51" si="0">H3*B3</f>
        <v>405.17608695652177</v>
      </c>
    </row>
    <row r="4" spans="1:9" ht="17.25" customHeight="1" x14ac:dyDescent="0.25">
      <c r="A4" s="414" t="s">
        <v>1502</v>
      </c>
      <c r="B4" s="464">
        <v>1</v>
      </c>
      <c r="C4" s="482" t="s">
        <v>232</v>
      </c>
      <c r="D4" s="428" t="s">
        <v>8</v>
      </c>
      <c r="E4" s="361" t="s">
        <v>2210</v>
      </c>
      <c r="F4" s="381" t="s">
        <v>1735</v>
      </c>
      <c r="G4" s="366">
        <v>81897710001</v>
      </c>
      <c r="H4" s="322">
        <v>947.83500000000015</v>
      </c>
      <c r="I4" s="322">
        <f t="shared" si="0"/>
        <v>947.83500000000015</v>
      </c>
    </row>
    <row r="5" spans="1:9" x14ac:dyDescent="0.25">
      <c r="A5" s="414" t="s">
        <v>1503</v>
      </c>
      <c r="B5" s="464">
        <v>1</v>
      </c>
      <c r="C5" s="482" t="s">
        <v>1504</v>
      </c>
      <c r="D5" s="428" t="s">
        <v>8</v>
      </c>
      <c r="E5" s="361" t="s">
        <v>2600</v>
      </c>
      <c r="F5" s="384" t="s">
        <v>1755</v>
      </c>
      <c r="G5" s="366">
        <v>81897710001</v>
      </c>
      <c r="H5" s="322">
        <v>737.97456521739127</v>
      </c>
      <c r="I5" s="322">
        <f t="shared" si="0"/>
        <v>737.97456521739127</v>
      </c>
    </row>
    <row r="6" spans="1:9" x14ac:dyDescent="0.25">
      <c r="A6" s="414" t="s">
        <v>1505</v>
      </c>
      <c r="B6" s="464">
        <v>1</v>
      </c>
      <c r="C6" s="483">
        <v>460</v>
      </c>
      <c r="D6" s="422" t="s">
        <v>4</v>
      </c>
      <c r="E6" s="361" t="s">
        <v>1505</v>
      </c>
      <c r="F6" s="384" t="s">
        <v>2078</v>
      </c>
      <c r="G6" s="366" t="e">
        <v>#N/A</v>
      </c>
      <c r="H6" s="322">
        <v>0</v>
      </c>
      <c r="I6" s="322">
        <f t="shared" si="0"/>
        <v>0</v>
      </c>
    </row>
    <row r="7" spans="1:9" x14ac:dyDescent="0.25">
      <c r="A7" s="414" t="s">
        <v>1506</v>
      </c>
      <c r="B7" s="464">
        <v>1</v>
      </c>
      <c r="C7" s="484">
        <v>2045</v>
      </c>
      <c r="D7" s="422" t="s">
        <v>4</v>
      </c>
      <c r="E7" s="361" t="s">
        <v>2213</v>
      </c>
      <c r="F7" s="384" t="s">
        <v>1757</v>
      </c>
      <c r="G7" s="366">
        <v>81897719001</v>
      </c>
      <c r="H7" s="322">
        <v>205.01217391304351</v>
      </c>
      <c r="I7" s="322">
        <f t="shared" si="0"/>
        <v>205.01217391304351</v>
      </c>
    </row>
    <row r="8" spans="1:9" x14ac:dyDescent="0.25">
      <c r="A8" s="414" t="s">
        <v>1507</v>
      </c>
      <c r="B8" s="384">
        <v>1</v>
      </c>
      <c r="C8" s="485">
        <v>2049</v>
      </c>
      <c r="D8" s="422" t="s">
        <v>4</v>
      </c>
      <c r="E8" s="361" t="s">
        <v>2215</v>
      </c>
      <c r="F8" s="384" t="s">
        <v>1765</v>
      </c>
      <c r="G8" s="366">
        <v>81897719001</v>
      </c>
      <c r="H8" s="322">
        <v>205.01217391304351</v>
      </c>
      <c r="I8" s="322">
        <f t="shared" si="0"/>
        <v>205.01217391304351</v>
      </c>
    </row>
    <row r="9" spans="1:9" x14ac:dyDescent="0.25">
      <c r="A9" s="414" t="s">
        <v>1508</v>
      </c>
      <c r="B9" s="384">
        <v>2</v>
      </c>
      <c r="C9" s="434">
        <v>204307</v>
      </c>
      <c r="D9" s="422" t="s">
        <v>162</v>
      </c>
      <c r="E9" s="361" t="s">
        <v>2601</v>
      </c>
      <c r="F9" s="384" t="s">
        <v>1758</v>
      </c>
      <c r="G9" s="366">
        <v>81897719001</v>
      </c>
      <c r="H9" s="322">
        <v>223.02</v>
      </c>
      <c r="I9" s="322">
        <f t="shared" si="0"/>
        <v>446.04</v>
      </c>
    </row>
    <row r="10" spans="1:9" x14ac:dyDescent="0.25">
      <c r="A10" s="414" t="s">
        <v>822</v>
      </c>
      <c r="B10" s="384">
        <v>2</v>
      </c>
      <c r="C10" s="434">
        <v>204310</v>
      </c>
      <c r="D10" s="422" t="s">
        <v>162</v>
      </c>
      <c r="E10" s="361" t="s">
        <v>2437</v>
      </c>
      <c r="F10" s="385" t="s">
        <v>1760</v>
      </c>
      <c r="G10" s="366">
        <v>81897710023</v>
      </c>
      <c r="H10" s="322">
        <v>217.47913043478263</v>
      </c>
      <c r="I10" s="322">
        <f t="shared" si="0"/>
        <v>434.95826086956527</v>
      </c>
    </row>
    <row r="11" spans="1:9" x14ac:dyDescent="0.25">
      <c r="A11" s="414" t="s">
        <v>1509</v>
      </c>
      <c r="B11" s="384">
        <v>1</v>
      </c>
      <c r="C11" s="434">
        <v>204313</v>
      </c>
      <c r="D11" s="422" t="s">
        <v>162</v>
      </c>
      <c r="E11" s="361" t="s">
        <v>2602</v>
      </c>
      <c r="F11" s="464" t="s">
        <v>1763</v>
      </c>
      <c r="G11" s="366">
        <v>81897719001</v>
      </c>
      <c r="H11" s="322">
        <v>217.47913043478263</v>
      </c>
      <c r="I11" s="322">
        <f t="shared" si="0"/>
        <v>217.47913043478263</v>
      </c>
    </row>
    <row r="12" spans="1:9" x14ac:dyDescent="0.25">
      <c r="A12" s="414" t="s">
        <v>823</v>
      </c>
      <c r="B12" s="384">
        <v>1</v>
      </c>
      <c r="C12" s="434">
        <v>204315</v>
      </c>
      <c r="D12" s="422" t="s">
        <v>162</v>
      </c>
      <c r="E12" s="361" t="s">
        <v>2438</v>
      </c>
      <c r="F12" s="419" t="s">
        <v>1761</v>
      </c>
      <c r="G12" s="366">
        <v>81897719001</v>
      </c>
      <c r="H12" s="322">
        <v>206.39739130434782</v>
      </c>
      <c r="I12" s="322">
        <f t="shared" si="0"/>
        <v>206.39739130434782</v>
      </c>
    </row>
    <row r="13" spans="1:9" x14ac:dyDescent="0.25">
      <c r="A13" s="414" t="s">
        <v>824</v>
      </c>
      <c r="B13" s="384">
        <v>1</v>
      </c>
      <c r="C13" s="434">
        <v>204320</v>
      </c>
      <c r="D13" s="422" t="s">
        <v>162</v>
      </c>
      <c r="E13" s="361" t="s">
        <v>2439</v>
      </c>
      <c r="F13" s="419" t="s">
        <v>1762</v>
      </c>
      <c r="G13" s="366">
        <v>81897719001</v>
      </c>
      <c r="H13" s="322">
        <v>206.39739130434782</v>
      </c>
      <c r="I13" s="322">
        <f t="shared" si="0"/>
        <v>206.39739130434782</v>
      </c>
    </row>
    <row r="14" spans="1:9" x14ac:dyDescent="0.25">
      <c r="A14" s="414" t="s">
        <v>1510</v>
      </c>
      <c r="B14" s="384">
        <v>1</v>
      </c>
      <c r="C14" s="434" t="s">
        <v>1511</v>
      </c>
      <c r="D14" s="422" t="s">
        <v>162</v>
      </c>
      <c r="E14" s="486" t="s">
        <v>2603</v>
      </c>
      <c r="F14" s="460" t="s">
        <v>1768</v>
      </c>
      <c r="G14" s="366">
        <v>81897710023</v>
      </c>
      <c r="H14" s="322">
        <v>90.731739130434789</v>
      </c>
      <c r="I14" s="322">
        <f t="shared" si="0"/>
        <v>90.731739130434789</v>
      </c>
    </row>
    <row r="15" spans="1:9" x14ac:dyDescent="0.25">
      <c r="A15" s="410" t="s">
        <v>361</v>
      </c>
      <c r="B15" s="382">
        <v>1</v>
      </c>
      <c r="C15" s="415">
        <v>662590</v>
      </c>
      <c r="D15" s="416" t="s">
        <v>362</v>
      </c>
      <c r="E15" s="195" t="s">
        <v>2653</v>
      </c>
      <c r="F15" s="383" t="s">
        <v>2322</v>
      </c>
      <c r="G15" s="366" t="s">
        <v>2336</v>
      </c>
      <c r="H15" s="322">
        <v>2378.3413043478263</v>
      </c>
      <c r="I15" s="322">
        <f t="shared" si="0"/>
        <v>2378.3413043478263</v>
      </c>
    </row>
    <row r="16" spans="1:9" x14ac:dyDescent="0.25">
      <c r="A16" s="414" t="s">
        <v>1512</v>
      </c>
      <c r="B16" s="384">
        <v>1</v>
      </c>
      <c r="C16" s="434">
        <v>204200</v>
      </c>
      <c r="D16" s="422" t="s">
        <v>162</v>
      </c>
      <c r="E16" s="361" t="s">
        <v>1512</v>
      </c>
      <c r="F16" s="460" t="s">
        <v>2078</v>
      </c>
      <c r="G16" s="366" t="e">
        <v>#N/A</v>
      </c>
      <c r="H16" s="322">
        <v>0</v>
      </c>
      <c r="I16" s="322">
        <f t="shared" si="0"/>
        <v>0</v>
      </c>
    </row>
    <row r="17" spans="1:9" x14ac:dyDescent="0.25">
      <c r="A17" s="414" t="s">
        <v>157</v>
      </c>
      <c r="B17" s="384">
        <v>1</v>
      </c>
      <c r="C17" s="438" t="s">
        <v>158</v>
      </c>
      <c r="D17" s="428" t="s">
        <v>8</v>
      </c>
      <c r="E17" s="361" t="s">
        <v>2229</v>
      </c>
      <c r="F17" s="460" t="s">
        <v>1793</v>
      </c>
      <c r="G17" s="366">
        <v>81897710018</v>
      </c>
      <c r="H17" s="322">
        <v>294.70499999999998</v>
      </c>
      <c r="I17" s="322">
        <f t="shared" si="0"/>
        <v>294.70499999999998</v>
      </c>
    </row>
    <row r="18" spans="1:9" x14ac:dyDescent="0.25">
      <c r="A18" s="414" t="s">
        <v>1513</v>
      </c>
      <c r="B18" s="384">
        <v>1</v>
      </c>
      <c r="C18" s="481" t="s">
        <v>1514</v>
      </c>
      <c r="D18" s="428" t="s">
        <v>8</v>
      </c>
      <c r="E18" s="361" t="s">
        <v>2351</v>
      </c>
      <c r="F18" s="384" t="s">
        <v>1794</v>
      </c>
      <c r="G18" s="366">
        <v>81897710018</v>
      </c>
      <c r="H18" s="322">
        <v>250.72434782608696</v>
      </c>
      <c r="I18" s="322">
        <f t="shared" si="0"/>
        <v>250.72434782608696</v>
      </c>
    </row>
    <row r="19" spans="1:9" x14ac:dyDescent="0.25">
      <c r="A19" s="414" t="s">
        <v>1515</v>
      </c>
      <c r="B19" s="464">
        <v>1</v>
      </c>
      <c r="C19" s="484" t="s">
        <v>1516</v>
      </c>
      <c r="D19" s="422" t="s">
        <v>10</v>
      </c>
      <c r="E19" s="361" t="s">
        <v>2604</v>
      </c>
      <c r="F19" s="384" t="s">
        <v>2121</v>
      </c>
      <c r="G19" s="366">
        <v>81897710010</v>
      </c>
      <c r="H19" s="322">
        <v>791.01300000000015</v>
      </c>
      <c r="I19" s="322">
        <f t="shared" si="0"/>
        <v>791.01300000000015</v>
      </c>
    </row>
    <row r="20" spans="1:9" x14ac:dyDescent="0.25">
      <c r="A20" s="414" t="s">
        <v>1517</v>
      </c>
      <c r="B20" s="487">
        <v>1</v>
      </c>
      <c r="C20" s="484">
        <v>122003</v>
      </c>
      <c r="D20" s="422" t="s">
        <v>162</v>
      </c>
      <c r="E20" s="361" t="s">
        <v>2442</v>
      </c>
      <c r="F20" s="384" t="s">
        <v>2115</v>
      </c>
      <c r="G20" s="366">
        <v>81897710023</v>
      </c>
      <c r="H20" s="322">
        <v>77.225869565217408</v>
      </c>
      <c r="I20" s="322">
        <f t="shared" si="0"/>
        <v>77.225869565217408</v>
      </c>
    </row>
    <row r="21" spans="1:9" x14ac:dyDescent="0.25">
      <c r="A21" s="488" t="s">
        <v>1518</v>
      </c>
      <c r="B21" s="369">
        <v>1</v>
      </c>
      <c r="C21" s="434">
        <v>122004</v>
      </c>
      <c r="D21" s="422" t="s">
        <v>162</v>
      </c>
      <c r="E21" s="361" t="s">
        <v>2443</v>
      </c>
      <c r="F21" s="384" t="s">
        <v>2116</v>
      </c>
      <c r="G21" s="366">
        <v>81897710023</v>
      </c>
      <c r="H21" s="322">
        <v>77.225869565217408</v>
      </c>
      <c r="I21" s="322">
        <f t="shared" si="0"/>
        <v>77.225869565217408</v>
      </c>
    </row>
    <row r="22" spans="1:9" x14ac:dyDescent="0.25">
      <c r="A22" s="414" t="s">
        <v>1519</v>
      </c>
      <c r="B22" s="384">
        <v>1</v>
      </c>
      <c r="C22" s="434">
        <v>122005</v>
      </c>
      <c r="D22" s="422" t="s">
        <v>162</v>
      </c>
      <c r="E22" s="361" t="s">
        <v>2443</v>
      </c>
      <c r="F22" s="384" t="s">
        <v>2117</v>
      </c>
      <c r="G22" s="366">
        <v>81897710023</v>
      </c>
      <c r="H22" s="322">
        <v>57.832826086956516</v>
      </c>
      <c r="I22" s="322">
        <f t="shared" si="0"/>
        <v>57.832826086956516</v>
      </c>
    </row>
    <row r="23" spans="1:9" x14ac:dyDescent="0.25">
      <c r="A23" s="414" t="s">
        <v>1520</v>
      </c>
      <c r="B23" s="384">
        <v>1</v>
      </c>
      <c r="C23" s="434">
        <v>122006</v>
      </c>
      <c r="D23" s="422" t="s">
        <v>162</v>
      </c>
      <c r="E23" s="361" t="s">
        <v>2605</v>
      </c>
      <c r="F23" s="384" t="s">
        <v>2118</v>
      </c>
      <c r="G23" s="366">
        <v>81897710023</v>
      </c>
      <c r="H23" s="322">
        <v>60.603260869565219</v>
      </c>
      <c r="I23" s="322">
        <f t="shared" si="0"/>
        <v>60.603260869565219</v>
      </c>
    </row>
    <row r="24" spans="1:9" x14ac:dyDescent="0.25">
      <c r="A24" s="414" t="s">
        <v>1521</v>
      </c>
      <c r="B24" s="384">
        <v>1</v>
      </c>
      <c r="C24" s="434">
        <v>122007</v>
      </c>
      <c r="D24" s="422" t="s">
        <v>162</v>
      </c>
      <c r="E24" s="361" t="s">
        <v>2606</v>
      </c>
      <c r="F24" s="384" t="s">
        <v>2119</v>
      </c>
      <c r="G24" s="366">
        <v>81897710023</v>
      </c>
      <c r="H24" s="322">
        <v>60.603260869565219</v>
      </c>
      <c r="I24" s="322">
        <f t="shared" si="0"/>
        <v>60.603260869565219</v>
      </c>
    </row>
    <row r="25" spans="1:9" x14ac:dyDescent="0.25">
      <c r="A25" s="414" t="s">
        <v>1522</v>
      </c>
      <c r="B25" s="384">
        <v>1</v>
      </c>
      <c r="C25" s="434" t="s">
        <v>1128</v>
      </c>
      <c r="D25" s="422" t="s">
        <v>8</v>
      </c>
      <c r="E25" s="361" t="s">
        <v>2607</v>
      </c>
      <c r="F25" s="384" t="s">
        <v>1801</v>
      </c>
      <c r="G25" s="366">
        <v>81897710001</v>
      </c>
      <c r="H25" s="322">
        <v>329.68173913043478</v>
      </c>
      <c r="I25" s="322">
        <f t="shared" si="0"/>
        <v>329.68173913043478</v>
      </c>
    </row>
    <row r="26" spans="1:9" x14ac:dyDescent="0.25">
      <c r="A26" s="414" t="s">
        <v>703</v>
      </c>
      <c r="B26" s="384">
        <v>2</v>
      </c>
      <c r="C26" s="489" t="s">
        <v>601</v>
      </c>
      <c r="D26" s="422" t="s">
        <v>8</v>
      </c>
      <c r="E26" s="361" t="s">
        <v>2247</v>
      </c>
      <c r="F26" s="384" t="s">
        <v>1731</v>
      </c>
      <c r="G26" s="366">
        <v>81897710023</v>
      </c>
      <c r="H26" s="322">
        <v>93.502173913043478</v>
      </c>
      <c r="I26" s="322">
        <f t="shared" si="0"/>
        <v>187.00434782608696</v>
      </c>
    </row>
    <row r="27" spans="1:9" x14ac:dyDescent="0.25">
      <c r="A27" s="414" t="s">
        <v>704</v>
      </c>
      <c r="B27" s="464">
        <v>1</v>
      </c>
      <c r="C27" s="490" t="s">
        <v>33</v>
      </c>
      <c r="D27" s="422" t="s">
        <v>8</v>
      </c>
      <c r="E27" s="361" t="s">
        <v>2248</v>
      </c>
      <c r="F27" s="386" t="s">
        <v>1730</v>
      </c>
      <c r="G27" s="366">
        <v>81897710023</v>
      </c>
      <c r="H27" s="322">
        <v>90.385434782608684</v>
      </c>
      <c r="I27" s="322">
        <f t="shared" si="0"/>
        <v>90.385434782608684</v>
      </c>
    </row>
    <row r="28" spans="1:9" x14ac:dyDescent="0.25">
      <c r="A28" s="414" t="s">
        <v>705</v>
      </c>
      <c r="B28" s="464">
        <v>4</v>
      </c>
      <c r="C28" s="490" t="s">
        <v>36</v>
      </c>
      <c r="D28" s="422" t="s">
        <v>8</v>
      </c>
      <c r="E28" s="361" t="s">
        <v>2249</v>
      </c>
      <c r="F28" s="384" t="s">
        <v>1848</v>
      </c>
      <c r="G28" s="366">
        <v>81897710001</v>
      </c>
      <c r="H28" s="322">
        <v>205.01217391304351</v>
      </c>
      <c r="I28" s="322">
        <f t="shared" si="0"/>
        <v>820.04869565217405</v>
      </c>
    </row>
    <row r="29" spans="1:9" x14ac:dyDescent="0.25">
      <c r="A29" s="410" t="s">
        <v>306</v>
      </c>
      <c r="B29" s="463">
        <v>2</v>
      </c>
      <c r="C29" s="454">
        <v>971</v>
      </c>
      <c r="D29" s="416" t="s">
        <v>4</v>
      </c>
      <c r="E29" s="361" t="s">
        <v>2257</v>
      </c>
      <c r="F29" s="382" t="s">
        <v>1862</v>
      </c>
      <c r="G29" s="366">
        <v>81897710001</v>
      </c>
      <c r="H29" s="322">
        <v>305.9021739130435</v>
      </c>
      <c r="I29" s="322">
        <f t="shared" si="0"/>
        <v>611.804347826087</v>
      </c>
    </row>
    <row r="30" spans="1:9" x14ac:dyDescent="0.25">
      <c r="A30" s="410" t="s">
        <v>308</v>
      </c>
      <c r="B30" s="463">
        <v>2</v>
      </c>
      <c r="C30" s="454">
        <v>957</v>
      </c>
      <c r="D30" s="416" t="s">
        <v>4</v>
      </c>
      <c r="E30" s="361" t="s">
        <v>2258</v>
      </c>
      <c r="F30" s="453" t="s">
        <v>1861</v>
      </c>
      <c r="G30" s="366">
        <v>81897710001</v>
      </c>
      <c r="H30" s="322">
        <v>145.7941304347826</v>
      </c>
      <c r="I30" s="322">
        <f t="shared" si="0"/>
        <v>291.5882608695652</v>
      </c>
    </row>
    <row r="31" spans="1:9" x14ac:dyDescent="0.25">
      <c r="A31" s="414" t="s">
        <v>1523</v>
      </c>
      <c r="B31" s="464">
        <v>1</v>
      </c>
      <c r="C31" s="482" t="s">
        <v>2063</v>
      </c>
      <c r="D31" s="422" t="s">
        <v>8</v>
      </c>
      <c r="E31" s="361" t="s">
        <v>2246</v>
      </c>
      <c r="F31" s="384" t="s">
        <v>1847</v>
      </c>
      <c r="G31" s="366">
        <v>81897710023</v>
      </c>
      <c r="H31" s="322">
        <v>156.87586956521739</v>
      </c>
      <c r="I31" s="322">
        <f t="shared" si="0"/>
        <v>156.87586956521739</v>
      </c>
    </row>
    <row r="32" spans="1:9" x14ac:dyDescent="0.25">
      <c r="A32" s="414" t="s">
        <v>1524</v>
      </c>
      <c r="B32" s="384">
        <v>1</v>
      </c>
      <c r="C32" s="434">
        <v>222900</v>
      </c>
      <c r="D32" s="422" t="s">
        <v>162</v>
      </c>
      <c r="E32" s="361" t="s">
        <v>1524</v>
      </c>
      <c r="F32" s="384" t="s">
        <v>2078</v>
      </c>
      <c r="G32" s="366" t="e">
        <v>#N/A</v>
      </c>
      <c r="H32" s="322">
        <v>0</v>
      </c>
      <c r="I32" s="322">
        <f t="shared" si="0"/>
        <v>0</v>
      </c>
    </row>
    <row r="33" spans="1:9" x14ac:dyDescent="0.25">
      <c r="A33" s="414" t="s">
        <v>1525</v>
      </c>
      <c r="B33" s="384">
        <v>1</v>
      </c>
      <c r="C33" s="434">
        <v>222800</v>
      </c>
      <c r="D33" s="422" t="s">
        <v>162</v>
      </c>
      <c r="E33" s="361" t="s">
        <v>1525</v>
      </c>
      <c r="F33" s="384" t="s">
        <v>2078</v>
      </c>
      <c r="G33" s="366" t="e">
        <v>#N/A</v>
      </c>
      <c r="H33" s="322">
        <v>0</v>
      </c>
      <c r="I33" s="322">
        <f t="shared" si="0"/>
        <v>0</v>
      </c>
    </row>
    <row r="34" spans="1:9" x14ac:dyDescent="0.25">
      <c r="A34" s="414" t="s">
        <v>1526</v>
      </c>
      <c r="B34" s="384">
        <v>1</v>
      </c>
      <c r="C34" s="434">
        <v>221100</v>
      </c>
      <c r="D34" s="422" t="s">
        <v>162</v>
      </c>
      <c r="E34" s="361" t="s">
        <v>1526</v>
      </c>
      <c r="F34" s="491" t="s">
        <v>2192</v>
      </c>
      <c r="G34" s="366">
        <v>80476380011</v>
      </c>
      <c r="H34" s="322">
        <v>2086.9565217391305</v>
      </c>
      <c r="I34" s="322">
        <f t="shared" si="0"/>
        <v>2086.9565217391305</v>
      </c>
    </row>
    <row r="35" spans="1:9" x14ac:dyDescent="0.25">
      <c r="A35" s="414" t="s">
        <v>1527</v>
      </c>
      <c r="B35" s="384">
        <v>1</v>
      </c>
      <c r="C35" s="434">
        <v>221105</v>
      </c>
      <c r="D35" s="422" t="s">
        <v>162</v>
      </c>
      <c r="E35" s="361" t="s">
        <v>2608</v>
      </c>
      <c r="F35" s="384" t="s">
        <v>2120</v>
      </c>
      <c r="G35" s="366">
        <v>81897710009</v>
      </c>
      <c r="H35" s="322">
        <v>2816.3470434782612</v>
      </c>
      <c r="I35" s="322">
        <f t="shared" si="0"/>
        <v>2816.3470434782612</v>
      </c>
    </row>
    <row r="36" spans="1:9" x14ac:dyDescent="0.25">
      <c r="A36" s="414" t="s">
        <v>845</v>
      </c>
      <c r="B36" s="384">
        <v>2</v>
      </c>
      <c r="C36" s="434" t="s">
        <v>65</v>
      </c>
      <c r="D36" s="422" t="s">
        <v>8</v>
      </c>
      <c r="E36" s="361" t="s">
        <v>2270</v>
      </c>
      <c r="F36" s="384" t="s">
        <v>1894</v>
      </c>
      <c r="G36" s="366">
        <v>81897710001</v>
      </c>
      <c r="H36" s="322">
        <v>111.8563043478261</v>
      </c>
      <c r="I36" s="322">
        <f t="shared" si="0"/>
        <v>223.71260869565219</v>
      </c>
    </row>
    <row r="37" spans="1:9" x14ac:dyDescent="0.25">
      <c r="A37" s="414" t="s">
        <v>914</v>
      </c>
      <c r="B37" s="384">
        <v>2</v>
      </c>
      <c r="C37" s="434" t="s">
        <v>69</v>
      </c>
      <c r="D37" s="422" t="s">
        <v>8</v>
      </c>
      <c r="E37" s="361" t="s">
        <v>2273</v>
      </c>
      <c r="F37" s="381" t="s">
        <v>1897</v>
      </c>
      <c r="G37" s="366">
        <v>81897710001</v>
      </c>
      <c r="H37" s="322">
        <v>109.08586956521739</v>
      </c>
      <c r="I37" s="322">
        <f t="shared" si="0"/>
        <v>218.17173913043479</v>
      </c>
    </row>
    <row r="38" spans="1:9" x14ac:dyDescent="0.25">
      <c r="A38" s="414" t="s">
        <v>708</v>
      </c>
      <c r="B38" s="384">
        <v>2</v>
      </c>
      <c r="C38" s="481" t="s">
        <v>24</v>
      </c>
      <c r="D38" s="422" t="s">
        <v>8</v>
      </c>
      <c r="E38" s="361" t="s">
        <v>2243</v>
      </c>
      <c r="F38" s="384" t="s">
        <v>1844</v>
      </c>
      <c r="G38" s="366">
        <v>81897710001</v>
      </c>
      <c r="H38" s="322">
        <v>111.8563043478261</v>
      </c>
      <c r="I38" s="322">
        <f t="shared" si="0"/>
        <v>223.71260869565219</v>
      </c>
    </row>
    <row r="39" spans="1:9" x14ac:dyDescent="0.25">
      <c r="A39" s="410" t="s">
        <v>1528</v>
      </c>
      <c r="B39" s="463">
        <v>2</v>
      </c>
      <c r="C39" s="454" t="s">
        <v>1529</v>
      </c>
      <c r="D39" s="416" t="s">
        <v>10</v>
      </c>
      <c r="E39" s="361" t="s">
        <v>2609</v>
      </c>
      <c r="F39" s="382" t="s">
        <v>2064</v>
      </c>
      <c r="G39" s="366">
        <v>81897710001</v>
      </c>
      <c r="H39" s="322">
        <v>148.5645652173913</v>
      </c>
      <c r="I39" s="322">
        <f t="shared" si="0"/>
        <v>297.12913043478261</v>
      </c>
    </row>
    <row r="40" spans="1:9" x14ac:dyDescent="0.25">
      <c r="A40" s="410" t="s">
        <v>1530</v>
      </c>
      <c r="B40" s="463">
        <v>2</v>
      </c>
      <c r="C40" s="454" t="s">
        <v>1531</v>
      </c>
      <c r="D40" s="416" t="s">
        <v>10</v>
      </c>
      <c r="E40" s="361" t="s">
        <v>2610</v>
      </c>
      <c r="F40" s="382" t="s">
        <v>2065</v>
      </c>
      <c r="G40" s="366">
        <v>81897710001</v>
      </c>
      <c r="H40" s="322">
        <v>145.7941304347826</v>
      </c>
      <c r="I40" s="322">
        <f t="shared" si="0"/>
        <v>291.5882608695652</v>
      </c>
    </row>
    <row r="41" spans="1:9" x14ac:dyDescent="0.25">
      <c r="A41" s="414" t="s">
        <v>1532</v>
      </c>
      <c r="B41" s="464">
        <v>2</v>
      </c>
      <c r="C41" s="482" t="s">
        <v>26</v>
      </c>
      <c r="D41" s="422" t="s">
        <v>8</v>
      </c>
      <c r="E41" s="361" t="s">
        <v>2244</v>
      </c>
      <c r="F41" s="430" t="s">
        <v>1845</v>
      </c>
      <c r="G41" s="366">
        <v>81897710001</v>
      </c>
      <c r="H41" s="322">
        <v>109.08586956521739</v>
      </c>
      <c r="I41" s="322">
        <f t="shared" si="0"/>
        <v>218.17173913043479</v>
      </c>
    </row>
    <row r="42" spans="1:9" x14ac:dyDescent="0.25">
      <c r="A42" s="414" t="s">
        <v>710</v>
      </c>
      <c r="B42" s="464">
        <v>1</v>
      </c>
      <c r="C42" s="482" t="s">
        <v>711</v>
      </c>
      <c r="D42" s="422" t="s">
        <v>8</v>
      </c>
      <c r="E42" s="361" t="s">
        <v>2489</v>
      </c>
      <c r="F42" s="460" t="s">
        <v>1909</v>
      </c>
      <c r="G42" s="366">
        <v>81897710001</v>
      </c>
      <c r="H42" s="322">
        <v>189.42847826086958</v>
      </c>
      <c r="I42" s="322">
        <f t="shared" si="0"/>
        <v>189.42847826086958</v>
      </c>
    </row>
    <row r="43" spans="1:9" x14ac:dyDescent="0.25">
      <c r="A43" s="414" t="s">
        <v>1533</v>
      </c>
      <c r="B43" s="384">
        <v>1</v>
      </c>
      <c r="C43" s="434">
        <v>221450</v>
      </c>
      <c r="D43" s="422" t="s">
        <v>10</v>
      </c>
      <c r="E43" s="486" t="s">
        <v>1533</v>
      </c>
      <c r="F43" s="460" t="s">
        <v>2078</v>
      </c>
      <c r="G43" s="366" t="e">
        <v>#N/A</v>
      </c>
      <c r="H43" s="322">
        <v>0</v>
      </c>
      <c r="I43" s="322">
        <f t="shared" si="0"/>
        <v>0</v>
      </c>
    </row>
    <row r="44" spans="1:9" x14ac:dyDescent="0.25">
      <c r="A44" s="414" t="s">
        <v>1534</v>
      </c>
      <c r="B44" s="384">
        <v>1</v>
      </c>
      <c r="C44" s="434">
        <v>221409</v>
      </c>
      <c r="D44" s="422" t="s">
        <v>10</v>
      </c>
      <c r="E44" s="486" t="s">
        <v>1534</v>
      </c>
      <c r="F44" s="460" t="s">
        <v>2078</v>
      </c>
      <c r="G44" s="366" t="e">
        <v>#N/A</v>
      </c>
      <c r="H44" s="322">
        <v>0</v>
      </c>
      <c r="I44" s="322">
        <f t="shared" si="0"/>
        <v>0</v>
      </c>
    </row>
    <row r="45" spans="1:9" x14ac:dyDescent="0.25">
      <c r="A45" s="414" t="s">
        <v>1535</v>
      </c>
      <c r="B45" s="384">
        <v>2</v>
      </c>
      <c r="C45" s="434" t="s">
        <v>111</v>
      </c>
      <c r="D45" s="422" t="s">
        <v>8</v>
      </c>
      <c r="E45" s="361" t="s">
        <v>2429</v>
      </c>
      <c r="F45" s="384" t="s">
        <v>1927</v>
      </c>
      <c r="G45" s="366">
        <v>81897710001</v>
      </c>
      <c r="H45" s="322">
        <v>129.51782608695652</v>
      </c>
      <c r="I45" s="322">
        <f t="shared" si="0"/>
        <v>259.03565217391304</v>
      </c>
    </row>
    <row r="46" spans="1:9" x14ac:dyDescent="0.25">
      <c r="A46" s="414" t="s">
        <v>1536</v>
      </c>
      <c r="B46" s="384">
        <v>1</v>
      </c>
      <c r="C46" s="434" t="s">
        <v>416</v>
      </c>
      <c r="D46" s="422" t="s">
        <v>8</v>
      </c>
      <c r="E46" s="486" t="s">
        <v>2367</v>
      </c>
      <c r="F46" s="492" t="s">
        <v>1946</v>
      </c>
      <c r="G46" s="366">
        <v>81897710018</v>
      </c>
      <c r="H46" s="322">
        <v>223.02</v>
      </c>
      <c r="I46" s="322">
        <f t="shared" si="0"/>
        <v>223.02</v>
      </c>
    </row>
    <row r="47" spans="1:9" x14ac:dyDescent="0.25">
      <c r="A47" s="414" t="s">
        <v>1537</v>
      </c>
      <c r="B47" s="384">
        <v>2</v>
      </c>
      <c r="C47" s="434">
        <v>222600</v>
      </c>
      <c r="D47" s="422" t="s">
        <v>10</v>
      </c>
      <c r="E47" s="486" t="s">
        <v>2611</v>
      </c>
      <c r="F47" s="384" t="s">
        <v>2066</v>
      </c>
      <c r="G47" s="366">
        <v>81897710001</v>
      </c>
      <c r="H47" s="322">
        <v>1252.9291304347826</v>
      </c>
      <c r="I47" s="322">
        <f t="shared" si="0"/>
        <v>2505.8582608695651</v>
      </c>
    </row>
    <row r="48" spans="1:9" x14ac:dyDescent="0.25">
      <c r="A48" s="410" t="s">
        <v>1538</v>
      </c>
      <c r="B48" s="382">
        <v>1</v>
      </c>
      <c r="C48" s="429" t="s">
        <v>1539</v>
      </c>
      <c r="D48" s="416" t="s">
        <v>10</v>
      </c>
      <c r="E48" s="361" t="s">
        <v>2299</v>
      </c>
      <c r="F48" s="382" t="s">
        <v>1954</v>
      </c>
      <c r="G48" s="366">
        <v>81897710017</v>
      </c>
      <c r="H48" s="322">
        <v>83.805652173913046</v>
      </c>
      <c r="I48" s="322">
        <f t="shared" si="0"/>
        <v>83.805652173913046</v>
      </c>
    </row>
    <row r="49" spans="1:9" x14ac:dyDescent="0.25">
      <c r="A49" s="414" t="s">
        <v>1540</v>
      </c>
      <c r="B49" s="464">
        <v>1</v>
      </c>
      <c r="C49" s="482" t="s">
        <v>660</v>
      </c>
      <c r="D49" s="428" t="s">
        <v>8</v>
      </c>
      <c r="E49" s="361" t="s">
        <v>2414</v>
      </c>
      <c r="F49" s="384" t="s">
        <v>1955</v>
      </c>
      <c r="G49" s="366">
        <v>81897710017</v>
      </c>
      <c r="H49" s="322">
        <v>100.08195652173913</v>
      </c>
      <c r="I49" s="322">
        <f t="shared" si="0"/>
        <v>100.08195652173913</v>
      </c>
    </row>
    <row r="50" spans="1:9" x14ac:dyDescent="0.25">
      <c r="A50" s="493" t="s">
        <v>1541</v>
      </c>
      <c r="B50" s="494">
        <v>1</v>
      </c>
      <c r="C50" s="415" t="s">
        <v>1542</v>
      </c>
      <c r="D50" s="416" t="s">
        <v>10</v>
      </c>
      <c r="E50" s="361" t="s">
        <v>2300</v>
      </c>
      <c r="F50" s="382" t="s">
        <v>1961</v>
      </c>
      <c r="G50" s="366">
        <v>81897710017</v>
      </c>
      <c r="H50" s="322">
        <v>81.035217391304343</v>
      </c>
      <c r="I50" s="322">
        <f t="shared" si="0"/>
        <v>81.035217391304343</v>
      </c>
    </row>
    <row r="51" spans="1:9" x14ac:dyDescent="0.25">
      <c r="A51" s="401" t="s">
        <v>1543</v>
      </c>
      <c r="B51" s="372">
        <v>2</v>
      </c>
      <c r="C51" s="495" t="s">
        <v>101</v>
      </c>
      <c r="D51" s="416" t="s">
        <v>10</v>
      </c>
      <c r="E51" s="361" t="s">
        <v>2303</v>
      </c>
      <c r="F51" s="382" t="s">
        <v>1965</v>
      </c>
      <c r="G51" s="366">
        <v>81897710017</v>
      </c>
      <c r="H51" s="322">
        <v>121.55282608695654</v>
      </c>
      <c r="I51" s="322">
        <f t="shared" si="0"/>
        <v>243.10565217391309</v>
      </c>
    </row>
    <row r="52" spans="1:9" x14ac:dyDescent="0.25">
      <c r="I52" s="324">
        <f>SUM(I2:I51)</f>
        <v>21240.765260869568</v>
      </c>
    </row>
  </sheetData>
  <sortState xmlns:xlrd2="http://schemas.microsoft.com/office/spreadsheetml/2017/richdata2" ref="A2:D51">
    <sortCondition ref="A1:A51"/>
  </sortState>
  <phoneticPr fontId="27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62EF5-9DA0-43B4-AEF6-83632377CA5E}">
  <sheetPr codeName="Planilha44">
    <tabColor rgb="FF92D050"/>
  </sheetPr>
  <dimension ref="A1:I46"/>
  <sheetViews>
    <sheetView workbookViewId="0">
      <pane ySplit="1" topLeftCell="A8" activePane="bottomLeft" state="frozen"/>
      <selection activeCell="A53" sqref="A53"/>
      <selection pane="bottomLeft" activeCell="G8" sqref="G8"/>
    </sheetView>
  </sheetViews>
  <sheetFormatPr defaultRowHeight="15" x14ac:dyDescent="0.25"/>
  <cols>
    <col min="1" max="1" width="38.85546875" customWidth="1"/>
    <col min="2" max="2" width="10.28515625" customWidth="1"/>
    <col min="3" max="3" width="19" customWidth="1"/>
    <col min="4" max="4" width="18.140625" customWidth="1"/>
    <col min="5" max="5" width="31.85546875" customWidth="1"/>
    <col min="6" max="6" width="14.7109375" style="40" customWidth="1"/>
    <col min="7" max="7" width="16.7109375" style="480" customWidth="1"/>
    <col min="8" max="8" width="16" style="324" customWidth="1"/>
    <col min="9" max="9" width="16.7109375" style="480" customWidth="1"/>
  </cols>
  <sheetData>
    <row r="1" spans="1:9" ht="31.5" x14ac:dyDescent="0.25">
      <c r="A1" s="84" t="s">
        <v>0</v>
      </c>
      <c r="B1" s="42" t="s">
        <v>305</v>
      </c>
      <c r="C1" s="86" t="s">
        <v>360</v>
      </c>
      <c r="D1" s="197" t="s">
        <v>1721</v>
      </c>
      <c r="E1" s="194" t="s">
        <v>1723</v>
      </c>
      <c r="F1" s="194" t="s">
        <v>1724</v>
      </c>
      <c r="G1" s="478" t="s">
        <v>1722</v>
      </c>
      <c r="H1" s="321" t="s">
        <v>1725</v>
      </c>
      <c r="I1" s="321" t="s">
        <v>2317</v>
      </c>
    </row>
    <row r="2" spans="1:9" x14ac:dyDescent="0.25">
      <c r="A2" s="23" t="s">
        <v>1556</v>
      </c>
      <c r="B2" s="48">
        <v>2</v>
      </c>
      <c r="C2" s="65" t="s">
        <v>1557</v>
      </c>
      <c r="D2" s="64" t="s">
        <v>10</v>
      </c>
      <c r="E2" s="195" t="s">
        <v>2613</v>
      </c>
      <c r="F2" s="366" t="s">
        <v>2067</v>
      </c>
      <c r="G2" s="479">
        <v>81897710023</v>
      </c>
      <c r="H2" s="322">
        <v>236.87217391304347</v>
      </c>
      <c r="I2" s="496">
        <f>H2*B2</f>
        <v>473.74434782608694</v>
      </c>
    </row>
    <row r="3" spans="1:9" x14ac:dyDescent="0.25">
      <c r="A3" s="1" t="s">
        <v>1560</v>
      </c>
      <c r="B3" s="30">
        <v>2</v>
      </c>
      <c r="C3" s="46" t="s">
        <v>12</v>
      </c>
      <c r="D3" s="99" t="s">
        <v>8</v>
      </c>
      <c r="E3" s="195" t="s">
        <v>2198</v>
      </c>
      <c r="F3" s="386" t="s">
        <v>1740</v>
      </c>
      <c r="G3" s="479">
        <v>81897710023</v>
      </c>
      <c r="H3" s="322">
        <v>270.4636956521739</v>
      </c>
      <c r="I3" s="496">
        <f t="shared" ref="I3:I45" si="0">H3*B3</f>
        <v>540.92739130434779</v>
      </c>
    </row>
    <row r="4" spans="1:9" x14ac:dyDescent="0.25">
      <c r="A4" s="1" t="s">
        <v>1558</v>
      </c>
      <c r="B4" s="30">
        <v>2</v>
      </c>
      <c r="C4" s="46" t="s">
        <v>200</v>
      </c>
      <c r="D4" s="99" t="s">
        <v>8</v>
      </c>
      <c r="E4" s="195" t="s">
        <v>2204</v>
      </c>
      <c r="F4" s="385" t="s">
        <v>1744</v>
      </c>
      <c r="G4" s="479">
        <v>81897710023</v>
      </c>
      <c r="H4" s="322">
        <v>223.02</v>
      </c>
      <c r="I4" s="496">
        <f t="shared" si="0"/>
        <v>446.04</v>
      </c>
    </row>
    <row r="5" spans="1:9" x14ac:dyDescent="0.25">
      <c r="A5" s="1" t="s">
        <v>1559</v>
      </c>
      <c r="B5" s="30">
        <v>2</v>
      </c>
      <c r="C5" s="46" t="s">
        <v>18</v>
      </c>
      <c r="D5" s="99" t="s">
        <v>8</v>
      </c>
      <c r="E5" s="195" t="s">
        <v>2207</v>
      </c>
      <c r="F5" s="385" t="s">
        <v>1751</v>
      </c>
      <c r="G5" s="479">
        <v>81897710023</v>
      </c>
      <c r="H5" s="322">
        <v>388.89978260869566</v>
      </c>
      <c r="I5" s="496">
        <f t="shared" si="0"/>
        <v>777.79956521739132</v>
      </c>
    </row>
    <row r="6" spans="1:9" x14ac:dyDescent="0.25">
      <c r="A6" s="1" t="s">
        <v>1297</v>
      </c>
      <c r="B6" s="30">
        <v>2</v>
      </c>
      <c r="C6" s="46" t="s">
        <v>22</v>
      </c>
      <c r="D6" s="99" t="s">
        <v>8</v>
      </c>
      <c r="E6" s="195" t="s">
        <v>2209</v>
      </c>
      <c r="F6" s="386" t="s">
        <v>1750</v>
      </c>
      <c r="G6" s="479">
        <v>81897710023</v>
      </c>
      <c r="H6" s="322">
        <v>451.58086956521737</v>
      </c>
      <c r="I6" s="496">
        <f t="shared" si="0"/>
        <v>903.16173913043474</v>
      </c>
    </row>
    <row r="7" spans="1:9" x14ac:dyDescent="0.25">
      <c r="A7" s="1" t="s">
        <v>367</v>
      </c>
      <c r="B7" s="30">
        <v>2</v>
      </c>
      <c r="C7" s="46" t="s">
        <v>230</v>
      </c>
      <c r="D7" s="99" t="s">
        <v>8</v>
      </c>
      <c r="E7" s="195" t="s">
        <v>2297</v>
      </c>
      <c r="F7" s="30" t="s">
        <v>1753</v>
      </c>
      <c r="G7" s="479">
        <v>81897710023</v>
      </c>
      <c r="H7" s="322">
        <v>202.58804347826089</v>
      </c>
      <c r="I7" s="496">
        <f t="shared" si="0"/>
        <v>405.17608695652177</v>
      </c>
    </row>
    <row r="8" spans="1:9" x14ac:dyDescent="0.25">
      <c r="A8" s="303" t="s">
        <v>975</v>
      </c>
      <c r="B8" s="30">
        <v>1</v>
      </c>
      <c r="C8" s="46" t="s">
        <v>307</v>
      </c>
      <c r="D8" s="99" t="s">
        <v>10</v>
      </c>
      <c r="E8" s="195" t="s">
        <v>2667</v>
      </c>
      <c r="F8" s="30" t="s">
        <v>2527</v>
      </c>
      <c r="G8" s="308" t="s">
        <v>2336</v>
      </c>
      <c r="H8" s="322">
        <v>2962.4413043478262</v>
      </c>
      <c r="I8" s="496">
        <f t="shared" si="0"/>
        <v>2962.4413043478262</v>
      </c>
    </row>
    <row r="9" spans="1:9" x14ac:dyDescent="0.25">
      <c r="A9" s="23" t="s">
        <v>436</v>
      </c>
      <c r="B9" s="48">
        <v>1</v>
      </c>
      <c r="C9" s="65" t="s">
        <v>1544</v>
      </c>
      <c r="D9" s="64" t="s">
        <v>10</v>
      </c>
      <c r="E9" s="195" t="s">
        <v>2229</v>
      </c>
      <c r="F9" s="61" t="s">
        <v>1793</v>
      </c>
      <c r="G9" s="479">
        <v>81897710018</v>
      </c>
      <c r="H9" s="322">
        <v>294.70499999999998</v>
      </c>
      <c r="I9" s="496">
        <f t="shared" si="0"/>
        <v>294.70499999999998</v>
      </c>
    </row>
    <row r="10" spans="1:9" x14ac:dyDescent="0.25">
      <c r="A10" s="1" t="s">
        <v>1561</v>
      </c>
      <c r="B10" s="30">
        <v>2</v>
      </c>
      <c r="C10" s="46" t="s">
        <v>226</v>
      </c>
      <c r="D10" s="99" t="s">
        <v>8</v>
      </c>
      <c r="E10" s="195" t="s">
        <v>2236</v>
      </c>
      <c r="F10" s="30" t="s">
        <v>1838</v>
      </c>
      <c r="G10" s="479">
        <v>81897710023</v>
      </c>
      <c r="H10" s="322">
        <v>159.64630434782609</v>
      </c>
      <c r="I10" s="496">
        <f t="shared" si="0"/>
        <v>319.29260869565218</v>
      </c>
    </row>
    <row r="11" spans="1:9" x14ac:dyDescent="0.25">
      <c r="A11" s="1" t="s">
        <v>838</v>
      </c>
      <c r="B11" s="30">
        <v>2</v>
      </c>
      <c r="C11" s="46" t="s">
        <v>1555</v>
      </c>
      <c r="D11" s="99" t="s">
        <v>8</v>
      </c>
      <c r="E11" s="195" t="s">
        <v>2237</v>
      </c>
      <c r="F11" s="30" t="s">
        <v>1839</v>
      </c>
      <c r="G11" s="479">
        <v>81897710023</v>
      </c>
      <c r="H11" s="322">
        <v>182.15608695652173</v>
      </c>
      <c r="I11" s="496">
        <f t="shared" si="0"/>
        <v>364.31217391304347</v>
      </c>
    </row>
    <row r="12" spans="1:9" x14ac:dyDescent="0.25">
      <c r="A12" s="1" t="s">
        <v>703</v>
      </c>
      <c r="B12" s="30">
        <v>2</v>
      </c>
      <c r="C12" s="46" t="s">
        <v>601</v>
      </c>
      <c r="D12" s="99" t="s">
        <v>8</v>
      </c>
      <c r="E12" s="195" t="s">
        <v>2247</v>
      </c>
      <c r="F12" s="30" t="s">
        <v>1731</v>
      </c>
      <c r="G12" s="479">
        <v>81897710023</v>
      </c>
      <c r="H12" s="322">
        <v>93.502173913043478</v>
      </c>
      <c r="I12" s="496">
        <f t="shared" si="0"/>
        <v>187.00434782608696</v>
      </c>
    </row>
    <row r="13" spans="1:9" x14ac:dyDescent="0.25">
      <c r="A13" s="1" t="s">
        <v>704</v>
      </c>
      <c r="B13" s="30">
        <v>2</v>
      </c>
      <c r="C13" s="46" t="s">
        <v>33</v>
      </c>
      <c r="D13" s="99" t="s">
        <v>8</v>
      </c>
      <c r="E13" s="195" t="s">
        <v>2248</v>
      </c>
      <c r="F13" s="48" t="s">
        <v>1730</v>
      </c>
      <c r="G13" s="479">
        <v>81897710023</v>
      </c>
      <c r="H13" s="322">
        <v>90.385434782608684</v>
      </c>
      <c r="I13" s="496">
        <f t="shared" si="0"/>
        <v>180.77086956521737</v>
      </c>
    </row>
    <row r="14" spans="1:9" x14ac:dyDescent="0.25">
      <c r="A14" s="1" t="s">
        <v>1562</v>
      </c>
      <c r="B14" s="30">
        <v>6</v>
      </c>
      <c r="C14" s="46" t="s">
        <v>36</v>
      </c>
      <c r="D14" s="99" t="s">
        <v>8</v>
      </c>
      <c r="E14" s="195" t="s">
        <v>2249</v>
      </c>
      <c r="F14" s="44" t="s">
        <v>1848</v>
      </c>
      <c r="G14" s="479">
        <v>81897710001</v>
      </c>
      <c r="H14" s="322">
        <v>205.01217391304351</v>
      </c>
      <c r="I14" s="496">
        <f t="shared" si="0"/>
        <v>1230.0730434782611</v>
      </c>
    </row>
    <row r="15" spans="1:9" x14ac:dyDescent="0.25">
      <c r="A15" s="1" t="s">
        <v>42</v>
      </c>
      <c r="B15" s="30">
        <v>1</v>
      </c>
      <c r="C15" s="46" t="s">
        <v>43</v>
      </c>
      <c r="D15" s="99" t="s">
        <v>8</v>
      </c>
      <c r="E15" s="195" t="s">
        <v>2252</v>
      </c>
      <c r="F15" s="30" t="s">
        <v>1851</v>
      </c>
      <c r="G15" s="479">
        <v>81897710023</v>
      </c>
      <c r="H15" s="322">
        <v>90.731739130434789</v>
      </c>
      <c r="I15" s="496">
        <f t="shared" si="0"/>
        <v>90.731739130434789</v>
      </c>
    </row>
    <row r="16" spans="1:9" x14ac:dyDescent="0.25">
      <c r="A16" s="1" t="s">
        <v>44</v>
      </c>
      <c r="B16" s="30">
        <v>1</v>
      </c>
      <c r="C16" s="46" t="s">
        <v>45</v>
      </c>
      <c r="D16" s="99" t="s">
        <v>8</v>
      </c>
      <c r="E16" s="195" t="s">
        <v>2253</v>
      </c>
      <c r="F16" s="117" t="s">
        <v>1852</v>
      </c>
      <c r="G16" s="479">
        <v>81897710023</v>
      </c>
      <c r="H16" s="322">
        <v>100.77456521739131</v>
      </c>
      <c r="I16" s="496">
        <f t="shared" si="0"/>
        <v>100.77456521739131</v>
      </c>
    </row>
    <row r="17" spans="1:9" x14ac:dyDescent="0.25">
      <c r="A17" s="1" t="s">
        <v>1464</v>
      </c>
      <c r="B17" s="30">
        <v>4</v>
      </c>
      <c r="C17" s="46" t="s">
        <v>1465</v>
      </c>
      <c r="D17" s="99" t="s">
        <v>8</v>
      </c>
      <c r="E17" s="195" t="s">
        <v>2594</v>
      </c>
      <c r="F17" s="30" t="s">
        <v>1858</v>
      </c>
      <c r="G17" s="479">
        <v>81897710001</v>
      </c>
      <c r="H17" s="322">
        <v>245.52978260869568</v>
      </c>
      <c r="I17" s="496">
        <f t="shared" si="0"/>
        <v>982.11913043478273</v>
      </c>
    </row>
    <row r="18" spans="1:9" x14ac:dyDescent="0.25">
      <c r="A18" s="1" t="s">
        <v>1554</v>
      </c>
      <c r="B18" s="30">
        <v>8</v>
      </c>
      <c r="C18" s="46" t="s">
        <v>84</v>
      </c>
      <c r="D18" s="99" t="s">
        <v>8</v>
      </c>
      <c r="E18" s="195" t="s">
        <v>2281</v>
      </c>
      <c r="F18" s="30" t="s">
        <v>1860</v>
      </c>
      <c r="G18" s="479">
        <v>81897710001</v>
      </c>
      <c r="H18" s="322">
        <v>234.10173913043479</v>
      </c>
      <c r="I18" s="496">
        <f t="shared" si="0"/>
        <v>1872.8139130434784</v>
      </c>
    </row>
    <row r="19" spans="1:9" x14ac:dyDescent="0.25">
      <c r="A19" s="1" t="s">
        <v>308</v>
      </c>
      <c r="B19" s="30">
        <v>6</v>
      </c>
      <c r="C19" s="46">
        <v>957</v>
      </c>
      <c r="D19" s="99" t="s">
        <v>4</v>
      </c>
      <c r="E19" s="195" t="s">
        <v>2258</v>
      </c>
      <c r="F19" s="117" t="s">
        <v>1861</v>
      </c>
      <c r="G19" s="479">
        <v>81897710001</v>
      </c>
      <c r="H19" s="322">
        <v>145.7941304347826</v>
      </c>
      <c r="I19" s="496">
        <f t="shared" si="0"/>
        <v>874.76478260869567</v>
      </c>
    </row>
    <row r="20" spans="1:9" x14ac:dyDescent="0.25">
      <c r="A20" s="1" t="s">
        <v>335</v>
      </c>
      <c r="B20" s="30">
        <v>1</v>
      </c>
      <c r="C20" s="46" t="s">
        <v>53</v>
      </c>
      <c r="D20" s="99" t="s">
        <v>8</v>
      </c>
      <c r="E20" s="195" t="s">
        <v>2260</v>
      </c>
      <c r="F20" s="48" t="s">
        <v>1866</v>
      </c>
      <c r="G20" s="479">
        <v>81897710001</v>
      </c>
      <c r="H20" s="322">
        <v>545.08304347826083</v>
      </c>
      <c r="I20" s="496">
        <f t="shared" si="0"/>
        <v>545.08304347826083</v>
      </c>
    </row>
    <row r="21" spans="1:9" x14ac:dyDescent="0.25">
      <c r="A21" s="23" t="s">
        <v>1568</v>
      </c>
      <c r="B21" s="48">
        <v>2</v>
      </c>
      <c r="C21" s="65" t="s">
        <v>1569</v>
      </c>
      <c r="D21" s="64" t="s">
        <v>8</v>
      </c>
      <c r="E21" s="195" t="s">
        <v>2399</v>
      </c>
      <c r="F21" s="48" t="s">
        <v>1874</v>
      </c>
      <c r="G21" s="479">
        <v>81897710023</v>
      </c>
      <c r="H21" s="322">
        <v>446.04</v>
      </c>
      <c r="I21" s="496">
        <f t="shared" si="0"/>
        <v>892.08</v>
      </c>
    </row>
    <row r="22" spans="1:9" x14ac:dyDescent="0.25">
      <c r="A22" s="23" t="s">
        <v>1567</v>
      </c>
      <c r="B22" s="48">
        <v>2</v>
      </c>
      <c r="C22" s="65" t="s">
        <v>611</v>
      </c>
      <c r="D22" s="64" t="s">
        <v>8</v>
      </c>
      <c r="E22" s="195" t="s">
        <v>2400</v>
      </c>
      <c r="F22" s="48" t="s">
        <v>1873</v>
      </c>
      <c r="G22" s="479">
        <v>81897710023</v>
      </c>
      <c r="H22" s="322">
        <v>545.08304347826083</v>
      </c>
      <c r="I22" s="496">
        <f t="shared" si="0"/>
        <v>1090.1660869565217</v>
      </c>
    </row>
    <row r="23" spans="1:9" x14ac:dyDescent="0.25">
      <c r="A23" s="23" t="s">
        <v>1570</v>
      </c>
      <c r="B23" s="48">
        <v>2</v>
      </c>
      <c r="C23" s="65" t="s">
        <v>260</v>
      </c>
      <c r="D23" s="64" t="s">
        <v>8</v>
      </c>
      <c r="E23" s="195" t="s">
        <v>2262</v>
      </c>
      <c r="F23" s="48" t="s">
        <v>2008</v>
      </c>
      <c r="G23" s="479">
        <v>81897710023</v>
      </c>
      <c r="H23" s="322">
        <v>545.08304347826083</v>
      </c>
      <c r="I23" s="496">
        <f t="shared" si="0"/>
        <v>1090.1660869565217</v>
      </c>
    </row>
    <row r="24" spans="1:9" x14ac:dyDescent="0.25">
      <c r="A24" s="1" t="s">
        <v>56</v>
      </c>
      <c r="B24" s="30">
        <v>2</v>
      </c>
      <c r="C24" s="46" t="s">
        <v>57</v>
      </c>
      <c r="D24" s="99" t="s">
        <v>8</v>
      </c>
      <c r="E24" s="195" t="s">
        <v>2265</v>
      </c>
      <c r="F24" s="343" t="s">
        <v>1876</v>
      </c>
      <c r="G24" s="479">
        <v>81897710023</v>
      </c>
      <c r="H24" s="322">
        <v>104.93021739130435</v>
      </c>
      <c r="I24" s="496">
        <f t="shared" si="0"/>
        <v>209.86043478260871</v>
      </c>
    </row>
    <row r="25" spans="1:9" x14ac:dyDescent="0.25">
      <c r="A25" s="23" t="s">
        <v>1545</v>
      </c>
      <c r="B25" s="48">
        <v>4</v>
      </c>
      <c r="C25" s="65" t="s">
        <v>1546</v>
      </c>
      <c r="D25" s="64" t="s">
        <v>10</v>
      </c>
      <c r="E25" s="195" t="s">
        <v>2614</v>
      </c>
      <c r="F25" s="48" t="s">
        <v>1885</v>
      </c>
      <c r="G25" s="479">
        <v>81897710001</v>
      </c>
      <c r="H25" s="322">
        <v>159.64630434782609</v>
      </c>
      <c r="I25" s="496">
        <f t="shared" si="0"/>
        <v>638.58521739130435</v>
      </c>
    </row>
    <row r="26" spans="1:9" x14ac:dyDescent="0.25">
      <c r="A26" s="23" t="s">
        <v>1571</v>
      </c>
      <c r="B26" s="48">
        <v>3</v>
      </c>
      <c r="C26" s="65" t="s">
        <v>1572</v>
      </c>
      <c r="D26" s="64" t="s">
        <v>10</v>
      </c>
      <c r="E26" s="195" t="s">
        <v>2615</v>
      </c>
      <c r="F26" s="48" t="s">
        <v>1886</v>
      </c>
      <c r="G26" s="479">
        <v>81897710001</v>
      </c>
      <c r="H26" s="322">
        <v>221.28847826086957</v>
      </c>
      <c r="I26" s="496">
        <f t="shared" si="0"/>
        <v>663.86543478260865</v>
      </c>
    </row>
    <row r="27" spans="1:9" x14ac:dyDescent="0.25">
      <c r="A27" s="1" t="s">
        <v>845</v>
      </c>
      <c r="B27" s="30">
        <v>5</v>
      </c>
      <c r="C27" s="46" t="s">
        <v>65</v>
      </c>
      <c r="D27" s="99" t="s">
        <v>8</v>
      </c>
      <c r="E27" s="195" t="s">
        <v>2270</v>
      </c>
      <c r="F27" s="44" t="s">
        <v>1894</v>
      </c>
      <c r="G27" s="479">
        <v>81897710001</v>
      </c>
      <c r="H27" s="322">
        <v>111.8563043478261</v>
      </c>
      <c r="I27" s="496">
        <f t="shared" si="0"/>
        <v>559.28152173913054</v>
      </c>
    </row>
    <row r="28" spans="1:9" x14ac:dyDescent="0.25">
      <c r="A28" s="1" t="s">
        <v>338</v>
      </c>
      <c r="B28" s="30">
        <v>5</v>
      </c>
      <c r="C28" s="46" t="s">
        <v>66</v>
      </c>
      <c r="D28" s="99" t="s">
        <v>8</v>
      </c>
      <c r="E28" s="195" t="s">
        <v>2271</v>
      </c>
      <c r="F28" s="44" t="s">
        <v>1895</v>
      </c>
      <c r="G28" s="479">
        <v>81897710001</v>
      </c>
      <c r="H28" s="322">
        <v>137.13652173913044</v>
      </c>
      <c r="I28" s="496">
        <f t="shared" si="0"/>
        <v>685.68260869565222</v>
      </c>
    </row>
    <row r="29" spans="1:9" x14ac:dyDescent="0.25">
      <c r="A29" s="1" t="s">
        <v>72</v>
      </c>
      <c r="B29" s="30">
        <v>3</v>
      </c>
      <c r="C29" s="46" t="s">
        <v>73</v>
      </c>
      <c r="D29" s="99" t="s">
        <v>8</v>
      </c>
      <c r="E29" s="195" t="s">
        <v>2276</v>
      </c>
      <c r="F29" s="30" t="s">
        <v>1901</v>
      </c>
      <c r="G29" s="479">
        <v>81897710001</v>
      </c>
      <c r="H29" s="322">
        <v>148.21826086956526</v>
      </c>
      <c r="I29" s="496">
        <f t="shared" si="0"/>
        <v>444.65478260869577</v>
      </c>
    </row>
    <row r="30" spans="1:9" x14ac:dyDescent="0.25">
      <c r="A30" s="23" t="s">
        <v>1456</v>
      </c>
      <c r="B30" s="48">
        <v>5</v>
      </c>
      <c r="C30" s="65" t="s">
        <v>24</v>
      </c>
      <c r="D30" s="64" t="s">
        <v>8</v>
      </c>
      <c r="E30" s="195" t="s">
        <v>2243</v>
      </c>
      <c r="F30" s="48" t="s">
        <v>1844</v>
      </c>
      <c r="G30" s="479">
        <v>81897710001</v>
      </c>
      <c r="H30" s="322">
        <v>111.8563043478261</v>
      </c>
      <c r="I30" s="496">
        <f t="shared" si="0"/>
        <v>559.28152173913054</v>
      </c>
    </row>
    <row r="31" spans="1:9" x14ac:dyDescent="0.25">
      <c r="A31" s="1" t="s">
        <v>1553</v>
      </c>
      <c r="B31" s="30">
        <v>15</v>
      </c>
      <c r="C31" s="46" t="s">
        <v>649</v>
      </c>
      <c r="D31" s="99" t="s">
        <v>8</v>
      </c>
      <c r="E31" s="195" t="s">
        <v>2243</v>
      </c>
      <c r="F31" s="30" t="s">
        <v>1844</v>
      </c>
      <c r="G31" s="479">
        <v>81897710001</v>
      </c>
      <c r="H31" s="322">
        <v>111.8563043478261</v>
      </c>
      <c r="I31" s="496">
        <f t="shared" si="0"/>
        <v>1677.8445652173914</v>
      </c>
    </row>
    <row r="32" spans="1:9" x14ac:dyDescent="0.25">
      <c r="A32" s="1" t="s">
        <v>1551</v>
      </c>
      <c r="B32" s="30">
        <v>6</v>
      </c>
      <c r="C32" s="46" t="s">
        <v>1552</v>
      </c>
      <c r="D32" s="99" t="s">
        <v>8</v>
      </c>
      <c r="E32" s="195" t="s">
        <v>2244</v>
      </c>
      <c r="F32" s="30" t="s">
        <v>1845</v>
      </c>
      <c r="G32" s="479">
        <v>81897710001</v>
      </c>
      <c r="H32" s="322">
        <v>109.08586956521739</v>
      </c>
      <c r="I32" s="496">
        <f t="shared" si="0"/>
        <v>654.5152173913043</v>
      </c>
    </row>
    <row r="33" spans="1:9" x14ac:dyDescent="0.25">
      <c r="A33" s="23" t="s">
        <v>1547</v>
      </c>
      <c r="B33" s="48">
        <v>1</v>
      </c>
      <c r="C33" s="65" t="s">
        <v>1548</v>
      </c>
      <c r="D33" s="64" t="s">
        <v>10</v>
      </c>
      <c r="E33" s="195" t="s">
        <v>2616</v>
      </c>
      <c r="F33" s="48" t="s">
        <v>1908</v>
      </c>
      <c r="G33" s="479">
        <v>81897710023</v>
      </c>
      <c r="H33" s="322">
        <v>237.91108695652173</v>
      </c>
      <c r="I33" s="496">
        <f t="shared" si="0"/>
        <v>237.91108695652173</v>
      </c>
    </row>
    <row r="34" spans="1:9" x14ac:dyDescent="0.25">
      <c r="A34" s="23" t="s">
        <v>1479</v>
      </c>
      <c r="B34" s="48">
        <v>2</v>
      </c>
      <c r="C34" s="65" t="s">
        <v>28</v>
      </c>
      <c r="D34" s="64" t="s">
        <v>8</v>
      </c>
      <c r="E34" s="195" t="s">
        <v>2245</v>
      </c>
      <c r="F34" s="48" t="s">
        <v>1846</v>
      </c>
      <c r="G34" s="479">
        <v>81897710001</v>
      </c>
      <c r="H34" s="322">
        <v>205.35847826086956</v>
      </c>
      <c r="I34" s="496">
        <f t="shared" si="0"/>
        <v>410.71695652173912</v>
      </c>
    </row>
    <row r="35" spans="1:9" x14ac:dyDescent="0.25">
      <c r="A35" s="23" t="s">
        <v>1566</v>
      </c>
      <c r="B35" s="48">
        <v>2</v>
      </c>
      <c r="C35" s="65" t="s">
        <v>854</v>
      </c>
      <c r="D35" s="64" t="s">
        <v>363</v>
      </c>
      <c r="E35" s="195" t="s">
        <v>2287</v>
      </c>
      <c r="F35" s="316" t="s">
        <v>1923</v>
      </c>
      <c r="G35" s="479">
        <v>81897710001</v>
      </c>
      <c r="H35" s="322">
        <v>806.88913043478249</v>
      </c>
      <c r="I35" s="496">
        <f t="shared" si="0"/>
        <v>1613.778260869565</v>
      </c>
    </row>
    <row r="36" spans="1:9" x14ac:dyDescent="0.25">
      <c r="A36" s="23" t="s">
        <v>1574</v>
      </c>
      <c r="B36" s="48">
        <v>1</v>
      </c>
      <c r="C36" s="65" t="s">
        <v>627</v>
      </c>
      <c r="D36" s="64" t="s">
        <v>8</v>
      </c>
      <c r="E36" s="195" t="s">
        <v>2406</v>
      </c>
      <c r="F36" s="48" t="s">
        <v>1939</v>
      </c>
      <c r="G36" s="479">
        <v>81897710001</v>
      </c>
      <c r="H36" s="322">
        <v>917.01391304347828</v>
      </c>
      <c r="I36" s="496">
        <f t="shared" si="0"/>
        <v>917.01391304347828</v>
      </c>
    </row>
    <row r="37" spans="1:9" x14ac:dyDescent="0.25">
      <c r="A37" s="23" t="s">
        <v>1573</v>
      </c>
      <c r="B37" s="48">
        <v>1</v>
      </c>
      <c r="C37" s="65" t="s">
        <v>631</v>
      </c>
      <c r="D37" s="64" t="s">
        <v>8</v>
      </c>
      <c r="E37" s="195" t="s">
        <v>2408</v>
      </c>
      <c r="F37" s="48" t="s">
        <v>1958</v>
      </c>
      <c r="G37" s="479">
        <v>81897710017</v>
      </c>
      <c r="H37" s="322">
        <v>313.75173913043477</v>
      </c>
      <c r="I37" s="496">
        <f t="shared" si="0"/>
        <v>313.75173913043477</v>
      </c>
    </row>
    <row r="38" spans="1:9" x14ac:dyDescent="0.25">
      <c r="A38" s="1" t="s">
        <v>1565</v>
      </c>
      <c r="B38" s="30">
        <v>1</v>
      </c>
      <c r="C38" s="46" t="s">
        <v>665</v>
      </c>
      <c r="D38" s="99" t="s">
        <v>8</v>
      </c>
      <c r="E38" s="195" t="s">
        <v>2299</v>
      </c>
      <c r="F38" s="41" t="s">
        <v>1954</v>
      </c>
      <c r="G38" s="479">
        <v>81897710017</v>
      </c>
      <c r="H38" s="322">
        <v>83.805652173913046</v>
      </c>
      <c r="I38" s="496">
        <f t="shared" si="0"/>
        <v>83.805652173913046</v>
      </c>
    </row>
    <row r="39" spans="1:9" x14ac:dyDescent="0.25">
      <c r="A39" s="1" t="s">
        <v>1541</v>
      </c>
      <c r="B39" s="30">
        <v>1</v>
      </c>
      <c r="C39" s="46" t="s">
        <v>665</v>
      </c>
      <c r="D39" s="99" t="s">
        <v>8</v>
      </c>
      <c r="E39" s="195" t="s">
        <v>2300</v>
      </c>
      <c r="F39" s="41" t="s">
        <v>1961</v>
      </c>
      <c r="G39" s="479">
        <v>81897710017</v>
      </c>
      <c r="H39" s="322">
        <v>81.035217391304343</v>
      </c>
      <c r="I39" s="496">
        <f t="shared" si="0"/>
        <v>81.035217391304343</v>
      </c>
    </row>
    <row r="40" spans="1:9" x14ac:dyDescent="0.25">
      <c r="A40" s="420" t="s">
        <v>1549</v>
      </c>
      <c r="B40" s="48">
        <v>1</v>
      </c>
      <c r="C40" s="65" t="s">
        <v>1550</v>
      </c>
      <c r="D40" s="64" t="s">
        <v>10</v>
      </c>
      <c r="E40" s="195" t="s">
        <v>2617</v>
      </c>
      <c r="F40" s="48" t="s">
        <v>2612</v>
      </c>
      <c r="G40" s="479">
        <v>81897710017</v>
      </c>
      <c r="H40" s="322">
        <v>166.22608695652175</v>
      </c>
      <c r="I40" s="496">
        <f t="shared" si="0"/>
        <v>166.22608695652175</v>
      </c>
    </row>
    <row r="41" spans="1:9" x14ac:dyDescent="0.25">
      <c r="A41" s="1" t="s">
        <v>1563</v>
      </c>
      <c r="B41" s="30">
        <v>1</v>
      </c>
      <c r="C41" s="46" t="s">
        <v>1564</v>
      </c>
      <c r="D41" s="99" t="s">
        <v>8</v>
      </c>
      <c r="E41" s="195" t="s">
        <v>2618</v>
      </c>
      <c r="F41" s="30" t="s">
        <v>1962</v>
      </c>
      <c r="G41" s="479">
        <v>81897710017</v>
      </c>
      <c r="H41" s="322">
        <v>145.7941304347826</v>
      </c>
      <c r="I41" s="496">
        <f t="shared" si="0"/>
        <v>145.7941304347826</v>
      </c>
    </row>
    <row r="42" spans="1:9" x14ac:dyDescent="0.25">
      <c r="A42" s="23" t="s">
        <v>349</v>
      </c>
      <c r="B42" s="48">
        <v>1</v>
      </c>
      <c r="C42" s="65" t="s">
        <v>96</v>
      </c>
      <c r="D42" s="64" t="s">
        <v>8</v>
      </c>
      <c r="E42" s="195" t="s">
        <v>2301</v>
      </c>
      <c r="F42" s="100" t="s">
        <v>1964</v>
      </c>
      <c r="G42" s="479">
        <v>81897710017</v>
      </c>
      <c r="H42" s="322">
        <v>130.2104347826087</v>
      </c>
      <c r="I42" s="496">
        <f t="shared" si="0"/>
        <v>130.2104347826087</v>
      </c>
    </row>
    <row r="43" spans="1:9" x14ac:dyDescent="0.25">
      <c r="A43" s="1" t="s">
        <v>1241</v>
      </c>
      <c r="B43" s="259">
        <v>1</v>
      </c>
      <c r="C43" s="46" t="s">
        <v>660</v>
      </c>
      <c r="D43" s="99" t="s">
        <v>8</v>
      </c>
      <c r="E43" s="195" t="s">
        <v>2414</v>
      </c>
      <c r="F43" s="314" t="s">
        <v>1955</v>
      </c>
      <c r="G43" s="479">
        <v>81897710017</v>
      </c>
      <c r="H43" s="322">
        <v>100.08195652173913</v>
      </c>
      <c r="I43" s="496">
        <f t="shared" si="0"/>
        <v>100.08195652173913</v>
      </c>
    </row>
    <row r="44" spans="1:9" x14ac:dyDescent="0.25">
      <c r="A44" s="266" t="s">
        <v>928</v>
      </c>
      <c r="B44" s="34">
        <v>1</v>
      </c>
      <c r="C44" s="298" t="s">
        <v>635</v>
      </c>
      <c r="D44" s="99" t="s">
        <v>8</v>
      </c>
      <c r="E44" s="195" t="s">
        <v>2303</v>
      </c>
      <c r="F44" s="100" t="s">
        <v>1965</v>
      </c>
      <c r="G44" s="479">
        <v>81897710017</v>
      </c>
      <c r="H44" s="322">
        <v>121.55282608695654</v>
      </c>
      <c r="I44" s="496">
        <f t="shared" si="0"/>
        <v>121.55282608695654</v>
      </c>
    </row>
    <row r="45" spans="1:9" x14ac:dyDescent="0.25">
      <c r="A45" s="9" t="s">
        <v>99</v>
      </c>
      <c r="B45" s="144">
        <v>1</v>
      </c>
      <c r="C45" s="118" t="s">
        <v>662</v>
      </c>
      <c r="D45" s="99" t="s">
        <v>8</v>
      </c>
      <c r="E45" s="195" t="s">
        <v>2306</v>
      </c>
      <c r="F45" s="34" t="s">
        <v>1967</v>
      </c>
      <c r="G45" s="479">
        <v>81897710017</v>
      </c>
      <c r="H45" s="322">
        <v>157.91478260869562</v>
      </c>
      <c r="I45" s="496">
        <f t="shared" si="0"/>
        <v>157.91478260869562</v>
      </c>
    </row>
    <row r="46" spans="1:9" x14ac:dyDescent="0.25">
      <c r="I46" s="497">
        <f>SUM(I2:I45)</f>
        <v>27197.512173913045</v>
      </c>
    </row>
  </sheetData>
  <sortState xmlns:xlrd2="http://schemas.microsoft.com/office/spreadsheetml/2017/richdata2" ref="A2:D45">
    <sortCondition ref="A1:A45"/>
  </sortState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4E3FB-CCFB-41B3-A768-94C43AA33173}">
  <sheetPr codeName="Planilha45">
    <tabColor rgb="FFFF0000"/>
  </sheetPr>
  <dimension ref="A1:H5"/>
  <sheetViews>
    <sheetView workbookViewId="0">
      <pane ySplit="1" topLeftCell="A2" activePane="bottomLeft" state="frozen"/>
      <selection activeCell="A53" sqref="A53"/>
      <selection pane="bottomLeft" activeCell="L16" sqref="L16"/>
    </sheetView>
  </sheetViews>
  <sheetFormatPr defaultRowHeight="15" x14ac:dyDescent="0.25"/>
  <cols>
    <col min="1" max="2" width="24.7109375" customWidth="1"/>
    <col min="3" max="3" width="13.85546875" customWidth="1"/>
    <col min="4" max="4" width="13.7109375" customWidth="1"/>
  </cols>
  <sheetData>
    <row r="1" spans="1:8" ht="15.75" x14ac:dyDescent="0.25">
      <c r="A1" s="94" t="s">
        <v>0</v>
      </c>
      <c r="B1" s="94" t="s">
        <v>305</v>
      </c>
      <c r="C1" s="157" t="s">
        <v>2</v>
      </c>
      <c r="D1" s="197" t="s">
        <v>1721</v>
      </c>
      <c r="E1" s="194" t="s">
        <v>1723</v>
      </c>
      <c r="F1" s="194" t="s">
        <v>1724</v>
      </c>
      <c r="G1" s="194" t="s">
        <v>1722</v>
      </c>
      <c r="H1" s="194" t="s">
        <v>1725</v>
      </c>
    </row>
    <row r="2" spans="1:8" x14ac:dyDescent="0.25">
      <c r="A2" s="9" t="s">
        <v>1575</v>
      </c>
      <c r="B2" s="34">
        <v>20</v>
      </c>
      <c r="C2" s="118" t="s">
        <v>1576</v>
      </c>
      <c r="D2" s="219" t="s">
        <v>4</v>
      </c>
      <c r="E2" s="195"/>
      <c r="F2" s="195"/>
      <c r="G2" s="195"/>
      <c r="H2" s="195"/>
    </row>
    <row r="3" spans="1:8" x14ac:dyDescent="0.25">
      <c r="A3" s="9" t="s">
        <v>1577</v>
      </c>
      <c r="B3" s="34">
        <v>10</v>
      </c>
      <c r="C3" s="118" t="s">
        <v>1578</v>
      </c>
      <c r="D3" s="219" t="s">
        <v>4</v>
      </c>
      <c r="E3" s="195"/>
      <c r="F3" s="195"/>
      <c r="G3" s="195"/>
      <c r="H3" s="195"/>
    </row>
    <row r="4" spans="1:8" x14ac:dyDescent="0.25">
      <c r="A4" s="9" t="s">
        <v>1579</v>
      </c>
      <c r="B4" s="34">
        <v>8</v>
      </c>
      <c r="C4" s="118" t="s">
        <v>1580</v>
      </c>
      <c r="D4" s="219" t="s">
        <v>4</v>
      </c>
      <c r="E4" s="195"/>
      <c r="F4" s="195"/>
      <c r="G4" s="195"/>
      <c r="H4" s="195"/>
    </row>
    <row r="5" spans="1:8" x14ac:dyDescent="0.25">
      <c r="A5" s="9" t="s">
        <v>1581</v>
      </c>
      <c r="B5" s="34">
        <v>2</v>
      </c>
      <c r="C5" s="118" t="s">
        <v>1582</v>
      </c>
      <c r="D5" s="219" t="s">
        <v>4</v>
      </c>
      <c r="E5" s="195"/>
      <c r="F5" s="195"/>
      <c r="G5" s="195"/>
      <c r="H5" s="195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7A0BE-9EF8-41CB-A83A-54E8E7DB2A38}">
  <sheetPr codeName="Planilha46">
    <tabColor rgb="FFFF0000"/>
  </sheetPr>
  <dimension ref="A1:H11"/>
  <sheetViews>
    <sheetView workbookViewId="0">
      <pane ySplit="1" topLeftCell="A2" activePane="bottomLeft" state="frozen"/>
      <selection activeCell="A53" sqref="A53"/>
      <selection pane="bottomLeft" activeCell="A53" sqref="A53"/>
    </sheetView>
  </sheetViews>
  <sheetFormatPr defaultRowHeight="15" x14ac:dyDescent="0.25"/>
  <cols>
    <col min="1" max="1" width="19.85546875" bestFit="1" customWidth="1"/>
    <col min="2" max="2" width="25.28515625" customWidth="1"/>
    <col min="3" max="3" width="16.140625" customWidth="1"/>
    <col min="4" max="4" width="12.42578125" customWidth="1"/>
  </cols>
  <sheetData>
    <row r="1" spans="1:8" ht="15.75" x14ac:dyDescent="0.25">
      <c r="A1" s="94" t="s">
        <v>0</v>
      </c>
      <c r="B1" s="94" t="s">
        <v>305</v>
      </c>
      <c r="C1" s="157" t="s">
        <v>360</v>
      </c>
      <c r="D1" s="197" t="s">
        <v>1721</v>
      </c>
      <c r="E1" s="194" t="s">
        <v>1723</v>
      </c>
      <c r="F1" s="194" t="s">
        <v>1724</v>
      </c>
      <c r="G1" s="194" t="s">
        <v>1722</v>
      </c>
      <c r="H1" s="194" t="s">
        <v>1725</v>
      </c>
    </row>
    <row r="2" spans="1:8" x14ac:dyDescent="0.25">
      <c r="A2" s="21" t="s">
        <v>1583</v>
      </c>
      <c r="B2" s="36">
        <v>18</v>
      </c>
      <c r="C2" s="118">
        <v>662845</v>
      </c>
      <c r="D2" s="99" t="s">
        <v>362</v>
      </c>
      <c r="E2" s="195"/>
      <c r="F2" s="195"/>
      <c r="G2" s="195"/>
      <c r="H2" s="195"/>
    </row>
    <row r="3" spans="1:8" x14ac:dyDescent="0.25">
      <c r="A3" s="21" t="s">
        <v>1584</v>
      </c>
      <c r="B3" s="36">
        <v>2</v>
      </c>
      <c r="C3" s="118" t="s">
        <v>1585</v>
      </c>
      <c r="D3" s="99" t="s">
        <v>162</v>
      </c>
      <c r="E3" s="195"/>
      <c r="F3" s="195"/>
      <c r="G3" s="195"/>
      <c r="H3" s="195"/>
    </row>
    <row r="4" spans="1:8" x14ac:dyDescent="0.25">
      <c r="A4" s="55" t="s">
        <v>1586</v>
      </c>
      <c r="B4" s="160">
        <v>2</v>
      </c>
      <c r="C4" s="138" t="s">
        <v>1587</v>
      </c>
      <c r="D4" s="64" t="s">
        <v>162</v>
      </c>
      <c r="E4" s="195"/>
      <c r="F4" s="195"/>
      <c r="G4" s="195"/>
      <c r="H4" s="195"/>
    </row>
    <row r="5" spans="1:8" x14ac:dyDescent="0.25">
      <c r="A5" s="55" t="s">
        <v>1588</v>
      </c>
      <c r="B5" s="160">
        <v>1</v>
      </c>
      <c r="C5" s="138" t="s">
        <v>1589</v>
      </c>
      <c r="D5" s="64" t="s">
        <v>162</v>
      </c>
      <c r="E5" s="195"/>
      <c r="F5" s="195"/>
      <c r="G5" s="195"/>
      <c r="H5" s="195"/>
    </row>
    <row r="6" spans="1:8" x14ac:dyDescent="0.25">
      <c r="A6" s="21" t="s">
        <v>1590</v>
      </c>
      <c r="B6" s="36">
        <v>2</v>
      </c>
      <c r="C6" s="118" t="s">
        <v>1591</v>
      </c>
      <c r="D6" s="99" t="s">
        <v>162</v>
      </c>
      <c r="E6" s="195"/>
      <c r="F6" s="195"/>
      <c r="G6" s="195"/>
      <c r="H6" s="195"/>
    </row>
    <row r="7" spans="1:8" x14ac:dyDescent="0.25">
      <c r="A7" s="21" t="s">
        <v>1592</v>
      </c>
      <c r="B7" s="36">
        <v>2</v>
      </c>
      <c r="C7" s="118" t="s">
        <v>1593</v>
      </c>
      <c r="D7" s="99" t="s">
        <v>162</v>
      </c>
      <c r="E7" s="195"/>
      <c r="F7" s="195"/>
      <c r="G7" s="195"/>
      <c r="H7" s="195"/>
    </row>
    <row r="8" spans="1:8" x14ac:dyDescent="0.25">
      <c r="A8" s="21" t="s">
        <v>796</v>
      </c>
      <c r="B8" s="36">
        <v>2</v>
      </c>
      <c r="C8" s="118" t="s">
        <v>797</v>
      </c>
      <c r="D8" s="99" t="s">
        <v>162</v>
      </c>
      <c r="E8" s="195"/>
      <c r="F8" s="195"/>
      <c r="G8" s="195"/>
      <c r="H8" s="195"/>
    </row>
    <row r="9" spans="1:8" x14ac:dyDescent="0.25">
      <c r="A9" s="21" t="s">
        <v>1594</v>
      </c>
      <c r="B9" s="36">
        <v>2</v>
      </c>
      <c r="C9" s="118" t="s">
        <v>1595</v>
      </c>
      <c r="D9" s="99" t="s">
        <v>162</v>
      </c>
      <c r="E9" s="195"/>
      <c r="F9" s="195"/>
      <c r="G9" s="195"/>
      <c r="H9" s="195"/>
    </row>
    <row r="10" spans="1:8" x14ac:dyDescent="0.25">
      <c r="A10" s="21" t="s">
        <v>1596</v>
      </c>
      <c r="B10" s="36">
        <v>2</v>
      </c>
      <c r="C10" s="118" t="s">
        <v>1597</v>
      </c>
      <c r="D10" s="99" t="s">
        <v>162</v>
      </c>
      <c r="E10" s="195"/>
      <c r="F10" s="195"/>
      <c r="G10" s="195"/>
      <c r="H10" s="195"/>
    </row>
    <row r="11" spans="1:8" x14ac:dyDescent="0.25">
      <c r="A11" s="21" t="s">
        <v>1598</v>
      </c>
      <c r="B11" s="36">
        <v>2</v>
      </c>
      <c r="C11" s="118" t="s">
        <v>1599</v>
      </c>
      <c r="D11" s="99" t="s">
        <v>162</v>
      </c>
      <c r="E11" s="195"/>
      <c r="F11" s="195"/>
      <c r="G11" s="195"/>
      <c r="H11" s="195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BE15F-4E37-429E-85A6-C9862041A251}">
  <sheetPr codeName="Planilha47">
    <tabColor rgb="FF92D050"/>
  </sheetPr>
  <dimension ref="A1:I121"/>
  <sheetViews>
    <sheetView workbookViewId="0">
      <pane ySplit="1" topLeftCell="A2" activePane="bottomLeft" state="frozen"/>
      <selection activeCell="A53" sqref="A53"/>
      <selection pane="bottomLeft" activeCell="G1" sqref="G1:G1048576"/>
    </sheetView>
  </sheetViews>
  <sheetFormatPr defaultRowHeight="15" x14ac:dyDescent="0.25"/>
  <cols>
    <col min="1" max="1" width="46.7109375" customWidth="1"/>
    <col min="2" max="2" width="12.42578125" style="480" customWidth="1"/>
    <col min="3" max="3" width="19.140625" customWidth="1"/>
    <col min="4" max="4" width="21.42578125" customWidth="1"/>
    <col min="5" max="5" width="20.85546875" customWidth="1"/>
    <col min="6" max="6" width="15" style="40" customWidth="1"/>
    <col min="7" max="7" width="18.85546875" style="40" customWidth="1"/>
    <col min="8" max="8" width="20.28515625" style="324" customWidth="1"/>
    <col min="9" max="9" width="18.85546875" style="480" customWidth="1"/>
  </cols>
  <sheetData>
    <row r="1" spans="1:9" ht="31.5" x14ac:dyDescent="0.25">
      <c r="A1" s="136" t="s">
        <v>0</v>
      </c>
      <c r="B1" s="498" t="s">
        <v>305</v>
      </c>
      <c r="C1" s="234" t="s">
        <v>2</v>
      </c>
      <c r="D1" s="197" t="s">
        <v>1721</v>
      </c>
      <c r="E1" s="194" t="s">
        <v>1723</v>
      </c>
      <c r="F1" s="194" t="s">
        <v>1724</v>
      </c>
      <c r="G1" s="194" t="s">
        <v>1722</v>
      </c>
      <c r="H1" s="321" t="s">
        <v>1725</v>
      </c>
      <c r="I1" s="321" t="s">
        <v>2317</v>
      </c>
    </row>
    <row r="2" spans="1:9" x14ac:dyDescent="0.25">
      <c r="A2" s="14" t="s">
        <v>1671</v>
      </c>
      <c r="B2" s="499">
        <v>10</v>
      </c>
      <c r="C2" s="97"/>
      <c r="D2" s="195"/>
      <c r="E2" s="195" t="s">
        <v>2193</v>
      </c>
      <c r="F2" s="308" t="s">
        <v>1726</v>
      </c>
      <c r="G2" s="308">
        <v>81897710023</v>
      </c>
      <c r="H2" s="322">
        <v>137.8291304347826</v>
      </c>
      <c r="I2" s="496">
        <f>H2*B2</f>
        <v>1378.2913043478261</v>
      </c>
    </row>
    <row r="3" spans="1:9" x14ac:dyDescent="0.25">
      <c r="A3" s="506" t="s">
        <v>1655</v>
      </c>
      <c r="B3" s="500">
        <v>10</v>
      </c>
      <c r="C3" s="133" t="s">
        <v>33</v>
      </c>
      <c r="D3" s="64" t="s">
        <v>8</v>
      </c>
      <c r="E3" s="195" t="s">
        <v>2248</v>
      </c>
      <c r="F3" s="308" t="s">
        <v>1730</v>
      </c>
      <c r="G3" s="308">
        <v>81897710023</v>
      </c>
      <c r="H3" s="322">
        <v>90.385434782608684</v>
      </c>
      <c r="I3" s="496">
        <f t="shared" ref="I3:I66" si="0">H3*B3</f>
        <v>903.85434782608684</v>
      </c>
    </row>
    <row r="4" spans="1:9" x14ac:dyDescent="0.25">
      <c r="A4" s="506" t="s">
        <v>1655</v>
      </c>
      <c r="B4" s="500">
        <v>10</v>
      </c>
      <c r="C4" s="133" t="s">
        <v>33</v>
      </c>
      <c r="D4" s="64" t="s">
        <v>8</v>
      </c>
      <c r="E4" s="195" t="s">
        <v>2248</v>
      </c>
      <c r="F4" s="308" t="s">
        <v>1730</v>
      </c>
      <c r="G4" s="308">
        <v>81897710023</v>
      </c>
      <c r="H4" s="322">
        <v>90.385434782608684</v>
      </c>
      <c r="I4" s="496">
        <f t="shared" si="0"/>
        <v>903.85434782608684</v>
      </c>
    </row>
    <row r="5" spans="1:9" x14ac:dyDescent="0.25">
      <c r="A5" s="506" t="s">
        <v>1621</v>
      </c>
      <c r="B5" s="500">
        <v>10</v>
      </c>
      <c r="C5" s="133" t="s">
        <v>1164</v>
      </c>
      <c r="D5" s="64" t="s">
        <v>8</v>
      </c>
      <c r="E5" s="195" t="s">
        <v>1621</v>
      </c>
      <c r="F5" s="268" t="s">
        <v>2123</v>
      </c>
      <c r="G5" s="308">
        <v>80476380021</v>
      </c>
      <c r="H5" s="322">
        <v>2250</v>
      </c>
      <c r="I5" s="496">
        <f t="shared" si="0"/>
        <v>22500</v>
      </c>
    </row>
    <row r="6" spans="1:9" x14ac:dyDescent="0.25">
      <c r="A6" s="506" t="s">
        <v>1601</v>
      </c>
      <c r="B6" s="500">
        <v>10</v>
      </c>
      <c r="C6" s="133" t="s">
        <v>12</v>
      </c>
      <c r="D6" s="64" t="s">
        <v>8</v>
      </c>
      <c r="E6" s="195" t="s">
        <v>2198</v>
      </c>
      <c r="F6" s="308" t="s">
        <v>1740</v>
      </c>
      <c r="G6" s="308">
        <v>81897710023</v>
      </c>
      <c r="H6" s="322">
        <v>270.4636956521739</v>
      </c>
      <c r="I6" s="496">
        <f t="shared" si="0"/>
        <v>2704.6369565217392</v>
      </c>
    </row>
    <row r="7" spans="1:9" x14ac:dyDescent="0.25">
      <c r="A7" s="507" t="s">
        <v>1672</v>
      </c>
      <c r="B7" s="499">
        <v>4</v>
      </c>
      <c r="C7" s="97"/>
      <c r="D7" s="195"/>
      <c r="E7" s="195" t="s">
        <v>2621</v>
      </c>
      <c r="F7" s="308" t="s">
        <v>2124</v>
      </c>
      <c r="G7" s="308">
        <v>81897719001</v>
      </c>
      <c r="H7" s="322">
        <v>265.26913043478265</v>
      </c>
      <c r="I7" s="496">
        <f t="shared" si="0"/>
        <v>1061.0765217391306</v>
      </c>
    </row>
    <row r="8" spans="1:9" x14ac:dyDescent="0.25">
      <c r="A8" s="507" t="s">
        <v>1673</v>
      </c>
      <c r="B8" s="499">
        <v>4</v>
      </c>
      <c r="C8" s="97"/>
      <c r="D8" s="195"/>
      <c r="E8" s="195" t="s">
        <v>2622</v>
      </c>
      <c r="F8" s="308" t="s">
        <v>2125</v>
      </c>
      <c r="G8" s="308">
        <v>81897719001</v>
      </c>
      <c r="H8" s="322">
        <v>265.26913043478265</v>
      </c>
      <c r="I8" s="496">
        <f t="shared" si="0"/>
        <v>1061.0765217391306</v>
      </c>
    </row>
    <row r="9" spans="1:9" x14ac:dyDescent="0.25">
      <c r="A9" s="506" t="s">
        <v>1622</v>
      </c>
      <c r="B9" s="500">
        <v>4</v>
      </c>
      <c r="C9" s="133" t="s">
        <v>1623</v>
      </c>
      <c r="D9" s="64" t="s">
        <v>8</v>
      </c>
      <c r="E9" s="195" t="s">
        <v>2216</v>
      </c>
      <c r="F9" s="309" t="s">
        <v>1766</v>
      </c>
      <c r="G9" s="308">
        <v>81897719001</v>
      </c>
      <c r="H9" s="322">
        <v>205.01217391304351</v>
      </c>
      <c r="I9" s="496">
        <f t="shared" si="0"/>
        <v>820.04869565217405</v>
      </c>
    </row>
    <row r="10" spans="1:9" x14ac:dyDescent="0.25">
      <c r="A10" s="506" t="s">
        <v>1624</v>
      </c>
      <c r="B10" s="500">
        <v>4</v>
      </c>
      <c r="C10" s="133">
        <v>2059</v>
      </c>
      <c r="D10" s="64" t="s">
        <v>4</v>
      </c>
      <c r="E10" s="195" t="s">
        <v>1624</v>
      </c>
      <c r="F10" s="308" t="s">
        <v>2078</v>
      </c>
      <c r="G10" s="308" t="e">
        <v>#N/A</v>
      </c>
      <c r="H10" s="322">
        <v>0</v>
      </c>
      <c r="I10" s="496">
        <f t="shared" si="0"/>
        <v>0</v>
      </c>
    </row>
    <row r="11" spans="1:9" x14ac:dyDescent="0.25">
      <c r="A11" s="506" t="s">
        <v>1625</v>
      </c>
      <c r="B11" s="500">
        <v>4</v>
      </c>
      <c r="C11" s="133">
        <v>2061</v>
      </c>
      <c r="D11" s="64" t="s">
        <v>4</v>
      </c>
      <c r="E11" s="195" t="s">
        <v>1625</v>
      </c>
      <c r="F11" s="308" t="s">
        <v>2078</v>
      </c>
      <c r="G11" s="308" t="e">
        <v>#N/A</v>
      </c>
      <c r="H11" s="322">
        <v>0</v>
      </c>
      <c r="I11" s="496">
        <f t="shared" si="0"/>
        <v>0</v>
      </c>
    </row>
    <row r="12" spans="1:9" x14ac:dyDescent="0.25">
      <c r="A12" s="506" t="s">
        <v>1626</v>
      </c>
      <c r="B12" s="500">
        <v>4</v>
      </c>
      <c r="C12" s="133">
        <v>2062</v>
      </c>
      <c r="D12" s="64" t="s">
        <v>4</v>
      </c>
      <c r="E12" s="195" t="s">
        <v>1626</v>
      </c>
      <c r="F12" s="308" t="s">
        <v>2078</v>
      </c>
      <c r="G12" s="308" t="e">
        <v>#N/A</v>
      </c>
      <c r="H12" s="322">
        <v>0</v>
      </c>
      <c r="I12" s="496">
        <f t="shared" si="0"/>
        <v>0</v>
      </c>
    </row>
    <row r="13" spans="1:9" x14ac:dyDescent="0.25">
      <c r="A13" s="506" t="s">
        <v>1627</v>
      </c>
      <c r="B13" s="500">
        <v>4</v>
      </c>
      <c r="C13" s="133">
        <v>2063</v>
      </c>
      <c r="D13" s="64" t="s">
        <v>4</v>
      </c>
      <c r="E13" s="195" t="s">
        <v>1627</v>
      </c>
      <c r="F13" s="308" t="s">
        <v>2078</v>
      </c>
      <c r="G13" s="308" t="e">
        <v>#N/A</v>
      </c>
      <c r="H13" s="322">
        <v>0</v>
      </c>
      <c r="I13" s="496">
        <f t="shared" si="0"/>
        <v>0</v>
      </c>
    </row>
    <row r="14" spans="1:9" x14ac:dyDescent="0.25">
      <c r="A14" s="506" t="s">
        <v>1628</v>
      </c>
      <c r="B14" s="500">
        <v>4</v>
      </c>
      <c r="C14" s="133">
        <v>2064</v>
      </c>
      <c r="D14" s="64" t="s">
        <v>4</v>
      </c>
      <c r="E14" s="195" t="s">
        <v>1628</v>
      </c>
      <c r="F14" s="308" t="s">
        <v>2078</v>
      </c>
      <c r="G14" s="308" t="e">
        <v>#N/A</v>
      </c>
      <c r="H14" s="322">
        <v>0</v>
      </c>
      <c r="I14" s="496">
        <f t="shared" si="0"/>
        <v>0</v>
      </c>
    </row>
    <row r="15" spans="1:9" x14ac:dyDescent="0.25">
      <c r="A15" s="506" t="s">
        <v>1629</v>
      </c>
      <c r="B15" s="500">
        <v>4</v>
      </c>
      <c r="C15" s="133">
        <v>2065</v>
      </c>
      <c r="D15" s="64" t="s">
        <v>4</v>
      </c>
      <c r="E15" s="195" t="s">
        <v>1629</v>
      </c>
      <c r="F15" s="308" t="s">
        <v>2078</v>
      </c>
      <c r="G15" s="308" t="e">
        <v>#N/A</v>
      </c>
      <c r="H15" s="322">
        <v>0</v>
      </c>
      <c r="I15" s="496">
        <f t="shared" si="0"/>
        <v>0</v>
      </c>
    </row>
    <row r="16" spans="1:9" x14ac:dyDescent="0.25">
      <c r="A16" s="506" t="s">
        <v>1630</v>
      </c>
      <c r="B16" s="500">
        <v>4</v>
      </c>
      <c r="C16" s="133" t="s">
        <v>1631</v>
      </c>
      <c r="D16" s="64" t="s">
        <v>8</v>
      </c>
      <c r="E16" s="195" t="s">
        <v>2623</v>
      </c>
      <c r="F16" s="308" t="s">
        <v>2619</v>
      </c>
      <c r="G16" s="308" t="s">
        <v>2620</v>
      </c>
      <c r="H16" s="322">
        <v>166.22608695652175</v>
      </c>
      <c r="I16" s="496">
        <f t="shared" si="0"/>
        <v>664.90434782608702</v>
      </c>
    </row>
    <row r="17" spans="1:9" x14ac:dyDescent="0.25">
      <c r="A17" s="506" t="s">
        <v>1632</v>
      </c>
      <c r="B17" s="500">
        <v>2</v>
      </c>
      <c r="C17" s="133" t="s">
        <v>1633</v>
      </c>
      <c r="D17" s="64" t="s">
        <v>8</v>
      </c>
      <c r="E17" s="195" t="s">
        <v>2624</v>
      </c>
      <c r="F17" s="308" t="s">
        <v>2068</v>
      </c>
      <c r="G17" s="308">
        <v>81897710018</v>
      </c>
      <c r="H17" s="322">
        <v>4972.2378260869573</v>
      </c>
      <c r="I17" s="496">
        <f t="shared" si="0"/>
        <v>9944.4756521739146</v>
      </c>
    </row>
    <row r="18" spans="1:9" x14ac:dyDescent="0.25">
      <c r="A18" s="506" t="s">
        <v>1620</v>
      </c>
      <c r="B18" s="500">
        <v>10</v>
      </c>
      <c r="C18" s="133" t="s">
        <v>310</v>
      </c>
      <c r="D18" s="64" t="s">
        <v>8</v>
      </c>
      <c r="E18" s="195" t="s">
        <v>2193</v>
      </c>
      <c r="F18" s="308" t="s">
        <v>1726</v>
      </c>
      <c r="G18" s="308">
        <v>81897710023</v>
      </c>
      <c r="H18" s="322">
        <v>137.8291304347826</v>
      </c>
      <c r="I18" s="496">
        <f t="shared" si="0"/>
        <v>1378.2913043478261</v>
      </c>
    </row>
    <row r="19" spans="1:9" x14ac:dyDescent="0.25">
      <c r="A19" s="505" t="s">
        <v>1600</v>
      </c>
      <c r="B19" s="134">
        <v>10</v>
      </c>
      <c r="C19" s="306">
        <v>662490</v>
      </c>
      <c r="D19" s="64" t="s">
        <v>8</v>
      </c>
      <c r="E19" s="512" t="s">
        <v>2654</v>
      </c>
      <c r="F19" s="308" t="s">
        <v>2337</v>
      </c>
      <c r="G19" s="308" t="s">
        <v>2336</v>
      </c>
      <c r="H19" s="322">
        <v>2370.2608695652179</v>
      </c>
      <c r="I19" s="496">
        <f t="shared" si="0"/>
        <v>23702.608695652179</v>
      </c>
    </row>
    <row r="20" spans="1:9" x14ac:dyDescent="0.25">
      <c r="A20" s="506" t="s">
        <v>1634</v>
      </c>
      <c r="B20" s="500">
        <v>14</v>
      </c>
      <c r="C20" s="133" t="s">
        <v>129</v>
      </c>
      <c r="D20" s="64" t="s">
        <v>8</v>
      </c>
      <c r="E20" s="195" t="s">
        <v>1634</v>
      </c>
      <c r="F20" s="268" t="s">
        <v>2079</v>
      </c>
      <c r="G20" s="308">
        <v>80476380014</v>
      </c>
      <c r="H20" s="322">
        <v>407.60869565217394</v>
      </c>
      <c r="I20" s="496">
        <f t="shared" si="0"/>
        <v>5706.521739130435</v>
      </c>
    </row>
    <row r="21" spans="1:9" x14ac:dyDescent="0.25">
      <c r="A21" s="505" t="s">
        <v>1615</v>
      </c>
      <c r="B21" s="134">
        <v>12</v>
      </c>
      <c r="C21" s="235">
        <v>231014</v>
      </c>
      <c r="D21" s="64" t="s">
        <v>8</v>
      </c>
      <c r="E21" s="195" t="s">
        <v>2221</v>
      </c>
      <c r="F21" s="308" t="s">
        <v>2006</v>
      </c>
      <c r="G21" s="308" t="s">
        <v>2315</v>
      </c>
      <c r="H21" s="322">
        <v>43.865217391304348</v>
      </c>
      <c r="I21" s="496">
        <f t="shared" si="0"/>
        <v>526.38260869565215</v>
      </c>
    </row>
    <row r="22" spans="1:9" x14ac:dyDescent="0.25">
      <c r="A22" s="505" t="s">
        <v>1618</v>
      </c>
      <c r="B22" s="134">
        <v>20</v>
      </c>
      <c r="C22" s="133" t="s">
        <v>1164</v>
      </c>
      <c r="D22" s="64" t="s">
        <v>8</v>
      </c>
      <c r="E22" s="195" t="s">
        <v>2625</v>
      </c>
      <c r="F22" s="308" t="s">
        <v>2151</v>
      </c>
      <c r="G22" s="308">
        <v>81897710018</v>
      </c>
      <c r="H22" s="322">
        <v>197.73978260869566</v>
      </c>
      <c r="I22" s="496">
        <f t="shared" si="0"/>
        <v>3954.7956521739134</v>
      </c>
    </row>
    <row r="23" spans="1:9" x14ac:dyDescent="0.25">
      <c r="A23" s="505" t="s">
        <v>1617</v>
      </c>
      <c r="B23" s="134">
        <v>10</v>
      </c>
      <c r="C23" s="133" t="s">
        <v>1164</v>
      </c>
      <c r="D23" s="64" t="s">
        <v>8</v>
      </c>
      <c r="E23" s="195" t="s">
        <v>2626</v>
      </c>
      <c r="F23" s="308" t="s">
        <v>2129</v>
      </c>
      <c r="G23" s="308">
        <v>81897710018</v>
      </c>
      <c r="H23" s="322">
        <v>225.79043478260868</v>
      </c>
      <c r="I23" s="496">
        <f t="shared" si="0"/>
        <v>2257.9043478260869</v>
      </c>
    </row>
    <row r="24" spans="1:9" x14ac:dyDescent="0.25">
      <c r="A24" s="505" t="s">
        <v>1616</v>
      </c>
      <c r="B24" s="134">
        <v>10</v>
      </c>
      <c r="C24" s="133" t="s">
        <v>1164</v>
      </c>
      <c r="D24" s="64" t="s">
        <v>8</v>
      </c>
      <c r="E24" s="195" t="s">
        <v>2627</v>
      </c>
      <c r="F24" s="308" t="s">
        <v>2150</v>
      </c>
      <c r="G24" s="308">
        <v>81897710018</v>
      </c>
      <c r="H24" s="322">
        <v>227.86826086956518</v>
      </c>
      <c r="I24" s="496">
        <f t="shared" si="0"/>
        <v>2278.6826086956517</v>
      </c>
    </row>
    <row r="25" spans="1:9" x14ac:dyDescent="0.25">
      <c r="A25" s="505" t="s">
        <v>1619</v>
      </c>
      <c r="B25" s="134">
        <v>10</v>
      </c>
      <c r="C25" s="133" t="s">
        <v>722</v>
      </c>
      <c r="D25" s="64" t="s">
        <v>8</v>
      </c>
      <c r="E25" s="195" t="s">
        <v>2628</v>
      </c>
      <c r="F25" s="308" t="s">
        <v>2152</v>
      </c>
      <c r="G25" s="308">
        <v>81897710018</v>
      </c>
      <c r="H25" s="322">
        <v>159.64630434782609</v>
      </c>
      <c r="I25" s="496">
        <f t="shared" si="0"/>
        <v>1596.4630434782609</v>
      </c>
    </row>
    <row r="26" spans="1:9" x14ac:dyDescent="0.25">
      <c r="A26" s="506" t="s">
        <v>1635</v>
      </c>
      <c r="B26" s="500">
        <v>10</v>
      </c>
      <c r="C26" s="133">
        <v>495</v>
      </c>
      <c r="D26" s="64" t="s">
        <v>4</v>
      </c>
      <c r="E26" s="195" t="s">
        <v>2629</v>
      </c>
      <c r="F26" s="308" t="s">
        <v>2131</v>
      </c>
      <c r="G26" s="308">
        <v>81897710001</v>
      </c>
      <c r="H26" s="322">
        <v>451.58086956521737</v>
      </c>
      <c r="I26" s="496">
        <f t="shared" si="0"/>
        <v>4515.8086956521738</v>
      </c>
    </row>
    <row r="27" spans="1:9" x14ac:dyDescent="0.25">
      <c r="A27" s="506" t="s">
        <v>1636</v>
      </c>
      <c r="B27" s="500">
        <v>10</v>
      </c>
      <c r="C27" s="133">
        <v>494</v>
      </c>
      <c r="D27" s="64" t="s">
        <v>4</v>
      </c>
      <c r="E27" s="195" t="s">
        <v>2630</v>
      </c>
      <c r="F27" s="308" t="s">
        <v>2132</v>
      </c>
      <c r="G27" s="308">
        <v>81897710001</v>
      </c>
      <c r="H27" s="322">
        <v>434.95826086956527</v>
      </c>
      <c r="I27" s="496">
        <f t="shared" si="0"/>
        <v>4349.5826086956531</v>
      </c>
    </row>
    <row r="28" spans="1:9" x14ac:dyDescent="0.25">
      <c r="A28" s="506" t="s">
        <v>1637</v>
      </c>
      <c r="B28" s="500">
        <v>10</v>
      </c>
      <c r="C28" s="133">
        <v>490</v>
      </c>
      <c r="D28" s="64" t="s">
        <v>4</v>
      </c>
      <c r="E28" s="195" t="s">
        <v>2631</v>
      </c>
      <c r="F28" s="308" t="s">
        <v>2134</v>
      </c>
      <c r="G28" s="308">
        <v>81897710001</v>
      </c>
      <c r="H28" s="322">
        <v>423.87652173913034</v>
      </c>
      <c r="I28" s="496">
        <f t="shared" si="0"/>
        <v>4238.7652173913029</v>
      </c>
    </row>
    <row r="29" spans="1:9" x14ac:dyDescent="0.25">
      <c r="A29" s="506" t="s">
        <v>1638</v>
      </c>
      <c r="B29" s="500">
        <v>10</v>
      </c>
      <c r="C29" s="133">
        <v>492</v>
      </c>
      <c r="D29" s="64" t="s">
        <v>4</v>
      </c>
      <c r="E29" s="195" t="s">
        <v>2632</v>
      </c>
      <c r="F29" s="308" t="s">
        <v>2133</v>
      </c>
      <c r="G29" s="308">
        <v>81897710001</v>
      </c>
      <c r="H29" s="322">
        <v>413.1410869565218</v>
      </c>
      <c r="I29" s="496">
        <f t="shared" si="0"/>
        <v>4131.4108695652176</v>
      </c>
    </row>
    <row r="30" spans="1:9" x14ac:dyDescent="0.25">
      <c r="A30" s="506" t="s">
        <v>1639</v>
      </c>
      <c r="B30" s="500">
        <v>10</v>
      </c>
      <c r="C30" s="133">
        <v>2556</v>
      </c>
      <c r="D30" s="64" t="s">
        <v>4</v>
      </c>
      <c r="E30" s="195" t="s">
        <v>2633</v>
      </c>
      <c r="F30" s="308" t="s">
        <v>2135</v>
      </c>
      <c r="G30" s="308">
        <v>81897710023</v>
      </c>
      <c r="H30" s="322">
        <v>77.225869565217408</v>
      </c>
      <c r="I30" s="496">
        <f t="shared" si="0"/>
        <v>772.25869565217408</v>
      </c>
    </row>
    <row r="31" spans="1:9" x14ac:dyDescent="0.25">
      <c r="A31" s="506" t="s">
        <v>1640</v>
      </c>
      <c r="B31" s="500">
        <v>10</v>
      </c>
      <c r="C31" s="133">
        <v>2556</v>
      </c>
      <c r="D31" s="64" t="s">
        <v>4</v>
      </c>
      <c r="E31" s="195" t="s">
        <v>2442</v>
      </c>
      <c r="F31" s="308" t="s">
        <v>2115</v>
      </c>
      <c r="G31" s="308">
        <v>81897710023</v>
      </c>
      <c r="H31" s="322">
        <v>77.225869565217408</v>
      </c>
      <c r="I31" s="496">
        <f t="shared" si="0"/>
        <v>772.25869565217408</v>
      </c>
    </row>
    <row r="32" spans="1:9" x14ac:dyDescent="0.25">
      <c r="A32" s="506" t="s">
        <v>1641</v>
      </c>
      <c r="B32" s="500">
        <v>10</v>
      </c>
      <c r="C32" s="133">
        <v>2556</v>
      </c>
      <c r="D32" s="64" t="s">
        <v>4</v>
      </c>
      <c r="E32" s="195" t="s">
        <v>2443</v>
      </c>
      <c r="F32" s="308" t="s">
        <v>2116</v>
      </c>
      <c r="G32" s="308">
        <v>81897710023</v>
      </c>
      <c r="H32" s="322">
        <v>77.225869565217408</v>
      </c>
      <c r="I32" s="496">
        <f t="shared" si="0"/>
        <v>772.25869565217408</v>
      </c>
    </row>
    <row r="33" spans="1:9" x14ac:dyDescent="0.25">
      <c r="A33" s="506" t="s">
        <v>1642</v>
      </c>
      <c r="B33" s="500">
        <v>10</v>
      </c>
      <c r="C33" s="133">
        <v>2556</v>
      </c>
      <c r="D33" s="64" t="s">
        <v>4</v>
      </c>
      <c r="E33" s="195" t="s">
        <v>2444</v>
      </c>
      <c r="F33" s="308" t="s">
        <v>2136</v>
      </c>
      <c r="G33" s="308">
        <v>81897710023</v>
      </c>
      <c r="H33" s="322">
        <v>79.996304347826097</v>
      </c>
      <c r="I33" s="496">
        <f t="shared" si="0"/>
        <v>799.96304347826094</v>
      </c>
    </row>
    <row r="34" spans="1:9" x14ac:dyDescent="0.25">
      <c r="A34" s="506" t="s">
        <v>1643</v>
      </c>
      <c r="B34" s="500">
        <v>5</v>
      </c>
      <c r="C34" s="133" t="s">
        <v>1164</v>
      </c>
      <c r="D34" s="64" t="s">
        <v>8</v>
      </c>
      <c r="E34" s="195" t="s">
        <v>2456</v>
      </c>
      <c r="F34" s="308" t="s">
        <v>2137</v>
      </c>
      <c r="G34" s="308">
        <v>81897710001</v>
      </c>
      <c r="H34" s="322">
        <v>307.86456521739132</v>
      </c>
      <c r="I34" s="496">
        <f t="shared" si="0"/>
        <v>1539.3228260869566</v>
      </c>
    </row>
    <row r="35" spans="1:9" x14ac:dyDescent="0.25">
      <c r="A35" s="506" t="s">
        <v>1644</v>
      </c>
      <c r="B35" s="500">
        <v>10</v>
      </c>
      <c r="C35" s="133" t="s">
        <v>1645</v>
      </c>
      <c r="D35" s="64" t="s">
        <v>8</v>
      </c>
      <c r="E35" s="195" t="s">
        <v>2634</v>
      </c>
      <c r="F35" s="308" t="s">
        <v>2128</v>
      </c>
      <c r="G35" s="308">
        <v>81897710023</v>
      </c>
      <c r="H35" s="322">
        <v>85.190869565217383</v>
      </c>
      <c r="I35" s="496">
        <f t="shared" si="0"/>
        <v>851.90869565217383</v>
      </c>
    </row>
    <row r="36" spans="1:9" x14ac:dyDescent="0.25">
      <c r="A36" s="506" t="s">
        <v>1646</v>
      </c>
      <c r="B36" s="500">
        <v>10</v>
      </c>
      <c r="C36" s="133" t="s">
        <v>1647</v>
      </c>
      <c r="D36" s="64" t="s">
        <v>8</v>
      </c>
      <c r="E36" s="195" t="s">
        <v>2635</v>
      </c>
      <c r="F36" s="308" t="s">
        <v>2127</v>
      </c>
      <c r="G36" s="308">
        <v>81897710023</v>
      </c>
      <c r="H36" s="322">
        <v>77.225869565217408</v>
      </c>
      <c r="I36" s="496">
        <f t="shared" si="0"/>
        <v>772.25869565217408</v>
      </c>
    </row>
    <row r="37" spans="1:9" x14ac:dyDescent="0.25">
      <c r="A37" s="506" t="s">
        <v>1648</v>
      </c>
      <c r="B37" s="500">
        <v>10</v>
      </c>
      <c r="C37" s="133" t="s">
        <v>1647</v>
      </c>
      <c r="D37" s="64" t="s">
        <v>8</v>
      </c>
      <c r="E37" s="195" t="s">
        <v>2448</v>
      </c>
      <c r="F37" s="308" t="s">
        <v>2126</v>
      </c>
      <c r="G37" s="308">
        <v>81897710023</v>
      </c>
      <c r="H37" s="322">
        <v>71.685000000000002</v>
      </c>
      <c r="I37" s="496">
        <f t="shared" si="0"/>
        <v>716.85</v>
      </c>
    </row>
    <row r="38" spans="1:9" x14ac:dyDescent="0.25">
      <c r="A38" s="508" t="s">
        <v>1670</v>
      </c>
      <c r="B38" s="501">
        <v>5</v>
      </c>
      <c r="C38" s="239"/>
      <c r="D38" s="211"/>
      <c r="E38" s="195" t="s">
        <v>1670</v>
      </c>
      <c r="F38" s="308" t="s">
        <v>2078</v>
      </c>
      <c r="G38" s="308" t="e">
        <v>#N/A</v>
      </c>
      <c r="H38" s="322">
        <v>0</v>
      </c>
      <c r="I38" s="496">
        <f t="shared" si="0"/>
        <v>0</v>
      </c>
    </row>
    <row r="39" spans="1:9" x14ac:dyDescent="0.25">
      <c r="A39" s="506" t="s">
        <v>1649</v>
      </c>
      <c r="B39" s="500">
        <v>2</v>
      </c>
      <c r="C39" s="133" t="s">
        <v>226</v>
      </c>
      <c r="D39" s="64" t="s">
        <v>8</v>
      </c>
      <c r="E39" s="195" t="s">
        <v>2236</v>
      </c>
      <c r="F39" s="308" t="s">
        <v>1838</v>
      </c>
      <c r="G39" s="308">
        <v>81897710023</v>
      </c>
      <c r="H39" s="322">
        <v>159.64630434782609</v>
      </c>
      <c r="I39" s="496">
        <f t="shared" si="0"/>
        <v>319.29260869565218</v>
      </c>
    </row>
    <row r="40" spans="1:9" x14ac:dyDescent="0.25">
      <c r="A40" s="508" t="s">
        <v>1674</v>
      </c>
      <c r="B40" s="501">
        <v>2</v>
      </c>
      <c r="C40" s="239"/>
      <c r="D40" s="211"/>
      <c r="E40" s="195" t="s">
        <v>2236</v>
      </c>
      <c r="F40" s="308" t="s">
        <v>1838</v>
      </c>
      <c r="G40" s="308">
        <v>81897710023</v>
      </c>
      <c r="H40" s="322">
        <v>159.64630434782609</v>
      </c>
      <c r="I40" s="496">
        <f t="shared" si="0"/>
        <v>319.29260869565218</v>
      </c>
    </row>
    <row r="41" spans="1:9" x14ac:dyDescent="0.25">
      <c r="A41" s="506" t="s">
        <v>1650</v>
      </c>
      <c r="B41" s="500">
        <v>10</v>
      </c>
      <c r="C41" s="133" t="s">
        <v>1164</v>
      </c>
      <c r="D41" s="64" t="s">
        <v>8</v>
      </c>
      <c r="E41" s="195" t="s">
        <v>2636</v>
      </c>
      <c r="F41" s="308" t="s">
        <v>2138</v>
      </c>
      <c r="G41" s="308">
        <v>81897710001</v>
      </c>
      <c r="H41" s="322">
        <v>509.41369565217394</v>
      </c>
      <c r="I41" s="496">
        <f t="shared" si="0"/>
        <v>5094.1369565217392</v>
      </c>
    </row>
    <row r="42" spans="1:9" x14ac:dyDescent="0.25">
      <c r="A42" s="506" t="s">
        <v>1651</v>
      </c>
      <c r="B42" s="500">
        <v>10</v>
      </c>
      <c r="C42" s="133" t="s">
        <v>1164</v>
      </c>
      <c r="D42" s="64" t="s">
        <v>8</v>
      </c>
      <c r="E42" s="195" t="s">
        <v>2637</v>
      </c>
      <c r="F42" s="308" t="s">
        <v>2139</v>
      </c>
      <c r="G42" s="308">
        <v>81897710001</v>
      </c>
      <c r="H42" s="322">
        <v>787.84239130434787</v>
      </c>
      <c r="I42" s="496">
        <f t="shared" si="0"/>
        <v>7878.4239130434789</v>
      </c>
    </row>
    <row r="43" spans="1:9" x14ac:dyDescent="0.25">
      <c r="A43" s="506" t="s">
        <v>1652</v>
      </c>
      <c r="B43" s="500">
        <v>15</v>
      </c>
      <c r="C43" s="133" t="s">
        <v>66</v>
      </c>
      <c r="D43" s="64" t="s">
        <v>8</v>
      </c>
      <c r="E43" s="195" t="s">
        <v>2271</v>
      </c>
      <c r="F43" s="308" t="s">
        <v>1895</v>
      </c>
      <c r="G43" s="308">
        <v>81897710001</v>
      </c>
      <c r="H43" s="322">
        <v>137.13652173913044</v>
      </c>
      <c r="I43" s="496">
        <f t="shared" si="0"/>
        <v>2057.0478260869568</v>
      </c>
    </row>
    <row r="44" spans="1:9" x14ac:dyDescent="0.25">
      <c r="A44" s="506" t="s">
        <v>1653</v>
      </c>
      <c r="B44" s="500">
        <v>15</v>
      </c>
      <c r="C44" s="133" t="s">
        <v>68</v>
      </c>
      <c r="D44" s="64" t="s">
        <v>8</v>
      </c>
      <c r="E44" s="195" t="s">
        <v>2272</v>
      </c>
      <c r="F44" s="308" t="s">
        <v>1896</v>
      </c>
      <c r="G44" s="308">
        <v>81897710001</v>
      </c>
      <c r="H44" s="322">
        <v>134.36608695652174</v>
      </c>
      <c r="I44" s="496">
        <f t="shared" si="0"/>
        <v>2015.4913043478261</v>
      </c>
    </row>
    <row r="45" spans="1:9" x14ac:dyDescent="0.25">
      <c r="A45" s="507" t="s">
        <v>2147</v>
      </c>
      <c r="B45" s="499">
        <v>30</v>
      </c>
      <c r="C45" s="97"/>
      <c r="D45" s="195"/>
      <c r="E45" s="195" t="s">
        <v>2273</v>
      </c>
      <c r="F45" s="308" t="s">
        <v>1897</v>
      </c>
      <c r="G45" s="308">
        <v>81897710001</v>
      </c>
      <c r="H45" s="322">
        <v>109.08586956521739</v>
      </c>
      <c r="I45" s="496">
        <f t="shared" si="0"/>
        <v>3272.576086956522</v>
      </c>
    </row>
    <row r="46" spans="1:9" x14ac:dyDescent="0.25">
      <c r="A46" s="507" t="s">
        <v>2148</v>
      </c>
      <c r="B46" s="499">
        <v>30</v>
      </c>
      <c r="C46" s="97"/>
      <c r="D46" s="195"/>
      <c r="E46" s="195" t="s">
        <v>2252</v>
      </c>
      <c r="F46" s="308" t="s">
        <v>1851</v>
      </c>
      <c r="G46" s="308">
        <v>81897710023</v>
      </c>
      <c r="H46" s="322">
        <v>90.731739130434789</v>
      </c>
      <c r="I46" s="496">
        <f t="shared" si="0"/>
        <v>2721.9521739130437</v>
      </c>
    </row>
    <row r="47" spans="1:9" x14ac:dyDescent="0.25">
      <c r="A47" s="507" t="s">
        <v>2149</v>
      </c>
      <c r="B47" s="499">
        <v>30</v>
      </c>
      <c r="C47" s="97"/>
      <c r="D47" s="195"/>
      <c r="E47" s="195" t="s">
        <v>2264</v>
      </c>
      <c r="F47" s="308" t="s">
        <v>1875</v>
      </c>
      <c r="G47" s="308">
        <v>81897710023</v>
      </c>
      <c r="H47" s="322">
        <v>94.541086956521738</v>
      </c>
      <c r="I47" s="496">
        <f t="shared" si="0"/>
        <v>2836.2326086956523</v>
      </c>
    </row>
    <row r="48" spans="1:9" x14ac:dyDescent="0.25">
      <c r="A48" s="505" t="s">
        <v>1657</v>
      </c>
      <c r="B48" s="134">
        <v>12</v>
      </c>
      <c r="C48" s="133" t="s">
        <v>76</v>
      </c>
      <c r="D48" s="64" t="s">
        <v>8</v>
      </c>
      <c r="E48" s="195" t="s">
        <v>2275</v>
      </c>
      <c r="F48" s="308" t="s">
        <v>1902</v>
      </c>
      <c r="G48" s="308">
        <v>81897710001</v>
      </c>
      <c r="H48" s="322">
        <v>116.70456521739129</v>
      </c>
      <c r="I48" s="496">
        <f t="shared" si="0"/>
        <v>1400.4547826086955</v>
      </c>
    </row>
    <row r="49" spans="1:9" x14ac:dyDescent="0.25">
      <c r="A49" s="506" t="s">
        <v>1275</v>
      </c>
      <c r="B49" s="500">
        <v>10</v>
      </c>
      <c r="C49" s="133" t="s">
        <v>166</v>
      </c>
      <c r="D49" s="64" t="s">
        <v>8</v>
      </c>
      <c r="E49" s="195" t="s">
        <v>2241</v>
      </c>
      <c r="F49" s="308" t="s">
        <v>1982</v>
      </c>
      <c r="G49" s="308">
        <v>81897710023</v>
      </c>
      <c r="H49" s="322">
        <v>858.48847826086967</v>
      </c>
      <c r="I49" s="496">
        <f t="shared" si="0"/>
        <v>8584.8847826086967</v>
      </c>
    </row>
    <row r="50" spans="1:9" x14ac:dyDescent="0.25">
      <c r="A50" s="505" t="s">
        <v>1614</v>
      </c>
      <c r="B50" s="134">
        <v>12</v>
      </c>
      <c r="C50" s="133" t="s">
        <v>24</v>
      </c>
      <c r="D50" s="64" t="s">
        <v>8</v>
      </c>
      <c r="E50" s="195" t="s">
        <v>2243</v>
      </c>
      <c r="F50" s="308" t="s">
        <v>1844</v>
      </c>
      <c r="G50" s="308">
        <v>81897710001</v>
      </c>
      <c r="H50" s="322">
        <v>111.8563043478261</v>
      </c>
      <c r="I50" s="496">
        <f t="shared" si="0"/>
        <v>1342.2756521739132</v>
      </c>
    </row>
    <row r="51" spans="1:9" x14ac:dyDescent="0.25">
      <c r="A51" s="506" t="s">
        <v>1614</v>
      </c>
      <c r="B51" s="500">
        <v>12</v>
      </c>
      <c r="C51" s="133" t="s">
        <v>24</v>
      </c>
      <c r="D51" s="64" t="s">
        <v>8</v>
      </c>
      <c r="E51" s="195" t="s">
        <v>2243</v>
      </c>
      <c r="F51" s="308" t="s">
        <v>1844</v>
      </c>
      <c r="G51" s="308">
        <v>81897710001</v>
      </c>
      <c r="H51" s="322">
        <v>111.8563043478261</v>
      </c>
      <c r="I51" s="496">
        <f t="shared" si="0"/>
        <v>1342.2756521739132</v>
      </c>
    </row>
    <row r="52" spans="1:9" x14ac:dyDescent="0.25">
      <c r="A52" s="506" t="s">
        <v>1658</v>
      </c>
      <c r="B52" s="500">
        <v>12</v>
      </c>
      <c r="C52" s="133" t="s">
        <v>26</v>
      </c>
      <c r="D52" s="64" t="s">
        <v>8</v>
      </c>
      <c r="E52" s="195" t="s">
        <v>2244</v>
      </c>
      <c r="F52" s="308" t="s">
        <v>1845</v>
      </c>
      <c r="G52" s="308">
        <v>81897710001</v>
      </c>
      <c r="H52" s="322">
        <v>109.08586956521739</v>
      </c>
      <c r="I52" s="496">
        <f t="shared" si="0"/>
        <v>1309.0304347826086</v>
      </c>
    </row>
    <row r="53" spans="1:9" x14ac:dyDescent="0.25">
      <c r="A53" s="506" t="s">
        <v>159</v>
      </c>
      <c r="B53" s="500">
        <v>10</v>
      </c>
      <c r="C53" s="133" t="s">
        <v>160</v>
      </c>
      <c r="D53" s="64" t="s">
        <v>8</v>
      </c>
      <c r="E53" s="195" t="s">
        <v>2246</v>
      </c>
      <c r="F53" s="308" t="s">
        <v>1847</v>
      </c>
      <c r="G53" s="308">
        <v>81897710023</v>
      </c>
      <c r="H53" s="322">
        <v>156.87586956521739</v>
      </c>
      <c r="I53" s="496">
        <f t="shared" si="0"/>
        <v>1568.7586956521739</v>
      </c>
    </row>
    <row r="54" spans="1:9" x14ac:dyDescent="0.25">
      <c r="A54" s="506" t="s">
        <v>600</v>
      </c>
      <c r="B54" s="500">
        <v>10</v>
      </c>
      <c r="C54" s="133" t="s">
        <v>601</v>
      </c>
      <c r="D54" s="64" t="s">
        <v>8</v>
      </c>
      <c r="E54" s="195" t="s">
        <v>2247</v>
      </c>
      <c r="F54" s="308" t="s">
        <v>1731</v>
      </c>
      <c r="G54" s="308">
        <v>81897710023</v>
      </c>
      <c r="H54" s="322">
        <v>93.502173913043478</v>
      </c>
      <c r="I54" s="496">
        <f t="shared" si="0"/>
        <v>935.02173913043475</v>
      </c>
    </row>
    <row r="55" spans="1:9" x14ac:dyDescent="0.25">
      <c r="A55" s="505" t="s">
        <v>600</v>
      </c>
      <c r="B55" s="500">
        <v>10</v>
      </c>
      <c r="C55" s="133" t="s">
        <v>601</v>
      </c>
      <c r="D55" s="64" t="s">
        <v>8</v>
      </c>
      <c r="E55" s="195" t="s">
        <v>2247</v>
      </c>
      <c r="F55" s="308" t="s">
        <v>1731</v>
      </c>
      <c r="G55" s="308">
        <v>81897710023</v>
      </c>
      <c r="H55" s="322">
        <v>93.502173913043478</v>
      </c>
      <c r="I55" s="496">
        <f t="shared" si="0"/>
        <v>935.02173913043475</v>
      </c>
    </row>
    <row r="56" spans="1:9" x14ac:dyDescent="0.25">
      <c r="A56" s="506" t="s">
        <v>600</v>
      </c>
      <c r="B56" s="500">
        <v>10</v>
      </c>
      <c r="C56" s="133" t="s">
        <v>601</v>
      </c>
      <c r="D56" s="64" t="s">
        <v>8</v>
      </c>
      <c r="E56" s="195" t="s">
        <v>2247</v>
      </c>
      <c r="F56" s="308" t="s">
        <v>1731</v>
      </c>
      <c r="G56" s="308">
        <v>81897710023</v>
      </c>
      <c r="H56" s="322">
        <v>93.502173913043478</v>
      </c>
      <c r="I56" s="496">
        <f t="shared" si="0"/>
        <v>935.02173913043475</v>
      </c>
    </row>
    <row r="57" spans="1:9" x14ac:dyDescent="0.25">
      <c r="A57" s="506" t="s">
        <v>600</v>
      </c>
      <c r="B57" s="500">
        <v>10</v>
      </c>
      <c r="C57" s="133" t="s">
        <v>601</v>
      </c>
      <c r="D57" s="64" t="s">
        <v>8</v>
      </c>
      <c r="E57" s="195" t="s">
        <v>2247</v>
      </c>
      <c r="F57" s="308" t="s">
        <v>1731</v>
      </c>
      <c r="G57" s="308">
        <v>81897710023</v>
      </c>
      <c r="H57" s="322">
        <v>93.502173913043478</v>
      </c>
      <c r="I57" s="496">
        <f t="shared" si="0"/>
        <v>935.02173913043475</v>
      </c>
    </row>
    <row r="58" spans="1:9" x14ac:dyDescent="0.25">
      <c r="A58" s="506" t="s">
        <v>600</v>
      </c>
      <c r="B58" s="500">
        <v>10</v>
      </c>
      <c r="C58" s="133" t="s">
        <v>601</v>
      </c>
      <c r="D58" s="64" t="s">
        <v>8</v>
      </c>
      <c r="E58" s="195" t="s">
        <v>2247</v>
      </c>
      <c r="F58" s="308" t="s">
        <v>1731</v>
      </c>
      <c r="G58" s="308">
        <v>81897710023</v>
      </c>
      <c r="H58" s="322">
        <v>93.502173913043478</v>
      </c>
      <c r="I58" s="496">
        <f t="shared" si="0"/>
        <v>935.02173913043475</v>
      </c>
    </row>
    <row r="59" spans="1:9" x14ac:dyDescent="0.25">
      <c r="A59" s="506" t="s">
        <v>703</v>
      </c>
      <c r="B59" s="500">
        <v>10</v>
      </c>
      <c r="C59" s="133" t="s">
        <v>601</v>
      </c>
      <c r="D59" s="64" t="s">
        <v>8</v>
      </c>
      <c r="E59" s="195" t="s">
        <v>2247</v>
      </c>
      <c r="F59" s="308" t="s">
        <v>1731</v>
      </c>
      <c r="G59" s="308">
        <v>81897710023</v>
      </c>
      <c r="H59" s="322">
        <v>93.502173913043478</v>
      </c>
      <c r="I59" s="496">
        <f t="shared" si="0"/>
        <v>935.02173913043475</v>
      </c>
    </row>
    <row r="60" spans="1:9" x14ac:dyDescent="0.25">
      <c r="A60" s="506" t="s">
        <v>602</v>
      </c>
      <c r="B60" s="500">
        <v>60</v>
      </c>
      <c r="C60" s="133" t="s">
        <v>33</v>
      </c>
      <c r="D60" s="64" t="s">
        <v>8</v>
      </c>
      <c r="E60" s="195" t="s">
        <v>2248</v>
      </c>
      <c r="F60" s="358" t="s">
        <v>1730</v>
      </c>
      <c r="G60" s="308">
        <v>81897710023</v>
      </c>
      <c r="H60" s="322">
        <v>90.385434782608684</v>
      </c>
      <c r="I60" s="496">
        <f t="shared" si="0"/>
        <v>5423.1260869565212</v>
      </c>
    </row>
    <row r="61" spans="1:9" x14ac:dyDescent="0.25">
      <c r="A61" s="505" t="s">
        <v>602</v>
      </c>
      <c r="B61" s="500">
        <v>10</v>
      </c>
      <c r="C61" s="133" t="s">
        <v>33</v>
      </c>
      <c r="D61" s="64" t="s">
        <v>8</v>
      </c>
      <c r="E61" s="195" t="s">
        <v>2248</v>
      </c>
      <c r="F61" s="358" t="s">
        <v>1730</v>
      </c>
      <c r="G61" s="308">
        <v>81897710023</v>
      </c>
      <c r="H61" s="322">
        <v>90.385434782608684</v>
      </c>
      <c r="I61" s="496">
        <f t="shared" si="0"/>
        <v>903.85434782608684</v>
      </c>
    </row>
    <row r="62" spans="1:9" x14ac:dyDescent="0.25">
      <c r="A62" s="506" t="s">
        <v>602</v>
      </c>
      <c r="B62" s="500">
        <v>10</v>
      </c>
      <c r="C62" s="133" t="s">
        <v>33</v>
      </c>
      <c r="D62" s="64" t="s">
        <v>8</v>
      </c>
      <c r="E62" s="195" t="s">
        <v>2248</v>
      </c>
      <c r="F62" s="358" t="s">
        <v>1730</v>
      </c>
      <c r="G62" s="308">
        <v>81897710023</v>
      </c>
      <c r="H62" s="322">
        <v>90.385434782608684</v>
      </c>
      <c r="I62" s="496">
        <f t="shared" si="0"/>
        <v>903.85434782608684</v>
      </c>
    </row>
    <row r="63" spans="1:9" x14ac:dyDescent="0.25">
      <c r="A63" s="506" t="s">
        <v>602</v>
      </c>
      <c r="B63" s="500">
        <v>10</v>
      </c>
      <c r="C63" s="133" t="s">
        <v>33</v>
      </c>
      <c r="D63" s="64" t="s">
        <v>8</v>
      </c>
      <c r="E63" s="195" t="s">
        <v>2248</v>
      </c>
      <c r="F63" s="351" t="s">
        <v>1730</v>
      </c>
      <c r="G63" s="308">
        <v>81897710023</v>
      </c>
      <c r="H63" s="322">
        <v>90.385434782608684</v>
      </c>
      <c r="I63" s="496">
        <f t="shared" si="0"/>
        <v>903.85434782608684</v>
      </c>
    </row>
    <row r="64" spans="1:9" x14ac:dyDescent="0.25">
      <c r="A64" s="506" t="s">
        <v>704</v>
      </c>
      <c r="B64" s="500">
        <v>70</v>
      </c>
      <c r="C64" s="133" t="s">
        <v>33</v>
      </c>
      <c r="D64" s="64" t="s">
        <v>8</v>
      </c>
      <c r="E64" s="195" t="s">
        <v>2248</v>
      </c>
      <c r="F64" s="358" t="s">
        <v>1730</v>
      </c>
      <c r="G64" s="308">
        <v>81897710023</v>
      </c>
      <c r="H64" s="322">
        <v>90.385434782608684</v>
      </c>
      <c r="I64" s="496">
        <f t="shared" si="0"/>
        <v>6326.9804347826075</v>
      </c>
    </row>
    <row r="65" spans="1:9" x14ac:dyDescent="0.25">
      <c r="A65" s="506" t="s">
        <v>705</v>
      </c>
      <c r="B65" s="500">
        <v>10</v>
      </c>
      <c r="C65" s="133" t="s">
        <v>36</v>
      </c>
      <c r="D65" s="64" t="s">
        <v>8</v>
      </c>
      <c r="E65" s="195" t="s">
        <v>2249</v>
      </c>
      <c r="F65" s="308" t="s">
        <v>1848</v>
      </c>
      <c r="G65" s="308">
        <v>81897710001</v>
      </c>
      <c r="H65" s="322">
        <v>205.01217391304351</v>
      </c>
      <c r="I65" s="496">
        <f t="shared" si="0"/>
        <v>2050.1217391304353</v>
      </c>
    </row>
    <row r="66" spans="1:9" x14ac:dyDescent="0.25">
      <c r="A66" s="506" t="s">
        <v>1605</v>
      </c>
      <c r="B66" s="500">
        <v>12</v>
      </c>
      <c r="C66" s="133" t="s">
        <v>43</v>
      </c>
      <c r="D66" s="64" t="s">
        <v>8</v>
      </c>
      <c r="E66" s="195" t="s">
        <v>2252</v>
      </c>
      <c r="F66" s="308" t="s">
        <v>1851</v>
      </c>
      <c r="G66" s="308">
        <v>81897710023</v>
      </c>
      <c r="H66" s="322">
        <v>90.731739130434789</v>
      </c>
      <c r="I66" s="496">
        <f t="shared" si="0"/>
        <v>1088.7808695652175</v>
      </c>
    </row>
    <row r="67" spans="1:9" x14ac:dyDescent="0.25">
      <c r="A67" s="505" t="s">
        <v>1605</v>
      </c>
      <c r="B67" s="500">
        <v>10</v>
      </c>
      <c r="C67" s="133" t="s">
        <v>43</v>
      </c>
      <c r="D67" s="64" t="s">
        <v>8</v>
      </c>
      <c r="E67" s="195" t="s">
        <v>2252</v>
      </c>
      <c r="F67" s="308" t="s">
        <v>1851</v>
      </c>
      <c r="G67" s="308">
        <v>81897710023</v>
      </c>
      <c r="H67" s="322">
        <v>90.731739130434789</v>
      </c>
      <c r="I67" s="496">
        <f t="shared" ref="I67:I120" si="1">H67*B67</f>
        <v>907.31739130434789</v>
      </c>
    </row>
    <row r="68" spans="1:9" x14ac:dyDescent="0.25">
      <c r="A68" s="506" t="s">
        <v>1605</v>
      </c>
      <c r="B68" s="500">
        <v>10</v>
      </c>
      <c r="C68" s="133" t="s">
        <v>43</v>
      </c>
      <c r="D68" s="64" t="s">
        <v>8</v>
      </c>
      <c r="E68" s="195" t="s">
        <v>2252</v>
      </c>
      <c r="F68" s="308" t="s">
        <v>1851</v>
      </c>
      <c r="G68" s="308">
        <v>81897710023</v>
      </c>
      <c r="H68" s="322">
        <v>90.731739130434789</v>
      </c>
      <c r="I68" s="496">
        <f t="shared" si="1"/>
        <v>907.31739130434789</v>
      </c>
    </row>
    <row r="69" spans="1:9" x14ac:dyDescent="0.25">
      <c r="A69" s="506" t="s">
        <v>1605</v>
      </c>
      <c r="B69" s="500">
        <v>10</v>
      </c>
      <c r="C69" s="133" t="s">
        <v>43</v>
      </c>
      <c r="D69" s="64" t="s">
        <v>8</v>
      </c>
      <c r="E69" s="195" t="s">
        <v>2252</v>
      </c>
      <c r="F69" s="342" t="s">
        <v>1851</v>
      </c>
      <c r="G69" s="308">
        <v>81897710023</v>
      </c>
      <c r="H69" s="322">
        <v>90.731739130434789</v>
      </c>
      <c r="I69" s="496">
        <f t="shared" si="1"/>
        <v>907.31739130434789</v>
      </c>
    </row>
    <row r="70" spans="1:9" x14ac:dyDescent="0.25">
      <c r="A70" s="506" t="s">
        <v>706</v>
      </c>
      <c r="B70" s="500">
        <v>10</v>
      </c>
      <c r="C70" s="133" t="s">
        <v>678</v>
      </c>
      <c r="D70" s="64" t="s">
        <v>8</v>
      </c>
      <c r="E70" s="195" t="s">
        <v>2416</v>
      </c>
      <c r="F70" s="308" t="s">
        <v>1853</v>
      </c>
      <c r="G70" s="308">
        <v>81897710023</v>
      </c>
      <c r="H70" s="322">
        <v>121.55282608695654</v>
      </c>
      <c r="I70" s="496">
        <f t="shared" si="1"/>
        <v>1215.5282608695654</v>
      </c>
    </row>
    <row r="71" spans="1:9" x14ac:dyDescent="0.25">
      <c r="A71" s="506" t="s">
        <v>308</v>
      </c>
      <c r="B71" s="500">
        <v>10</v>
      </c>
      <c r="C71" s="133">
        <v>957</v>
      </c>
      <c r="D71" s="64" t="s">
        <v>4</v>
      </c>
      <c r="E71" s="195" t="s">
        <v>2258</v>
      </c>
      <c r="F71" s="308" t="s">
        <v>1861</v>
      </c>
      <c r="G71" s="308">
        <v>81897710001</v>
      </c>
      <c r="H71" s="322">
        <v>145.7941304347826</v>
      </c>
      <c r="I71" s="496">
        <f t="shared" si="1"/>
        <v>1457.941304347826</v>
      </c>
    </row>
    <row r="72" spans="1:9" x14ac:dyDescent="0.25">
      <c r="A72" s="506" t="s">
        <v>1250</v>
      </c>
      <c r="B72" s="500">
        <v>10</v>
      </c>
      <c r="C72" s="133" t="s">
        <v>156</v>
      </c>
      <c r="D72" s="64" t="s">
        <v>8</v>
      </c>
      <c r="E72" s="195" t="s">
        <v>2259</v>
      </c>
      <c r="F72" s="308" t="s">
        <v>1864</v>
      </c>
      <c r="G72" s="308">
        <v>81897710023</v>
      </c>
      <c r="H72" s="322">
        <v>135.05869565217392</v>
      </c>
      <c r="I72" s="496">
        <f t="shared" si="1"/>
        <v>1350.5869565217392</v>
      </c>
    </row>
    <row r="73" spans="1:9" x14ac:dyDescent="0.25">
      <c r="A73" s="506" t="s">
        <v>1659</v>
      </c>
      <c r="B73" s="500">
        <v>5</v>
      </c>
      <c r="C73" s="133" t="s">
        <v>559</v>
      </c>
      <c r="D73" s="64" t="s">
        <v>8</v>
      </c>
      <c r="E73" s="195" t="s">
        <v>1659</v>
      </c>
      <c r="F73" s="342" t="s">
        <v>2078</v>
      </c>
      <c r="G73" s="308" t="e">
        <v>#N/A</v>
      </c>
      <c r="H73" s="322">
        <v>0</v>
      </c>
      <c r="I73" s="496">
        <f t="shared" si="1"/>
        <v>0</v>
      </c>
    </row>
    <row r="74" spans="1:9" x14ac:dyDescent="0.25">
      <c r="A74" s="506" t="s">
        <v>1660</v>
      </c>
      <c r="B74" s="500">
        <v>10</v>
      </c>
      <c r="C74" s="133" t="s">
        <v>1164</v>
      </c>
      <c r="D74" s="64" t="s">
        <v>8</v>
      </c>
      <c r="E74" s="211" t="s">
        <v>2638</v>
      </c>
      <c r="F74" s="351" t="s">
        <v>2140</v>
      </c>
      <c r="G74" s="308">
        <v>81897710001</v>
      </c>
      <c r="H74" s="322">
        <v>801.34826086956514</v>
      </c>
      <c r="I74" s="496">
        <f t="shared" si="1"/>
        <v>8013.4826086956509</v>
      </c>
    </row>
    <row r="75" spans="1:9" x14ac:dyDescent="0.25">
      <c r="A75" s="506" t="s">
        <v>52</v>
      </c>
      <c r="B75" s="502">
        <v>5</v>
      </c>
      <c r="C75" s="133" t="s">
        <v>53</v>
      </c>
      <c r="D75" s="64" t="s">
        <v>8</v>
      </c>
      <c r="E75" s="195" t="s">
        <v>2260</v>
      </c>
      <c r="F75" s="260" t="s">
        <v>1866</v>
      </c>
      <c r="G75" s="308">
        <v>81897710001</v>
      </c>
      <c r="H75" s="322">
        <v>545.08304347826083</v>
      </c>
      <c r="I75" s="496">
        <f t="shared" si="1"/>
        <v>2725.4152173913044</v>
      </c>
    </row>
    <row r="76" spans="1:9" x14ac:dyDescent="0.25">
      <c r="A76" s="505" t="s">
        <v>1612</v>
      </c>
      <c r="B76" s="500">
        <v>10</v>
      </c>
      <c r="C76" s="133" t="s">
        <v>55</v>
      </c>
      <c r="D76" s="64" t="s">
        <v>8</v>
      </c>
      <c r="E76" s="195" t="s">
        <v>2264</v>
      </c>
      <c r="F76" s="308" t="s">
        <v>1875</v>
      </c>
      <c r="G76" s="308">
        <v>81897710023</v>
      </c>
      <c r="H76" s="322">
        <v>94.541086956521738</v>
      </c>
      <c r="I76" s="496">
        <f t="shared" si="1"/>
        <v>945.41086956521735</v>
      </c>
    </row>
    <row r="77" spans="1:9" x14ac:dyDescent="0.25">
      <c r="A77" s="506" t="s">
        <v>1612</v>
      </c>
      <c r="B77" s="500">
        <v>10</v>
      </c>
      <c r="C77" s="133" t="s">
        <v>55</v>
      </c>
      <c r="D77" s="64" t="s">
        <v>8</v>
      </c>
      <c r="E77" s="195" t="s">
        <v>2264</v>
      </c>
      <c r="F77" s="342" t="s">
        <v>1875</v>
      </c>
      <c r="G77" s="308">
        <v>81897710023</v>
      </c>
      <c r="H77" s="322">
        <v>94.541086956521738</v>
      </c>
      <c r="I77" s="496">
        <f t="shared" si="1"/>
        <v>945.41086956521735</v>
      </c>
    </row>
    <row r="78" spans="1:9" x14ac:dyDescent="0.25">
      <c r="A78" s="506" t="s">
        <v>54</v>
      </c>
      <c r="B78" s="500">
        <v>12</v>
      </c>
      <c r="C78" s="133" t="s">
        <v>55</v>
      </c>
      <c r="D78" s="64" t="s">
        <v>8</v>
      </c>
      <c r="E78" s="195" t="s">
        <v>2264</v>
      </c>
      <c r="F78" s="308" t="s">
        <v>1875</v>
      </c>
      <c r="G78" s="308">
        <v>81897710023</v>
      </c>
      <c r="H78" s="322">
        <v>94.541086956521738</v>
      </c>
      <c r="I78" s="496">
        <f t="shared" si="1"/>
        <v>1134.4930434782609</v>
      </c>
    </row>
    <row r="79" spans="1:9" x14ac:dyDescent="0.25">
      <c r="A79" s="506" t="s">
        <v>338</v>
      </c>
      <c r="B79" s="500">
        <v>15</v>
      </c>
      <c r="C79" s="133" t="s">
        <v>66</v>
      </c>
      <c r="D79" s="64" t="s">
        <v>8</v>
      </c>
      <c r="E79" s="195" t="s">
        <v>2271</v>
      </c>
      <c r="F79" s="308" t="s">
        <v>1895</v>
      </c>
      <c r="G79" s="308">
        <v>81897710001</v>
      </c>
      <c r="H79" s="322">
        <v>137.13652173913044</v>
      </c>
      <c r="I79" s="496">
        <f t="shared" si="1"/>
        <v>2057.0478260869568</v>
      </c>
    </row>
    <row r="80" spans="1:9" x14ac:dyDescent="0.25">
      <c r="A80" s="505" t="s">
        <v>1611</v>
      </c>
      <c r="B80" s="500">
        <v>10</v>
      </c>
      <c r="C80" s="133" t="s">
        <v>65</v>
      </c>
      <c r="D80" s="64" t="s">
        <v>8</v>
      </c>
      <c r="E80" s="195" t="s">
        <v>2270</v>
      </c>
      <c r="F80" s="308" t="s">
        <v>1894</v>
      </c>
      <c r="G80" s="308">
        <v>81897710001</v>
      </c>
      <c r="H80" s="322">
        <v>111.8563043478261</v>
      </c>
      <c r="I80" s="496">
        <f t="shared" si="1"/>
        <v>1118.5630434782611</v>
      </c>
    </row>
    <row r="81" spans="1:9" x14ac:dyDescent="0.25">
      <c r="A81" s="505" t="s">
        <v>1258</v>
      </c>
      <c r="B81" s="134">
        <v>15</v>
      </c>
      <c r="C81" s="133" t="s">
        <v>68</v>
      </c>
      <c r="D81" s="64" t="s">
        <v>8</v>
      </c>
      <c r="E81" s="195" t="s">
        <v>2273</v>
      </c>
      <c r="F81" s="308" t="s">
        <v>1897</v>
      </c>
      <c r="G81" s="308">
        <v>81897710001</v>
      </c>
      <c r="H81" s="322">
        <v>109.08586956521739</v>
      </c>
      <c r="I81" s="496">
        <f t="shared" si="1"/>
        <v>1636.288043478261</v>
      </c>
    </row>
    <row r="82" spans="1:9" x14ac:dyDescent="0.25">
      <c r="A82" s="506" t="s">
        <v>75</v>
      </c>
      <c r="B82" s="500">
        <v>12</v>
      </c>
      <c r="C82" s="133" t="s">
        <v>76</v>
      </c>
      <c r="D82" s="64" t="s">
        <v>8</v>
      </c>
      <c r="E82" s="195" t="s">
        <v>2275</v>
      </c>
      <c r="F82" s="308" t="s">
        <v>1902</v>
      </c>
      <c r="G82" s="308">
        <v>81897710001</v>
      </c>
      <c r="H82" s="322">
        <v>116.70456521739129</v>
      </c>
      <c r="I82" s="496">
        <f t="shared" si="1"/>
        <v>1400.4547826086955</v>
      </c>
    </row>
    <row r="83" spans="1:9" x14ac:dyDescent="0.25">
      <c r="A83" s="505" t="s">
        <v>1609</v>
      </c>
      <c r="B83" s="500">
        <v>10</v>
      </c>
      <c r="C83" s="133" t="s">
        <v>1610</v>
      </c>
      <c r="D83" s="64" t="s">
        <v>8</v>
      </c>
      <c r="E83" s="195" t="s">
        <v>2639</v>
      </c>
      <c r="F83" s="308" t="s">
        <v>2069</v>
      </c>
      <c r="G83" s="308">
        <v>81897710001</v>
      </c>
      <c r="H83" s="322">
        <v>276.0045652173913</v>
      </c>
      <c r="I83" s="496">
        <f t="shared" si="1"/>
        <v>2760.0456521739129</v>
      </c>
    </row>
    <row r="84" spans="1:9" x14ac:dyDescent="0.25">
      <c r="A84" s="506" t="s">
        <v>708</v>
      </c>
      <c r="B84" s="500">
        <v>10</v>
      </c>
      <c r="C84" s="133" t="s">
        <v>24</v>
      </c>
      <c r="D84" s="64" t="s">
        <v>8</v>
      </c>
      <c r="E84" s="195" t="s">
        <v>2243</v>
      </c>
      <c r="F84" s="308" t="s">
        <v>1844</v>
      </c>
      <c r="G84" s="308">
        <v>81897710001</v>
      </c>
      <c r="H84" s="322">
        <v>111.8563043478261</v>
      </c>
      <c r="I84" s="496">
        <f t="shared" si="1"/>
        <v>1118.5630434782611</v>
      </c>
    </row>
    <row r="85" spans="1:9" x14ac:dyDescent="0.25">
      <c r="A85" s="506" t="s">
        <v>709</v>
      </c>
      <c r="B85" s="500">
        <v>10</v>
      </c>
      <c r="C85" s="133" t="s">
        <v>26</v>
      </c>
      <c r="D85" s="64" t="s">
        <v>8</v>
      </c>
      <c r="E85" s="195" t="s">
        <v>2244</v>
      </c>
      <c r="F85" s="308" t="s">
        <v>1845</v>
      </c>
      <c r="G85" s="308">
        <v>81897710001</v>
      </c>
      <c r="H85" s="322">
        <v>109.08586956521739</v>
      </c>
      <c r="I85" s="496">
        <f t="shared" si="1"/>
        <v>1090.858695652174</v>
      </c>
    </row>
    <row r="86" spans="1:9" x14ac:dyDescent="0.25">
      <c r="A86" s="505" t="s">
        <v>1613</v>
      </c>
      <c r="B86" s="134">
        <v>12</v>
      </c>
      <c r="C86" s="133" t="s">
        <v>26</v>
      </c>
      <c r="D86" s="64" t="s">
        <v>8</v>
      </c>
      <c r="E86" s="195" t="s">
        <v>2244</v>
      </c>
      <c r="F86" s="308" t="s">
        <v>1845</v>
      </c>
      <c r="G86" s="308">
        <v>81897710001</v>
      </c>
      <c r="H86" s="322">
        <v>109.08586956521739</v>
      </c>
      <c r="I86" s="496">
        <f t="shared" si="1"/>
        <v>1309.0304347826086</v>
      </c>
    </row>
    <row r="87" spans="1:9" x14ac:dyDescent="0.25">
      <c r="A87" s="505" t="s">
        <v>1034</v>
      </c>
      <c r="B87" s="500">
        <v>10</v>
      </c>
      <c r="C87" s="133" t="s">
        <v>711</v>
      </c>
      <c r="D87" s="64" t="s">
        <v>8</v>
      </c>
      <c r="E87" s="195" t="s">
        <v>2489</v>
      </c>
      <c r="F87" s="308" t="s">
        <v>1909</v>
      </c>
      <c r="G87" s="308">
        <v>81897710001</v>
      </c>
      <c r="H87" s="322">
        <v>189.42847826086958</v>
      </c>
      <c r="I87" s="496">
        <f t="shared" si="1"/>
        <v>1894.2847826086959</v>
      </c>
    </row>
    <row r="88" spans="1:9" x14ac:dyDescent="0.25">
      <c r="A88" s="506" t="s">
        <v>1034</v>
      </c>
      <c r="B88" s="500">
        <v>10</v>
      </c>
      <c r="C88" s="133" t="s">
        <v>711</v>
      </c>
      <c r="D88" s="64" t="s">
        <v>8</v>
      </c>
      <c r="E88" s="195" t="s">
        <v>2489</v>
      </c>
      <c r="F88" s="308" t="s">
        <v>1909</v>
      </c>
      <c r="G88" s="308">
        <v>81897710001</v>
      </c>
      <c r="H88" s="322">
        <v>189.42847826086958</v>
      </c>
      <c r="I88" s="496">
        <f t="shared" si="1"/>
        <v>1894.2847826086959</v>
      </c>
    </row>
    <row r="89" spans="1:9" x14ac:dyDescent="0.25">
      <c r="A89" s="506" t="s">
        <v>710</v>
      </c>
      <c r="B89" s="500">
        <v>12</v>
      </c>
      <c r="C89" s="133" t="s">
        <v>711</v>
      </c>
      <c r="D89" s="64" t="s">
        <v>8</v>
      </c>
      <c r="E89" s="195" t="s">
        <v>2489</v>
      </c>
      <c r="F89" s="308" t="s">
        <v>1909</v>
      </c>
      <c r="G89" s="308">
        <v>81897710001</v>
      </c>
      <c r="H89" s="322">
        <v>189.42847826086958</v>
      </c>
      <c r="I89" s="496">
        <f t="shared" si="1"/>
        <v>2273.1417391304349</v>
      </c>
    </row>
    <row r="90" spans="1:9" x14ac:dyDescent="0.25">
      <c r="A90" s="505" t="s">
        <v>1661</v>
      </c>
      <c r="B90" s="500">
        <v>10</v>
      </c>
      <c r="C90" s="133" t="s">
        <v>711</v>
      </c>
      <c r="D90" s="64" t="s">
        <v>8</v>
      </c>
      <c r="E90" s="195" t="s">
        <v>2489</v>
      </c>
      <c r="F90" s="352" t="s">
        <v>1909</v>
      </c>
      <c r="G90" s="308">
        <v>81897710001</v>
      </c>
      <c r="H90" s="322">
        <v>189.42847826086958</v>
      </c>
      <c r="I90" s="496">
        <f t="shared" si="1"/>
        <v>1894.2847826086959</v>
      </c>
    </row>
    <row r="91" spans="1:9" x14ac:dyDescent="0.25">
      <c r="A91" s="506" t="s">
        <v>712</v>
      </c>
      <c r="B91" s="500">
        <v>10</v>
      </c>
      <c r="C91" s="133" t="s">
        <v>713</v>
      </c>
      <c r="D91" s="64" t="s">
        <v>8</v>
      </c>
      <c r="E91" s="195" t="s">
        <v>2640</v>
      </c>
      <c r="F91" s="308" t="s">
        <v>2070</v>
      </c>
      <c r="G91" s="308">
        <v>81897710001</v>
      </c>
      <c r="H91" s="322">
        <v>175.22999999999996</v>
      </c>
      <c r="I91" s="496">
        <f t="shared" si="1"/>
        <v>1752.2999999999997</v>
      </c>
    </row>
    <row r="92" spans="1:9" x14ac:dyDescent="0.25">
      <c r="A92" s="506" t="s">
        <v>714</v>
      </c>
      <c r="B92" s="500">
        <v>10</v>
      </c>
      <c r="C92" s="133" t="s">
        <v>88</v>
      </c>
      <c r="D92" s="64" t="s">
        <v>8</v>
      </c>
      <c r="E92" s="195" t="s">
        <v>2286</v>
      </c>
      <c r="F92" s="308" t="s">
        <v>1922</v>
      </c>
      <c r="G92" s="308">
        <v>81897710001</v>
      </c>
      <c r="H92" s="322">
        <v>729.66326086956531</v>
      </c>
      <c r="I92" s="496">
        <f t="shared" si="1"/>
        <v>7296.6326086956533</v>
      </c>
    </row>
    <row r="93" spans="1:9" x14ac:dyDescent="0.25">
      <c r="A93" s="506" t="s">
        <v>1654</v>
      </c>
      <c r="B93" s="500">
        <v>10</v>
      </c>
      <c r="C93" s="133" t="s">
        <v>111</v>
      </c>
      <c r="D93" s="64" t="s">
        <v>8</v>
      </c>
      <c r="E93" s="195" t="s">
        <v>2429</v>
      </c>
      <c r="F93" s="308" t="s">
        <v>1927</v>
      </c>
      <c r="G93" s="308">
        <v>81897710001</v>
      </c>
      <c r="H93" s="322">
        <v>129.51782608695652</v>
      </c>
      <c r="I93" s="496">
        <f t="shared" si="1"/>
        <v>1295.1782608695653</v>
      </c>
    </row>
    <row r="94" spans="1:9" x14ac:dyDescent="0.25">
      <c r="A94" s="506" t="s">
        <v>1654</v>
      </c>
      <c r="B94" s="500">
        <v>10</v>
      </c>
      <c r="C94" s="133" t="s">
        <v>111</v>
      </c>
      <c r="D94" s="64" t="s">
        <v>8</v>
      </c>
      <c r="E94" s="195" t="s">
        <v>2429</v>
      </c>
      <c r="F94" s="308" t="s">
        <v>1927</v>
      </c>
      <c r="G94" s="308">
        <v>81897710001</v>
      </c>
      <c r="H94" s="322">
        <v>129.51782608695652</v>
      </c>
      <c r="I94" s="496">
        <f t="shared" si="1"/>
        <v>1295.1782608695653</v>
      </c>
    </row>
    <row r="95" spans="1:9" x14ac:dyDescent="0.25">
      <c r="A95" s="506" t="s">
        <v>1606</v>
      </c>
      <c r="B95" s="500">
        <v>10</v>
      </c>
      <c r="C95" s="133" t="s">
        <v>111</v>
      </c>
      <c r="D95" s="64" t="s">
        <v>8</v>
      </c>
      <c r="E95" s="195" t="s">
        <v>2429</v>
      </c>
      <c r="F95" s="308" t="s">
        <v>1927</v>
      </c>
      <c r="G95" s="308">
        <v>81897710001</v>
      </c>
      <c r="H95" s="322">
        <v>129.51782608695652</v>
      </c>
      <c r="I95" s="496">
        <f t="shared" si="1"/>
        <v>1295.1782608695653</v>
      </c>
    </row>
    <row r="96" spans="1:9" x14ac:dyDescent="0.25">
      <c r="A96" s="505" t="s">
        <v>1662</v>
      </c>
      <c r="B96" s="134">
        <v>5</v>
      </c>
      <c r="C96" s="133" t="s">
        <v>252</v>
      </c>
      <c r="D96" s="64" t="s">
        <v>8</v>
      </c>
      <c r="E96" s="195" t="s">
        <v>2294</v>
      </c>
      <c r="F96" s="353" t="s">
        <v>1910</v>
      </c>
      <c r="G96" s="308">
        <v>81897710001</v>
      </c>
      <c r="H96" s="322">
        <v>221.28847826086957</v>
      </c>
      <c r="I96" s="496">
        <f t="shared" si="1"/>
        <v>1106.4423913043479</v>
      </c>
    </row>
    <row r="97" spans="1:9" x14ac:dyDescent="0.25">
      <c r="A97" s="505" t="s">
        <v>1663</v>
      </c>
      <c r="B97" s="134">
        <v>10</v>
      </c>
      <c r="C97" s="133" t="s">
        <v>1164</v>
      </c>
      <c r="D97" s="64" t="s">
        <v>8</v>
      </c>
      <c r="E97" s="211" t="s">
        <v>2544</v>
      </c>
      <c r="F97" s="126" t="s">
        <v>2130</v>
      </c>
      <c r="G97" s="308">
        <v>81897710023</v>
      </c>
      <c r="H97" s="322">
        <v>214.70869565217396</v>
      </c>
      <c r="I97" s="496">
        <f t="shared" si="1"/>
        <v>2147.0869565217395</v>
      </c>
    </row>
    <row r="98" spans="1:9" x14ac:dyDescent="0.25">
      <c r="A98" s="505" t="s">
        <v>1664</v>
      </c>
      <c r="B98" s="134">
        <v>10</v>
      </c>
      <c r="C98" s="133" t="s">
        <v>1164</v>
      </c>
      <c r="D98" s="64" t="s">
        <v>8</v>
      </c>
      <c r="E98" s="211" t="s">
        <v>2544</v>
      </c>
      <c r="F98" s="126" t="s">
        <v>2130</v>
      </c>
      <c r="G98" s="308">
        <v>81897710023</v>
      </c>
      <c r="H98" s="322">
        <v>214.70869565217396</v>
      </c>
      <c r="I98" s="496">
        <f t="shared" si="1"/>
        <v>2147.0869565217395</v>
      </c>
    </row>
    <row r="99" spans="1:9" x14ac:dyDescent="0.25">
      <c r="A99" s="506" t="s">
        <v>1656</v>
      </c>
      <c r="B99" s="500">
        <v>10</v>
      </c>
      <c r="C99" s="133" t="s">
        <v>665</v>
      </c>
      <c r="D99" s="64" t="s">
        <v>8</v>
      </c>
      <c r="E99" s="211" t="s">
        <v>2300</v>
      </c>
      <c r="F99" s="63" t="s">
        <v>1961</v>
      </c>
      <c r="G99" s="308">
        <v>81897710017</v>
      </c>
      <c r="H99" s="322">
        <v>81.035217391304343</v>
      </c>
      <c r="I99" s="496">
        <f t="shared" si="1"/>
        <v>810.35217391304343</v>
      </c>
    </row>
    <row r="100" spans="1:9" x14ac:dyDescent="0.25">
      <c r="A100" s="505" t="s">
        <v>1607</v>
      </c>
      <c r="B100" s="500">
        <v>10</v>
      </c>
      <c r="C100" s="133" t="s">
        <v>1608</v>
      </c>
      <c r="D100" s="64" t="s">
        <v>8</v>
      </c>
      <c r="E100" s="211" t="s">
        <v>2641</v>
      </c>
      <c r="F100" s="354" t="s">
        <v>1952</v>
      </c>
      <c r="G100" s="308">
        <v>81897710017</v>
      </c>
      <c r="H100" s="322">
        <v>218.51804347826084</v>
      </c>
      <c r="I100" s="496">
        <f t="shared" si="1"/>
        <v>2185.1804347826082</v>
      </c>
    </row>
    <row r="101" spans="1:9" x14ac:dyDescent="0.25">
      <c r="A101" s="505" t="s">
        <v>1607</v>
      </c>
      <c r="B101" s="134">
        <v>18</v>
      </c>
      <c r="C101" s="133" t="s">
        <v>1608</v>
      </c>
      <c r="D101" s="64" t="s">
        <v>8</v>
      </c>
      <c r="E101" s="211" t="s">
        <v>2641</v>
      </c>
      <c r="F101" s="354" t="s">
        <v>1952</v>
      </c>
      <c r="G101" s="308">
        <v>81897710017</v>
      </c>
      <c r="H101" s="322">
        <v>218.51804347826084</v>
      </c>
      <c r="I101" s="496">
        <f t="shared" si="1"/>
        <v>3933.3247826086949</v>
      </c>
    </row>
    <row r="102" spans="1:9" x14ac:dyDescent="0.25">
      <c r="A102" s="506" t="s">
        <v>1665</v>
      </c>
      <c r="B102" s="500">
        <v>6</v>
      </c>
      <c r="C102" s="133" t="s">
        <v>1164</v>
      </c>
      <c r="D102" s="64" t="s">
        <v>8</v>
      </c>
      <c r="E102" s="211" t="s">
        <v>2642</v>
      </c>
      <c r="F102" s="269" t="s">
        <v>1953</v>
      </c>
      <c r="G102" s="308">
        <v>81897710017</v>
      </c>
      <c r="H102" s="322">
        <v>84.151956521739137</v>
      </c>
      <c r="I102" s="496">
        <f t="shared" si="1"/>
        <v>504.91173913043485</v>
      </c>
    </row>
    <row r="103" spans="1:9" x14ac:dyDescent="0.25">
      <c r="A103" s="506" t="s">
        <v>1603</v>
      </c>
      <c r="B103" s="500">
        <v>50</v>
      </c>
      <c r="C103" s="133" t="s">
        <v>1604</v>
      </c>
      <c r="D103" s="64" t="s">
        <v>8</v>
      </c>
      <c r="E103" s="195" t="s">
        <v>2643</v>
      </c>
      <c r="F103" s="22" t="s">
        <v>1834</v>
      </c>
      <c r="G103" s="308">
        <v>81897710017</v>
      </c>
      <c r="H103" s="322">
        <v>130.90304347826086</v>
      </c>
      <c r="I103" s="496">
        <f t="shared" si="1"/>
        <v>6545.152173913043</v>
      </c>
    </row>
    <row r="104" spans="1:9" x14ac:dyDescent="0.25">
      <c r="A104" s="506" t="s">
        <v>1603</v>
      </c>
      <c r="B104" s="500">
        <v>10</v>
      </c>
      <c r="C104" s="133" t="s">
        <v>1604</v>
      </c>
      <c r="D104" s="64" t="s">
        <v>8</v>
      </c>
      <c r="E104" s="195" t="s">
        <v>2643</v>
      </c>
      <c r="F104" s="22" t="s">
        <v>1834</v>
      </c>
      <c r="G104" s="308">
        <v>81897710017</v>
      </c>
      <c r="H104" s="322">
        <v>130.90304347826086</v>
      </c>
      <c r="I104" s="496">
        <f t="shared" si="1"/>
        <v>1309.0304347826086</v>
      </c>
    </row>
    <row r="105" spans="1:9" x14ac:dyDescent="0.25">
      <c r="A105" s="506" t="s">
        <v>1666</v>
      </c>
      <c r="B105" s="500">
        <v>5</v>
      </c>
      <c r="C105" s="133" t="s">
        <v>522</v>
      </c>
      <c r="D105" s="64" t="s">
        <v>8</v>
      </c>
      <c r="E105" s="195" t="s">
        <v>2378</v>
      </c>
      <c r="F105" s="355" t="s">
        <v>1959</v>
      </c>
      <c r="G105" s="308">
        <v>81897710017</v>
      </c>
      <c r="H105" s="322">
        <v>1040.6445652173913</v>
      </c>
      <c r="I105" s="496">
        <f t="shared" si="1"/>
        <v>5203.222826086957</v>
      </c>
    </row>
    <row r="106" spans="1:9" x14ac:dyDescent="0.25">
      <c r="A106" s="505" t="s">
        <v>1667</v>
      </c>
      <c r="B106" s="134">
        <v>16</v>
      </c>
      <c r="C106" s="133" t="s">
        <v>1668</v>
      </c>
      <c r="D106" s="64" t="s">
        <v>8</v>
      </c>
      <c r="E106" s="195" t="s">
        <v>2299</v>
      </c>
      <c r="F106" s="100" t="s">
        <v>1954</v>
      </c>
      <c r="G106" s="308">
        <v>81897710017</v>
      </c>
      <c r="H106" s="322">
        <v>83.805652173913046</v>
      </c>
      <c r="I106" s="496">
        <f t="shared" si="1"/>
        <v>1340.8904347826087</v>
      </c>
    </row>
    <row r="107" spans="1:9" x14ac:dyDescent="0.25">
      <c r="A107" s="506" t="s">
        <v>1025</v>
      </c>
      <c r="B107" s="500">
        <v>30</v>
      </c>
      <c r="C107" s="133" t="s">
        <v>667</v>
      </c>
      <c r="D107" s="64" t="s">
        <v>8</v>
      </c>
      <c r="E107" s="195" t="s">
        <v>2299</v>
      </c>
      <c r="F107" s="22" t="s">
        <v>1954</v>
      </c>
      <c r="G107" s="308">
        <v>81897710017</v>
      </c>
      <c r="H107" s="322">
        <v>83.805652173913046</v>
      </c>
      <c r="I107" s="496">
        <f t="shared" si="1"/>
        <v>2514.1695652173912</v>
      </c>
    </row>
    <row r="108" spans="1:9" x14ac:dyDescent="0.25">
      <c r="A108" s="506" t="s">
        <v>1025</v>
      </c>
      <c r="B108" s="500">
        <v>10</v>
      </c>
      <c r="C108" s="133" t="s">
        <v>667</v>
      </c>
      <c r="D108" s="64" t="s">
        <v>8</v>
      </c>
      <c r="E108" s="195" t="s">
        <v>2299</v>
      </c>
      <c r="F108" s="22" t="s">
        <v>1954</v>
      </c>
      <c r="G108" s="308">
        <v>81897710017</v>
      </c>
      <c r="H108" s="322">
        <v>83.805652173913046</v>
      </c>
      <c r="I108" s="496">
        <f t="shared" si="1"/>
        <v>838.0565217391304</v>
      </c>
    </row>
    <row r="109" spans="1:9" x14ac:dyDescent="0.25">
      <c r="A109" s="506" t="s">
        <v>1025</v>
      </c>
      <c r="B109" s="500">
        <v>10</v>
      </c>
      <c r="C109" s="133" t="s">
        <v>667</v>
      </c>
      <c r="D109" s="64" t="s">
        <v>8</v>
      </c>
      <c r="E109" s="195" t="s">
        <v>2299</v>
      </c>
      <c r="F109" s="22" t="s">
        <v>1954</v>
      </c>
      <c r="G109" s="308">
        <v>81897710017</v>
      </c>
      <c r="H109" s="322">
        <v>83.805652173913046</v>
      </c>
      <c r="I109" s="496">
        <f t="shared" si="1"/>
        <v>838.0565217391304</v>
      </c>
    </row>
    <row r="110" spans="1:9" x14ac:dyDescent="0.25">
      <c r="A110" s="506" t="s">
        <v>1025</v>
      </c>
      <c r="B110" s="500">
        <v>10</v>
      </c>
      <c r="C110" s="133" t="s">
        <v>667</v>
      </c>
      <c r="D110" s="64" t="s">
        <v>8</v>
      </c>
      <c r="E110" s="195" t="s">
        <v>2299</v>
      </c>
      <c r="F110" s="22" t="s">
        <v>1954</v>
      </c>
      <c r="G110" s="308">
        <v>81897710017</v>
      </c>
      <c r="H110" s="322">
        <v>83.805652173913046</v>
      </c>
      <c r="I110" s="496">
        <f t="shared" si="1"/>
        <v>838.0565217391304</v>
      </c>
    </row>
    <row r="111" spans="1:9" x14ac:dyDescent="0.25">
      <c r="A111" s="135" t="s">
        <v>1025</v>
      </c>
      <c r="B111" s="500">
        <v>10</v>
      </c>
      <c r="C111" s="133" t="s">
        <v>667</v>
      </c>
      <c r="D111" s="64" t="s">
        <v>8</v>
      </c>
      <c r="E111" s="195" t="s">
        <v>2299</v>
      </c>
      <c r="F111" s="22" t="s">
        <v>1954</v>
      </c>
      <c r="G111" s="308">
        <v>81897710017</v>
      </c>
      <c r="H111" s="322">
        <v>83.805652173913046</v>
      </c>
      <c r="I111" s="496">
        <f t="shared" si="1"/>
        <v>838.0565217391304</v>
      </c>
    </row>
    <row r="112" spans="1:9" x14ac:dyDescent="0.25">
      <c r="A112" s="135" t="s">
        <v>716</v>
      </c>
      <c r="B112" s="500">
        <v>10</v>
      </c>
      <c r="C112" s="133" t="s">
        <v>665</v>
      </c>
      <c r="D112" s="64" t="s">
        <v>8</v>
      </c>
      <c r="E112" s="195" t="s">
        <v>2299</v>
      </c>
      <c r="F112" s="22" t="s">
        <v>1954</v>
      </c>
      <c r="G112" s="308">
        <v>81897710017</v>
      </c>
      <c r="H112" s="322">
        <v>83.805652173913046</v>
      </c>
      <c r="I112" s="496">
        <f t="shared" si="1"/>
        <v>838.0565217391304</v>
      </c>
    </row>
    <row r="113" spans="1:9" x14ac:dyDescent="0.25">
      <c r="A113" s="135" t="s">
        <v>717</v>
      </c>
      <c r="B113" s="500">
        <v>10</v>
      </c>
      <c r="C113" s="133" t="s">
        <v>665</v>
      </c>
      <c r="D113" s="64" t="s">
        <v>8</v>
      </c>
      <c r="E113" s="195" t="s">
        <v>2300</v>
      </c>
      <c r="F113" s="22" t="s">
        <v>1961</v>
      </c>
      <c r="G113" s="308">
        <v>81897710017</v>
      </c>
      <c r="H113" s="322">
        <v>81.035217391304343</v>
      </c>
      <c r="I113" s="496">
        <f t="shared" si="1"/>
        <v>810.35217391304343</v>
      </c>
    </row>
    <row r="114" spans="1:9" x14ac:dyDescent="0.25">
      <c r="A114" s="300" t="s">
        <v>632</v>
      </c>
      <c r="B114" s="503">
        <v>10</v>
      </c>
      <c r="C114" s="286" t="s">
        <v>633</v>
      </c>
      <c r="D114" s="256" t="s">
        <v>8</v>
      </c>
      <c r="E114" s="227" t="s">
        <v>2409</v>
      </c>
      <c r="F114" s="356" t="s">
        <v>1963</v>
      </c>
      <c r="G114" s="350">
        <v>81897710017</v>
      </c>
      <c r="H114" s="469">
        <v>103.19869565217391</v>
      </c>
      <c r="I114" s="496">
        <f t="shared" si="1"/>
        <v>1031.9869565217391</v>
      </c>
    </row>
    <row r="115" spans="1:9" x14ac:dyDescent="0.25">
      <c r="A115" s="299" t="s">
        <v>632</v>
      </c>
      <c r="B115" s="299">
        <v>20</v>
      </c>
      <c r="C115" s="64" t="s">
        <v>633</v>
      </c>
      <c r="D115" s="64" t="s">
        <v>8</v>
      </c>
      <c r="E115" s="195" t="s">
        <v>2409</v>
      </c>
      <c r="F115" s="352" t="s">
        <v>1963</v>
      </c>
      <c r="G115" s="308">
        <v>81897710017</v>
      </c>
      <c r="H115" s="322">
        <v>103.19869565217391</v>
      </c>
      <c r="I115" s="496">
        <f t="shared" si="1"/>
        <v>2063.9739130434782</v>
      </c>
    </row>
    <row r="116" spans="1:9" x14ac:dyDescent="0.25">
      <c r="A116" s="258" t="s">
        <v>718</v>
      </c>
      <c r="B116" s="504">
        <v>10</v>
      </c>
      <c r="C116" s="64" t="s">
        <v>633</v>
      </c>
      <c r="D116" s="64" t="s">
        <v>8</v>
      </c>
      <c r="E116" s="195" t="s">
        <v>2409</v>
      </c>
      <c r="F116" s="352" t="s">
        <v>1963</v>
      </c>
      <c r="G116" s="308">
        <v>81897710017</v>
      </c>
      <c r="H116" s="322">
        <v>103.19869565217391</v>
      </c>
      <c r="I116" s="496">
        <f t="shared" si="1"/>
        <v>1031.9869565217391</v>
      </c>
    </row>
    <row r="117" spans="1:9" x14ac:dyDescent="0.25">
      <c r="A117" s="258" t="s">
        <v>719</v>
      </c>
      <c r="B117" s="504">
        <v>10</v>
      </c>
      <c r="C117" s="64" t="s">
        <v>516</v>
      </c>
      <c r="D117" s="64" t="s">
        <v>8</v>
      </c>
      <c r="E117" s="195" t="s">
        <v>2302</v>
      </c>
      <c r="F117" s="308" t="s">
        <v>1956</v>
      </c>
      <c r="G117" s="308">
        <v>81897710017</v>
      </c>
      <c r="H117" s="322">
        <v>126.74739130434781</v>
      </c>
      <c r="I117" s="496">
        <f t="shared" si="1"/>
        <v>1267.4739130434782</v>
      </c>
    </row>
    <row r="118" spans="1:9" x14ac:dyDescent="0.25">
      <c r="A118" s="258" t="s">
        <v>928</v>
      </c>
      <c r="B118" s="504">
        <v>10</v>
      </c>
      <c r="C118" s="64" t="s">
        <v>1602</v>
      </c>
      <c r="D118" s="64" t="s">
        <v>8</v>
      </c>
      <c r="E118" s="195" t="s">
        <v>2644</v>
      </c>
      <c r="F118" s="308" t="s">
        <v>2071</v>
      </c>
      <c r="G118" s="308">
        <v>81897710017</v>
      </c>
      <c r="H118" s="322">
        <v>121.55282608695654</v>
      </c>
      <c r="I118" s="496">
        <f t="shared" si="1"/>
        <v>1215.5282608695654</v>
      </c>
    </row>
    <row r="119" spans="1:9" x14ac:dyDescent="0.25">
      <c r="A119" s="258" t="s">
        <v>99</v>
      </c>
      <c r="B119" s="504">
        <v>10</v>
      </c>
      <c r="C119" s="64" t="s">
        <v>351</v>
      </c>
      <c r="D119" s="64" t="s">
        <v>8</v>
      </c>
      <c r="E119" s="195" t="s">
        <v>2306</v>
      </c>
      <c r="F119" s="308" t="s">
        <v>1967</v>
      </c>
      <c r="G119" s="308">
        <v>81897710017</v>
      </c>
      <c r="H119" s="322">
        <v>157.91478260869562</v>
      </c>
      <c r="I119" s="496">
        <f t="shared" si="1"/>
        <v>1579.1478260869562</v>
      </c>
    </row>
    <row r="120" spans="1:9" x14ac:dyDescent="0.25">
      <c r="A120" s="258" t="s">
        <v>1669</v>
      </c>
      <c r="B120" s="504">
        <v>30</v>
      </c>
      <c r="C120" s="64" t="s">
        <v>1604</v>
      </c>
      <c r="D120" s="64" t="s">
        <v>8</v>
      </c>
      <c r="E120" s="195" t="s">
        <v>2643</v>
      </c>
      <c r="F120" s="342" t="s">
        <v>1834</v>
      </c>
      <c r="G120" s="308">
        <v>81897710017</v>
      </c>
      <c r="H120" s="322">
        <v>130.90304347826086</v>
      </c>
      <c r="I120" s="496">
        <f t="shared" si="1"/>
        <v>3927.0913043478258</v>
      </c>
    </row>
    <row r="121" spans="1:9" x14ac:dyDescent="0.25">
      <c r="I121" s="497">
        <f>SUM(I2:I120)</f>
        <v>273605.55521739158</v>
      </c>
    </row>
  </sheetData>
  <autoFilter ref="A1:D120" xr:uid="{A81BE15F-4E37-429E-85A6-C9862041A251}"/>
  <sortState xmlns:xlrd2="http://schemas.microsoft.com/office/spreadsheetml/2017/richdata2" ref="A2:H121">
    <sortCondition ref="A1:A121"/>
  </sortState>
  <phoneticPr fontId="27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313F7-1FC0-4CC9-BEA0-C60E90E5FEAF}">
  <sheetPr codeName="Planilha48">
    <tabColor rgb="FF92D050"/>
  </sheetPr>
  <dimension ref="A1:H39"/>
  <sheetViews>
    <sheetView workbookViewId="0">
      <pane ySplit="1" topLeftCell="A2" activePane="bottomLeft" state="frozen"/>
      <selection activeCell="A53" sqref="A53"/>
      <selection pane="bottomLeft" activeCell="H45" sqref="H45"/>
    </sheetView>
  </sheetViews>
  <sheetFormatPr defaultRowHeight="15" x14ac:dyDescent="0.25"/>
  <cols>
    <col min="1" max="1" width="32.28515625" customWidth="1"/>
    <col min="2" max="2" width="15.140625" customWidth="1"/>
    <col min="3" max="3" width="20.85546875" customWidth="1"/>
    <col min="4" max="4" width="35.85546875" customWidth="1"/>
    <col min="5" max="5" width="12.85546875" style="40" bestFit="1" customWidth="1"/>
    <col min="6" max="6" width="15.42578125" customWidth="1"/>
    <col min="7" max="7" width="12.140625" style="324" bestFit="1" customWidth="1"/>
    <col min="8" max="8" width="15.42578125" customWidth="1"/>
  </cols>
  <sheetData>
    <row r="1" spans="1:8" ht="15.75" x14ac:dyDescent="0.25">
      <c r="A1" s="236" t="s">
        <v>0</v>
      </c>
      <c r="B1" s="84" t="s">
        <v>1675</v>
      </c>
      <c r="C1" s="89" t="s">
        <v>1676</v>
      </c>
      <c r="D1" s="194" t="s">
        <v>1723</v>
      </c>
      <c r="E1" s="194" t="s">
        <v>1724</v>
      </c>
      <c r="F1" s="194" t="s">
        <v>1722</v>
      </c>
      <c r="G1" s="321" t="s">
        <v>1725</v>
      </c>
      <c r="H1" s="321" t="s">
        <v>2317</v>
      </c>
    </row>
    <row r="2" spans="1:8" x14ac:dyDescent="0.25">
      <c r="A2" s="237" t="s">
        <v>1677</v>
      </c>
      <c r="B2" s="176">
        <v>5</v>
      </c>
      <c r="C2" s="240" t="s">
        <v>1678</v>
      </c>
      <c r="D2" s="195" t="s">
        <v>2669</v>
      </c>
      <c r="E2" s="308" t="s">
        <v>2645</v>
      </c>
      <c r="F2" s="195" t="s">
        <v>2336</v>
      </c>
      <c r="G2" s="322">
        <v>2472.9978260869561</v>
      </c>
      <c r="H2" s="322">
        <f>G2*B2</f>
        <v>12364.98913043478</v>
      </c>
    </row>
    <row r="3" spans="1:8" x14ac:dyDescent="0.25">
      <c r="A3" s="238" t="s">
        <v>1679</v>
      </c>
      <c r="B3" s="241">
        <v>1</v>
      </c>
      <c r="C3" s="242"/>
      <c r="D3" s="195"/>
      <c r="E3" s="308" t="e">
        <v>#N/A</v>
      </c>
      <c r="F3" s="195" t="e">
        <v>#N/A</v>
      </c>
      <c r="G3" s="322">
        <v>0</v>
      </c>
      <c r="H3" s="322">
        <f t="shared" ref="H3:H38" si="0">G3*B3</f>
        <v>0</v>
      </c>
    </row>
    <row r="4" spans="1:8" x14ac:dyDescent="0.25">
      <c r="A4" s="239" t="s">
        <v>1680</v>
      </c>
      <c r="B4" s="176">
        <v>1</v>
      </c>
      <c r="C4" s="240" t="s">
        <v>1678</v>
      </c>
      <c r="D4" s="195" t="s">
        <v>2669</v>
      </c>
      <c r="E4" s="308" t="s">
        <v>2645</v>
      </c>
      <c r="F4" s="195" t="s">
        <v>2336</v>
      </c>
      <c r="G4" s="322">
        <v>2472.9978260869561</v>
      </c>
      <c r="H4" s="322">
        <f t="shared" si="0"/>
        <v>2472.9978260869561</v>
      </c>
    </row>
    <row r="5" spans="1:8" x14ac:dyDescent="0.25">
      <c r="A5" s="239" t="s">
        <v>1681</v>
      </c>
      <c r="B5" s="176">
        <v>10</v>
      </c>
      <c r="C5" s="178" t="s">
        <v>1682</v>
      </c>
      <c r="D5" s="195" t="s">
        <v>2670</v>
      </c>
      <c r="E5" s="308" t="s">
        <v>2646</v>
      </c>
      <c r="F5" s="195" t="s">
        <v>2336</v>
      </c>
      <c r="G5" s="322">
        <v>2439.1369565217392</v>
      </c>
      <c r="H5" s="322">
        <f t="shared" si="0"/>
        <v>24391.369565217392</v>
      </c>
    </row>
    <row r="6" spans="1:8" x14ac:dyDescent="0.25">
      <c r="A6" s="239" t="s">
        <v>1683</v>
      </c>
      <c r="B6" s="176">
        <v>1</v>
      </c>
      <c r="C6" s="178" t="s">
        <v>1684</v>
      </c>
      <c r="D6" s="195" t="s">
        <v>2671</v>
      </c>
      <c r="E6" s="308" t="s">
        <v>2647</v>
      </c>
      <c r="F6" s="195" t="s">
        <v>2336</v>
      </c>
      <c r="G6" s="322">
        <v>1994.7130434782612</v>
      </c>
      <c r="H6" s="322">
        <f t="shared" si="0"/>
        <v>1994.7130434782612</v>
      </c>
    </row>
    <row r="7" spans="1:8" x14ac:dyDescent="0.25">
      <c r="A7" s="239" t="s">
        <v>1685</v>
      </c>
      <c r="B7" s="176">
        <v>2</v>
      </c>
      <c r="C7" s="240" t="s">
        <v>1678</v>
      </c>
      <c r="D7" s="195" t="s">
        <v>2669</v>
      </c>
      <c r="E7" s="308" t="s">
        <v>2645</v>
      </c>
      <c r="F7" s="195" t="s">
        <v>2336</v>
      </c>
      <c r="G7" s="322">
        <v>2472.9978260869561</v>
      </c>
      <c r="H7" s="322">
        <f t="shared" si="0"/>
        <v>4945.9956521739123</v>
      </c>
    </row>
    <row r="8" spans="1:8" x14ac:dyDescent="0.25">
      <c r="A8" s="239" t="s">
        <v>1686</v>
      </c>
      <c r="B8" s="176">
        <v>1</v>
      </c>
      <c r="C8" s="240" t="s">
        <v>1678</v>
      </c>
      <c r="D8" s="195" t="s">
        <v>2669</v>
      </c>
      <c r="E8" s="308" t="s">
        <v>2645</v>
      </c>
      <c r="F8" s="195" t="s">
        <v>2336</v>
      </c>
      <c r="G8" s="322">
        <v>2472.9978260869561</v>
      </c>
      <c r="H8" s="322">
        <f t="shared" si="0"/>
        <v>2472.9978260869561</v>
      </c>
    </row>
    <row r="9" spans="1:8" x14ac:dyDescent="0.25">
      <c r="A9" s="239" t="s">
        <v>1687</v>
      </c>
      <c r="B9" s="176">
        <v>2</v>
      </c>
      <c r="C9" s="240" t="s">
        <v>1678</v>
      </c>
      <c r="D9" s="195" t="s">
        <v>2669</v>
      </c>
      <c r="E9" s="308" t="s">
        <v>2645</v>
      </c>
      <c r="F9" s="195" t="s">
        <v>2336</v>
      </c>
      <c r="G9" s="322">
        <v>2472.9978260869561</v>
      </c>
      <c r="H9" s="322">
        <f t="shared" si="0"/>
        <v>4945.9956521739123</v>
      </c>
    </row>
    <row r="10" spans="1:8" x14ac:dyDescent="0.25">
      <c r="A10" s="239" t="s">
        <v>1688</v>
      </c>
      <c r="B10" s="176">
        <v>1</v>
      </c>
      <c r="C10" s="178" t="s">
        <v>697</v>
      </c>
      <c r="D10" s="195" t="s">
        <v>2672</v>
      </c>
      <c r="E10" s="308" t="s">
        <v>2648</v>
      </c>
      <c r="F10" s="195" t="s">
        <v>2336</v>
      </c>
      <c r="G10" s="322">
        <v>2312.1586956521742</v>
      </c>
      <c r="H10" s="322">
        <f t="shared" si="0"/>
        <v>2312.1586956521742</v>
      </c>
    </row>
    <row r="11" spans="1:8" x14ac:dyDescent="0.25">
      <c r="A11" s="239" t="s">
        <v>1689</v>
      </c>
      <c r="B11" s="176">
        <v>2</v>
      </c>
      <c r="C11" s="240" t="s">
        <v>1678</v>
      </c>
      <c r="D11" s="195" t="s">
        <v>2669</v>
      </c>
      <c r="E11" s="308" t="s">
        <v>2645</v>
      </c>
      <c r="F11" s="195" t="s">
        <v>2336</v>
      </c>
      <c r="G11" s="322">
        <v>2472.9978260869561</v>
      </c>
      <c r="H11" s="322">
        <f t="shared" si="0"/>
        <v>4945.9956521739123</v>
      </c>
    </row>
    <row r="12" spans="1:8" x14ac:dyDescent="0.25">
      <c r="A12" s="239" t="s">
        <v>1690</v>
      </c>
      <c r="B12" s="176">
        <v>6</v>
      </c>
      <c r="C12" s="240" t="s">
        <v>1678</v>
      </c>
      <c r="D12" s="195" t="s">
        <v>2669</v>
      </c>
      <c r="E12" s="308" t="s">
        <v>2645</v>
      </c>
      <c r="F12" s="195" t="s">
        <v>2336</v>
      </c>
      <c r="G12" s="322">
        <v>2472.9978260869561</v>
      </c>
      <c r="H12" s="322">
        <f t="shared" si="0"/>
        <v>14837.986956521738</v>
      </c>
    </row>
    <row r="13" spans="1:8" x14ac:dyDescent="0.25">
      <c r="A13" s="239" t="s">
        <v>1691</v>
      </c>
      <c r="B13" s="176">
        <v>15</v>
      </c>
      <c r="C13" s="178" t="s">
        <v>1684</v>
      </c>
      <c r="D13" s="195" t="s">
        <v>2671</v>
      </c>
      <c r="E13" s="308" t="s">
        <v>2647</v>
      </c>
      <c r="F13" s="195" t="s">
        <v>2336</v>
      </c>
      <c r="G13" s="322">
        <v>1994.7130434782612</v>
      </c>
      <c r="H13" s="322">
        <f t="shared" si="0"/>
        <v>29920.695652173919</v>
      </c>
    </row>
    <row r="14" spans="1:8" x14ac:dyDescent="0.25">
      <c r="A14" s="239" t="s">
        <v>1692</v>
      </c>
      <c r="B14" s="176">
        <v>1</v>
      </c>
      <c r="C14" s="240" t="s">
        <v>1678</v>
      </c>
      <c r="D14" s="195" t="s">
        <v>2669</v>
      </c>
      <c r="E14" s="308" t="s">
        <v>2645</v>
      </c>
      <c r="F14" s="195" t="s">
        <v>2336</v>
      </c>
      <c r="G14" s="322">
        <v>2472.9978260869561</v>
      </c>
      <c r="H14" s="322">
        <f t="shared" si="0"/>
        <v>2472.9978260869561</v>
      </c>
    </row>
    <row r="15" spans="1:8" x14ac:dyDescent="0.25">
      <c r="A15" s="239" t="s">
        <v>1693</v>
      </c>
      <c r="B15" s="176">
        <v>1</v>
      </c>
      <c r="C15" s="240" t="s">
        <v>1678</v>
      </c>
      <c r="D15" s="195" t="s">
        <v>2669</v>
      </c>
      <c r="E15" s="308" t="s">
        <v>2645</v>
      </c>
      <c r="F15" s="195" t="s">
        <v>2336</v>
      </c>
      <c r="G15" s="322">
        <v>2472.9978260869561</v>
      </c>
      <c r="H15" s="322">
        <f t="shared" si="0"/>
        <v>2472.9978260869561</v>
      </c>
    </row>
    <row r="16" spans="1:8" x14ac:dyDescent="0.25">
      <c r="A16" s="239" t="s">
        <v>1694</v>
      </c>
      <c r="B16" s="176">
        <v>2</v>
      </c>
      <c r="C16" s="240" t="s">
        <v>1678</v>
      </c>
      <c r="D16" s="195" t="s">
        <v>2669</v>
      </c>
      <c r="E16" s="308" t="s">
        <v>2645</v>
      </c>
      <c r="F16" s="195" t="s">
        <v>2336</v>
      </c>
      <c r="G16" s="322">
        <v>2472.9978260869561</v>
      </c>
      <c r="H16" s="322">
        <f t="shared" si="0"/>
        <v>4945.9956521739123</v>
      </c>
    </row>
    <row r="17" spans="1:8" x14ac:dyDescent="0.25">
      <c r="A17" s="239" t="s">
        <v>1695</v>
      </c>
      <c r="B17" s="176">
        <v>1</v>
      </c>
      <c r="C17" s="240" t="s">
        <v>1678</v>
      </c>
      <c r="D17" s="195" t="s">
        <v>2669</v>
      </c>
      <c r="E17" s="308" t="s">
        <v>2645</v>
      </c>
      <c r="F17" s="195" t="s">
        <v>2336</v>
      </c>
      <c r="G17" s="322">
        <v>2472.9978260869561</v>
      </c>
      <c r="H17" s="322">
        <f t="shared" si="0"/>
        <v>2472.9978260869561</v>
      </c>
    </row>
    <row r="18" spans="1:8" x14ac:dyDescent="0.25">
      <c r="A18" s="239" t="s">
        <v>1696</v>
      </c>
      <c r="B18" s="176">
        <v>1</v>
      </c>
      <c r="C18" s="178" t="s">
        <v>1684</v>
      </c>
      <c r="D18" s="195" t="s">
        <v>2671</v>
      </c>
      <c r="E18" s="308" t="s">
        <v>2647</v>
      </c>
      <c r="F18" s="195" t="s">
        <v>2336</v>
      </c>
      <c r="G18" s="322">
        <v>1994.7130434782612</v>
      </c>
      <c r="H18" s="322">
        <f t="shared" si="0"/>
        <v>1994.7130434782612</v>
      </c>
    </row>
    <row r="19" spans="1:8" x14ac:dyDescent="0.25">
      <c r="A19" s="238" t="s">
        <v>1697</v>
      </c>
      <c r="B19" s="241">
        <v>3</v>
      </c>
      <c r="C19" s="243"/>
      <c r="D19" s="195"/>
      <c r="E19" s="308" t="e">
        <v>#N/A</v>
      </c>
      <c r="F19" s="195" t="e">
        <v>#N/A</v>
      </c>
      <c r="G19" s="322">
        <v>0</v>
      </c>
      <c r="H19" s="322">
        <f t="shared" si="0"/>
        <v>0</v>
      </c>
    </row>
    <row r="20" spans="1:8" x14ac:dyDescent="0.25">
      <c r="A20" s="239" t="s">
        <v>1698</v>
      </c>
      <c r="B20" s="176">
        <v>32</v>
      </c>
      <c r="C20" s="178" t="s">
        <v>1699</v>
      </c>
      <c r="D20" s="195" t="s">
        <v>2673</v>
      </c>
      <c r="E20" s="308" t="s">
        <v>2649</v>
      </c>
      <c r="F20" s="195" t="s">
        <v>2336</v>
      </c>
      <c r="G20" s="322">
        <v>2758.1217391304353</v>
      </c>
      <c r="H20" s="322">
        <f t="shared" si="0"/>
        <v>88259.895652173931</v>
      </c>
    </row>
    <row r="21" spans="1:8" x14ac:dyDescent="0.25">
      <c r="A21" s="239" t="s">
        <v>1700</v>
      </c>
      <c r="B21" s="176">
        <v>5</v>
      </c>
      <c r="C21" s="178" t="s">
        <v>697</v>
      </c>
      <c r="D21" s="195" t="s">
        <v>2672</v>
      </c>
      <c r="E21" s="308" t="s">
        <v>2648</v>
      </c>
      <c r="F21" s="195" t="s">
        <v>2336</v>
      </c>
      <c r="G21" s="322">
        <v>2312.1586956521742</v>
      </c>
      <c r="H21" s="322">
        <f t="shared" si="0"/>
        <v>11560.793478260872</v>
      </c>
    </row>
    <row r="22" spans="1:8" x14ac:dyDescent="0.25">
      <c r="A22" s="239" t="s">
        <v>1701</v>
      </c>
      <c r="B22" s="176">
        <v>2</v>
      </c>
      <c r="C22" s="178" t="s">
        <v>1702</v>
      </c>
      <c r="D22" s="195" t="s">
        <v>2674</v>
      </c>
      <c r="E22" s="308" t="s">
        <v>2650</v>
      </c>
      <c r="F22" s="195" t="s">
        <v>2336</v>
      </c>
      <c r="G22" s="322">
        <v>3057.097826086957</v>
      </c>
      <c r="H22" s="322">
        <f t="shared" si="0"/>
        <v>6114.1956521739139</v>
      </c>
    </row>
    <row r="23" spans="1:8" x14ac:dyDescent="0.25">
      <c r="A23" s="239" t="s">
        <v>1703</v>
      </c>
      <c r="B23" s="176">
        <v>2</v>
      </c>
      <c r="C23" s="178" t="s">
        <v>1684</v>
      </c>
      <c r="D23" s="195" t="s">
        <v>2671</v>
      </c>
      <c r="E23" s="308" t="s">
        <v>2647</v>
      </c>
      <c r="F23" s="195" t="s">
        <v>2336</v>
      </c>
      <c r="G23" s="322">
        <v>1994.7130434782612</v>
      </c>
      <c r="H23" s="322">
        <f t="shared" si="0"/>
        <v>3989.4260869565223</v>
      </c>
    </row>
    <row r="24" spans="1:8" x14ac:dyDescent="0.25">
      <c r="A24" s="239" t="s">
        <v>1704</v>
      </c>
      <c r="B24" s="176">
        <v>2</v>
      </c>
      <c r="C24" s="178" t="s">
        <v>1684</v>
      </c>
      <c r="D24" s="195" t="s">
        <v>2671</v>
      </c>
      <c r="E24" s="308" t="s">
        <v>2647</v>
      </c>
      <c r="F24" s="195" t="s">
        <v>2336</v>
      </c>
      <c r="G24" s="322">
        <v>1994.7130434782612</v>
      </c>
      <c r="H24" s="322">
        <f t="shared" si="0"/>
        <v>3989.4260869565223</v>
      </c>
    </row>
    <row r="25" spans="1:8" x14ac:dyDescent="0.25">
      <c r="A25" s="239" t="s">
        <v>1705</v>
      </c>
      <c r="B25" s="176">
        <v>1</v>
      </c>
      <c r="C25" s="178" t="s">
        <v>1684</v>
      </c>
      <c r="D25" s="195" t="s">
        <v>2671</v>
      </c>
      <c r="E25" s="308" t="s">
        <v>2647</v>
      </c>
      <c r="F25" s="195" t="s">
        <v>2336</v>
      </c>
      <c r="G25" s="322">
        <v>1994.7130434782612</v>
      </c>
      <c r="H25" s="322">
        <f t="shared" si="0"/>
        <v>1994.7130434782612</v>
      </c>
    </row>
    <row r="26" spans="1:8" x14ac:dyDescent="0.25">
      <c r="A26" s="239" t="s">
        <v>1706</v>
      </c>
      <c r="B26" s="176">
        <v>1</v>
      </c>
      <c r="C26" s="178" t="s">
        <v>1684</v>
      </c>
      <c r="D26" s="195" t="s">
        <v>2671</v>
      </c>
      <c r="E26" s="308" t="s">
        <v>2647</v>
      </c>
      <c r="F26" s="195" t="s">
        <v>2336</v>
      </c>
      <c r="G26" s="322">
        <v>1994.7130434782612</v>
      </c>
      <c r="H26" s="322">
        <f t="shared" si="0"/>
        <v>1994.7130434782612</v>
      </c>
    </row>
    <row r="27" spans="1:8" x14ac:dyDescent="0.25">
      <c r="A27" s="239" t="s">
        <v>1707</v>
      </c>
      <c r="B27" s="176">
        <v>1</v>
      </c>
      <c r="C27" s="178" t="s">
        <v>1702</v>
      </c>
      <c r="D27" s="195" t="s">
        <v>2674</v>
      </c>
      <c r="E27" s="308" t="s">
        <v>2650</v>
      </c>
      <c r="F27" s="195" t="s">
        <v>2336</v>
      </c>
      <c r="G27" s="322">
        <v>3057.097826086957</v>
      </c>
      <c r="H27" s="322">
        <f t="shared" si="0"/>
        <v>3057.097826086957</v>
      </c>
    </row>
    <row r="28" spans="1:8" x14ac:dyDescent="0.25">
      <c r="A28" s="239" t="s">
        <v>1708</v>
      </c>
      <c r="B28" s="176">
        <v>1</v>
      </c>
      <c r="C28" s="178" t="s">
        <v>1702</v>
      </c>
      <c r="D28" s="195" t="s">
        <v>2674</v>
      </c>
      <c r="E28" s="308" t="s">
        <v>2650</v>
      </c>
      <c r="F28" s="195" t="s">
        <v>2336</v>
      </c>
      <c r="G28" s="322">
        <v>3057.097826086957</v>
      </c>
      <c r="H28" s="322">
        <f t="shared" si="0"/>
        <v>3057.097826086957</v>
      </c>
    </row>
    <row r="29" spans="1:8" x14ac:dyDescent="0.25">
      <c r="A29" s="239" t="s">
        <v>1709</v>
      </c>
      <c r="B29" s="176">
        <v>10</v>
      </c>
      <c r="C29" s="240" t="s">
        <v>1678</v>
      </c>
      <c r="D29" s="195" t="s">
        <v>2669</v>
      </c>
      <c r="E29" s="308" t="s">
        <v>2645</v>
      </c>
      <c r="F29" s="195" t="s">
        <v>2336</v>
      </c>
      <c r="G29" s="322">
        <v>2472.9978260869561</v>
      </c>
      <c r="H29" s="322">
        <f t="shared" si="0"/>
        <v>24729.97826086956</v>
      </c>
    </row>
    <row r="30" spans="1:8" x14ac:dyDescent="0.25">
      <c r="A30" s="239" t="s">
        <v>1710</v>
      </c>
      <c r="B30" s="176">
        <v>1</v>
      </c>
      <c r="C30" s="240" t="s">
        <v>1678</v>
      </c>
      <c r="D30" s="195" t="s">
        <v>2669</v>
      </c>
      <c r="E30" s="308" t="s">
        <v>2645</v>
      </c>
      <c r="F30" s="195" t="s">
        <v>2336</v>
      </c>
      <c r="G30" s="322">
        <v>2472.9978260869561</v>
      </c>
      <c r="H30" s="322">
        <f t="shared" si="0"/>
        <v>2472.9978260869561</v>
      </c>
    </row>
    <row r="31" spans="1:8" x14ac:dyDescent="0.25">
      <c r="A31" s="239" t="s">
        <v>1711</v>
      </c>
      <c r="B31" s="176">
        <v>1</v>
      </c>
      <c r="C31" s="178" t="s">
        <v>1702</v>
      </c>
      <c r="D31" s="195" t="s">
        <v>2673</v>
      </c>
      <c r="E31" s="308" t="s">
        <v>2650</v>
      </c>
      <c r="F31" s="195" t="s">
        <v>2336</v>
      </c>
      <c r="G31" s="322">
        <v>3057.097826086957</v>
      </c>
      <c r="H31" s="322">
        <f t="shared" si="0"/>
        <v>3057.097826086957</v>
      </c>
    </row>
    <row r="32" spans="1:8" x14ac:dyDescent="0.25">
      <c r="A32" s="239" t="s">
        <v>1712</v>
      </c>
      <c r="B32" s="176">
        <v>1</v>
      </c>
      <c r="C32" s="240" t="s">
        <v>1678</v>
      </c>
      <c r="D32" s="195" t="s">
        <v>2669</v>
      </c>
      <c r="E32" s="308" t="s">
        <v>2645</v>
      </c>
      <c r="F32" s="195" t="s">
        <v>2336</v>
      </c>
      <c r="G32" s="322">
        <v>2472.9978260869561</v>
      </c>
      <c r="H32" s="322">
        <f t="shared" si="0"/>
        <v>2472.9978260869561</v>
      </c>
    </row>
    <row r="33" spans="1:8" x14ac:dyDescent="0.25">
      <c r="A33" s="239" t="s">
        <v>1713</v>
      </c>
      <c r="B33" s="176">
        <v>1</v>
      </c>
      <c r="C33" s="178" t="s">
        <v>1699</v>
      </c>
      <c r="D33" s="195" t="s">
        <v>2673</v>
      </c>
      <c r="E33" s="308" t="s">
        <v>2649</v>
      </c>
      <c r="F33" s="195" t="s">
        <v>2336</v>
      </c>
      <c r="G33" s="322">
        <v>2758.1217391304353</v>
      </c>
      <c r="H33" s="322">
        <f t="shared" si="0"/>
        <v>2758.1217391304353</v>
      </c>
    </row>
    <row r="34" spans="1:8" x14ac:dyDescent="0.25">
      <c r="A34" s="239" t="s">
        <v>1714</v>
      </c>
      <c r="B34" s="176">
        <v>2</v>
      </c>
      <c r="C34" s="178" t="s">
        <v>1702</v>
      </c>
      <c r="D34" s="195" t="s">
        <v>2674</v>
      </c>
      <c r="E34" s="308" t="s">
        <v>2650</v>
      </c>
      <c r="F34" s="195" t="s">
        <v>2336</v>
      </c>
      <c r="G34" s="322">
        <v>3057.097826086957</v>
      </c>
      <c r="H34" s="322">
        <f t="shared" si="0"/>
        <v>6114.1956521739139</v>
      </c>
    </row>
    <row r="35" spans="1:8" x14ac:dyDescent="0.25">
      <c r="A35" s="239" t="s">
        <v>1715</v>
      </c>
      <c r="B35" s="176">
        <v>1</v>
      </c>
      <c r="C35" s="178" t="s">
        <v>697</v>
      </c>
      <c r="D35" s="195" t="s">
        <v>2672</v>
      </c>
      <c r="E35" s="308" t="s">
        <v>2648</v>
      </c>
      <c r="F35" s="195" t="s">
        <v>2336</v>
      </c>
      <c r="G35" s="322">
        <v>2312.1586956521742</v>
      </c>
      <c r="H35" s="322">
        <f t="shared" si="0"/>
        <v>2312.1586956521742</v>
      </c>
    </row>
    <row r="36" spans="1:8" x14ac:dyDescent="0.25">
      <c r="A36" s="239" t="s">
        <v>1716</v>
      </c>
      <c r="B36" s="176">
        <v>1</v>
      </c>
      <c r="C36" s="178" t="s">
        <v>1699</v>
      </c>
      <c r="D36" s="195" t="s">
        <v>2673</v>
      </c>
      <c r="E36" s="308" t="s">
        <v>2649</v>
      </c>
      <c r="F36" s="195" t="s">
        <v>2336</v>
      </c>
      <c r="G36" s="322">
        <v>2758.1217391304353</v>
      </c>
      <c r="H36" s="322">
        <f t="shared" si="0"/>
        <v>2758.1217391304353</v>
      </c>
    </row>
    <row r="37" spans="1:8" x14ac:dyDescent="0.25">
      <c r="A37" s="239" t="s">
        <v>1717</v>
      </c>
      <c r="B37" s="176">
        <v>1</v>
      </c>
      <c r="C37" s="178" t="s">
        <v>1699</v>
      </c>
      <c r="D37" s="195" t="s">
        <v>2673</v>
      </c>
      <c r="E37" s="308" t="s">
        <v>2649</v>
      </c>
      <c r="F37" s="195" t="s">
        <v>2336</v>
      </c>
      <c r="G37" s="322">
        <v>2758.1217391304353</v>
      </c>
      <c r="H37" s="322">
        <f t="shared" si="0"/>
        <v>2758.1217391304353</v>
      </c>
    </row>
    <row r="38" spans="1:8" x14ac:dyDescent="0.25">
      <c r="A38" s="239" t="s">
        <v>1718</v>
      </c>
      <c r="B38" s="176">
        <v>2</v>
      </c>
      <c r="C38" s="240" t="s">
        <v>1678</v>
      </c>
      <c r="D38" s="195" t="s">
        <v>2669</v>
      </c>
      <c r="E38" s="308" t="s">
        <v>2645</v>
      </c>
      <c r="F38" s="195" t="s">
        <v>2336</v>
      </c>
      <c r="G38" s="322">
        <v>2472.9978260869561</v>
      </c>
      <c r="H38" s="322">
        <f t="shared" si="0"/>
        <v>4945.9956521739123</v>
      </c>
    </row>
    <row r="39" spans="1:8" x14ac:dyDescent="0.25">
      <c r="H39" s="324">
        <f>SUM(H2:H38)</f>
        <v>298362.7434782607</v>
      </c>
    </row>
  </sheetData>
  <autoFilter ref="A1:G38" xr:uid="{28F313F7-1FC0-4CC9-BEA0-C60E90E5FEAF}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88C18-3404-484B-8C78-D173ADD3F36B}">
  <sheetPr codeName="Planilha49">
    <tabColor rgb="FF92D050"/>
  </sheetPr>
  <dimension ref="A1:H39"/>
  <sheetViews>
    <sheetView workbookViewId="0">
      <pane ySplit="1" topLeftCell="A2" activePane="bottomLeft" state="frozen"/>
      <selection activeCell="E1" sqref="E1:H1"/>
      <selection pane="bottomLeft" activeCell="I25" sqref="I25"/>
    </sheetView>
  </sheetViews>
  <sheetFormatPr defaultRowHeight="15" x14ac:dyDescent="0.25"/>
  <cols>
    <col min="1" max="1" width="32.85546875" customWidth="1"/>
    <col min="2" max="2" width="15.7109375" style="40" customWidth="1"/>
    <col min="3" max="3" width="16.5703125" customWidth="1"/>
    <col min="4" max="4" width="32.85546875" style="40" customWidth="1"/>
    <col min="5" max="6" width="16.28515625" style="40" customWidth="1"/>
    <col min="7" max="7" width="17.42578125" style="324" customWidth="1"/>
    <col min="8" max="8" width="16.28515625" style="40" customWidth="1"/>
    <col min="17" max="17" width="25.28515625" customWidth="1"/>
  </cols>
  <sheetData>
    <row r="1" spans="1:8" ht="15.75" x14ac:dyDescent="0.25">
      <c r="A1" s="90" t="s">
        <v>0</v>
      </c>
      <c r="B1" s="217" t="s">
        <v>1675</v>
      </c>
      <c r="C1" s="89" t="s">
        <v>360</v>
      </c>
      <c r="D1" s="194" t="s">
        <v>1723</v>
      </c>
      <c r="E1" s="194" t="s">
        <v>1724</v>
      </c>
      <c r="F1" s="194" t="s">
        <v>1722</v>
      </c>
      <c r="G1" s="321" t="s">
        <v>1725</v>
      </c>
      <c r="H1" s="321" t="s">
        <v>2317</v>
      </c>
    </row>
    <row r="2" spans="1:8" x14ac:dyDescent="0.25">
      <c r="A2" s="14" t="s">
        <v>1677</v>
      </c>
      <c r="B2" s="218">
        <v>5</v>
      </c>
      <c r="C2" s="244">
        <v>662250</v>
      </c>
      <c r="D2" s="308" t="s">
        <v>2653</v>
      </c>
      <c r="E2" s="308" t="s">
        <v>2322</v>
      </c>
      <c r="F2" s="308" t="s">
        <v>2336</v>
      </c>
      <c r="G2" s="322">
        <v>2378.3413043478263</v>
      </c>
      <c r="H2" s="400">
        <f>G2*B2</f>
        <v>11891.706521739132</v>
      </c>
    </row>
    <row r="3" spans="1:8" x14ac:dyDescent="0.25">
      <c r="A3" s="24" t="s">
        <v>1679</v>
      </c>
      <c r="B3" s="143">
        <v>1</v>
      </c>
      <c r="C3" s="245">
        <v>662845</v>
      </c>
      <c r="D3" s="308" t="s">
        <v>2653</v>
      </c>
      <c r="E3" s="308" t="s">
        <v>2322</v>
      </c>
      <c r="F3" s="308" t="s">
        <v>2336</v>
      </c>
      <c r="G3" s="322">
        <v>2378.3413043478263</v>
      </c>
      <c r="H3" s="400">
        <f t="shared" ref="H3:H38" si="0">G3*B3</f>
        <v>2378.3413043478263</v>
      </c>
    </row>
    <row r="4" spans="1:8" x14ac:dyDescent="0.25">
      <c r="A4" s="14" t="s">
        <v>1680</v>
      </c>
      <c r="B4" s="218">
        <v>1</v>
      </c>
      <c r="C4" s="244">
        <v>662250</v>
      </c>
      <c r="D4" s="308" t="s">
        <v>2653</v>
      </c>
      <c r="E4" s="308" t="s">
        <v>2322</v>
      </c>
      <c r="F4" s="308" t="s">
        <v>2336</v>
      </c>
      <c r="G4" s="322">
        <v>2378.3413043478263</v>
      </c>
      <c r="H4" s="400">
        <f t="shared" si="0"/>
        <v>2378.3413043478263</v>
      </c>
    </row>
    <row r="5" spans="1:8" ht="60" x14ac:dyDescent="0.25">
      <c r="A5" s="24" t="s">
        <v>1681</v>
      </c>
      <c r="B5" s="143">
        <v>10</v>
      </c>
      <c r="C5" s="246" t="s">
        <v>1719</v>
      </c>
      <c r="D5" s="308" t="s">
        <v>2653</v>
      </c>
      <c r="E5" s="308" t="s">
        <v>2322</v>
      </c>
      <c r="F5" s="308" t="s">
        <v>2336</v>
      </c>
      <c r="G5" s="322">
        <v>2378.3413043478263</v>
      </c>
      <c r="H5" s="400">
        <f t="shared" si="0"/>
        <v>23783.413043478264</v>
      </c>
    </row>
    <row r="6" spans="1:8" x14ac:dyDescent="0.25">
      <c r="A6" s="14" t="s">
        <v>1683</v>
      </c>
      <c r="B6" s="218">
        <v>1</v>
      </c>
      <c r="C6" s="244">
        <v>662550</v>
      </c>
      <c r="D6" s="308" t="s">
        <v>2660</v>
      </c>
      <c r="E6" s="308" t="s">
        <v>2539</v>
      </c>
      <c r="F6" s="308" t="s">
        <v>2336</v>
      </c>
      <c r="G6" s="322">
        <v>1900.441304347826</v>
      </c>
      <c r="H6" s="400">
        <f t="shared" si="0"/>
        <v>1900.441304347826</v>
      </c>
    </row>
    <row r="7" spans="1:8" x14ac:dyDescent="0.25">
      <c r="A7" s="14" t="s">
        <v>1685</v>
      </c>
      <c r="B7" s="218">
        <v>2</v>
      </c>
      <c r="C7" s="244">
        <v>662250</v>
      </c>
      <c r="D7" s="308" t="s">
        <v>2653</v>
      </c>
      <c r="E7" s="308" t="s">
        <v>2322</v>
      </c>
      <c r="F7" s="308" t="s">
        <v>2336</v>
      </c>
      <c r="G7" s="322">
        <v>2378.3413043478263</v>
      </c>
      <c r="H7" s="400">
        <f t="shared" si="0"/>
        <v>4756.6826086956526</v>
      </c>
    </row>
    <row r="8" spans="1:8" x14ac:dyDescent="0.25">
      <c r="A8" s="14" t="s">
        <v>1686</v>
      </c>
      <c r="B8" s="218">
        <v>1</v>
      </c>
      <c r="C8" s="244">
        <v>662250</v>
      </c>
      <c r="D8" s="308" t="s">
        <v>2653</v>
      </c>
      <c r="E8" s="308" t="s">
        <v>2322</v>
      </c>
      <c r="F8" s="308" t="s">
        <v>2336</v>
      </c>
      <c r="G8" s="322">
        <v>2378.3413043478263</v>
      </c>
      <c r="H8" s="400">
        <f t="shared" si="0"/>
        <v>2378.3413043478263</v>
      </c>
    </row>
    <row r="9" spans="1:8" x14ac:dyDescent="0.25">
      <c r="A9" s="14" t="s">
        <v>1687</v>
      </c>
      <c r="B9" s="218">
        <v>2</v>
      </c>
      <c r="C9" s="244">
        <v>662250</v>
      </c>
      <c r="D9" s="308" t="s">
        <v>2653</v>
      </c>
      <c r="E9" s="308" t="s">
        <v>2322</v>
      </c>
      <c r="F9" s="308" t="s">
        <v>2336</v>
      </c>
      <c r="G9" s="322">
        <v>2378.3413043478263</v>
      </c>
      <c r="H9" s="400">
        <f t="shared" si="0"/>
        <v>4756.6826086956526</v>
      </c>
    </row>
    <row r="10" spans="1:8" x14ac:dyDescent="0.25">
      <c r="A10" s="14" t="s">
        <v>1688</v>
      </c>
      <c r="B10" s="218">
        <v>1</v>
      </c>
      <c r="C10" s="244">
        <v>662590</v>
      </c>
      <c r="D10" s="308" t="s">
        <v>2654</v>
      </c>
      <c r="E10" s="308" t="s">
        <v>2337</v>
      </c>
      <c r="F10" s="308" t="s">
        <v>2336</v>
      </c>
      <c r="G10" s="322">
        <v>2370.2608695652179</v>
      </c>
      <c r="H10" s="400">
        <f t="shared" si="0"/>
        <v>2370.2608695652179</v>
      </c>
    </row>
    <row r="11" spans="1:8" x14ac:dyDescent="0.25">
      <c r="A11" s="14" t="s">
        <v>1689</v>
      </c>
      <c r="B11" s="218">
        <v>2</v>
      </c>
      <c r="C11" s="244">
        <v>662250</v>
      </c>
      <c r="D11" s="308" t="s">
        <v>2653</v>
      </c>
      <c r="E11" s="308" t="s">
        <v>2322</v>
      </c>
      <c r="F11" s="308" t="s">
        <v>2336</v>
      </c>
      <c r="G11" s="322">
        <v>2378.3413043478263</v>
      </c>
      <c r="H11" s="400">
        <f t="shared" si="0"/>
        <v>4756.6826086956526</v>
      </c>
    </row>
    <row r="12" spans="1:8" x14ac:dyDescent="0.25">
      <c r="A12" s="14" t="s">
        <v>1690</v>
      </c>
      <c r="B12" s="218">
        <v>6</v>
      </c>
      <c r="C12" s="244">
        <v>662250</v>
      </c>
      <c r="D12" s="308" t="s">
        <v>2653</v>
      </c>
      <c r="E12" s="308" t="s">
        <v>2322</v>
      </c>
      <c r="F12" s="308" t="s">
        <v>2336</v>
      </c>
      <c r="G12" s="322">
        <v>2378.3413043478263</v>
      </c>
      <c r="H12" s="400">
        <f t="shared" si="0"/>
        <v>14270.047826086957</v>
      </c>
    </row>
    <row r="13" spans="1:8" x14ac:dyDescent="0.25">
      <c r="A13" s="14" t="s">
        <v>1691</v>
      </c>
      <c r="B13" s="218">
        <v>15</v>
      </c>
      <c r="C13" s="244">
        <v>662550</v>
      </c>
      <c r="D13" s="308" t="s">
        <v>2660</v>
      </c>
      <c r="E13" s="308" t="s">
        <v>2539</v>
      </c>
      <c r="F13" s="308" t="s">
        <v>2336</v>
      </c>
      <c r="G13" s="322">
        <v>1900.441304347826</v>
      </c>
      <c r="H13" s="400">
        <f t="shared" si="0"/>
        <v>28506.619565217388</v>
      </c>
    </row>
    <row r="14" spans="1:8" x14ac:dyDescent="0.25">
      <c r="A14" s="14" t="s">
        <v>1692</v>
      </c>
      <c r="B14" s="218">
        <v>1</v>
      </c>
      <c r="C14" s="244">
        <v>662250</v>
      </c>
      <c r="D14" s="308" t="s">
        <v>2653</v>
      </c>
      <c r="E14" s="308" t="s">
        <v>2322</v>
      </c>
      <c r="F14" s="308" t="s">
        <v>2336</v>
      </c>
      <c r="G14" s="322">
        <v>2378.3413043478263</v>
      </c>
      <c r="H14" s="400">
        <f t="shared" si="0"/>
        <v>2378.3413043478263</v>
      </c>
    </row>
    <row r="15" spans="1:8" x14ac:dyDescent="0.25">
      <c r="A15" s="14" t="s">
        <v>1693</v>
      </c>
      <c r="B15" s="218">
        <v>1</v>
      </c>
      <c r="C15" s="244">
        <v>662250</v>
      </c>
      <c r="D15" s="308" t="s">
        <v>2653</v>
      </c>
      <c r="E15" s="308" t="s">
        <v>2322</v>
      </c>
      <c r="F15" s="308" t="s">
        <v>2336</v>
      </c>
      <c r="G15" s="322">
        <v>2378.3413043478263</v>
      </c>
      <c r="H15" s="400">
        <f t="shared" si="0"/>
        <v>2378.3413043478263</v>
      </c>
    </row>
    <row r="16" spans="1:8" x14ac:dyDescent="0.25">
      <c r="A16" s="14" t="s">
        <v>1694</v>
      </c>
      <c r="B16" s="218">
        <v>2</v>
      </c>
      <c r="C16" s="244">
        <v>662250</v>
      </c>
      <c r="D16" s="308" t="s">
        <v>2653</v>
      </c>
      <c r="E16" s="308" t="s">
        <v>2322</v>
      </c>
      <c r="F16" s="308" t="s">
        <v>2336</v>
      </c>
      <c r="G16" s="322">
        <v>2378.3413043478263</v>
      </c>
      <c r="H16" s="400">
        <f t="shared" si="0"/>
        <v>4756.6826086956526</v>
      </c>
    </row>
    <row r="17" spans="1:8" x14ac:dyDescent="0.25">
      <c r="A17" s="24" t="s">
        <v>1695</v>
      </c>
      <c r="B17" s="143">
        <v>1</v>
      </c>
      <c r="C17" s="247" t="s">
        <v>1719</v>
      </c>
      <c r="D17" s="308" t="s">
        <v>2653</v>
      </c>
      <c r="E17" s="308" t="s">
        <v>2322</v>
      </c>
      <c r="F17" s="308" t="s">
        <v>2336</v>
      </c>
      <c r="G17" s="322">
        <v>2378.3413043478263</v>
      </c>
      <c r="H17" s="400">
        <f t="shared" si="0"/>
        <v>2378.3413043478263</v>
      </c>
    </row>
    <row r="18" spans="1:8" x14ac:dyDescent="0.25">
      <c r="A18" s="24" t="s">
        <v>1696</v>
      </c>
      <c r="B18" s="143">
        <v>1</v>
      </c>
      <c r="C18" s="245">
        <v>662550</v>
      </c>
      <c r="D18" s="308" t="s">
        <v>2660</v>
      </c>
      <c r="E18" s="308" t="s">
        <v>2539</v>
      </c>
      <c r="F18" s="308" t="s">
        <v>2336</v>
      </c>
      <c r="G18" s="322">
        <v>1900.441304347826</v>
      </c>
      <c r="H18" s="400">
        <f t="shared" si="0"/>
        <v>1900.441304347826</v>
      </c>
    </row>
    <row r="19" spans="1:8" x14ac:dyDescent="0.25">
      <c r="A19" s="24" t="s">
        <v>1697</v>
      </c>
      <c r="B19" s="143">
        <v>3</v>
      </c>
      <c r="C19" s="176" t="s">
        <v>1720</v>
      </c>
      <c r="D19" s="308" t="s">
        <v>2668</v>
      </c>
      <c r="E19" s="366" t="s">
        <v>2651</v>
      </c>
      <c r="F19" s="308" t="s">
        <v>2336</v>
      </c>
      <c r="G19" s="322">
        <v>2003.5630434782609</v>
      </c>
      <c r="H19" s="400">
        <f t="shared" si="0"/>
        <v>6010.6891304347828</v>
      </c>
    </row>
    <row r="20" spans="1:8" x14ac:dyDescent="0.25">
      <c r="A20" s="14" t="s">
        <v>1698</v>
      </c>
      <c r="B20" s="218">
        <v>32</v>
      </c>
      <c r="C20" s="244">
        <v>662250</v>
      </c>
      <c r="D20" s="308" t="s">
        <v>2653</v>
      </c>
      <c r="E20" s="308" t="s">
        <v>2322</v>
      </c>
      <c r="F20" s="308" t="s">
        <v>2336</v>
      </c>
      <c r="G20" s="322">
        <v>2378.3413043478263</v>
      </c>
      <c r="H20" s="400">
        <f t="shared" si="0"/>
        <v>76106.921739130441</v>
      </c>
    </row>
    <row r="21" spans="1:8" x14ac:dyDescent="0.25">
      <c r="A21" s="14" t="s">
        <v>1700</v>
      </c>
      <c r="B21" s="218">
        <v>5</v>
      </c>
      <c r="C21" s="244">
        <v>662550</v>
      </c>
      <c r="D21" s="308" t="s">
        <v>2660</v>
      </c>
      <c r="E21" s="308" t="s">
        <v>2539</v>
      </c>
      <c r="F21" s="308" t="s">
        <v>2336</v>
      </c>
      <c r="G21" s="322">
        <v>1900.441304347826</v>
      </c>
      <c r="H21" s="400">
        <f t="shared" si="0"/>
        <v>9502.20652173913</v>
      </c>
    </row>
    <row r="22" spans="1:8" x14ac:dyDescent="0.25">
      <c r="A22" s="14" t="s">
        <v>1701</v>
      </c>
      <c r="B22" s="218">
        <v>2</v>
      </c>
      <c r="C22" s="244">
        <v>662290</v>
      </c>
      <c r="D22" s="308" t="s">
        <v>2667</v>
      </c>
      <c r="E22" s="308" t="s">
        <v>2527</v>
      </c>
      <c r="F22" s="308" t="s">
        <v>2336</v>
      </c>
      <c r="G22" s="322">
        <v>2962.4413043478262</v>
      </c>
      <c r="H22" s="400">
        <f t="shared" si="0"/>
        <v>5924.8826086956524</v>
      </c>
    </row>
    <row r="23" spans="1:8" x14ac:dyDescent="0.25">
      <c r="A23" s="14" t="s">
        <v>1703</v>
      </c>
      <c r="B23" s="218">
        <v>2</v>
      </c>
      <c r="C23" s="244">
        <v>662550</v>
      </c>
      <c r="D23" s="308" t="s">
        <v>2660</v>
      </c>
      <c r="E23" s="308" t="s">
        <v>2539</v>
      </c>
      <c r="F23" s="308" t="s">
        <v>2336</v>
      </c>
      <c r="G23" s="322">
        <v>1900.441304347826</v>
      </c>
      <c r="H23" s="400">
        <f t="shared" si="0"/>
        <v>3800.8826086956519</v>
      </c>
    </row>
    <row r="24" spans="1:8" x14ac:dyDescent="0.25">
      <c r="A24" s="14" t="s">
        <v>1704</v>
      </c>
      <c r="B24" s="218">
        <v>2</v>
      </c>
      <c r="C24" s="244">
        <v>662550</v>
      </c>
      <c r="D24" s="308" t="s">
        <v>2660</v>
      </c>
      <c r="E24" s="308" t="s">
        <v>2539</v>
      </c>
      <c r="F24" s="308" t="s">
        <v>2336</v>
      </c>
      <c r="G24" s="322">
        <v>1900.441304347826</v>
      </c>
      <c r="H24" s="400">
        <f t="shared" si="0"/>
        <v>3800.8826086956519</v>
      </c>
    </row>
    <row r="25" spans="1:8" x14ac:dyDescent="0.25">
      <c r="A25" s="14" t="s">
        <v>1705</v>
      </c>
      <c r="B25" s="218">
        <v>1</v>
      </c>
      <c r="C25" s="244">
        <v>662550</v>
      </c>
      <c r="D25" s="308" t="s">
        <v>2660</v>
      </c>
      <c r="E25" s="308" t="s">
        <v>2539</v>
      </c>
      <c r="F25" s="308" t="s">
        <v>2336</v>
      </c>
      <c r="G25" s="322">
        <v>1900.441304347826</v>
      </c>
      <c r="H25" s="400">
        <f t="shared" si="0"/>
        <v>1900.441304347826</v>
      </c>
    </row>
    <row r="26" spans="1:8" x14ac:dyDescent="0.25">
      <c r="A26" s="14" t="s">
        <v>1706</v>
      </c>
      <c r="B26" s="218">
        <v>1</v>
      </c>
      <c r="C26" s="244">
        <v>662550</v>
      </c>
      <c r="D26" s="308" t="s">
        <v>2660</v>
      </c>
      <c r="E26" s="308" t="s">
        <v>2539</v>
      </c>
      <c r="F26" s="308" t="s">
        <v>2336</v>
      </c>
      <c r="G26" s="322">
        <v>1900.441304347826</v>
      </c>
      <c r="H26" s="400">
        <f t="shared" si="0"/>
        <v>1900.441304347826</v>
      </c>
    </row>
    <row r="27" spans="1:8" x14ac:dyDescent="0.25">
      <c r="A27" s="14" t="s">
        <v>1707</v>
      </c>
      <c r="B27" s="218">
        <v>1</v>
      </c>
      <c r="C27" s="244">
        <v>662290</v>
      </c>
      <c r="D27" s="308" t="s">
        <v>2667</v>
      </c>
      <c r="E27" s="308" t="s">
        <v>2527</v>
      </c>
      <c r="F27" s="308" t="s">
        <v>2336</v>
      </c>
      <c r="G27" s="322">
        <v>2962.4413043478262</v>
      </c>
      <c r="H27" s="400">
        <f t="shared" si="0"/>
        <v>2962.4413043478262</v>
      </c>
    </row>
    <row r="28" spans="1:8" x14ac:dyDescent="0.25">
      <c r="A28" s="14" t="s">
        <v>1708</v>
      </c>
      <c r="B28" s="218">
        <v>1</v>
      </c>
      <c r="C28" s="244">
        <v>662290</v>
      </c>
      <c r="D28" s="308" t="s">
        <v>2667</v>
      </c>
      <c r="E28" s="308" t="s">
        <v>2527</v>
      </c>
      <c r="F28" s="308" t="s">
        <v>2336</v>
      </c>
      <c r="G28" s="322">
        <v>2962.4413043478262</v>
      </c>
      <c r="H28" s="400">
        <f t="shared" si="0"/>
        <v>2962.4413043478262</v>
      </c>
    </row>
    <row r="29" spans="1:8" x14ac:dyDescent="0.25">
      <c r="A29" s="14" t="s">
        <v>1709</v>
      </c>
      <c r="B29" s="218">
        <v>10</v>
      </c>
      <c r="C29" s="244">
        <v>662250</v>
      </c>
      <c r="D29" s="308" t="s">
        <v>2653</v>
      </c>
      <c r="E29" s="308" t="s">
        <v>2322</v>
      </c>
      <c r="F29" s="308" t="s">
        <v>2336</v>
      </c>
      <c r="G29" s="322">
        <v>2378.3413043478263</v>
      </c>
      <c r="H29" s="400">
        <f t="shared" si="0"/>
        <v>23783.413043478264</v>
      </c>
    </row>
    <row r="30" spans="1:8" x14ac:dyDescent="0.25">
      <c r="A30" s="14" t="s">
        <v>1710</v>
      </c>
      <c r="B30" s="218">
        <v>1</v>
      </c>
      <c r="C30" s="244">
        <v>662250</v>
      </c>
      <c r="D30" s="308" t="s">
        <v>2653</v>
      </c>
      <c r="E30" s="308" t="s">
        <v>2322</v>
      </c>
      <c r="F30" s="308" t="s">
        <v>2336</v>
      </c>
      <c r="G30" s="322">
        <v>2378.3413043478263</v>
      </c>
      <c r="H30" s="400">
        <f t="shared" si="0"/>
        <v>2378.3413043478263</v>
      </c>
    </row>
    <row r="31" spans="1:8" x14ac:dyDescent="0.25">
      <c r="A31" s="14" t="s">
        <v>1711</v>
      </c>
      <c r="B31" s="218">
        <v>1</v>
      </c>
      <c r="C31" s="244">
        <v>662290</v>
      </c>
      <c r="D31" s="308" t="s">
        <v>2667</v>
      </c>
      <c r="E31" s="308" t="s">
        <v>2527</v>
      </c>
      <c r="F31" s="308" t="s">
        <v>2336</v>
      </c>
      <c r="G31" s="322">
        <v>2962.4413043478262</v>
      </c>
      <c r="H31" s="400">
        <f t="shared" si="0"/>
        <v>2962.4413043478262</v>
      </c>
    </row>
    <row r="32" spans="1:8" x14ac:dyDescent="0.25">
      <c r="A32" s="14" t="s">
        <v>1712</v>
      </c>
      <c r="B32" s="218">
        <v>1</v>
      </c>
      <c r="C32" s="244">
        <v>662250</v>
      </c>
      <c r="D32" s="308" t="s">
        <v>2653</v>
      </c>
      <c r="E32" s="308" t="s">
        <v>2322</v>
      </c>
      <c r="F32" s="308" t="s">
        <v>2336</v>
      </c>
      <c r="G32" s="322">
        <v>2378.3413043478263</v>
      </c>
      <c r="H32" s="400">
        <f t="shared" si="0"/>
        <v>2378.3413043478263</v>
      </c>
    </row>
    <row r="33" spans="1:8" x14ac:dyDescent="0.25">
      <c r="A33" s="14" t="s">
        <v>1713</v>
      </c>
      <c r="B33" s="218">
        <v>1</v>
      </c>
      <c r="C33" s="244">
        <v>662290</v>
      </c>
      <c r="D33" s="308" t="s">
        <v>2667</v>
      </c>
      <c r="E33" s="308" t="s">
        <v>2527</v>
      </c>
      <c r="F33" s="308" t="s">
        <v>2336</v>
      </c>
      <c r="G33" s="322">
        <v>2962.4413043478262</v>
      </c>
      <c r="H33" s="400">
        <f t="shared" si="0"/>
        <v>2962.4413043478262</v>
      </c>
    </row>
    <row r="34" spans="1:8" x14ac:dyDescent="0.25">
      <c r="A34" s="14" t="s">
        <v>1714</v>
      </c>
      <c r="B34" s="218">
        <v>2</v>
      </c>
      <c r="C34" s="244">
        <v>662290</v>
      </c>
      <c r="D34" s="308" t="s">
        <v>2667</v>
      </c>
      <c r="E34" s="308" t="s">
        <v>2527</v>
      </c>
      <c r="F34" s="308" t="s">
        <v>2336</v>
      </c>
      <c r="G34" s="322">
        <v>2962.4413043478262</v>
      </c>
      <c r="H34" s="400">
        <f t="shared" si="0"/>
        <v>5924.8826086956524</v>
      </c>
    </row>
    <row r="35" spans="1:8" x14ac:dyDescent="0.25">
      <c r="A35" s="14" t="s">
        <v>1715</v>
      </c>
      <c r="B35" s="218">
        <v>1</v>
      </c>
      <c r="C35" s="244">
        <v>662590</v>
      </c>
      <c r="D35" s="308" t="s">
        <v>2654</v>
      </c>
      <c r="E35" s="308" t="s">
        <v>2337</v>
      </c>
      <c r="F35" s="308" t="s">
        <v>2336</v>
      </c>
      <c r="G35" s="322">
        <v>2370.2608695652179</v>
      </c>
      <c r="H35" s="400">
        <f t="shared" si="0"/>
        <v>2370.2608695652179</v>
      </c>
    </row>
    <row r="36" spans="1:8" x14ac:dyDescent="0.25">
      <c r="A36" s="14" t="s">
        <v>1716</v>
      </c>
      <c r="B36" s="218">
        <v>1</v>
      </c>
      <c r="C36" s="244">
        <v>662290</v>
      </c>
      <c r="D36" s="308" t="s">
        <v>2667</v>
      </c>
      <c r="E36" s="308" t="s">
        <v>2527</v>
      </c>
      <c r="F36" s="308" t="s">
        <v>2336</v>
      </c>
      <c r="G36" s="322">
        <v>2962.4413043478262</v>
      </c>
      <c r="H36" s="400">
        <f t="shared" si="0"/>
        <v>2962.4413043478262</v>
      </c>
    </row>
    <row r="37" spans="1:8" x14ac:dyDescent="0.25">
      <c r="A37" s="24" t="s">
        <v>1717</v>
      </c>
      <c r="B37" s="143">
        <v>1</v>
      </c>
      <c r="C37" s="245">
        <v>662290</v>
      </c>
      <c r="D37" s="308" t="s">
        <v>2667</v>
      </c>
      <c r="E37" s="308" t="s">
        <v>2527</v>
      </c>
      <c r="F37" s="308" t="s">
        <v>2336</v>
      </c>
      <c r="G37" s="322">
        <v>2962.4413043478262</v>
      </c>
      <c r="H37" s="400">
        <f t="shared" si="0"/>
        <v>2962.4413043478262</v>
      </c>
    </row>
    <row r="38" spans="1:8" x14ac:dyDescent="0.25">
      <c r="A38" s="24" t="s">
        <v>1718</v>
      </c>
      <c r="B38" s="143">
        <v>2</v>
      </c>
      <c r="C38" s="247" t="s">
        <v>1719</v>
      </c>
      <c r="D38" s="308" t="s">
        <v>2653</v>
      </c>
      <c r="E38" s="308" t="s">
        <v>2322</v>
      </c>
      <c r="F38" s="308" t="s">
        <v>2336</v>
      </c>
      <c r="G38" s="322">
        <v>2378.3413043478263</v>
      </c>
      <c r="H38" s="400">
        <f t="shared" si="0"/>
        <v>4756.6826086956526</v>
      </c>
    </row>
    <row r="39" spans="1:8" x14ac:dyDescent="0.25">
      <c r="H39" s="388">
        <f>SUM(H2:H38)</f>
        <v>286233.62608695659</v>
      </c>
    </row>
  </sheetData>
  <autoFilter ref="A1:G38" xr:uid="{9A788C18-3404-484B-8C78-D173ADD3F36B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DDC0651A378344B8BA8F6232011C9A" ma:contentTypeVersion="7" ma:contentTypeDescription="Criar um novo documento." ma:contentTypeScope="" ma:versionID="17a1e6b265c4e94eaa1252c689c487df">
  <xsd:schema xmlns:xsd="http://www.w3.org/2001/XMLSchema" xmlns:xs="http://www.w3.org/2001/XMLSchema" xmlns:p="http://schemas.microsoft.com/office/2006/metadata/properties" xmlns:ns1="http://schemas.microsoft.com/sharepoint/v3" xmlns:ns2="4fea15e8-1763-497e-968b-607bf922aad1" targetNamespace="http://schemas.microsoft.com/office/2006/metadata/properties" ma:root="true" ma:fieldsID="f4a4a41aa0d641802737a88d7db90617" ns1:_="" ns2:_="">
    <xsd:import namespace="http://schemas.microsoft.com/sharepoint/v3"/>
    <xsd:import namespace="4fea15e8-1763-497e-968b-607bf922aa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ea15e8-1763-497e-968b-607bf922aa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0EDC80-5AA4-4F5F-BA1D-854BA021B2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4226E3-56B8-4B8F-9BB4-7DE949CE23AD}">
  <ds:schemaRefs>
    <ds:schemaRef ds:uri="http://purl.org/dc/dcmitype/"/>
    <ds:schemaRef ds:uri="http://schemas.microsoft.com/office/2006/documentManagement/types"/>
    <ds:schemaRef ds:uri="http://schemas.microsoft.com/sharepoint/v3"/>
    <ds:schemaRef ds:uri="4fea15e8-1763-497e-968b-607bf922aad1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42FB7F5-EC88-4A65-BC06-3DD7B8BE84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ea15e8-1763-497e-968b-607bf922aa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48</vt:i4>
      </vt:variant>
    </vt:vector>
  </HeadingPairs>
  <TitlesOfParts>
    <vt:vector size="48" baseType="lpstr">
      <vt:lpstr>AVULSOS</vt:lpstr>
      <vt:lpstr>AMIGDALA</vt:lpstr>
      <vt:lpstr>ASP. HEMORROIDA</vt:lpstr>
      <vt:lpstr>BUCO ESPECIAL</vt:lpstr>
      <vt:lpstr>CANULAS DE LIPO</vt:lpstr>
      <vt:lpstr>CENTRIFUGA</vt:lpstr>
      <vt:lpstr>CLAMP VASCULAR</vt:lpstr>
      <vt:lpstr>CISTOSCOPIA</vt:lpstr>
      <vt:lpstr>COMPL. GINECO</vt:lpstr>
      <vt:lpstr>CTG</vt:lpstr>
      <vt:lpstr>ESTILETES OUVIDO</vt:lpstr>
      <vt:lpstr>FAV</vt:lpstr>
      <vt:lpstr>VARIZES</vt:lpstr>
      <vt:lpstr>GERAL MEDIA</vt:lpstr>
      <vt:lpstr>GERAL PEQUENA</vt:lpstr>
      <vt:lpstr>HEMORROIDE</vt:lpstr>
      <vt:lpstr>RESSECÇÃO ENDOSCOPICA</vt:lpstr>
      <vt:lpstr>HISTEROSCOPIA</vt:lpstr>
      <vt:lpstr>2.7</vt:lpstr>
      <vt:lpstr>MICRO URO</vt:lpstr>
      <vt:lpstr>PINÇAS HISTEROSCOPIA</vt:lpstr>
      <vt:lpstr>KART</vt:lpstr>
      <vt:lpstr>KIT MERINGO</vt:lpstr>
      <vt:lpstr>PLASTICA</vt:lpstr>
      <vt:lpstr>RINOSSEPTO</vt:lpstr>
      <vt:lpstr>SEPTO</vt:lpstr>
      <vt:lpstr>LAPAROSCOPIA ESPECIAL</vt:lpstr>
      <vt:lpstr>VASECTOMIA</vt:lpstr>
      <vt:lpstr>VELAS HEGAR</vt:lpstr>
      <vt:lpstr>VELAS HEGAR  GROSSAS</vt:lpstr>
      <vt:lpstr>VIBROLIPO</vt:lpstr>
      <vt:lpstr>DERMATOMO</vt:lpstr>
      <vt:lpstr>REDUÇÃO FRATURA NASAL</vt:lpstr>
      <vt:lpstr>MICRO LARINGE</vt:lpstr>
      <vt:lpstr>HTA</vt:lpstr>
      <vt:lpstr>SEPTO FACTORY</vt:lpstr>
      <vt:lpstr>COMPL VASCULAR</vt:lpstr>
      <vt:lpstr>MASTECTOMIA</vt:lpstr>
      <vt:lpstr>COMPL. URO</vt:lpstr>
      <vt:lpstr>CIRURGIA GINECOLOGICA</vt:lpstr>
      <vt:lpstr>URGENCIA GERAL</vt:lpstr>
      <vt:lpstr>TIMPANOMASTOIDE</vt:lpstr>
      <vt:lpstr>TIREOIDE</vt:lpstr>
      <vt:lpstr>AFASTADORES ILUMINADOS</vt:lpstr>
      <vt:lpstr>OTICAS</vt:lpstr>
      <vt:lpstr>AMB. PINHEIROS</vt:lpstr>
      <vt:lpstr>CONTAINER AESCULAP</vt:lpstr>
      <vt:lpstr>CESTOS MNH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Camila Cadamuro</dc:creator>
  <cp:keywords/>
  <dc:description/>
  <cp:lastModifiedBy>Danielle  Portella</cp:lastModifiedBy>
  <cp:revision/>
  <dcterms:created xsi:type="dcterms:W3CDTF">2025-11-11T14:30:52Z</dcterms:created>
  <dcterms:modified xsi:type="dcterms:W3CDTF">2026-02-06T20:39:09Z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0x010100AEDDC0651A378344B8BA8F6232011C9A</vt:lpwstr>
  </property>
</Properties>
</file>