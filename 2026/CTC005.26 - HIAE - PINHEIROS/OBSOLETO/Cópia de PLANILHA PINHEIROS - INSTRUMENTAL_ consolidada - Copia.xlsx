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05.26 - HIAE - PINHEIROS\"/>
    </mc:Choice>
  </mc:AlternateContent>
  <xr:revisionPtr revIDLastSave="0" documentId="8_{3B89B7DF-C5C9-4B59-A82A-DE1C4D27BE6C}" xr6:coauthVersionLast="47" xr6:coauthVersionMax="47" xr10:uidLastSave="{00000000-0000-0000-0000-000000000000}"/>
  <bookViews>
    <workbookView xWindow="-120" yWindow="-120" windowWidth="20730" windowHeight="11040" tabRatio="893" firstSheet="41" activeTab="46" xr2:uid="{00000000-000D-0000-FFFF-FFFF00000000}"/>
  </bookViews>
  <sheets>
    <sheet name="Consolidada" sheetId="64" r:id="rId1"/>
    <sheet name="AVULSOS" sheetId="5" r:id="rId2"/>
    <sheet name="AMIGDALA" sheetId="1" r:id="rId3"/>
    <sheet name="ASP. HEMORROIDA" sheetId="3" r:id="rId4"/>
    <sheet name="BUCO ESPECIAL" sheetId="6" r:id="rId5"/>
    <sheet name="CANULAS DE LIPO" sheetId="7" r:id="rId6"/>
    <sheet name="CENTRIFUGA" sheetId="8" r:id="rId7"/>
    <sheet name="CLAMP VASCULAR" sheetId="12" r:id="rId8"/>
    <sheet name="CISTOSCOPIA" sheetId="13" r:id="rId9"/>
    <sheet name="COMPL. GINECO" sheetId="14" r:id="rId10"/>
    <sheet name="CTG" sheetId="15" r:id="rId11"/>
    <sheet name="ESTILETES OUVIDO" sheetId="16" r:id="rId12"/>
    <sheet name="FAV" sheetId="17" r:id="rId13"/>
    <sheet name="VARIZES" sheetId="19" r:id="rId14"/>
    <sheet name="GERAL MEDIA" sheetId="20" r:id="rId15"/>
    <sheet name="GERAL PEQUENA" sheetId="21" r:id="rId16"/>
    <sheet name="HEMORROIDE" sheetId="22" r:id="rId17"/>
    <sheet name="RESSECÇÃO ENDOSCOPICA" sheetId="59" r:id="rId18"/>
    <sheet name="HISTEROSCOPIA" sheetId="24" r:id="rId19"/>
    <sheet name="2.7" sheetId="25" r:id="rId20"/>
    <sheet name="MICRO URO" sheetId="28" r:id="rId21"/>
    <sheet name="PINÇAS HISTEROSCOPIA" sheetId="48" r:id="rId22"/>
    <sheet name="KART" sheetId="26" r:id="rId23"/>
    <sheet name="KIT MERINGO" sheetId="29" r:id="rId24"/>
    <sheet name="PLASTICA" sheetId="30" r:id="rId25"/>
    <sheet name="RINOSSEPTO" sheetId="33" r:id="rId26"/>
    <sheet name="SEPTO" sheetId="35" r:id="rId27"/>
    <sheet name="LAPAROSCOPIA ESPECIAL" sheetId="27" r:id="rId28"/>
    <sheet name="VASECTOMIA" sheetId="41" r:id="rId29"/>
    <sheet name="VELAS HEGAR" sheetId="42" r:id="rId30"/>
    <sheet name="VELAS HEGAR  GROSSAS" sheetId="50" r:id="rId31"/>
    <sheet name="VIBROLIPO" sheetId="43" r:id="rId32"/>
    <sheet name="DERMATOMO" sheetId="44" r:id="rId33"/>
    <sheet name="REDUÇÃO FRATURA NASAL" sheetId="52" r:id="rId34"/>
    <sheet name="MICRO LARINGE" sheetId="55" r:id="rId35"/>
    <sheet name="HTA" sheetId="60" r:id="rId36"/>
    <sheet name="SEPTO FACTORY" sheetId="34" r:id="rId37"/>
    <sheet name="COMPL VASCULAR" sheetId="58" r:id="rId38"/>
    <sheet name="MASTECTOMIA" sheetId="53" r:id="rId39"/>
    <sheet name="COMPL. URO" sheetId="31" r:id="rId40"/>
    <sheet name="CIRURGIA GINECOLOGICA" sheetId="57" r:id="rId41"/>
    <sheet name="URGENCIA GERAL" sheetId="56" r:id="rId42"/>
    <sheet name="TIMPANOMASTOIDE" sheetId="36" r:id="rId43"/>
    <sheet name="TIREOIDE" sheetId="37" r:id="rId44"/>
    <sheet name="AFASTADORES ILUMINADOS" sheetId="45" r:id="rId45"/>
    <sheet name="OTICAS" sheetId="46" r:id="rId46"/>
    <sheet name="AMB. PINHEIROS" sheetId="47" r:id="rId47"/>
    <sheet name="CONTAINER AESCULAP" sheetId="61" r:id="rId48"/>
    <sheet name="CESTOS MNH" sheetId="62" r:id="rId49"/>
  </sheets>
  <definedNames>
    <definedName name="_xlnm._FilterDatabase" localSheetId="46" hidden="1">'AMB. PINHEIROS'!$A$1:$D$118</definedName>
    <definedName name="_xlnm._FilterDatabase" localSheetId="2" hidden="1">AMIGDALA!$A$1:$D$32</definedName>
    <definedName name="_xlnm._FilterDatabase" localSheetId="1" hidden="1">AVULSOS!$A$1:$H$156</definedName>
    <definedName name="_xlnm._FilterDatabase" localSheetId="4" hidden="1">'BUCO ESPECIAL'!$A$1:$D$54</definedName>
    <definedName name="_xlnm._FilterDatabase" localSheetId="48" hidden="1">'CESTOS MNH'!$A$1:$G$38</definedName>
    <definedName name="_xlnm._FilterDatabase" localSheetId="0" hidden="1">Consolidada!$A$2:$G$2</definedName>
    <definedName name="_xlnm._FilterDatabase" localSheetId="47" hidden="1">'CONTAINER AESCULAP'!$A$1:$G$38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7" i="64" l="1"/>
  <c r="B27" i="58"/>
  <c r="B5" i="57"/>
  <c r="B60" i="35"/>
</calcChain>
</file>

<file path=xl/sharedStrings.xml><?xml version="1.0" encoding="utf-8"?>
<sst xmlns="http://schemas.openxmlformats.org/spreadsheetml/2006/main" count="9495" uniqueCount="2224">
  <si>
    <t>Descrição Item</t>
  </si>
  <si>
    <t>Quantidades Avulsos</t>
  </si>
  <si>
    <t>Referência</t>
  </si>
  <si>
    <t>PINCA BACKHAUS BOLA 130MM  (10 JOGOS C/5UNID)</t>
  </si>
  <si>
    <t>FACTORY</t>
  </si>
  <si>
    <t>PINCA BACKHAUS CORTANTE 130MM (6 JOGOS C/5 UNID)</t>
  </si>
  <si>
    <t>AFASTADOR FARABEUF 7X100MM (PARES)</t>
  </si>
  <si>
    <t>QG.665.10</t>
  </si>
  <si>
    <t>QUINELATO</t>
  </si>
  <si>
    <t>BT021R</t>
  </si>
  <si>
    <t>AESCULAP</t>
  </si>
  <si>
    <t>AFASTADOR FARABEUF 12X100MM (PARES)</t>
  </si>
  <si>
    <t>QG.665.12</t>
  </si>
  <si>
    <t>AFASTADOR FARABEUF 13X150MM (PARES)</t>
  </si>
  <si>
    <t>QG.665.15</t>
  </si>
  <si>
    <t>AFASTADOR FARABEUF 20X170MM (PARES)</t>
  </si>
  <si>
    <t>QG.665.17</t>
  </si>
  <si>
    <t>AFASTADOR RICHARDSON 28X20MM (PARES)</t>
  </si>
  <si>
    <t>QG.391.01</t>
  </si>
  <si>
    <t>AFASTADOR RICHARDSON 36X28MM (PARES)</t>
  </si>
  <si>
    <t>QG.391.02</t>
  </si>
  <si>
    <t>AFASTADOR RICHARDSON 52X22MM(PARES)</t>
  </si>
  <si>
    <t>QG.391.04</t>
  </si>
  <si>
    <t>PINCA  MOSQUITO CURVA (JOGOS DE 2)</t>
  </si>
  <si>
    <t>QF.311.12</t>
  </si>
  <si>
    <t>PINCA  MOSQUITO RETA  (JOGOS DE 2)</t>
  </si>
  <si>
    <t>QF.310.12</t>
  </si>
  <si>
    <t>PINCA  SCHNIDT</t>
  </si>
  <si>
    <t>QF.361.18</t>
  </si>
  <si>
    <t>PINCA ADSON COM DENTE</t>
  </si>
  <si>
    <t>QC.368.15</t>
  </si>
  <si>
    <t>BD511R</t>
  </si>
  <si>
    <t xml:space="preserve">PINCA ADSON SEM DENTE </t>
  </si>
  <si>
    <t>QC.168.12</t>
  </si>
  <si>
    <t>BD222R</t>
  </si>
  <si>
    <t>PINCA ALLIS 150MM</t>
  </si>
  <si>
    <t>QL.134.15</t>
  </si>
  <si>
    <t>EA016R</t>
  </si>
  <si>
    <t>PINCA ALLIS 200MM</t>
  </si>
  <si>
    <t>QL.134.20</t>
  </si>
  <si>
    <t>PINCA ALLIS 250MM</t>
  </si>
  <si>
    <t>QL.134.35</t>
  </si>
  <si>
    <t>PINCA ANATOMICA 140MM</t>
  </si>
  <si>
    <t>QC.100.14</t>
  </si>
  <si>
    <t>PINCA ANATOMICA 160MM</t>
  </si>
  <si>
    <t>QC.100.16</t>
  </si>
  <si>
    <t>PINCA ANATOMICA 200MM</t>
  </si>
  <si>
    <t>QC.100.20</t>
  </si>
  <si>
    <t>PINCA ANATOMICA 250MM</t>
  </si>
  <si>
    <t>QC.100.25</t>
  </si>
  <si>
    <t>PINCA ANATOMICA 300MM</t>
  </si>
  <si>
    <t>QC.100.30</t>
  </si>
  <si>
    <t xml:space="preserve">PINCA CHERON </t>
  </si>
  <si>
    <t>QF.290.25</t>
  </si>
  <si>
    <t>PINCA DENTE DE RATO 140MM</t>
  </si>
  <si>
    <t>QC.301.14</t>
  </si>
  <si>
    <t>PINCA DENTE DE RATO 160MM</t>
  </si>
  <si>
    <t>QC.301.16</t>
  </si>
  <si>
    <t>PINCA DENTE DE RATO 200MM</t>
  </si>
  <si>
    <t>QC.301.20</t>
  </si>
  <si>
    <t>PINCA DENTE DE RATO 250MM</t>
  </si>
  <si>
    <t>QC.301.25</t>
  </si>
  <si>
    <t>PINCA DENTE DE RATO 300MM</t>
  </si>
  <si>
    <t>QC.301.30</t>
  </si>
  <si>
    <t xml:space="preserve">PINCA KELLY CURVA </t>
  </si>
  <si>
    <t>QF.331.14</t>
  </si>
  <si>
    <t>QF.331.16</t>
  </si>
  <si>
    <t>PINCA KELLY RETA</t>
  </si>
  <si>
    <t>QF.330.16</t>
  </si>
  <si>
    <t>QF.330.14</t>
  </si>
  <si>
    <t xml:space="preserve">PINCA KOCHER CURVA </t>
  </si>
  <si>
    <t>QF.415.16</t>
  </si>
  <si>
    <t xml:space="preserve">PINCA KOCHER RETA 160MM </t>
  </si>
  <si>
    <t>QF.414.16</t>
  </si>
  <si>
    <t>BH642R</t>
  </si>
  <si>
    <t>PINCA KOCHER RETA 140MM</t>
  </si>
  <si>
    <t>QF.414.14</t>
  </si>
  <si>
    <t>PINCA KOCHER RETA 180MM</t>
  </si>
  <si>
    <t>QF.414.18</t>
  </si>
  <si>
    <t>PINCA MIXTER 220MM</t>
  </si>
  <si>
    <t>QF.480.22</t>
  </si>
  <si>
    <t>PINCA MIXTER 200MM</t>
  </si>
  <si>
    <t>QF.480.20</t>
  </si>
  <si>
    <t>PINCA MIXTER  BABY 180MM</t>
  </si>
  <si>
    <t>QF.377.19</t>
  </si>
  <si>
    <t>PINCA MIXTER  BABY 140MM</t>
  </si>
  <si>
    <t>QF.375.14</t>
  </si>
  <si>
    <t>PORTA AGULHA CRILE WOOD 150MM</t>
  </si>
  <si>
    <t>QW.700.15</t>
  </si>
  <si>
    <t>PORTA AGULHA CRILE WOOD 180MM</t>
  </si>
  <si>
    <t>BM017R</t>
  </si>
  <si>
    <t>PORTA AGULHA CRILE WOOD 200MM</t>
  </si>
  <si>
    <t>BM019R</t>
  </si>
  <si>
    <t>PORTA AGULHA HALSEY 130MM</t>
  </si>
  <si>
    <t>BM012R</t>
  </si>
  <si>
    <t>TESOURA MAYO CURVA 170MM</t>
  </si>
  <si>
    <t>QT.181.17</t>
  </si>
  <si>
    <t>TESOURA MAYO RETA 170MM</t>
  </si>
  <si>
    <t>QT.180.17</t>
  </si>
  <si>
    <t>TESOURA METZEMBAUM CURVA 180MM</t>
  </si>
  <si>
    <t>BC263R</t>
  </si>
  <si>
    <t>BC605R</t>
  </si>
  <si>
    <t>TESOURA METZEMBAUM CURVA  140MM</t>
  </si>
  <si>
    <t>BC261R</t>
  </si>
  <si>
    <t>TESOURA METZEMBAUM CURVA  200MM</t>
  </si>
  <si>
    <t>BC265R</t>
  </si>
  <si>
    <t>TESOURA METZEMBAUM CURVA  230MM</t>
  </si>
  <si>
    <t>BC267R</t>
  </si>
  <si>
    <t>PINCA GILLIES COM DENTE 150MM</t>
  </si>
  <si>
    <t>BD660R</t>
  </si>
  <si>
    <t>PORTA AGULHA MAYO HEGAR COM WIDIA 140MM</t>
  </si>
  <si>
    <t>QW.400.14</t>
  </si>
  <si>
    <t>PORTA AGULHA MAYO HEGAR COM WIDIA 170MM</t>
  </si>
  <si>
    <t>QW.400.17</t>
  </si>
  <si>
    <t>PORTA AGULHA MAYO HEGAR COM WIDIA 200MM</t>
  </si>
  <si>
    <t>QW.400.20</t>
  </si>
  <si>
    <t>PORTA AGULHA MAYO HEGAR COM WIDIA 250MM</t>
  </si>
  <si>
    <t>QW.400.25</t>
  </si>
  <si>
    <t xml:space="preserve">TESOURA IRIS CURVA 120MM </t>
  </si>
  <si>
    <t>BC211R</t>
  </si>
  <si>
    <t xml:space="preserve">TESOURA IRIS RETA 120MM </t>
  </si>
  <si>
    <t>BC210R</t>
  </si>
  <si>
    <t>ESPATULA MALEAVEL  10X200MM</t>
  </si>
  <si>
    <t>QD.196.10</t>
  </si>
  <si>
    <t>ESPATULA MALEAVEL 17X250MM</t>
  </si>
  <si>
    <t>QG.418.17</t>
  </si>
  <si>
    <t>TENTACANULA</t>
  </si>
  <si>
    <t>QH.160.14</t>
  </si>
  <si>
    <t>SERINGA CARPULE</t>
  </si>
  <si>
    <t>QD.027.02</t>
  </si>
  <si>
    <t>ASPIRADOR YANKAUER (CHUVEIRO)</t>
  </si>
  <si>
    <t>QH.807.00</t>
  </si>
  <si>
    <t>VALVULA DOYEN 120 X 45 X 240MM</t>
  </si>
  <si>
    <t>QS.250.08</t>
  </si>
  <si>
    <t xml:space="preserve">VALVULA DOYEN 120X60X240MM </t>
  </si>
  <si>
    <t>QS.251.03</t>
  </si>
  <si>
    <t>VALVULA DOYEN 90 X 60 X 240MM</t>
  </si>
  <si>
    <t>QS.251.02</t>
  </si>
  <si>
    <t>VALVULA DOYEN 150 X 60 X 240MM</t>
  </si>
  <si>
    <t>QS.251.07</t>
  </si>
  <si>
    <t>VALVULA DOYEN 90 X 45 X 240MM</t>
  </si>
  <si>
    <t>QS.250.02</t>
  </si>
  <si>
    <t>VALVULA DOYEN 60X 45 X 240MM</t>
  </si>
  <si>
    <t>QS.250.01</t>
  </si>
  <si>
    <t>VALVULA DOYEN 60X270MM</t>
  </si>
  <si>
    <t>O5575</t>
  </si>
  <si>
    <t>RHOSSE</t>
  </si>
  <si>
    <t>VALVULA DOYEN 60X200MM</t>
  </si>
  <si>
    <t>OO124</t>
  </si>
  <si>
    <t>VALVULA DOYEN 45X180MM</t>
  </si>
  <si>
    <t>O3530</t>
  </si>
  <si>
    <t>ASPIRADOR FRAZIER 2.0MM</t>
  </si>
  <si>
    <t>ASPIRADOR FRAZIER 2.5MM</t>
  </si>
  <si>
    <t>ASPIRADOR FRAZIER 3.0MM</t>
  </si>
  <si>
    <t>ASPIRADOR FRAZIER 3.5MM</t>
  </si>
  <si>
    <t>PINCA BAIONETA 140MM</t>
  </si>
  <si>
    <t>QX.391.14</t>
  </si>
  <si>
    <t>DESCOLADOR DE FREER 200MM</t>
  </si>
  <si>
    <t>QX.546.18</t>
  </si>
  <si>
    <t>PINCA ADSON BROWN 120MM</t>
  </si>
  <si>
    <t>QC.400.12</t>
  </si>
  <si>
    <t>ELEVADOR COTTLE 200MM</t>
  </si>
  <si>
    <t>STORZ</t>
  </si>
  <si>
    <t>AFASTADOR CONVERSE 160MM</t>
  </si>
  <si>
    <t>ASPIRADOR DESCOLADOR 3.5 X 210MM</t>
  </si>
  <si>
    <t>MARTELO LUCAE</t>
  </si>
  <si>
    <t>QO.471.25</t>
  </si>
  <si>
    <t>QO.475.15</t>
  </si>
  <si>
    <t>MARTELO 150GR</t>
  </si>
  <si>
    <t>ESPECULO NASAL KILLIAN N° 1</t>
  </si>
  <si>
    <t>O493</t>
  </si>
  <si>
    <t>ESPECULO NASAL KILLIAN N° 2</t>
  </si>
  <si>
    <t>O494</t>
  </si>
  <si>
    <t>ESPECULO NASAL KILLIAN N° 3</t>
  </si>
  <si>
    <t>O495</t>
  </si>
  <si>
    <t>ABAIXADOR DE LINGUA BRUENINGS</t>
  </si>
  <si>
    <t>QX.385.1</t>
  </si>
  <si>
    <t xml:space="preserve">Fibra ótica grossa </t>
  </si>
  <si>
    <t>495TIP</t>
  </si>
  <si>
    <t>FIBRA FINA</t>
  </si>
  <si>
    <t>495ND</t>
  </si>
  <si>
    <t>COMPASSO CASTROVIEJO</t>
  </si>
  <si>
    <t>QD.308.30</t>
  </si>
  <si>
    <t>COMPASSO MAMA</t>
  </si>
  <si>
    <t>OOO99</t>
  </si>
  <si>
    <t>BLEFAROSTATO ADULTO</t>
  </si>
  <si>
    <t>O2237</t>
  </si>
  <si>
    <t>PINÇA WAUGH 180MM (CUSHING COM DENTE)</t>
  </si>
  <si>
    <t>BD.670R</t>
  </si>
  <si>
    <t>AFASTADOR DESMARRES 12MM (PARES)</t>
  </si>
  <si>
    <t>QG.091.12</t>
  </si>
  <si>
    <t>AFASTADOR DESMARRES 14MM (PARES)</t>
  </si>
  <si>
    <t>QG.091.14</t>
  </si>
  <si>
    <t>REGUA 20CM</t>
  </si>
  <si>
    <t>O2065</t>
  </si>
  <si>
    <t>AFASTADOR BALFOUR 170MM</t>
  </si>
  <si>
    <t>QG.825.01</t>
  </si>
  <si>
    <t>AFASTADOR GOSSET 300MM</t>
  </si>
  <si>
    <t>QG.846.04</t>
  </si>
  <si>
    <t>AFASTADOR LANGENBECK 11X30MM (PARES)</t>
  </si>
  <si>
    <t>QG.291.01</t>
  </si>
  <si>
    <t>AFASTADOR LANGENBECK 11X40MM (PARES)</t>
  </si>
  <si>
    <t>QG.291.04</t>
  </si>
  <si>
    <t>AFASTADOR LANGENBECK 11X50MM (PARES)</t>
  </si>
  <si>
    <t>QG.291.05</t>
  </si>
  <si>
    <t>PLACA IMANTADA</t>
  </si>
  <si>
    <t>FAMI</t>
  </si>
  <si>
    <t>GARRAFA</t>
  </si>
  <si>
    <t>MULTIMED</t>
  </si>
  <si>
    <t>JARRO DE INOX</t>
  </si>
  <si>
    <t>PROTETOR OCULAR P (PARES)</t>
  </si>
  <si>
    <t>PROTETOR OCULAR M (PARES)</t>
  </si>
  <si>
    <t>PROTETOR OCULAR G (PARES)</t>
  </si>
  <si>
    <t>CUBA RIM</t>
  </si>
  <si>
    <t>CUPULA</t>
  </si>
  <si>
    <t>BAIONETA BIPOLAR PONTA GROSSA</t>
  </si>
  <si>
    <t>MEDTRONIC</t>
  </si>
  <si>
    <t>PROJETROMETRO</t>
  </si>
  <si>
    <t>RHOSSE (não tem)/ FACTORY</t>
  </si>
  <si>
    <t>PAQUIMETRO</t>
  </si>
  <si>
    <t>RICHTER/QUINELATO/ FACTORY</t>
  </si>
  <si>
    <t>BIPOLAR OFTALMO</t>
  </si>
  <si>
    <t xml:space="preserve">E4055-CT </t>
  </si>
  <si>
    <t>GANCHO GUTHRIE (PARES)</t>
  </si>
  <si>
    <t>QG.072.02</t>
  </si>
  <si>
    <t>GANCHO GILIES (PARES)</t>
  </si>
  <si>
    <t>QH.207.01</t>
  </si>
  <si>
    <t>SENN MULLER ROMBO (PARES)</t>
  </si>
  <si>
    <t>QG.166.16</t>
  </si>
  <si>
    <t>SENN MULLER AGUDO (PARES)</t>
  </si>
  <si>
    <t>QG.167.16</t>
  </si>
  <si>
    <t>AFASTADOR WEITLANER AGUDO 140MM</t>
  </si>
  <si>
    <t>QZ.040.14</t>
  </si>
  <si>
    <t>AFASTADOR WEITLANER AGUDO 180MM</t>
  </si>
  <si>
    <t>QZ.040.18</t>
  </si>
  <si>
    <t>CURETA VOLKMANN N°000</t>
  </si>
  <si>
    <t>QO.296.01</t>
  </si>
  <si>
    <t>CURETA VOLKMANN N°0</t>
  </si>
  <si>
    <t>QO.296.03</t>
  </si>
  <si>
    <t>CURETA VOLKMANN N°1</t>
  </si>
  <si>
    <t>QO.296.04</t>
  </si>
  <si>
    <t>CURETA VOLKMANN N°2</t>
  </si>
  <si>
    <t>QO.296.05</t>
  </si>
  <si>
    <t>VALVULA DE PESO 43X80MM</t>
  </si>
  <si>
    <t>QG.711.00</t>
  </si>
  <si>
    <t>VALVULA DE PESO 32X160MM</t>
  </si>
  <si>
    <t>QG.711.01</t>
  </si>
  <si>
    <t>PINÇA WINTER CURVA 8X24MM</t>
  </si>
  <si>
    <t>QS.345.01</t>
  </si>
  <si>
    <t>HISTEROMETRO SIMS MALEAVEL</t>
  </si>
  <si>
    <t>EO012R</t>
  </si>
  <si>
    <t>POZZI 250MM</t>
  </si>
  <si>
    <t>QS.618.25</t>
  </si>
  <si>
    <t>AFASTADOR FINOCHIETTO 53X60X170X230MM</t>
  </si>
  <si>
    <t>QZ.015.03</t>
  </si>
  <si>
    <t>AFASTADOR GELPI 190MM</t>
  </si>
  <si>
    <t>QZ.030.18</t>
  </si>
  <si>
    <t>PINÇA DEBAKEY 180MM</t>
  </si>
  <si>
    <t>QZ.094.18</t>
  </si>
  <si>
    <t>PINÇA DEBAKEY 200MM</t>
  </si>
  <si>
    <t>QZ.094.20</t>
  </si>
  <si>
    <t>PINÇA DEBAKEY 240MM</t>
  </si>
  <si>
    <t>QZ.094.24</t>
  </si>
  <si>
    <t>QZ.096.18</t>
  </si>
  <si>
    <t>QZ.096.20</t>
  </si>
  <si>
    <t>QZ.096.24</t>
  </si>
  <si>
    <t>PINÇA MAGUIL 200MM</t>
  </si>
  <si>
    <t>QH.303.20</t>
  </si>
  <si>
    <t>PINÇA MAGUIL 250MM</t>
  </si>
  <si>
    <t>QH.303.25</t>
  </si>
  <si>
    <t>PORTA AGULHA MÃO DIREITA</t>
  </si>
  <si>
    <t>101.102-D</t>
  </si>
  <si>
    <t>TAIMIN</t>
  </si>
  <si>
    <t>PORTA AGULHA MÃO ESQUERDA</t>
  </si>
  <si>
    <t>101.102-E</t>
  </si>
  <si>
    <t>BAIONETA BIPOLAR YASARGIL 1,0MMX75MM</t>
  </si>
  <si>
    <t>GK770R</t>
  </si>
  <si>
    <t>CABO PARA PINCA BIPOLAR</t>
  </si>
  <si>
    <t>GN133</t>
  </si>
  <si>
    <t>CURETA RECAMIER N°1</t>
  </si>
  <si>
    <t>QS.586.01</t>
  </si>
  <si>
    <t>CURETA RECAMIER N°2</t>
  </si>
  <si>
    <t>QS.586.02</t>
  </si>
  <si>
    <t>CURETA RECAMIER N°3</t>
  </si>
  <si>
    <t>QS.586.03</t>
  </si>
  <si>
    <t>BIPOLAR LAPAROSCOPICA MARYLAND</t>
  </si>
  <si>
    <t>B0A5381B</t>
  </si>
  <si>
    <t>BHIOSUPPLY</t>
  </si>
  <si>
    <t>CABO BIPOLAR PARALELO 3M MACHO/FEMEA 3,6</t>
  </si>
  <si>
    <t>0AHBO00</t>
  </si>
  <si>
    <t>BUG BEE 5FR</t>
  </si>
  <si>
    <t>27770B</t>
  </si>
  <si>
    <t>KARL STORZ</t>
  </si>
  <si>
    <t>AREOLOTOMO (JOGO COM 3PÇS)</t>
  </si>
  <si>
    <t>R767-04-03</t>
  </si>
  <si>
    <t>PINÇA PARA RETIRADA DIU (HARTMAN JACARE)</t>
  </si>
  <si>
    <t>RH13766</t>
  </si>
  <si>
    <t>APLICADOR L. MEC. LIGACLIP 19CM</t>
  </si>
  <si>
    <t>LX107</t>
  </si>
  <si>
    <t>ETHICON</t>
  </si>
  <si>
    <t xml:space="preserve">LIGACLIP CLIP APPLIER 19CM </t>
  </si>
  <si>
    <t>LX207</t>
  </si>
  <si>
    <t>APLICADOR P/ LIGACLIP ENDOSCOP.</t>
  </si>
  <si>
    <t>EL314</t>
  </si>
  <si>
    <t>TOTAL</t>
  </si>
  <si>
    <t>Quantidade por cx</t>
  </si>
  <si>
    <t xml:space="preserve">PINCA BACKHAUS BOLA 130MM </t>
  </si>
  <si>
    <t> </t>
  </si>
  <si>
    <t>PINCA BACKHAUS CORTANTE 130MM</t>
  </si>
  <si>
    <t>ABAIXADOR DE LINGUA bruenings 125MM</t>
  </si>
  <si>
    <t>QX.385.19</t>
  </si>
  <si>
    <t>ASPIRADOR DESCOLADOR</t>
  </si>
  <si>
    <t>ABRIDOR DE BOCA MC IVOR ADULTO ADULTO</t>
  </si>
  <si>
    <t>CESTO PADRAO</t>
  </si>
  <si>
    <t>MNH MERC</t>
  </si>
  <si>
    <t>CURETA BECKMANN N1 13 X 220MM</t>
  </si>
  <si>
    <t>QX.756.01</t>
  </si>
  <si>
    <t>CURETA BECKMANN N2 15 X 220MM</t>
  </si>
  <si>
    <t>QX.756.02</t>
  </si>
  <si>
    <t>CURETA BECKMANN N3 17 X 220MM</t>
  </si>
  <si>
    <t>QX.756.03</t>
  </si>
  <si>
    <t>DISSECTOR HURD AFASTADOR DE PILAR 220MM</t>
  </si>
  <si>
    <t>QX.281.22</t>
  </si>
  <si>
    <t>CURETA BECKMANN N4 19 X 220MM</t>
  </si>
  <si>
    <t>QX.756.04</t>
  </si>
  <si>
    <t xml:space="preserve">FACA PARA AMIGDALA </t>
  </si>
  <si>
    <t>8595C</t>
  </si>
  <si>
    <t>LAMINA ABRIDOR DE BOCA ADULTO N1</t>
  </si>
  <si>
    <t>LAMINA ABRIDOR DE BOCA ADULTO N2</t>
  </si>
  <si>
    <t>LAMINA ABRIDOR DE BOCA ADULTO N3</t>
  </si>
  <si>
    <t>PINCA BAIONETA 160MM</t>
  </si>
  <si>
    <t>QX.395.16</t>
  </si>
  <si>
    <t>PINCA BRUENING 200MM</t>
  </si>
  <si>
    <t>QX.227.01</t>
  </si>
  <si>
    <t>OK441R</t>
  </si>
  <si>
    <t>PINCA CHERON 250MM</t>
  </si>
  <si>
    <t>PINCA HARTMANN 210MM</t>
  </si>
  <si>
    <t>8593A</t>
  </si>
  <si>
    <t>PINCA KELLY CURVA 160MM</t>
  </si>
  <si>
    <t>PINCA KELLY RETA 160MM</t>
  </si>
  <si>
    <t>PINCA ROCHESTER CURVA 180MM</t>
  </si>
  <si>
    <t>QF.371.20</t>
  </si>
  <si>
    <t>PINCA ROCHESTER PEAN RETA 180MM</t>
  </si>
  <si>
    <t>QF.410.18</t>
  </si>
  <si>
    <t>PINCA SCHNIDT 200MM</t>
  </si>
  <si>
    <t>QZ.213.18</t>
  </si>
  <si>
    <t>BH959R</t>
  </si>
  <si>
    <t>PONTA ASPIRADOR CHUVEIRO 260MM</t>
  </si>
  <si>
    <t>PORTA AGULHA MAYO HEGAR 200MM</t>
  </si>
  <si>
    <t>TESOURA MAYO CURVA 160MM</t>
  </si>
  <si>
    <t>QT.181.16</t>
  </si>
  <si>
    <t>QT.181.22</t>
  </si>
  <si>
    <t>Referênia</t>
  </si>
  <si>
    <t>CESTO P / CONTAINER</t>
  </si>
  <si>
    <t>DISPOSITIVO DE ASPIRAÇÃO HEMORROIDA 14MM</t>
  </si>
  <si>
    <t>PF.108.00.00</t>
  </si>
  <si>
    <t>FERRARI</t>
  </si>
  <si>
    <t>DISPOSITIVO DE ASPIRAÇÃO HEMORROIDA 16MM</t>
  </si>
  <si>
    <t>PF.108.03.00</t>
  </si>
  <si>
    <t>Quantidade item por cx</t>
  </si>
  <si>
    <t xml:space="preserve">Referência </t>
  </si>
  <si>
    <t>CESTO P ALTO</t>
  </si>
  <si>
    <t>MNH</t>
  </si>
  <si>
    <t>KLS</t>
  </si>
  <si>
    <t>ASPIRADOR FRAZIER 3.5X185MM</t>
  </si>
  <si>
    <t>AFASTADOR FARABEUF 10x120mm</t>
  </si>
  <si>
    <t>AFASTADOR FARABEUF 7x100mm</t>
  </si>
  <si>
    <t>AFASTADOR SENN MULLER ROMBO</t>
  </si>
  <si>
    <t>AFASTADOR LANGENBECK 11x50mm</t>
  </si>
  <si>
    <t>AFASTADOR LANGENBECK 11x30mm</t>
  </si>
  <si>
    <t>ABAIXADOR DE LINGUA  BRUENINGS</t>
  </si>
  <si>
    <t>SEPARADOR SAGITAL DIREITO</t>
  </si>
  <si>
    <t>QD.936.02</t>
  </si>
  <si>
    <t>SEPARADOR SAGITAL ESQUERDO</t>
  </si>
  <si>
    <t>QD.936.01</t>
  </si>
  <si>
    <t>TESOURA UNIVERSAL</t>
  </si>
  <si>
    <t>QT.999.11</t>
  </si>
  <si>
    <t>RASPA LEWIS</t>
  </si>
  <si>
    <t>OL408R</t>
  </si>
  <si>
    <t>PORTA AGULHA FIO DE AÇO</t>
  </si>
  <si>
    <t>QW.750.20</t>
  </si>
  <si>
    <t>AFASTADOR MINESSOTA</t>
  </si>
  <si>
    <t>QD.153.14</t>
  </si>
  <si>
    <t>CINZEL DE LUCAS 3X160MM</t>
  </si>
  <si>
    <t>QD.137.03</t>
  </si>
  <si>
    <t>CINZEL DE LUCAS 4X160MM</t>
  </si>
  <si>
    <t>QD.137.04</t>
  </si>
  <si>
    <t>CURETA SIMON 3.6X235MM</t>
  </si>
  <si>
    <t>QS.903.03</t>
  </si>
  <si>
    <t>CURETA SIMON 4.4X235MM</t>
  </si>
  <si>
    <t>QS.903.04</t>
  </si>
  <si>
    <t>DESCOLADOR DE JOSEPH CURVO</t>
  </si>
  <si>
    <t>QX.585.01</t>
  </si>
  <si>
    <t>FK310R</t>
  </si>
  <si>
    <t xml:space="preserve">DESCOLADOR DE RAMO SVERZUT </t>
  </si>
  <si>
    <t>QD.190.20</t>
  </si>
  <si>
    <t>DESCOLADOR HURD 230MM</t>
  </si>
  <si>
    <t>DESCOLADOR MOLT N°9 /180MM</t>
  </si>
  <si>
    <t>QD.935.18</t>
  </si>
  <si>
    <t>ESPATULA MALEAVEL 16X200MM</t>
  </si>
  <si>
    <t>GANCHO PARA OSSO</t>
  </si>
  <si>
    <t>QD.249.00</t>
  </si>
  <si>
    <t>GOIVA JANSEN RETA 175MM</t>
  </si>
  <si>
    <t>QO.887.18</t>
  </si>
  <si>
    <t xml:space="preserve">PINCA ASCH </t>
  </si>
  <si>
    <t>QX.142.22</t>
  </si>
  <si>
    <t>PINCA ROWE DIREITO</t>
  </si>
  <si>
    <t>QD.242.24</t>
  </si>
  <si>
    <t>PINCA ROWE ESQUERDO</t>
  </si>
  <si>
    <t>QD.243.24</t>
  </si>
  <si>
    <t>PINCA WALSHAN DIREITO</t>
  </si>
  <si>
    <t>QD.316.21</t>
  </si>
  <si>
    <t>PINCA WALSHAN ESQUERDO</t>
  </si>
  <si>
    <t>QD.317.21</t>
  </si>
  <si>
    <t>PINCA WALSHAN RETA</t>
  </si>
  <si>
    <t>RUGINA FARABEUF CURVA 180MM</t>
  </si>
  <si>
    <t>QO.293.15</t>
  </si>
  <si>
    <t>RUGINA FARABEUF RETA 180MM</t>
  </si>
  <si>
    <t>QO.292.15</t>
  </si>
  <si>
    <t>ALVEOLOTOMO LUER CURVO</t>
  </si>
  <si>
    <t>QD.145.15</t>
  </si>
  <si>
    <t>ABAIXADOR DE LINGUA WIEDER G</t>
  </si>
  <si>
    <t>QD.195.00</t>
  </si>
  <si>
    <t>ABAIXADOR DE LINGUA WIEDER P</t>
  </si>
  <si>
    <t>Ñ FABRIC</t>
  </si>
  <si>
    <t xml:space="preserve">CORTADOR DE FIO </t>
  </si>
  <si>
    <t>AFASTADOR OBWEGESER P/CIMA 11X62MM</t>
  </si>
  <si>
    <t>QD.253.62</t>
  </si>
  <si>
    <t>AFASTADOR OBWEGESER P/CIMA 11X42MM</t>
  </si>
  <si>
    <t>QD.253.42</t>
  </si>
  <si>
    <t xml:space="preserve">AFASTADOR OBWEGESER P/PROGENISMO </t>
  </si>
  <si>
    <t>QD.850.18</t>
  </si>
  <si>
    <t>AFASTADOR OBWEGESER P/RAMO 10X65MM</t>
  </si>
  <si>
    <t>QD.251.65</t>
  </si>
  <si>
    <t>AFASTADOR OBWEGESER P/RAMO 12X30MM</t>
  </si>
  <si>
    <t>QD.256.12</t>
  </si>
  <si>
    <t>DESCOLADOR FREER</t>
  </si>
  <si>
    <t>OSTEOTOMO LAMBOTTE RETO 7MM</t>
  </si>
  <si>
    <t>QO.372.07</t>
  </si>
  <si>
    <t>OSTEOTOMO LAMBOTTE CURVO 7MM</t>
  </si>
  <si>
    <t>QO.374.07</t>
  </si>
  <si>
    <t>OSTEOTOMO LAMBOTTE RETO 9MM</t>
  </si>
  <si>
    <t>QO.372.10</t>
  </si>
  <si>
    <t>OSTEOTOMO LAMBOTTE CURVO 9MM</t>
  </si>
  <si>
    <t>QO.374.10</t>
  </si>
  <si>
    <t>AFASTADOR OBWEGESER P/BAIXO 11X42MM</t>
  </si>
  <si>
    <t>QD.252.42</t>
  </si>
  <si>
    <t>CINZEL COM 2 GUIAS RETO</t>
  </si>
  <si>
    <t>QX.307.08</t>
  </si>
  <si>
    <t>CINZEL COM 2 GUIAS  CURVO</t>
  </si>
  <si>
    <t>QX.309.08</t>
  </si>
  <si>
    <t>Quantidade  itens por cx</t>
  </si>
  <si>
    <t>CESTO CANULAS</t>
  </si>
  <si>
    <t>TRAVA SERINGA 20ML</t>
  </si>
  <si>
    <t>CMP-1014</t>
  </si>
  <si>
    <t>FAGA</t>
  </si>
  <si>
    <t>TRAVA SERINGA 60ML</t>
  </si>
  <si>
    <t>CMP-1532</t>
  </si>
  <si>
    <t>CANULA DE KLEIN 2.0 X 200MM</t>
  </si>
  <si>
    <t>PAC-0292021</t>
  </si>
  <si>
    <t>CANULA DE KLEIN 2.0 X 250MM</t>
  </si>
  <si>
    <t>PAC-0292025</t>
  </si>
  <si>
    <t>CANULA LIPOASPIRACAO 4.0 X 250MM 3G RETA 60ML</t>
  </si>
  <si>
    <t>PAC-0014025</t>
  </si>
  <si>
    <t>CANULA LIPOASPIRACAO 3.0 X 200MM 3G RETA CABO</t>
  </si>
  <si>
    <t>PAC-0013021</t>
  </si>
  <si>
    <t>CANULA LIPOASPIRACAO 3.5 X 250MM 3G RETA CABO</t>
  </si>
  <si>
    <t>PAC-0013525</t>
  </si>
  <si>
    <t>CANULA LIPOASPIRACAO 4.0 X 250MM 3G RETA CABO</t>
  </si>
  <si>
    <t>CANULA LIPOASPIRACAO 3.0 X 250MM 3G RETA CABO</t>
  </si>
  <si>
    <t>PAC-0013025</t>
  </si>
  <si>
    <t>CANULA LIPOASPIRACAO 3.0 X 250MM 3G RETA 60ML</t>
  </si>
  <si>
    <t>CANULA LIPOENXERTIA 3.5 X 250MM 2ECH RETA 60ML</t>
  </si>
  <si>
    <t>CANULA 3 FUROS EXPANDIDA</t>
  </si>
  <si>
    <t>PAC-0964031</t>
  </si>
  <si>
    <t>CANULA RALADORA 2.5 X 250MM TH 20ML</t>
  </si>
  <si>
    <t>PAC-MR1042525</t>
  </si>
  <si>
    <t>CENTRIFUGA</t>
  </si>
  <si>
    <t>PAC-0215</t>
  </si>
  <si>
    <t>CAIXA CENTRIFUGA</t>
  </si>
  <si>
    <t>PAC-0279</t>
  </si>
  <si>
    <t>CESTO P</t>
  </si>
  <si>
    <t>CLAMP DEBAKEY 45°</t>
  </si>
  <si>
    <t>FB543R</t>
  </si>
  <si>
    <t>CLAMP DEBAKEY</t>
  </si>
  <si>
    <t>FB542R</t>
  </si>
  <si>
    <t>CLAMP DEBAKEY CURVO</t>
  </si>
  <si>
    <t>FB541R</t>
  </si>
  <si>
    <t>CLAMP COOLEY 90°</t>
  </si>
  <si>
    <t>FB707R</t>
  </si>
  <si>
    <t>CLAMP COOLEY PEDIATRICO 90°</t>
  </si>
  <si>
    <t>FB569R</t>
  </si>
  <si>
    <t>CLAMP COOLEY PEDIATRICO 60°</t>
  </si>
  <si>
    <t>FB568R</t>
  </si>
  <si>
    <t>CLAMP COOLEY PEDIATRICO 30°</t>
  </si>
  <si>
    <t>FB567R</t>
  </si>
  <si>
    <t>CLAMP COOLEY PEDIATRICO</t>
  </si>
  <si>
    <t>FB563R</t>
  </si>
  <si>
    <t>CLAMP COOLEY</t>
  </si>
  <si>
    <t>FB723R</t>
  </si>
  <si>
    <t>FB570R</t>
  </si>
  <si>
    <t>MNH MERCEARIA</t>
  </si>
  <si>
    <t>PINCA CORPO ESTRANHO 7FR</t>
  </si>
  <si>
    <t>27175A</t>
  </si>
  <si>
    <t>PINCA BIOPSIA PONTA CONCAVA 7FR</t>
  </si>
  <si>
    <t>27177A</t>
  </si>
  <si>
    <t>CAMISA CISTOSCOPIA 19FR</t>
  </si>
  <si>
    <t>27026DK</t>
  </si>
  <si>
    <t>CAMISA CISTOSCOPIA 22FR</t>
  </si>
  <si>
    <t>27026B</t>
  </si>
  <si>
    <t>OBTURADOR 19FR</t>
  </si>
  <si>
    <t>27026DO</t>
  </si>
  <si>
    <t>SHORT COM 2 VIAS</t>
  </si>
  <si>
    <t>27025GF</t>
  </si>
  <si>
    <t>OBTURADOR 22FR</t>
  </si>
  <si>
    <t>27026BO</t>
  </si>
  <si>
    <t>QT.180.16</t>
  </si>
  <si>
    <t>TESOURA METZEMBAUM CURVA 230MM</t>
  </si>
  <si>
    <t>QT.285.23</t>
  </si>
  <si>
    <t>TESOURA METZEMBAUM CURVA 200MM</t>
  </si>
  <si>
    <t>QT.285.20</t>
  </si>
  <si>
    <t>TESOURA PARAMETRIAL WIDEA CURVA 230MM</t>
  </si>
  <si>
    <t>QW.851.23</t>
  </si>
  <si>
    <t>HISTERECTOMIA Z CLAMP SEMI CURVO 240MM</t>
  </si>
  <si>
    <t>QS.408.24</t>
  </si>
  <si>
    <t>PINCA CHERON 240MM</t>
  </si>
  <si>
    <t>PINCA ALLIS 220MM</t>
  </si>
  <si>
    <t>PINCA POZZI 240MM</t>
  </si>
  <si>
    <t>PINCA SCHRODER 250MM</t>
  </si>
  <si>
    <t>QS.401.24</t>
  </si>
  <si>
    <t>PORTA AGULHA HEANEY CURVO 265MM</t>
  </si>
  <si>
    <t>QW.205.26</t>
  </si>
  <si>
    <t>VALVULA BREISKY 100X30X300MM</t>
  </si>
  <si>
    <t>QS.410.35</t>
  </si>
  <si>
    <t>VALVULA BREISKY 130X30X320MM</t>
  </si>
  <si>
    <t>QS.413.35</t>
  </si>
  <si>
    <t>VALVULA BREISKY 130X35X320MM</t>
  </si>
  <si>
    <t>PINCA BACKHAUS BOLA 130MM</t>
  </si>
  <si>
    <t>QF.925.15</t>
  </si>
  <si>
    <t>ESPECULO VAGINAL GD</t>
  </si>
  <si>
    <t>QS.630.40</t>
  </si>
  <si>
    <t>ESPECULO VAGINAL MED</t>
  </si>
  <si>
    <t>QS.630.35</t>
  </si>
  <si>
    <t>ESPECULO VAGINAL PEQ</t>
  </si>
  <si>
    <t>QS.630.28</t>
  </si>
  <si>
    <t>PINCA FOERSTER RETA ESTRIADA 240MM</t>
  </si>
  <si>
    <t>QF.352.22</t>
  </si>
  <si>
    <t>CURETA SIMS N?00</t>
  </si>
  <si>
    <t>ER2019</t>
  </si>
  <si>
    <t>PINCA MUSEUX RETA 240MM</t>
  </si>
  <si>
    <t>QS.702.24</t>
  </si>
  <si>
    <t>PINCA POZZI 250MM</t>
  </si>
  <si>
    <t>PINCA RANDALL SEMI CURVA 230MM</t>
  </si>
  <si>
    <t>QR.101.02</t>
  </si>
  <si>
    <t>PINCA WINTER CURVA 280MM</t>
  </si>
  <si>
    <t>QS.345.03</t>
  </si>
  <si>
    <t>PINCA WINTER RETA 280MM</t>
  </si>
  <si>
    <t>QS.344.03</t>
  </si>
  <si>
    <t>PINCA PROFESSOR MEDINA ( BIOPSIA ) 3 X 240MM</t>
  </si>
  <si>
    <t>QS.852.03</t>
  </si>
  <si>
    <t>CAIXA DE ESTILETES</t>
  </si>
  <si>
    <t>ET-0001</t>
  </si>
  <si>
    <t xml:space="preserve">CURETA BAIONETA DUPLA 160MM </t>
  </si>
  <si>
    <t>ESTILETE 90G 1.0 X 160MM COD</t>
  </si>
  <si>
    <t xml:space="preserve">ESTILETE AGULHA CURVA 160MM </t>
  </si>
  <si>
    <t>ESTILETE AGULHA RETA 160MM</t>
  </si>
  <si>
    <t>ESTILETE BAIONETA 4.5 X 160MM</t>
  </si>
  <si>
    <t>ESTILETE BAIONETA 5.0 X 160MM</t>
  </si>
  <si>
    <t>ESTILETE DESCOLADOR CURVO 160MM</t>
  </si>
  <si>
    <t>ESTILETE ESCAVADOR DIREITO 160MM</t>
  </si>
  <si>
    <t>ESTILETE ESCAVADOR ESQUERDO 160MM</t>
  </si>
  <si>
    <t>ESTILETE FOICE 4.5 X 160MM</t>
  </si>
  <si>
    <t>ESTILETE LANCA CURVA 160MM</t>
  </si>
  <si>
    <t>ESTILETE MICRO 90G PT DENTRO 1.0 X 160MM</t>
  </si>
  <si>
    <t>ESTILETE MICRO 90G PT FORA 1.0 X 160MM</t>
  </si>
  <si>
    <t>ESTILETE MICRO GANCHO 90G 3.0 X 160MM</t>
  </si>
  <si>
    <t>ESTILETE PERFURADOR 0.5 X 160MM</t>
  </si>
  <si>
    <t>ESTILETE REDONDO 2.5 X 160MM</t>
  </si>
  <si>
    <t>ESTILETE REDONDO 45G 2.5 X 160MM</t>
  </si>
  <si>
    <t>ESTILETE REDONDO VERTICAL 3.0 X 160MM</t>
  </si>
  <si>
    <t>ESTILETE WAGENER N2 45G X 160MM</t>
  </si>
  <si>
    <t xml:space="preserve">AFASTADOR FARABEUF </t>
  </si>
  <si>
    <t>AFASTADOR FONSON FACTORY</t>
  </si>
  <si>
    <t>QG.169.02</t>
  </si>
  <si>
    <t>ASPIRADOR FRAZIER 2,5MM</t>
  </si>
  <si>
    <t>QN.765.20</t>
  </si>
  <si>
    <t>AUTOSTATICO GELPI</t>
  </si>
  <si>
    <t>QZ.030.16</t>
  </si>
  <si>
    <t>AUTOSTÁTICO JANSEN ROMBO</t>
  </si>
  <si>
    <t>QG.723.10</t>
  </si>
  <si>
    <t>CLAMP BULLDOG DIETHRICH CURVO 8MM</t>
  </si>
  <si>
    <t>QZ.317.08</t>
  </si>
  <si>
    <t>CLAMP BULLDOG DIETHRICH RETO  8MM</t>
  </si>
  <si>
    <t>FB420R</t>
  </si>
  <si>
    <t>DILATADOR GARRET  2.0</t>
  </si>
  <si>
    <t>QZ.210.04</t>
  </si>
  <si>
    <t xml:space="preserve">DILATADOR GARRET </t>
  </si>
  <si>
    <t>QZ.210.02</t>
  </si>
  <si>
    <t>GANCHO ROLLET AGUDO</t>
  </si>
  <si>
    <t>QG.168.01</t>
  </si>
  <si>
    <t>PINÇA ADSON COM DENTE</t>
  </si>
  <si>
    <t>QC.368.12</t>
  </si>
  <si>
    <t>PINÇA ADSON SEM DENTE</t>
  </si>
  <si>
    <t xml:space="preserve">PINÇA BABY MIXTER </t>
  </si>
  <si>
    <t xml:space="preserve">PINÇA BACKHAUS </t>
  </si>
  <si>
    <t>QF.915.13</t>
  </si>
  <si>
    <t xml:space="preserve">PINÇA CUSHING CLASSIC COM WIDEA </t>
  </si>
  <si>
    <t>QW.120.18</t>
  </si>
  <si>
    <t xml:space="preserve">PINÇA DEBAKEY DIETRICH </t>
  </si>
  <si>
    <t>QZ.110.16</t>
  </si>
  <si>
    <t>PINÇA DEBAKEY DIETRICH 20CM</t>
  </si>
  <si>
    <t>QZ.110.20</t>
  </si>
  <si>
    <t xml:space="preserve">PINÇA FOERSTER RETA </t>
  </si>
  <si>
    <t>QF.352.19</t>
  </si>
  <si>
    <t xml:space="preserve">PINÇA KELLY CURVA </t>
  </si>
  <si>
    <t>PINÇA MOSQUITO CURVA</t>
  </si>
  <si>
    <t>BH111R</t>
  </si>
  <si>
    <t>PINÇA MOSQUITO RETA</t>
  </si>
  <si>
    <t>BH110R</t>
  </si>
  <si>
    <t>PINÇA POTTS SMITH  COM WIDEA</t>
  </si>
  <si>
    <t>QW.120.22</t>
  </si>
  <si>
    <t>PINÇA POTTS SMITH  COM WIDIA</t>
  </si>
  <si>
    <t xml:space="preserve">PORTA AGULHA CASTROVIEJO </t>
  </si>
  <si>
    <t>QW.310.21</t>
  </si>
  <si>
    <t>PORTA AGULHA MAYO HEGAR 17CM</t>
  </si>
  <si>
    <t>PORTA AGULHA MAYO HEGAR 20CM</t>
  </si>
  <si>
    <t>PORTA AGULHA RYDER 18CM</t>
  </si>
  <si>
    <t>QW.724.18</t>
  </si>
  <si>
    <t>TESOURA DE METZEMBAUM DELICADA 14CM</t>
  </si>
  <si>
    <t>QT.331.15</t>
  </si>
  <si>
    <t xml:space="preserve">TESOURA DIETHRICH 45° </t>
  </si>
  <si>
    <t>QZ.835.45</t>
  </si>
  <si>
    <t xml:space="preserve">TESOURA MAYO CURVA </t>
  </si>
  <si>
    <t>QT.181.14</t>
  </si>
  <si>
    <t>TESOURA METZEMBAUM CURVA 15CM</t>
  </si>
  <si>
    <t>QT.285.15</t>
  </si>
  <si>
    <t>TESOURA METZEMBAUM RETA  15CM</t>
  </si>
  <si>
    <t>QT.280.15</t>
  </si>
  <si>
    <t xml:space="preserve">TESOURA POTTS </t>
  </si>
  <si>
    <t>QZ.821.60</t>
  </si>
  <si>
    <t>BC648R</t>
  </si>
  <si>
    <t>PINÇA ANATÔMICA  16CM</t>
  </si>
  <si>
    <t>PINÇA ADSON SEM DENTE 12CM</t>
  </si>
  <si>
    <t>PINÇA DENTE DE RATO  16CM</t>
  </si>
  <si>
    <t>PINÇA ADSON COM DENTE  12CM</t>
  </si>
  <si>
    <t xml:space="preserve">PINÇA CHERON </t>
  </si>
  <si>
    <t xml:space="preserve">PINÇA HALSTED MOSQUITO RETA </t>
  </si>
  <si>
    <t xml:space="preserve">PINÇA MOSQUITO CURVA </t>
  </si>
  <si>
    <t>PINÇA MOSQUITO CURVA MICRO</t>
  </si>
  <si>
    <t>QF.321.12</t>
  </si>
  <si>
    <t xml:space="preserve">PINÇA CRILE RETA </t>
  </si>
  <si>
    <t>QF.340.16</t>
  </si>
  <si>
    <t xml:space="preserve">PINÇA CRILE CURVA </t>
  </si>
  <si>
    <t>QF.341.16</t>
  </si>
  <si>
    <t>PINÇA MIXTER  19CM</t>
  </si>
  <si>
    <t>AFASTADOR FARABEUF  10X120MM</t>
  </si>
  <si>
    <t>AFASTADOR FARABEUF</t>
  </si>
  <si>
    <t>PORTA AGULHA CRILLE WOOD 15CM</t>
  </si>
  <si>
    <t>QW.70015</t>
  </si>
  <si>
    <t xml:space="preserve">TESOURA MAYO RETA </t>
  </si>
  <si>
    <t>QT.180.14</t>
  </si>
  <si>
    <t>TESOURA METZEMBAUM CURVA  18CM</t>
  </si>
  <si>
    <t>QT.285.18</t>
  </si>
  <si>
    <t>TESOURA METZEMBAUM CURVA  15CM</t>
  </si>
  <si>
    <t>TESOURA ÍRIS RETA</t>
  </si>
  <si>
    <t>QT.822.11</t>
  </si>
  <si>
    <t>TESOURA ÍRIS CURVA</t>
  </si>
  <si>
    <t>QT.823.11</t>
  </si>
  <si>
    <t xml:space="preserve">AFASTADOR AUTOSTÁTICO WEITLANER AGUDO </t>
  </si>
  <si>
    <t>Quantidade de item por cx</t>
  </si>
  <si>
    <t>AFASTADOR FARABEUF 10X120MM</t>
  </si>
  <si>
    <t>AFASTADOR FARABEUF  13X150MM</t>
  </si>
  <si>
    <t xml:space="preserve">AFASTADOR RICHARDSON </t>
  </si>
  <si>
    <t>PINCA  MOSQUITO CURVA</t>
  </si>
  <si>
    <t xml:space="preserve">PINCA  MOSQUITO RETA </t>
  </si>
  <si>
    <t xml:space="preserve">PINCA ALLIS </t>
  </si>
  <si>
    <t>PINCA ANATOMICA 16CM</t>
  </si>
  <si>
    <t>PINCA ANATOMICA  18CM</t>
  </si>
  <si>
    <t>QC.100.18</t>
  </si>
  <si>
    <t xml:space="preserve">PINCA DEBAKEY TIPO ANATOMICA </t>
  </si>
  <si>
    <t>QZ.098.20</t>
  </si>
  <si>
    <t>PINCA DENTE DE RATO 16CM</t>
  </si>
  <si>
    <t>PINCA DENTE DE RATO 18CM</t>
  </si>
  <si>
    <t>QC.301.18</t>
  </si>
  <si>
    <t>QF.415.18</t>
  </si>
  <si>
    <t xml:space="preserve">PINÇA KOCHER OCHSNER RETA </t>
  </si>
  <si>
    <t xml:space="preserve">PINCA KOCHER RETA </t>
  </si>
  <si>
    <t xml:space="preserve">PINCA MIXTER </t>
  </si>
  <si>
    <t xml:space="preserve">PINCA ROCHESTER CARMALT RETA </t>
  </si>
  <si>
    <t>QF.370.20</t>
  </si>
  <si>
    <t>PORTA AGULHA MAYO HEGAR 18CM</t>
  </si>
  <si>
    <t>TESOURA MAYO RETA 17CM</t>
  </si>
  <si>
    <t>TESOURA METZEMBAUM CURVA 20CM</t>
  </si>
  <si>
    <t>TESOURA METZEMBAUM CURVA 18CM</t>
  </si>
  <si>
    <t xml:space="preserve">AFASTADOR FARABEUF 10X120MM </t>
  </si>
  <si>
    <t>BT020R</t>
  </si>
  <si>
    <t>CESTO P ALTO/ CESTO</t>
  </si>
  <si>
    <t>JF113R</t>
  </si>
  <si>
    <t>CONTAINER</t>
  </si>
  <si>
    <t>JK341</t>
  </si>
  <si>
    <t>TAMPA</t>
  </si>
  <si>
    <t>JK389</t>
  </si>
  <si>
    <t>BD700R</t>
  </si>
  <si>
    <t>PINCA ADSON COM DENTE 120MM</t>
  </si>
  <si>
    <t>PINCA ADSON SEM DENTE 120MM</t>
  </si>
  <si>
    <t>PINCA ALLIS RETA 160MM</t>
  </si>
  <si>
    <t>PINCA ANATOMICA 180MM</t>
  </si>
  <si>
    <t xml:space="preserve">PINCA BACKHAUS CORTANTE 130MM </t>
  </si>
  <si>
    <t>PINCA MOSQUITO CURVA 120MM</t>
  </si>
  <si>
    <t>PINCA MOSQUITO RETA 120MM</t>
  </si>
  <si>
    <t>PINCA PEAN 160MM</t>
  </si>
  <si>
    <t>QF.176.16</t>
  </si>
  <si>
    <t>PINCA ROCHESTER PEAN RETA 190MM</t>
  </si>
  <si>
    <t>QF.410.20</t>
  </si>
  <si>
    <t>PORTA AGULHA CRILLE WOOD 160MM</t>
  </si>
  <si>
    <t>BM016R</t>
  </si>
  <si>
    <t>TESOURA IRIS CURVA 120MM</t>
  </si>
  <si>
    <t>TESOURA IRIS RETA 120MM</t>
  </si>
  <si>
    <t>TESOURA MAYO CURVA 140MM</t>
  </si>
  <si>
    <t>TESOURA MAYO RETA 160MM</t>
  </si>
  <si>
    <t>TESOURA METZEMBAUM CURVA 150MM</t>
  </si>
  <si>
    <t>CURETA BRUNS N°0</t>
  </si>
  <si>
    <t>QO.294.03</t>
  </si>
  <si>
    <t>CURETA BRUNS N°2</t>
  </si>
  <si>
    <t>QO.294.05</t>
  </si>
  <si>
    <t>ESPÉCULO DE PITANGA</t>
  </si>
  <si>
    <t>QK.665.13</t>
  </si>
  <si>
    <t>ESPÉCULO SIMS</t>
  </si>
  <si>
    <t>QK.613.15</t>
  </si>
  <si>
    <t>ESTILETE HEMORROIDA  90°/ 130º / 60º (JOGOS)</t>
  </si>
  <si>
    <t>?</t>
  </si>
  <si>
    <t xml:space="preserve">PINÇA ADSON COM DENTE </t>
  </si>
  <si>
    <t xml:space="preserve">PINÇA ADSON SEM DENTE </t>
  </si>
  <si>
    <t xml:space="preserve">PINÇA ALLIS </t>
  </si>
  <si>
    <t>PINÇA ANATÔMICA  25CM</t>
  </si>
  <si>
    <t>PINÇA COLLIN</t>
  </si>
  <si>
    <t>QF.270.19</t>
  </si>
  <si>
    <t>PINÇA CUSHING  COM DENTE 20CM (WAUGH)</t>
  </si>
  <si>
    <t>BD671R</t>
  </si>
  <si>
    <t>PINÇA CUSHING SEM DENTE 20CM</t>
  </si>
  <si>
    <t>BD239R</t>
  </si>
  <si>
    <t xml:space="preserve">PINÇA DENTE DE RATO </t>
  </si>
  <si>
    <t>BD559R</t>
  </si>
  <si>
    <t>PINÇA DENTE DE RATO  25CM</t>
  </si>
  <si>
    <t>PINÇA DENTE DE RATO  30CM</t>
  </si>
  <si>
    <t>PINÇA FOERSTER RETA ESTRIADA</t>
  </si>
  <si>
    <t>PINÇA KELLY CURVA</t>
  </si>
  <si>
    <t>BH135R</t>
  </si>
  <si>
    <t xml:space="preserve">PINÇA KELLY RETA </t>
  </si>
  <si>
    <t xml:space="preserve">PINÇA KOCKER RETA </t>
  </si>
  <si>
    <t xml:space="preserve">PINÇA ROCHESTER CARMALT RETA </t>
  </si>
  <si>
    <t>PORTA AGULHA MAYO HEGAR 25CM</t>
  </si>
  <si>
    <t>PORTA AGULHA MAYO HEGAR  17CM</t>
  </si>
  <si>
    <t>BM065R</t>
  </si>
  <si>
    <t>PORTA AGULHA MAYO HEGAR  14CM</t>
  </si>
  <si>
    <t>TESOURA MAYO RETA</t>
  </si>
  <si>
    <t>TESOURA METZEMBAUM CURVA 23CM</t>
  </si>
  <si>
    <t>ELEMENTO DE TRABALHO MONOPOLAR</t>
  </si>
  <si>
    <t>27050E</t>
  </si>
  <si>
    <t>FIO ELENTO DE TRABALHO MONOPOLAR</t>
  </si>
  <si>
    <t>RESSECTOSCÓPIO UNHA CURTA 24 FR</t>
  </si>
  <si>
    <t>27040BO</t>
  </si>
  <si>
    <t>OBTURADOR CURTO 24FR</t>
  </si>
  <si>
    <t>27040OC</t>
  </si>
  <si>
    <t>RESSECTOSCÓPIO UNHA LONGA 24FR</t>
  </si>
  <si>
    <t>27040BK</t>
  </si>
  <si>
    <t>OBTURADOR LONGO 24 FR</t>
  </si>
  <si>
    <t>27040OD</t>
  </si>
  <si>
    <t>CAMISA DE RESSECCAO 26FR</t>
  </si>
  <si>
    <t>26050SL</t>
  </si>
  <si>
    <t>CAMISA INTERNA RESSECTOSCOPICO 26FR</t>
  </si>
  <si>
    <t>26050XA</t>
  </si>
  <si>
    <t>OBTURADOR CURTO 26FR</t>
  </si>
  <si>
    <t>RESSECTOSCÓPIO UNHA CURTA 27FR</t>
  </si>
  <si>
    <t>27040AO</t>
  </si>
  <si>
    <t>OBTURADOR CURTO 27FR</t>
  </si>
  <si>
    <t>27040OA</t>
  </si>
  <si>
    <t>OBTURADOR DEFLECTIVO CURTO 24FR</t>
  </si>
  <si>
    <t>27048CK</t>
  </si>
  <si>
    <t>CESTO INOX</t>
  </si>
  <si>
    <t>CAMISA DIAGNOSTICA 5.1MM</t>
  </si>
  <si>
    <t>26163V</t>
  </si>
  <si>
    <t>CAMISA EXTERNA BETTOCCHI 6MM</t>
  </si>
  <si>
    <t>26154BO</t>
  </si>
  <si>
    <t>CAMISA INTERIOR BETTOCCHI 5.4MM</t>
  </si>
  <si>
    <t>26154BI</t>
  </si>
  <si>
    <t>ELEMENTO DE TRABALHO</t>
  </si>
  <si>
    <t>26050E</t>
  </si>
  <si>
    <t>FIO MONOPOLAR PARA ELEMENTO DE TRABALHO</t>
  </si>
  <si>
    <t>OBTURADOR 24/26FR</t>
  </si>
  <si>
    <t>26040OC</t>
  </si>
  <si>
    <t xml:space="preserve">BAINHA DE EXAME 2,7MM </t>
  </si>
  <si>
    <t>26161VS</t>
  </si>
  <si>
    <t>CAMISA EXTERNA BETTOCCHI 2.7MM</t>
  </si>
  <si>
    <t>26153BO</t>
  </si>
  <si>
    <t>CAMISA INTERIOR BETTOCCHI 2,7MM</t>
  </si>
  <si>
    <t>26153BI</t>
  </si>
  <si>
    <t>OTICA 30 X 2.7MM</t>
  </si>
  <si>
    <t>26120BA</t>
  </si>
  <si>
    <t>MICRO PINÇA PARA SUTURA CURVA</t>
  </si>
  <si>
    <t>BD337R</t>
  </si>
  <si>
    <t>MICRO PINÇA RELOJEIRO RETA</t>
  </si>
  <si>
    <t>BD331R</t>
  </si>
  <si>
    <t xml:space="preserve">MICRO PORTA AGULHA RETO REILL </t>
  </si>
  <si>
    <t>FD240R</t>
  </si>
  <si>
    <t>MICRO TESOURA CURVA</t>
  </si>
  <si>
    <t>FD013R</t>
  </si>
  <si>
    <t>PINÇA GRASPING  APREENÇÃO 34CM</t>
  </si>
  <si>
    <t>26159UHW</t>
  </si>
  <si>
    <t>TESOURA ENDOSCOPICA  34CM</t>
  </si>
  <si>
    <t>26159EHW</t>
  </si>
  <si>
    <t>PINÇA BIOPSIA 34CM</t>
  </si>
  <si>
    <t>26159BHW</t>
  </si>
  <si>
    <t>ALTA ROTAÇÃO EXTRATORQUE</t>
  </si>
  <si>
    <t>RV0052</t>
  </si>
  <si>
    <t>PREMIUM DENTALIS</t>
  </si>
  <si>
    <t>CONTRA ÂNGULO</t>
  </si>
  <si>
    <t>MICROMOTOR</t>
  </si>
  <si>
    <t>PEÇA RETA</t>
  </si>
  <si>
    <t>PONTEIRA TRIPLICE (2 PEÇAS)</t>
  </si>
  <si>
    <t>SACA BROCA CONTRA ÂNGULO</t>
  </si>
  <si>
    <t>PINCA HARTMANN(JACARE) 80MM</t>
  </si>
  <si>
    <t>ASPIRADOR DE OUVIDO 0,8MM</t>
  </si>
  <si>
    <t>ASPIRADOR DE OUVIDO 1,0MM</t>
  </si>
  <si>
    <t>ASPIRADOR DE OUVIDO 1,5MM</t>
  </si>
  <si>
    <t>ASPIRADOR DE OUVIDO 2,0MM</t>
  </si>
  <si>
    <t>CONECTOR ASPIRADOR DE OUVIDO</t>
  </si>
  <si>
    <t>ESTILETE HOUSE BAIONETA 4,5 X 160MM</t>
  </si>
  <si>
    <t>FACA DE PARACENTESE BAIONETADA</t>
  </si>
  <si>
    <t>VARETA PORTA ALGODAO 130MM</t>
  </si>
  <si>
    <t>CURETA DE CERUME N1</t>
  </si>
  <si>
    <t xml:space="preserve">BISTURI OTOLOGICO HARTMANN CURVO </t>
  </si>
  <si>
    <t>ESPECULO OTOLOGICO HARTMANN N3</t>
  </si>
  <si>
    <t>ESPECULO OTOLOGICO HARTMANN N4</t>
  </si>
  <si>
    <t>ESPECULO OTOLOGICO HARTMANN N5</t>
  </si>
  <si>
    <t>AFASTADOR FARABEUF 13X150MM</t>
  </si>
  <si>
    <t>AFASTADOR FARABEUF 8X120MM</t>
  </si>
  <si>
    <t>GANCHO GILLIES</t>
  </si>
  <si>
    <t>OL611R</t>
  </si>
  <si>
    <t>GANCHO GUTHRIE</t>
  </si>
  <si>
    <t>OA335R</t>
  </si>
  <si>
    <t>PINCA ADSON COM DENTE 150MM</t>
  </si>
  <si>
    <t>BD521R</t>
  </si>
  <si>
    <t xml:space="preserve">PINCA ALLIS RETA 160MM </t>
  </si>
  <si>
    <t>BD047R</t>
  </si>
  <si>
    <t xml:space="preserve">PINCA CHERON 250MM </t>
  </si>
  <si>
    <t>PINCA KELLY CURVA 140MM</t>
  </si>
  <si>
    <t xml:space="preserve">PINCA KOCHER RETA 180MM 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</si>
  <si>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</si>
  <si>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</si>
  <si>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</si>
  <si>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</si>
  <si>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BM066R</t>
  </si>
  <si>
    <t>PORTA AGULHA CRILE WOOD COM WIDIA 150MM</t>
  </si>
  <si>
    <t>PORTA AGULHA CRILE WOOD COM WIDIA 180MM</t>
  </si>
  <si>
    <t>20-638-20-07</t>
  </si>
  <si>
    <t>PORTA AGULHA CRILE WOOD COM WIDIA 200MM</t>
  </si>
  <si>
    <t>TESOURA IRIS CURVA 120MM DUROTIP</t>
  </si>
  <si>
    <t>BC573R</t>
  </si>
  <si>
    <t xml:space="preserve">TESOURA MAYO RETA 140MM </t>
  </si>
  <si>
    <t>BC570R</t>
  </si>
  <si>
    <t xml:space="preserve">TESOURA METZEMBAUM CURVA 140MM </t>
  </si>
  <si>
    <t>11-939-14-07</t>
  </si>
  <si>
    <t>11-943-18-07</t>
  </si>
  <si>
    <t>11-943-20-07</t>
  </si>
  <si>
    <t>ABAIXADOR DE LINGUA 180MM</t>
  </si>
  <si>
    <t>OM205R</t>
  </si>
  <si>
    <t>AFASTADOR ABA NASAL 200MM</t>
  </si>
  <si>
    <t>OL214R</t>
  </si>
  <si>
    <t>AFASTADOR MALIANIC 50 X 700MM</t>
  </si>
  <si>
    <t>AMASSADOR DE CARTILAGEM</t>
  </si>
  <si>
    <t>ASPIRADOR FRAZIER 3.0X 185MM</t>
  </si>
  <si>
    <t>ASPIRADOR FRAZIER 3.5X 185MM</t>
  </si>
  <si>
    <t>CABO DE BISTURI N.3 125MM</t>
  </si>
  <si>
    <t>BB073R</t>
  </si>
  <si>
    <t xml:space="preserve">MNH MERCEARIA </t>
  </si>
  <si>
    <t>COMPASSO DE CASTROVIEJO 80MM</t>
  </si>
  <si>
    <t>OB792R</t>
  </si>
  <si>
    <t>DESCOLADOR DE COTLE 200MM</t>
  </si>
  <si>
    <t>DESCOLADOR DE JOSEPH CURVO 180MM</t>
  </si>
  <si>
    <t>ESPECULO NASAL 13 X 150MM  HARTMANN</t>
  </si>
  <si>
    <t>OK041R</t>
  </si>
  <si>
    <t>ESPECULO NASAL 35 X 150MM  HARTMANN</t>
  </si>
  <si>
    <t>OK043R</t>
  </si>
  <si>
    <t>FORMAO GUIA PARA DIREITA 5X180MM</t>
  </si>
  <si>
    <t>OL322R</t>
  </si>
  <si>
    <t>FORMAO GUIA PARA ESQUERDA 5X180MM</t>
  </si>
  <si>
    <t>OL321R</t>
  </si>
  <si>
    <t>FORMÃO LAMBOTTE 4X170MM</t>
  </si>
  <si>
    <t>QO.371.04</t>
  </si>
  <si>
    <t>FORMÃO LAMBOTTE 8X170MM</t>
  </si>
  <si>
    <t>QO.371.08</t>
  </si>
  <si>
    <t>FORMÃO LAMBOTTE 10X170MM</t>
  </si>
  <si>
    <t>QO.371.10</t>
  </si>
  <si>
    <t>GANCHO GILLIES 180MM</t>
  </si>
  <si>
    <t>GANCHO JOSEPH DUPLO AGUDO 160MM</t>
  </si>
  <si>
    <t>OL622R</t>
  </si>
  <si>
    <t>MARTELO PEQUENO 250GR</t>
  </si>
  <si>
    <t>DF114R</t>
  </si>
  <si>
    <t>BD878R</t>
  </si>
  <si>
    <t>PINCA TAKAHASHI RETA 190MM</t>
  </si>
  <si>
    <t>OK525R</t>
  </si>
  <si>
    <t>RASPA CURVA 190MM</t>
  </si>
  <si>
    <t>DO772R</t>
  </si>
  <si>
    <t xml:space="preserve">RASPA DUPLA </t>
  </si>
  <si>
    <t>OL423</t>
  </si>
  <si>
    <t>RASPA RETA</t>
  </si>
  <si>
    <t>OL408</t>
  </si>
  <si>
    <t>AFASTADOR CONVERSE</t>
  </si>
  <si>
    <t>OL207R</t>
  </si>
  <si>
    <t>TESOURA CONVERSE 120MM</t>
  </si>
  <si>
    <t>TESOURA COTTLE ANGULADA 170MM</t>
  </si>
  <si>
    <t>OK371R</t>
  </si>
  <si>
    <t>TESOURA HEYMAN 170MM</t>
  </si>
  <si>
    <t>OK350R</t>
  </si>
  <si>
    <t>PINCA KELLY RETA 140MM</t>
  </si>
  <si>
    <t>BH144R</t>
  </si>
  <si>
    <t>OL165R</t>
  </si>
  <si>
    <t>ASPIRADOR DE SEIO MAXILAR 3 X 125MM</t>
  </si>
  <si>
    <t>ASPIRADOR DE SEIO MAXILAR 4 X 125MM</t>
  </si>
  <si>
    <t>PORTA AGULHA CRILLE WOOD 150MM</t>
  </si>
  <si>
    <t>ASPIRADOR FRAZIER 3,0MM</t>
  </si>
  <si>
    <t>ASPIRADOR FRAZIER 3,5MM</t>
  </si>
  <si>
    <t>PROBE DUPLO SEEKER 190MM</t>
  </si>
  <si>
    <t xml:space="preserve">MARTELO </t>
  </si>
  <si>
    <t>CURETA PARA SEIO FRONTAL 55 °  190MM</t>
  </si>
  <si>
    <t>CURETA PARA SEIO FRONTAL 90°  190MM</t>
  </si>
  <si>
    <t>TESOURA DE MAYO RETA 170MM</t>
  </si>
  <si>
    <t>BC572R</t>
  </si>
  <si>
    <t>TESOURA METZEMBAUM CURVA 140MM</t>
  </si>
  <si>
    <t>TESOURA HEYMANN DELICADA 90MM</t>
  </si>
  <si>
    <t>TESOURA HEYMANN PARA SEPTO 95MM</t>
  </si>
  <si>
    <t>OK351R</t>
  </si>
  <si>
    <t>ESPECULO NASAL HARTMANN PEQUENO 3.5 X 130MM</t>
  </si>
  <si>
    <t>TESOURA CONVERSE 110MM</t>
  </si>
  <si>
    <t>ESPECULO NASAL HARTMANN GRANDE 7.5 X 130MM</t>
  </si>
  <si>
    <t>ESPECULO NASAL HARTMANN MEDIO 5.5 X 130MM</t>
  </si>
  <si>
    <t>ESPECULO NASAL HARTMANN PEQUENO 2.5 X 130MM</t>
  </si>
  <si>
    <t>PINCA BRUENINGS 110MM</t>
  </si>
  <si>
    <t>PINCA HARTMANN 110MM (JACARE)</t>
  </si>
  <si>
    <t>PINCA HARTMANN 11CM</t>
  </si>
  <si>
    <t>PINCA TAKAHASHI RETA 95MM</t>
  </si>
  <si>
    <t>PINCA TAKAHASHI 125° (ANGULADA)</t>
  </si>
  <si>
    <t>OK526R</t>
  </si>
  <si>
    <t>PINCA GIRAFA ABERTA HORIZONTAL 3 X 130MM</t>
  </si>
  <si>
    <t>PINCA GIRAFA ABERTA VERTICAL 3 X 130MM</t>
  </si>
  <si>
    <t>PINCA SEIO MAXILAR 115 X 100MM</t>
  </si>
  <si>
    <t>PINCA BLASKELEY FENESTRADA 45G N 2 X 110MM</t>
  </si>
  <si>
    <t>456502B</t>
  </si>
  <si>
    <t>PINCA BLASKELEY FENESTRADA RETA N 1 X 110MM</t>
  </si>
  <si>
    <t>456001B</t>
  </si>
  <si>
    <t>PINCA BLASKELEY FENESTRADA RETA N 3 X 110MM</t>
  </si>
  <si>
    <t>456003B</t>
  </si>
  <si>
    <t>PINCA GRUNWALD HENKE RETA N 2 X 110MM</t>
  </si>
  <si>
    <t>451002B</t>
  </si>
  <si>
    <t>PINCA MACKAY GRUNWALD 45G N 2 X 130MM</t>
  </si>
  <si>
    <t>452502B</t>
  </si>
  <si>
    <t>PINCA MACKAY GRUNWALD RETA N 1 X 130MM</t>
  </si>
  <si>
    <t>452001B</t>
  </si>
  <si>
    <t>PINCA PUNCH STAMMBERGER RETA (COGUMELO) 3.5 X 180MM</t>
  </si>
  <si>
    <t>PINCA GRUNWALD HENKE 45G N 0 X 110MM</t>
  </si>
  <si>
    <t>451500B</t>
  </si>
  <si>
    <t>PINCA GRUNWALD HENKE 45G N 1 X 110MM</t>
  </si>
  <si>
    <t>451501B</t>
  </si>
  <si>
    <t>PINCA PUNCH STAMMBERGER CURVA (COGUMELO) 3.5 X 170MM</t>
  </si>
  <si>
    <t>PINCA BACKBITTER DELICADA 100MM</t>
  </si>
  <si>
    <t>PINCA BACKBITTER ROTATORIA 100MM</t>
  </si>
  <si>
    <t>OSTEOTOMO DE COTTLE 4 X 185MM</t>
  </si>
  <si>
    <t>OSTEOTOMO DE COTTLE 7 X 185MM</t>
  </si>
  <si>
    <t>TESOURA SAME CURVA PARA RETA 130MM</t>
  </si>
  <si>
    <t>PINÇA KERRISON Nº1 180MM 45°</t>
  </si>
  <si>
    <t>24-978-01-07</t>
  </si>
  <si>
    <t>PINÇA KERRISON Nº2 180MM 45°</t>
  </si>
  <si>
    <t>24-978-09-07</t>
  </si>
  <si>
    <t>PINÇA KERRISON Nº3 180MM 45°</t>
  </si>
  <si>
    <t>24-978-17-07</t>
  </si>
  <si>
    <t>CESTO ALTO</t>
  </si>
  <si>
    <t>CAMISA 10MM</t>
  </si>
  <si>
    <t>30103H2</t>
  </si>
  <si>
    <t>CAMISA STORZ 5MM</t>
  </si>
  <si>
    <t>30160H2</t>
  </si>
  <si>
    <t xml:space="preserve">PROBE CALIBRADO 5 X 360MM </t>
  </si>
  <si>
    <t>26175T</t>
  </si>
  <si>
    <t>GANCHO PARA DISSECCAO 5 X 360MM</t>
  </si>
  <si>
    <t>26775UF</t>
  </si>
  <si>
    <t xml:space="preserve">VALVULA(ADAPTADOR) 10MM </t>
  </si>
  <si>
    <t>30103M1</t>
  </si>
  <si>
    <t xml:space="preserve">TROCATER(PREGO) 10MM </t>
  </si>
  <si>
    <t>30103P</t>
  </si>
  <si>
    <t xml:space="preserve">CÂNULA DE IRRIGAÇÃO / SUCÇÃO </t>
  </si>
  <si>
    <t>26173BN</t>
  </si>
  <si>
    <t>REDUTOR TROCATER 11MM</t>
  </si>
  <si>
    <t>30140DB</t>
  </si>
  <si>
    <t xml:space="preserve">VALVULA(ADAPTADOR) 5MM </t>
  </si>
  <si>
    <t>30160M1</t>
  </si>
  <si>
    <t>TROCATER(PREGO) 5MM</t>
  </si>
  <si>
    <t>30160P</t>
  </si>
  <si>
    <t xml:space="preserve">FIO MONOPOLAR </t>
  </si>
  <si>
    <t>26002M</t>
  </si>
  <si>
    <t>PINCA BABYCOOK 10 X 360MM</t>
  </si>
  <si>
    <t>33310BA</t>
  </si>
  <si>
    <t xml:space="preserve">PINCA ENDOCLICH 5 X 360MM </t>
  </si>
  <si>
    <t>33310AF</t>
  </si>
  <si>
    <t>PINCA GRASPING COM DENTE E CREMALHEIRA 5 X 360MM</t>
  </si>
  <si>
    <t>33310MG</t>
  </si>
  <si>
    <t xml:space="preserve">PINCA GRASPING FENESTRADA 5 X 360MM </t>
  </si>
  <si>
    <t>33310C</t>
  </si>
  <si>
    <t xml:space="preserve">PINCA KELLY CURVA 5 X 360MM </t>
  </si>
  <si>
    <t>33310ML</t>
  </si>
  <si>
    <t xml:space="preserve">PINCA MARYLAND 5MM/ 36CM </t>
  </si>
  <si>
    <t>33310MD</t>
  </si>
  <si>
    <t>PINÇA MIXTER 90°</t>
  </si>
  <si>
    <t>33310R</t>
  </si>
  <si>
    <t xml:space="preserve">PINCA REDDICK-OLSEN 5 X 360MM </t>
  </si>
  <si>
    <t>33310UL</t>
  </si>
  <si>
    <t xml:space="preserve">PINCA REDDICK-OLSEN DELICADA 5 X 360MM </t>
  </si>
  <si>
    <t>33310KJ</t>
  </si>
  <si>
    <t>EMPUNHADURA COM CREMALHEIRA METALICA</t>
  </si>
  <si>
    <t>EMPUNHADURA COM CREMALHEIRA</t>
  </si>
  <si>
    <t>EMPUNHADURA SEM CREMALHEIRA</t>
  </si>
  <si>
    <t>TUBO METÁLICO ISOLADO 10MM 36CM</t>
  </si>
  <si>
    <t>TUBO METÁLICO ISOLADO 5MM 36CM</t>
  </si>
  <si>
    <t xml:space="preserve">TESOURA METZEMBAUM CURVA 5 X 360MM </t>
  </si>
  <si>
    <t>34310MS</t>
  </si>
  <si>
    <t>CROCI-OLMI 6MM</t>
  </si>
  <si>
    <t>33310CC</t>
  </si>
  <si>
    <t>TESOURA IRIS CURVA</t>
  </si>
  <si>
    <t>TESOURA IRIS RETA</t>
  </si>
  <si>
    <t>PINÇA DE VASE</t>
  </si>
  <si>
    <t>QF.309.12</t>
  </si>
  <si>
    <t>PINÇA DEFERENTE</t>
  </si>
  <si>
    <t>QR.505.01</t>
  </si>
  <si>
    <t>PINÇA MICRO ADSON COM DENTE</t>
  </si>
  <si>
    <t>QC.406.12</t>
  </si>
  <si>
    <t>PINÇA MOSQUITO RETO</t>
  </si>
  <si>
    <t>PINÇA PEAN</t>
  </si>
  <si>
    <t>TESOURA METZEMBAUM CURVA 170MM</t>
  </si>
  <si>
    <t>VELA DE HEGAR N?1</t>
  </si>
  <si>
    <t>QS.400.01</t>
  </si>
  <si>
    <t xml:space="preserve">VELA DE HEGAR N?1,5 </t>
  </si>
  <si>
    <t>QS.401.01</t>
  </si>
  <si>
    <t xml:space="preserve">VELA DE HEGAR N?2 </t>
  </si>
  <si>
    <t>QS.400.02</t>
  </si>
  <si>
    <t xml:space="preserve">VELA DE HEGAR N?2,5 </t>
  </si>
  <si>
    <t>QS.401.02</t>
  </si>
  <si>
    <t xml:space="preserve">VELA DE HEGAR N?3 </t>
  </si>
  <si>
    <t>QS.400.03</t>
  </si>
  <si>
    <t xml:space="preserve">VELA DE HEGAR N?3,5 </t>
  </si>
  <si>
    <t>QS.401.03</t>
  </si>
  <si>
    <t xml:space="preserve">VELA DE HEGAR N?4 </t>
  </si>
  <si>
    <t>QS.400.04</t>
  </si>
  <si>
    <t xml:space="preserve">VELA DE HEGAR N?4,5 </t>
  </si>
  <si>
    <t>QS.401.04</t>
  </si>
  <si>
    <t xml:space="preserve">VELA DE HEGAR N?5 </t>
  </si>
  <si>
    <t>QS.400.05</t>
  </si>
  <si>
    <t xml:space="preserve">VELA DE HEGAR N?5,5 </t>
  </si>
  <si>
    <t>QS.401.05</t>
  </si>
  <si>
    <t xml:space="preserve">VELA DE HEGAR N?6 </t>
  </si>
  <si>
    <t>QS.400.06</t>
  </si>
  <si>
    <t xml:space="preserve">VELA DE HEGAR N?6,5 </t>
  </si>
  <si>
    <t>QS.401.06</t>
  </si>
  <si>
    <t xml:space="preserve">VELA DE HEGAR N?7 </t>
  </si>
  <si>
    <t>QS.400.07</t>
  </si>
  <si>
    <t xml:space="preserve">VELA DE HEGAR N?7,5 </t>
  </si>
  <si>
    <t>QS.401.07</t>
  </si>
  <si>
    <t xml:space="preserve">VELA DE HEGAR N?8 </t>
  </si>
  <si>
    <t>QS.400.08</t>
  </si>
  <si>
    <t xml:space="preserve">VELA DE HEGAR N?8,5 </t>
  </si>
  <si>
    <t>QS.401.08</t>
  </si>
  <si>
    <t xml:space="preserve">VELA DE HEGAR N?9 </t>
  </si>
  <si>
    <t>QS.400.09</t>
  </si>
  <si>
    <t xml:space="preserve">VELA DE HEGAR N?9,5 </t>
  </si>
  <si>
    <t>QS.401.09</t>
  </si>
  <si>
    <t>VELA DE HEGAR N?10</t>
  </si>
  <si>
    <t>QS.400.10</t>
  </si>
  <si>
    <t>VELA DE HEGAR N?10,5</t>
  </si>
  <si>
    <t>QS.401.10</t>
  </si>
  <si>
    <t xml:space="preserve">VELAS DE HEGAR N 11 </t>
  </si>
  <si>
    <t>QS.400.11</t>
  </si>
  <si>
    <t xml:space="preserve">VELAS DE HEGAR N 11,5 </t>
  </si>
  <si>
    <t>QS.401.11</t>
  </si>
  <si>
    <t xml:space="preserve">VELAS DE HEGAR N 12 </t>
  </si>
  <si>
    <t>QS.400.12</t>
  </si>
  <si>
    <t xml:space="preserve">VELAS DE HEGAR N 13 </t>
  </si>
  <si>
    <t>QS.400.13</t>
  </si>
  <si>
    <t xml:space="preserve">VELAS DE HEGAR N 14 </t>
  </si>
  <si>
    <t>QS.400.14</t>
  </si>
  <si>
    <t xml:space="preserve">VELAS DE HEGAR N 15 </t>
  </si>
  <si>
    <t>QS.400.15</t>
  </si>
  <si>
    <t xml:space="preserve">VELAS DE HEGAR N 16 </t>
  </si>
  <si>
    <t>QS.400.16</t>
  </si>
  <si>
    <t xml:space="preserve">VELAS DE HEGAR N 17 </t>
  </si>
  <si>
    <t>QS.400.17</t>
  </si>
  <si>
    <t>VELAS DE HEGAR N 18</t>
  </si>
  <si>
    <t>QS.400.18</t>
  </si>
  <si>
    <t>VELA DE HEGAR N19</t>
  </si>
  <si>
    <t>QS.400.19</t>
  </si>
  <si>
    <t>VELA DE HEGAR N20</t>
  </si>
  <si>
    <t>QS.400.20</t>
  </si>
  <si>
    <t>VELA DE HEGAR N21</t>
  </si>
  <si>
    <t>QS.400.21</t>
  </si>
  <si>
    <t>VELA DE HEGAR N22</t>
  </si>
  <si>
    <t>QS.400.22</t>
  </si>
  <si>
    <t>VELA DE HEGAR N23</t>
  </si>
  <si>
    <t>QS.400.23</t>
  </si>
  <si>
    <t>VELA DE HEGAR N24</t>
  </si>
  <si>
    <t>QS.400.24</t>
  </si>
  <si>
    <t>VELA DE HEGAR N25</t>
  </si>
  <si>
    <t>QS.400.25</t>
  </si>
  <si>
    <t>VELA DE HEGAR N26</t>
  </si>
  <si>
    <t>QS.400.26</t>
  </si>
  <si>
    <t>VIBROLIPO</t>
  </si>
  <si>
    <t>PAC-0083/PAC-0136</t>
  </si>
  <si>
    <t>DERMATOMO</t>
  </si>
  <si>
    <t>GA340</t>
  </si>
  <si>
    <t>ZIMMER HALL</t>
  </si>
  <si>
    <t xml:space="preserve">BATERIA </t>
  </si>
  <si>
    <t>GA346</t>
  </si>
  <si>
    <t xml:space="preserve">TAMPA DE FECHO </t>
  </si>
  <si>
    <t>GA675</t>
  </si>
  <si>
    <t xml:space="preserve">LAMINAS WAGNER ESTÉRIL </t>
  </si>
  <si>
    <t>GB228R</t>
  </si>
  <si>
    <t xml:space="preserve">REMOVEDOR DE BATERIA </t>
  </si>
  <si>
    <t>GA679</t>
  </si>
  <si>
    <t xml:space="preserve">ACCULAN 4 CARREGADOR </t>
  </si>
  <si>
    <t>GA320</t>
  </si>
  <si>
    <t xml:space="preserve">CABO DE ENERGIA </t>
  </si>
  <si>
    <t>DIGICABO-H05VV-F3G</t>
  </si>
  <si>
    <t>ESPÉCULO NASAL HARTMANN 31MM</t>
  </si>
  <si>
    <t>QX.238.02</t>
  </si>
  <si>
    <t>ESPÉCULO NASAL HARTMANN 35MM</t>
  </si>
  <si>
    <t>QX.238.03</t>
  </si>
  <si>
    <t>ASPIRADOR FRAZIER 3MM</t>
  </si>
  <si>
    <t>PINÇA WALSHAN DIREITA</t>
  </si>
  <si>
    <t>PINÇA WALSHAN ESQUERDA</t>
  </si>
  <si>
    <t>PINÇA ASCH 22MM</t>
  </si>
  <si>
    <t>PINÇA BAIONETA  JANSEN 16CM</t>
  </si>
  <si>
    <t>HASTE SUSPENSORA PARA LARINGOSCOPIO</t>
  </si>
  <si>
    <t>LF80005</t>
  </si>
  <si>
    <t>HOLDER PARA HASTE LARINGOSCOPIO</t>
  </si>
  <si>
    <t>HOLDER PARA ESTILETES</t>
  </si>
  <si>
    <t>LF806100</t>
  </si>
  <si>
    <t>LANCETA ESTILETE</t>
  </si>
  <si>
    <t>LF80602</t>
  </si>
  <si>
    <t>FACA</t>
  </si>
  <si>
    <t>LF80603</t>
  </si>
  <si>
    <t>CORTE LATERAL</t>
  </si>
  <si>
    <t>LF.806.05.05</t>
  </si>
  <si>
    <t>DESCOLADOR</t>
  </si>
  <si>
    <t>LF.806.05.01</t>
  </si>
  <si>
    <t>ANGULADO</t>
  </si>
  <si>
    <t>LF.806.05.02</t>
  </si>
  <si>
    <t>ESTILETE AFASTADOR</t>
  </si>
  <si>
    <t>LF.806.07.00</t>
  </si>
  <si>
    <t>ARGULHA PARA ESCLEROSE</t>
  </si>
  <si>
    <t>LF.817.10.00</t>
  </si>
  <si>
    <t>ASPIRADOR 250X1,3MM</t>
  </si>
  <si>
    <t>LF.816.13.01</t>
  </si>
  <si>
    <t>ASPIRADOR 250X1,6MM</t>
  </si>
  <si>
    <t>LF.816.16.01</t>
  </si>
  <si>
    <t>ASPIRADOR 250X2.0MM</t>
  </si>
  <si>
    <t>LF.816.20.01</t>
  </si>
  <si>
    <t>ASPIRADOR 250X3.0MM</t>
  </si>
  <si>
    <t>LF.816.30.01</t>
  </si>
  <si>
    <t>ASPIRADOR DE CAUTÉRIO</t>
  </si>
  <si>
    <t>NÃO FABRIC</t>
  </si>
  <si>
    <t>FIO MONOPOLAR</t>
  </si>
  <si>
    <t>BISTURI ELÉTRICO</t>
  </si>
  <si>
    <t>PINÇA BIÓPSIA CONCHA RETA</t>
  </si>
  <si>
    <t>LF80301</t>
  </si>
  <si>
    <t>LF80305</t>
  </si>
  <si>
    <t>PINÇA BIÓPSIA CONCHA TRIANGULAR DIREITA 250X1,0MM</t>
  </si>
  <si>
    <t>LF80320</t>
  </si>
  <si>
    <t>PINÇA BIÓPSIA CONCHA TRIANGULAR ESQUERDA 250X2,0MM</t>
  </si>
  <si>
    <t>LF80319</t>
  </si>
  <si>
    <t>PINÇA JACARÉ RETA  250X8,0MM</t>
  </si>
  <si>
    <t>LF80201</t>
  </si>
  <si>
    <t>PINÇA JACARÉ ESQUERDA 250X8,0MM</t>
  </si>
  <si>
    <t>LF80202</t>
  </si>
  <si>
    <t>PINÇA JACARÉ DIREITA 250X8,0MM</t>
  </si>
  <si>
    <t>LF80203</t>
  </si>
  <si>
    <t>PINÇA APREENÇÃO TRIANGULAR RETA 250X5,0X2,8MM</t>
  </si>
  <si>
    <t>LF80212</t>
  </si>
  <si>
    <t>PINÇA DE APREENÇÃO TRIANGULAR ESQUERDA 250X5,0X2,8MM</t>
  </si>
  <si>
    <t>LF80213</t>
  </si>
  <si>
    <t>PINÇA APREENÇÃO TRIANGULAR DIREITA 250X5,0X2,8MM</t>
  </si>
  <si>
    <t>LF80214</t>
  </si>
  <si>
    <t>PINÇA APREENÇÃO TRIANGULAR P/CIMA 250X5,0X2,8MM</t>
  </si>
  <si>
    <t>LF80215</t>
  </si>
  <si>
    <t>TESOURA RETA 250X3,5MM</t>
  </si>
  <si>
    <t>LF80106</t>
  </si>
  <si>
    <t>TESOURA ESQUERDA 250X3,5MM</t>
  </si>
  <si>
    <t>LF80107</t>
  </si>
  <si>
    <t>TESOURA DIREITA 250X3,5MM</t>
  </si>
  <si>
    <t>LF80108</t>
  </si>
  <si>
    <t>TESOURA P/CIMA 250X3,5MM</t>
  </si>
  <si>
    <t>LF80109</t>
  </si>
  <si>
    <t>LARINGO ADULTO C/ASPIRAÇÃO FUKUDA 170MM</t>
  </si>
  <si>
    <t>LF80020</t>
  </si>
  <si>
    <t>LARINGO ADULTO C/ASPIRAÇÃO 180MM</t>
  </si>
  <si>
    <t>LF80002</t>
  </si>
  <si>
    <t>LARINGO ADULTO C/ASPIRAÇÃO 185MM</t>
  </si>
  <si>
    <t>LF80001</t>
  </si>
  <si>
    <t>LARINGO ADULTO S/ASPIRAÇÃO 210MM</t>
  </si>
  <si>
    <t>LF80013</t>
  </si>
  <si>
    <t>LARINGO ADULTO S/ASPIRAÇÃO MODELO PAULO PONTES 180MM</t>
  </si>
  <si>
    <t>LF80011</t>
  </si>
  <si>
    <t>CLIP DE GF ( GUIA DE LUZ )</t>
  </si>
  <si>
    <t>LF2001060</t>
  </si>
  <si>
    <t>AFASTADOR FARABEUF 150MM</t>
  </si>
  <si>
    <t>AFASTADOR RICHARDSON COM LAMINA 20 X 55MM</t>
  </si>
  <si>
    <t>ESPATULA MALEAVEL HABERER 300MM</t>
  </si>
  <si>
    <t>QG.420.30</t>
  </si>
  <si>
    <t>ESPATULA MALEAVEL HABERER 380MM</t>
  </si>
  <si>
    <t>QG.420.38</t>
  </si>
  <si>
    <t>ESPECULO VAGINAL MEDIO</t>
  </si>
  <si>
    <t>ESPECULO VAGINAL PEQUENO</t>
  </si>
  <si>
    <t>PINCA ADLERKRENTZ 200MM</t>
  </si>
  <si>
    <t>12-367-20-07</t>
  </si>
  <si>
    <t>PINCA ALLIS 190MM</t>
  </si>
  <si>
    <t>PINCA CHERON 230MM</t>
  </si>
  <si>
    <t>PINCA DEBAKEY 240MM</t>
  </si>
  <si>
    <t>PINCA DENTE DE RATO 180MM</t>
  </si>
  <si>
    <t>PINCA DUVAL 200MM</t>
  </si>
  <si>
    <t>QL.482.21</t>
  </si>
  <si>
    <t>PINCA FAURE 220MM</t>
  </si>
  <si>
    <t>QF.662.22</t>
  </si>
  <si>
    <t>PINCA FOERSTER CURVA ESTRIADA 170MM</t>
  </si>
  <si>
    <t>QF.353.19</t>
  </si>
  <si>
    <t>PINCA FOERSTER CURVA ESTRIADA 230MM</t>
  </si>
  <si>
    <t>QF.353.22</t>
  </si>
  <si>
    <t>PINCA HALSTEAD MOSQUITO RETA 120MM</t>
  </si>
  <si>
    <t>PINCA KOCHER CURVA 180MM</t>
  </si>
  <si>
    <t>PINCA MIXTER 180MM</t>
  </si>
  <si>
    <t>PINCA MIXTER 230MM</t>
  </si>
  <si>
    <t>QZ.205.23</t>
  </si>
  <si>
    <t>PINCA MOSQUITO CURVO 120MM</t>
  </si>
  <si>
    <t>PORTA AGULHA MAYO HEGAR 170MM</t>
  </si>
  <si>
    <t>PORTA AGULHA MAYO HEGAR 250MM</t>
  </si>
  <si>
    <t>PORTA AGULHA MAYO HEGAR 150MM</t>
  </si>
  <si>
    <t>SACA FIBROMA</t>
  </si>
  <si>
    <t>QS.798.00</t>
  </si>
  <si>
    <t>TESOURA MAYO RETA 140MM</t>
  </si>
  <si>
    <t>11-943-23-07</t>
  </si>
  <si>
    <t>TESOURA PARAMETRIAL</t>
  </si>
  <si>
    <t>11-235-23-07</t>
  </si>
  <si>
    <t>VALVULA DOYEN  45X120X 240MM</t>
  </si>
  <si>
    <t>VALVULA DOYEN 45 X 60 X 240MM</t>
  </si>
  <si>
    <t>VALVULA DOYEN 45 X 90X 240MM</t>
  </si>
  <si>
    <t>VALVULA KRISTELLER</t>
  </si>
  <si>
    <t>EL424</t>
  </si>
  <si>
    <t>PINÇA BAIONETA</t>
  </si>
  <si>
    <t>PINÇA ADSON C/DENTE</t>
  </si>
  <si>
    <t>PINÇA ADSON S/DENTE</t>
  </si>
  <si>
    <t>PINÇA ADSON BROWN</t>
  </si>
  <si>
    <t>PORTA AGULHA MAYO HEGAR</t>
  </si>
  <si>
    <t>O645</t>
  </si>
  <si>
    <t>PORTA AGULHA CASTROVIEJO RT</t>
  </si>
  <si>
    <t>O716</t>
  </si>
  <si>
    <t>PINÇA KELLY RETA</t>
  </si>
  <si>
    <t>13O4</t>
  </si>
  <si>
    <t>TESOURA MAYO CV</t>
  </si>
  <si>
    <t>TESOURA METZEMBAUM RT</t>
  </si>
  <si>
    <t>TESOURA METZEMBAUM CV</t>
  </si>
  <si>
    <t>TESOURA CONVERSE ANGULADA</t>
  </si>
  <si>
    <t>PINÇA BACKAUS CORTANTE</t>
  </si>
  <si>
    <t>SONDA DE ITARD</t>
  </si>
  <si>
    <t>ASPIRADOR P/ SEIO MAXILAR</t>
  </si>
  <si>
    <t xml:space="preserve">ASPIRADOR DESCOLADOR </t>
  </si>
  <si>
    <t>ASPIRADOR ATRAUMÁTICO</t>
  </si>
  <si>
    <t>ESPECULO NASAL</t>
  </si>
  <si>
    <t>ESPECULO NASAL N° 2</t>
  </si>
  <si>
    <t>ESPECULO NASAL N°3</t>
  </si>
  <si>
    <t>DESCOLADOR COTTLE</t>
  </si>
  <si>
    <t>FORMÃO LAMBOTTE</t>
  </si>
  <si>
    <t xml:space="preserve">CURETA P/SEIO FRONTAL </t>
  </si>
  <si>
    <t>MARTELO</t>
  </si>
  <si>
    <t xml:space="preserve">PINÇA KERRISON P/CIMA </t>
  </si>
  <si>
    <t>TESOURA MICROENDONASAL RETA</t>
  </si>
  <si>
    <t>TESOURA HEYMAN</t>
  </si>
  <si>
    <t>PINÇA COME P/FRENTE RT</t>
  </si>
  <si>
    <t xml:space="preserve">PINÇA COME P/FRENTE ANGULADA </t>
  </si>
  <si>
    <t>PALPADOR SEIO MAXILAR</t>
  </si>
  <si>
    <t>PINÇA NASAL BRUENINGS</t>
  </si>
  <si>
    <t>PINÇA BLASKEY RT N° 1 ADULTO</t>
  </si>
  <si>
    <t>PINÇA BLASKEY ANGULADA 45° N°0 ADULTO</t>
  </si>
  <si>
    <t>PINÇA TAKAHASHI RT INFO</t>
  </si>
  <si>
    <t>PINÇA TAKAHASHI RT ADULTO</t>
  </si>
  <si>
    <t>PINÇA SEIO FRONTAL VERTICAL</t>
  </si>
  <si>
    <t>PINÇA COGUMELO RT</t>
  </si>
  <si>
    <t>PINÇA NASAL BACK BITE DE TUBO GIRATÓRIO</t>
  </si>
  <si>
    <t>PINÇA P/SEIO MAXILAR GIRATÓRIO</t>
  </si>
  <si>
    <t>PROBE DUPLO SEEKER</t>
  </si>
  <si>
    <t>PINÇA GIRAFA HORIZONTAL</t>
  </si>
  <si>
    <t>AFAST. BECKMANN-ADSON  SEMI AGUDO 4X4 310MM</t>
  </si>
  <si>
    <t>BV271R</t>
  </si>
  <si>
    <t>AFAST. BECKMANN-ADSON  SEMI AGUDO 4X4 210MM</t>
  </si>
  <si>
    <t>BV251R</t>
  </si>
  <si>
    <t>AFASTADOR RICHARDSON 52X22MM</t>
  </si>
  <si>
    <t>AFASTADOR RICHARDSON 65X41MM</t>
  </si>
  <si>
    <t>BT479R</t>
  </si>
  <si>
    <t>BULLDOG GLOVER CURTO 25X68MM</t>
  </si>
  <si>
    <t>FB433R</t>
  </si>
  <si>
    <t>BULLDOG GLOVER RETO 33X68MM</t>
  </si>
  <si>
    <t>FB432R</t>
  </si>
  <si>
    <t>PINÇA GERALD COM DENTE 230MM</t>
  </si>
  <si>
    <t>BD664R</t>
  </si>
  <si>
    <t>PINÇA WAUGH COM DENTE 200MM</t>
  </si>
  <si>
    <t>DISSECTOR TONNIS 240MM</t>
  </si>
  <si>
    <t>FF301R</t>
  </si>
  <si>
    <t>CLAMP DEBAKEY SATINSKY 40X260MM</t>
  </si>
  <si>
    <t>FB501R</t>
  </si>
  <si>
    <t>CLAMP DEBAKEY SATINSKY  50X260MM</t>
  </si>
  <si>
    <t>FB502R</t>
  </si>
  <si>
    <t>CLAMP DEBAKEY ANEURISMA AORTA 95X250MM</t>
  </si>
  <si>
    <t>FB471R</t>
  </si>
  <si>
    <t>CLAMP DEBAKEY 60° 50X230MM</t>
  </si>
  <si>
    <t>FB511R</t>
  </si>
  <si>
    <t>CLAMP DEBAKEY 60°  40X240MM</t>
  </si>
  <si>
    <t xml:space="preserve"> FB510R</t>
  </si>
  <si>
    <t>PINÇA DEBAKEY 90°  70X250MM</t>
  </si>
  <si>
    <t>FB517R</t>
  </si>
  <si>
    <t>PINÇA DEBAKEY 90° 50X210MM</t>
  </si>
  <si>
    <t>FB516R</t>
  </si>
  <si>
    <t>PINÇA GLOVER  200MM</t>
  </si>
  <si>
    <t>FB461R</t>
  </si>
  <si>
    <t>PORTA AGULHA MICROVASCULAR DELICADO 180MM</t>
  </si>
  <si>
    <t>QW.716.18</t>
  </si>
  <si>
    <t>PORTA AGULHA RYDER  195MM</t>
  </si>
  <si>
    <t>BM046R</t>
  </si>
  <si>
    <t>PORTA AGULHA RYDER  230MM</t>
  </si>
  <si>
    <t>BM058R</t>
  </si>
  <si>
    <t>PORTA AGULHA RYDER  210MM</t>
  </si>
  <si>
    <t>BM057R</t>
  </si>
  <si>
    <t>TESOURA POTTS MARTEL 60° 220MM</t>
  </si>
  <si>
    <t>BC650R</t>
  </si>
  <si>
    <t>TESOURA POTTS MARTEL 45° 185MM</t>
  </si>
  <si>
    <t xml:space="preserve">CONTAINER COM TAMPA </t>
  </si>
  <si>
    <t>VALVULA DOYEN 45X60MM</t>
  </si>
  <si>
    <t>VALVULA DOYEN 45X90MM</t>
  </si>
  <si>
    <t>VALVULA DOYEN 60X90MM</t>
  </si>
  <si>
    <t>QS.251.01</t>
  </si>
  <si>
    <t>AFASTADOR RICHARDSON  22X52MM</t>
  </si>
  <si>
    <t>AFASTADOR RICHARDSON  28X36MM</t>
  </si>
  <si>
    <t>AFASTADOR LANGENBECK 11X40MM</t>
  </si>
  <si>
    <t>AFASTADOR LANGENBECK  11X50MM</t>
  </si>
  <si>
    <t>AFASTADOR SENN MULLER</t>
  </si>
  <si>
    <t>AFASTADOR VOLKMANN 2 DENTES ROMBOS</t>
  </si>
  <si>
    <t>QG.211.02</t>
  </si>
  <si>
    <t>AFASTADOR FARABEUF 20X170MM</t>
  </si>
  <si>
    <t>PINÇA COLLIN CORAÇÃO 17 CM</t>
  </si>
  <si>
    <t>PINÇA FOERSTER CURVA ESTRIADA 24CM</t>
  </si>
  <si>
    <t>QF.353.25</t>
  </si>
  <si>
    <t>PINÇA FOERSTER RETA ESTRIADA 24CM</t>
  </si>
  <si>
    <t>QF.352.26</t>
  </si>
  <si>
    <t>PINÇA CHERON  250MM</t>
  </si>
  <si>
    <t>PINÇA ANATÔMICA  160MM</t>
  </si>
  <si>
    <t>PINÇA ANATÔMICA  200MM</t>
  </si>
  <si>
    <t>PINÇA ANATÔMICA 300MM</t>
  </si>
  <si>
    <t>PINÇA DENTE DE RATO 160MM</t>
  </si>
  <si>
    <t>PINÇA DENTE DE RATO 200MM</t>
  </si>
  <si>
    <t>PINÇA DENTE DE RATO  250MM</t>
  </si>
  <si>
    <t>PINÇA DEBAKEY TIPO ANATÔMICA  200MM</t>
  </si>
  <si>
    <t>QZ.100.20</t>
  </si>
  <si>
    <t>PINÇA DEBAKEY TIPO ANATÔMICA  240MM</t>
  </si>
  <si>
    <t>QZ.100.24</t>
  </si>
  <si>
    <t>PINÇA DEBAKEY TIPO ANATÔMICA  300MM</t>
  </si>
  <si>
    <t>QZ.100.30</t>
  </si>
  <si>
    <t>PINÇA ADSON COM DENTE 120MM</t>
  </si>
  <si>
    <t>PINÇA ADSON SEM DENTE 120MM</t>
  </si>
  <si>
    <t>PINÇA MIXTER 230MM</t>
  </si>
  <si>
    <t>PINÇA MIXTER 200MM</t>
  </si>
  <si>
    <t>PINÇA BABY MIXTER 180MM</t>
  </si>
  <si>
    <t>PINÇA Schnidt 190MM</t>
  </si>
  <si>
    <t>PINÇA BERNHARD 160MM (ADAIR)</t>
  </si>
  <si>
    <t>QF.929.16</t>
  </si>
  <si>
    <t>PINÇA ALLIS 160MM</t>
  </si>
  <si>
    <t>PINÇA ALLIS  220MM</t>
  </si>
  <si>
    <t>PINÇA KOCHER RETA 160MM</t>
  </si>
  <si>
    <t>PINÇA KELLY RETA 140MM</t>
  </si>
  <si>
    <t>PINÇA KELLY CURVA  140MM</t>
  </si>
  <si>
    <t>PINÇA HALSTED MOSQUITO RETA 110MM</t>
  </si>
  <si>
    <t>PINÇA HALSTED MOSQUITO CURVA  110MM</t>
  </si>
  <si>
    <t>PINÇA BACKHAUS  130MM</t>
  </si>
  <si>
    <t>TESOURA METZEMBAUM CURVA  180MM</t>
  </si>
  <si>
    <t>TESOURA METZEMBAUM CURVA  150MM</t>
  </si>
  <si>
    <t>TESOURA MAYO CURVA  140MM</t>
  </si>
  <si>
    <t>PORTA AGULHA MAYO HEGAR  140MM</t>
  </si>
  <si>
    <t>PORTA AGULHA MAYO HEGAR  200MM</t>
  </si>
  <si>
    <t>PORTA AGULHA MAYO HEGAR  170MM</t>
  </si>
  <si>
    <t>PORTA AGULHA RYDER 140MM</t>
  </si>
  <si>
    <t>QW.724.14</t>
  </si>
  <si>
    <t>PORTA AGULHA RYDER 180MM</t>
  </si>
  <si>
    <t>PORTA AGULHA RYDER 230MM</t>
  </si>
  <si>
    <t>QW.724.23</t>
  </si>
  <si>
    <t xml:space="preserve">PINÇA TUTLLE </t>
  </si>
  <si>
    <t>12-460-18-07</t>
  </si>
  <si>
    <t>PINÇA POZZI</t>
  </si>
  <si>
    <t>CESTO INOX GG. 25 x 55 x 11 CM</t>
  </si>
  <si>
    <t>DILATADOR DE COLO VESICAL 280MM</t>
  </si>
  <si>
    <t>31-475-00-07</t>
  </si>
  <si>
    <t>PINCA MILLIN ATRAUMATICA 240MM</t>
  </si>
  <si>
    <t>EF163R</t>
  </si>
  <si>
    <t>PINCA MILLIN ATRAUMATICA LARGA 230MM</t>
  </si>
  <si>
    <t>EF164R</t>
  </si>
  <si>
    <t>PINÇA HANDALL RETA</t>
  </si>
  <si>
    <t>QR.101.01</t>
  </si>
  <si>
    <t>PINÇA HANDALL 60°</t>
  </si>
  <si>
    <t>PINÇA HANDALL 90°</t>
  </si>
  <si>
    <t>QR.101.03</t>
  </si>
  <si>
    <t>PINÇA HANDALL 130°</t>
  </si>
  <si>
    <t>QR.101.04</t>
  </si>
  <si>
    <t>PINÇA GUYON 240MM</t>
  </si>
  <si>
    <t>QF.531.24</t>
  </si>
  <si>
    <t>PINÇA WERTHEIM 210MM</t>
  </si>
  <si>
    <t>QF.625.21</t>
  </si>
  <si>
    <t>COSTOTOMO SAUERBRUCH</t>
  </si>
  <si>
    <t>FB882R</t>
  </si>
  <si>
    <t>CIZALHA STILLE LISTON RETA 230MM</t>
  </si>
  <si>
    <t>QO.210.23</t>
  </si>
  <si>
    <t>GOIVA STILLE LUER 230MM</t>
  </si>
  <si>
    <t>QO.239.23</t>
  </si>
  <si>
    <t xml:space="preserve">RUGINA DOYEN DIREITA </t>
  </si>
  <si>
    <t>QO.289.02</t>
  </si>
  <si>
    <t>RUGINA DOYEN ESQUERDA</t>
  </si>
  <si>
    <t>QO.289.01</t>
  </si>
  <si>
    <t>RUGINA FARABEUF CURVA</t>
  </si>
  <si>
    <t>RUGINA FARABEUF RETA</t>
  </si>
  <si>
    <t>QO.292.16</t>
  </si>
  <si>
    <t>CLAMP PROSTATA MC DOUGAL DIREITO</t>
  </si>
  <si>
    <t>CLAMP PROSTATA MC DOUGAL ESQUERDO</t>
  </si>
  <si>
    <t>VALVULA DOYEN  45X90MM</t>
  </si>
  <si>
    <t>VALVULA DOYEN VAGINAL 25X55MM</t>
  </si>
  <si>
    <t>QS.342.25</t>
  </si>
  <si>
    <t>ESPECULO VAGINAL  PEQUENO</t>
  </si>
  <si>
    <t>AFAST FARABEUF 13X150MM</t>
  </si>
  <si>
    <t>PINCA COLLIN CORACAO  160MM</t>
  </si>
  <si>
    <t>ADSON COM DENTE 120MM</t>
  </si>
  <si>
    <t>ADSON SEM DENTE 120MM</t>
  </si>
  <si>
    <t>PINCA FAURE CURVA 200MM</t>
  </si>
  <si>
    <t>PINCA KOCHER  CURVA  180MM</t>
  </si>
  <si>
    <t>PINCA KOCHER RETA  160MM</t>
  </si>
  <si>
    <t>PINCA MOSQUITO RETA  120MM</t>
  </si>
  <si>
    <t>PINCA  MOSQUITO CURVA 120MM</t>
  </si>
  <si>
    <t>PINCA BACKHAUS CORTANTE</t>
  </si>
  <si>
    <t>QT.285.14</t>
  </si>
  <si>
    <t>HISTEROMETRO SIMS</t>
  </si>
  <si>
    <t>PINCA FOERSTER CURVA ESTRIADA 250MM</t>
  </si>
  <si>
    <t>PINCA FOERSTER RETA ESTRIADA  250MM</t>
  </si>
  <si>
    <t xml:space="preserve">CESTO INOX </t>
  </si>
  <si>
    <t>PINCA ANATOMICA  300MM</t>
  </si>
  <si>
    <t>PINCA ANATOMICA  200MM</t>
  </si>
  <si>
    <t>PINCA DENTE DE RATO  300MM</t>
  </si>
  <si>
    <t>PINCA DEBAKEY 300MM</t>
  </si>
  <si>
    <t>PINCA DEBAKEY  240MM</t>
  </si>
  <si>
    <t>PINCA DEBAKEY  200MM</t>
  </si>
  <si>
    <t>PINCA ADSON SEM DENTE  120MM</t>
  </si>
  <si>
    <t>PINCA MOSQUITO CURVA  120MM</t>
  </si>
  <si>
    <t>PINCA KELLY RETA  160MM</t>
  </si>
  <si>
    <t>PINCA KELLY CURVA  160MM</t>
  </si>
  <si>
    <t>PINCA KOCHER RETA  200MM</t>
  </si>
  <si>
    <t>QF.414.20</t>
  </si>
  <si>
    <t>PINCA KOCHER CURVA  200MM</t>
  </si>
  <si>
    <t>QF.415.20</t>
  </si>
  <si>
    <t>PINCA ALLIS  150MM</t>
  </si>
  <si>
    <t>PINCA BABCOCK 150MM</t>
  </si>
  <si>
    <t>QL.192.16</t>
  </si>
  <si>
    <t>PINCA BABCOCK  200MM</t>
  </si>
  <si>
    <t>QL.192.20</t>
  </si>
  <si>
    <t>PINCA FOERSTER RETA 240MM</t>
  </si>
  <si>
    <t>QF.352.25</t>
  </si>
  <si>
    <t>PINCA FOERSTER CURVA 240MM</t>
  </si>
  <si>
    <t>PINCA CRAFOORD CURVA  240MM</t>
  </si>
  <si>
    <t>QF.439.24</t>
  </si>
  <si>
    <t>CLAMP INTESTINAL KOCHER CURVA  270MM</t>
  </si>
  <si>
    <t>QL.561.25</t>
  </si>
  <si>
    <t>TESOURA MAYO CURVA  170MM</t>
  </si>
  <si>
    <t>PORTA AGULHA CRILLE WOOD  150MM</t>
  </si>
  <si>
    <t>PORTA AGULHA MAYO HEGAR  250MM</t>
  </si>
  <si>
    <t>QW.400.15</t>
  </si>
  <si>
    <t>PINCA SCHNIDT 180MM</t>
  </si>
  <si>
    <t>PINCA MIXTER  200MM</t>
  </si>
  <si>
    <t>PINÇA FAURE 220MM</t>
  </si>
  <si>
    <t>PINÇA GEMINI 280MM</t>
  </si>
  <si>
    <t>BJ106R</t>
  </si>
  <si>
    <t>PINÇA BABY MIXTER 190MM</t>
  </si>
  <si>
    <t>PINÇA CHERON 250MM</t>
  </si>
  <si>
    <t>PINCA DEBAKEY SATINSKY  35X240MM</t>
  </si>
  <si>
    <t>QZ.327.35</t>
  </si>
  <si>
    <t>PINCA DEBAKEY SATINSKY 45X240MM</t>
  </si>
  <si>
    <t>QZ.327.45</t>
  </si>
  <si>
    <t>PINCA DEBAKEY AORTA  60° 320MM</t>
  </si>
  <si>
    <t>QZ.321.32</t>
  </si>
  <si>
    <t>PINCA CHERON  250MM</t>
  </si>
  <si>
    <t>AFAST BALFOUR 250MM</t>
  </si>
  <si>
    <t>QG.825.02</t>
  </si>
  <si>
    <t>VALVULA DOYEN 60X120MM</t>
  </si>
  <si>
    <t>ESPATULA REVERDIN</t>
  </si>
  <si>
    <t>QG.952.29</t>
  </si>
  <si>
    <t>ESPATULA MALEAVEL 30X 300MM</t>
  </si>
  <si>
    <t>ASPIRADOR YANKAUER</t>
  </si>
  <si>
    <t>AFASTADOR FARABEUF 120MM</t>
  </si>
  <si>
    <t>AFASTADOR SENN MULLER ROMBO 160MM</t>
  </si>
  <si>
    <t>AFASTADOR WEITLANER PONTIAGUDO 3X4 DENTES 130MM</t>
  </si>
  <si>
    <t>AFASTADOR WEITLANER ROMBO 2X3 DENTES 100MM</t>
  </si>
  <si>
    <t>QZ.041.14</t>
  </si>
  <si>
    <t>AMASSADOR DE FASCIA</t>
  </si>
  <si>
    <t>ASPIRADOR DE FRAZIER 2,0MM</t>
  </si>
  <si>
    <t>ASPIRADOR DE FRAZIER 3.0MM</t>
  </si>
  <si>
    <t>ASPIRADOR DE OUVIDO 0,7MM</t>
  </si>
  <si>
    <t>ASPIRADOR DE OUVIDO 1,3MM</t>
  </si>
  <si>
    <t>CABO DE BISTURI N 7 LONGO 210MM</t>
  </si>
  <si>
    <t>110.07</t>
  </si>
  <si>
    <t>CONECTOR DE ASPIRADOR PARA OUVIDO</t>
  </si>
  <si>
    <t>DESCOLADOR DE JOSEPH</t>
  </si>
  <si>
    <t>QX.585.05</t>
  </si>
  <si>
    <t>DESCOLADOR KEY 6X180MM</t>
  </si>
  <si>
    <t>FK410R</t>
  </si>
  <si>
    <t>ESPECULO AURICULAR HARTMANN 3MM</t>
  </si>
  <si>
    <t>ESPECULO AURICULAR HARTMANN 4MM</t>
  </si>
  <si>
    <t>ESPECULO AURICULAR HARTMANN 5MM</t>
  </si>
  <si>
    <t>ESPECULO AURICULAR HARTMANN 6MM</t>
  </si>
  <si>
    <t>ESPECULO AURICULAR HARTMANN 7.5MM</t>
  </si>
  <si>
    <t>ESPECULO NASAL 25MM</t>
  </si>
  <si>
    <t>PINCA BROWN</t>
  </si>
  <si>
    <t>PINCA CABECA DE MARTELO PARA BAIXO 80MM</t>
  </si>
  <si>
    <t>PINCA CABECA DE MARTELO PARA CIMA 80MM</t>
  </si>
  <si>
    <t>PINCA HARTMAN JACARE ( DELICADO) 80MM</t>
  </si>
  <si>
    <t>PINCA HARTMANN JACARE GROSSEIRO 80MM</t>
  </si>
  <si>
    <t>PINCA MOSQUITO MICRO CURVA 100MM</t>
  </si>
  <si>
    <t>BH105R</t>
  </si>
  <si>
    <t>PINCA MOSQUITO MICRO RETO 100MM</t>
  </si>
  <si>
    <t>BH104R</t>
  </si>
  <si>
    <t>PINCA MOSQUITO RETO 120MM</t>
  </si>
  <si>
    <t>PINCA WULLSTEIN DE BIOPSIA/ GROSSEIRA 1X12.5MM</t>
  </si>
  <si>
    <t>PINCA WULLSTEIN OUVIDO DELICADA 0.9X 80MM</t>
  </si>
  <si>
    <t>PORTA AGULHA MAYO 140MM</t>
  </si>
  <si>
    <t>RUGINA FARABEUF CURVA 110MM</t>
  </si>
  <si>
    <t>TESOURA BELUCCI 8X80MM</t>
  </si>
  <si>
    <t>TESOURA DE IRIS CURVA 110MM</t>
  </si>
  <si>
    <t>BC061R</t>
  </si>
  <si>
    <t>TESOURA DE MAYO RETA 140MM</t>
  </si>
  <si>
    <t>TESOURA IRIS RETA 110MM</t>
  </si>
  <si>
    <t>BC060R</t>
  </si>
  <si>
    <t>TESOURA METEZEMBAUM CURVA 140MM</t>
  </si>
  <si>
    <t>OL163R</t>
  </si>
  <si>
    <t>PINCA GEMINI 140MM</t>
  </si>
  <si>
    <t>BJ100R</t>
  </si>
  <si>
    <t>PINCA NELSON 230CM</t>
  </si>
  <si>
    <t>BD802R</t>
  </si>
  <si>
    <t>TESOURA JAMISON 150MM</t>
  </si>
  <si>
    <t>BC177R</t>
  </si>
  <si>
    <t>PINCA MOSQUITO RETA MICRO 120MM</t>
  </si>
  <si>
    <t>QF.320.12</t>
  </si>
  <si>
    <t>PINCA MOSQUITO CURVA  MICRO 120MM</t>
  </si>
  <si>
    <t>PINCA BABY MIXTER 180MM</t>
  </si>
  <si>
    <t>QG.072.01</t>
  </si>
  <si>
    <t>AFASTADOR CUSHING 10X13X205MM</t>
  </si>
  <si>
    <t>BT184R</t>
  </si>
  <si>
    <t>AFASTADOR LANGENBECK COM LAMINA 30MM</t>
  </si>
  <si>
    <t>AFASTADOR RICHARDSON 28X20MM</t>
  </si>
  <si>
    <t>AFASTADOR FARABEUF 10X 120MM</t>
  </si>
  <si>
    <t>GANCHO GILLES</t>
  </si>
  <si>
    <t>PINCA ALLIS RETA 150MM</t>
  </si>
  <si>
    <t>TESOURA KILNER 150MM</t>
  </si>
  <si>
    <t>QT.563.15</t>
  </si>
  <si>
    <t>TESOURA IRIS CURVA 110MM</t>
  </si>
  <si>
    <t>PORTA AGULHA CRILLE WOOD 180MM</t>
  </si>
  <si>
    <t>PINCA DEBAKEY 1.5X200MM</t>
  </si>
  <si>
    <t>PINCA DEBAKEY 1.5X180MM</t>
  </si>
  <si>
    <t>QZ.110.18</t>
  </si>
  <si>
    <t>PINCA DEBAKEY 2X200MM</t>
  </si>
  <si>
    <t>PINCA GEMINI 180MM</t>
  </si>
  <si>
    <t>BJ102R</t>
  </si>
  <si>
    <t>TESOURA DIETHRICH 45 190MM</t>
  </si>
  <si>
    <t>PORTA AGULHA RYDER 170MM</t>
  </si>
  <si>
    <t>afastador iluminado vesicula</t>
  </si>
  <si>
    <t>2757**</t>
  </si>
  <si>
    <t xml:space="preserve">afastador iluminado, aufrish </t>
  </si>
  <si>
    <t>1875-1</t>
  </si>
  <si>
    <t>afastador iluminado  doyen</t>
  </si>
  <si>
    <t>2956*</t>
  </si>
  <si>
    <t>afastador fumaça P</t>
  </si>
  <si>
    <t>2757*</t>
  </si>
  <si>
    <t>CESTO OTICA</t>
  </si>
  <si>
    <t>OCL 30X5mm</t>
  </si>
  <si>
    <t>26046BA</t>
  </si>
  <si>
    <t>OCL 30X10MM</t>
  </si>
  <si>
    <t>26003BA</t>
  </si>
  <si>
    <t>OCL 0X10MM</t>
  </si>
  <si>
    <t>26003AA</t>
  </si>
  <si>
    <t>OOT 30x4mm</t>
  </si>
  <si>
    <t>7230BA</t>
  </si>
  <si>
    <t>OOT Ox4mm</t>
  </si>
  <si>
    <t>7230AA</t>
  </si>
  <si>
    <t>Ótica 45°x4mm 18cm</t>
  </si>
  <si>
    <t>7230FA</t>
  </si>
  <si>
    <t>Ótica 70°x4mm 18cm</t>
  </si>
  <si>
    <t>7230CA</t>
  </si>
  <si>
    <t>OUR 30° 4MM</t>
  </si>
  <si>
    <t>27005BA</t>
  </si>
  <si>
    <t>CAIXA PEQUENA CIRURGIA</t>
  </si>
  <si>
    <t xml:space="preserve">AFASTADOR FARABEUF 8X120MM </t>
  </si>
  <si>
    <t>QT.280.14</t>
  </si>
  <si>
    <t xml:space="preserve">TESOURA ESPENSER </t>
  </si>
  <si>
    <t>QT.824.11</t>
  </si>
  <si>
    <t>PINÇA ANATOMICA</t>
  </si>
  <si>
    <t>PORTA AGULHA MAYO</t>
  </si>
  <si>
    <t>TESOURA DE GESSO ADULTO</t>
  </si>
  <si>
    <t>QT.171.20</t>
  </si>
  <si>
    <t>PINÇA KOCKER RETO</t>
  </si>
  <si>
    <t>QL.560.25</t>
  </si>
  <si>
    <t>PINÇA KELLY CURVO</t>
  </si>
  <si>
    <t>PINÇA DENTE DE RATO</t>
  </si>
  <si>
    <t xml:space="preserve">PINÇA MOSQUITO RETO </t>
  </si>
  <si>
    <t>MOSQUITO CURVO</t>
  </si>
  <si>
    <t>CÚPULA</t>
  </si>
  <si>
    <t>CURETA BILATERAL SEM FENESTRA</t>
  </si>
  <si>
    <t>CURETA BILATERAL COM FENESTRA</t>
  </si>
  <si>
    <t>CURESTAS SEM FENESTRA</t>
  </si>
  <si>
    <t>CURETAS COM FENESTRA</t>
  </si>
  <si>
    <t>BRUENINGS</t>
  </si>
  <si>
    <t>AFASTADOR DE GESSO "BICO DE PATO"</t>
  </si>
  <si>
    <t>ASPIRADOR DE OUVIDO CURVO N°3</t>
  </si>
  <si>
    <t>QN.765.30</t>
  </si>
  <si>
    <t>ASPIRADOR DE OUVIDO N°1</t>
  </si>
  <si>
    <t>ASPIRADOR DE OUVIDO N°1,5</t>
  </si>
  <si>
    <t>ASPIRADOR DE OUVIDO N°1,8</t>
  </si>
  <si>
    <t>ASPIRADOR DE OUVIDO N°2</t>
  </si>
  <si>
    <t>ASPIRADOR DE OUVIDO N°2,5</t>
  </si>
  <si>
    <t>ASPIRADOR DE OUVIDO N°3</t>
  </si>
  <si>
    <t>ASPIRADOR FROZIER COM GUIA</t>
  </si>
  <si>
    <t>QN.763.19</t>
  </si>
  <si>
    <t>BERNARDINHO</t>
  </si>
  <si>
    <t>QO.826.12</t>
  </si>
  <si>
    <t>CARPULE</t>
  </si>
  <si>
    <t>ESPÉCULO NASAL GRANDE</t>
  </si>
  <si>
    <t>ESPÉCULO NASAL LONGO</t>
  </si>
  <si>
    <t>ESPÉCULO NASAL MÉDIO</t>
  </si>
  <si>
    <t>ESPÉCULO NASAL PEQUENO</t>
  </si>
  <si>
    <t>ESPÉCULO OTOLÓGICO TAM. 2</t>
  </si>
  <si>
    <t>ESPÉCULO OTOLÓGICO TAM. 3</t>
  </si>
  <si>
    <t>ESPÉCULO OTOLÓGICO TAM. 4</t>
  </si>
  <si>
    <t>ESPÉCULO OTOLÓGICO TAM. 9</t>
  </si>
  <si>
    <t>ESPÉCULO PP</t>
  </si>
  <si>
    <t>ESTILETE DE ALGODÃO GRANDE</t>
  </si>
  <si>
    <t>QS.640.28</t>
  </si>
  <si>
    <t>ESTILETE DE ALGODÃO MÉDIO</t>
  </si>
  <si>
    <t>QS.640.16</t>
  </si>
  <si>
    <t>ESTILETE DE ALGODÃO PEQUENO</t>
  </si>
  <si>
    <t>GANCHO DE GILLES DELICADO</t>
  </si>
  <si>
    <t>JACARÉ HASTE CURTA</t>
  </si>
  <si>
    <t>JACARÉ HASTE LONGA</t>
  </si>
  <si>
    <t>KELLY CURVO</t>
  </si>
  <si>
    <t>KELLY RETA</t>
  </si>
  <si>
    <t>PORTA AGULHA HEGAR</t>
  </si>
  <si>
    <t>ADSON SEM DENTE</t>
  </si>
  <si>
    <t>TERSOURA IRIS</t>
  </si>
  <si>
    <t>KOCKER RETO</t>
  </si>
  <si>
    <t xml:space="preserve">MOSQUITO RETO </t>
  </si>
  <si>
    <t>PINÇA BIÓPSIA GINECOLOGICA</t>
  </si>
  <si>
    <t>PINÇA BIÓPSIA OUVIDO</t>
  </si>
  <si>
    <t>PINÇA PEAN CURVA</t>
  </si>
  <si>
    <t>POZZY</t>
  </si>
  <si>
    <t>SONDA ITARD COM GUIA</t>
  </si>
  <si>
    <t>SONDA ITARD </t>
  </si>
  <si>
    <t>TESOURA DE GESSO INFANTIL</t>
  </si>
  <si>
    <t>TESOURA GINECOLOGICA</t>
  </si>
  <si>
    <t>TESOURA IRIS</t>
  </si>
  <si>
    <t>QW.919.11</t>
  </si>
  <si>
    <t>TESOURA SPENSER</t>
  </si>
  <si>
    <t>Extrator de Grampos</t>
  </si>
  <si>
    <t xml:space="preserve">abaixador de língua </t>
  </si>
  <si>
    <t>Aspirador Atraumático 3</t>
  </si>
  <si>
    <t>Aspirador Atraumático 3,5</t>
  </si>
  <si>
    <t>Gancho Gilles delicado</t>
  </si>
  <si>
    <t>Kit de curativo</t>
  </si>
  <si>
    <t>Quantidade</t>
  </si>
  <si>
    <t>Referência CESTO</t>
  </si>
  <si>
    <t>AMIGDALA</t>
  </si>
  <si>
    <t>JF212R</t>
  </si>
  <si>
    <t>ASPIRADOR HEMORROIDA</t>
  </si>
  <si>
    <t>BUCO ESPECIAL</t>
  </si>
  <si>
    <t>CANULAS DE LIPOASPIRAÇÃO</t>
  </si>
  <si>
    <t>JF211R</t>
  </si>
  <si>
    <t>CLAMP VASCULAR</t>
  </si>
  <si>
    <t>JF112R</t>
  </si>
  <si>
    <t>CISTOSCOPIA</t>
  </si>
  <si>
    <t>COMPL.GINECOLOGICO</t>
  </si>
  <si>
    <t>CURETAGEM</t>
  </si>
  <si>
    <t>FISTULA ARTERIAL</t>
  </si>
  <si>
    <t>VARIZES</t>
  </si>
  <si>
    <t>GERAL MÉDIA</t>
  </si>
  <si>
    <t xml:space="preserve">GERAL PEQUENA </t>
  </si>
  <si>
    <t>HEMORROIDA</t>
  </si>
  <si>
    <t>RESSECÇÃO ENDOSCÓPICA</t>
  </si>
  <si>
    <t>HISTEROSCOPIA</t>
  </si>
  <si>
    <t>HISTEROSCOPIA DIAG.2.7MM</t>
  </si>
  <si>
    <t>MICRO URO</t>
  </si>
  <si>
    <t>KIT MERINGO</t>
  </si>
  <si>
    <t>PLASTICA</t>
  </si>
  <si>
    <t>JF213R</t>
  </si>
  <si>
    <t>RINOSSEPTO</t>
  </si>
  <si>
    <t>LAPAROSCOPIA ESPECIAL</t>
  </si>
  <si>
    <t>JF214R</t>
  </si>
  <si>
    <t>VASECTOMIA</t>
  </si>
  <si>
    <t>VELAS HEGAR</t>
  </si>
  <si>
    <t>VELAS GROSSAS</t>
  </si>
  <si>
    <t>REDUÇÃO FRATURA NASAL</t>
  </si>
  <si>
    <t>MICRO LARINGE</t>
  </si>
  <si>
    <t>HISTERECTOMIA</t>
  </si>
  <si>
    <t>SEPTO ENDONASAL</t>
  </si>
  <si>
    <t>SEPTO FACTORY</t>
  </si>
  <si>
    <t>MASTECTOMIA</t>
  </si>
  <si>
    <t>COMPL. UROLOGICO</t>
  </si>
  <si>
    <t>CIRURGIA GINECOLÓGICA (PERINEO)</t>
  </si>
  <si>
    <t>URGÊNCIA GERAL</t>
  </si>
  <si>
    <t>TIMPANOMASTOIDE</t>
  </si>
  <si>
    <t>COMPL. VASCULAR</t>
  </si>
  <si>
    <t>TIREOIDECTOMIA</t>
  </si>
  <si>
    <t>PINÇAS HISTEROSCOPIA</t>
  </si>
  <si>
    <t>ESTOJO INOX PERFURADO 50X10X5CM (662.250)</t>
  </si>
  <si>
    <t>ESTOJO CAIXA PERFURADA 18X8X5CM (134.133)</t>
  </si>
  <si>
    <t>Forncedor Referencia</t>
  </si>
  <si>
    <t>ANVISA</t>
  </si>
  <si>
    <t>DESCRIÇÃO</t>
  </si>
  <si>
    <t>REFERENCIA</t>
  </si>
  <si>
    <t>PREÇO UNITARIO</t>
  </si>
  <si>
    <t>avulso</t>
  </si>
  <si>
    <t>caixa</t>
  </si>
  <si>
    <t>amigdala</t>
  </si>
  <si>
    <t>ASP. HEMORROIDA</t>
  </si>
  <si>
    <t>COMPL. GINECO</t>
  </si>
  <si>
    <t>CTG</t>
  </si>
  <si>
    <t>ESTILETES OUVIDO</t>
  </si>
  <si>
    <t>FAV</t>
  </si>
  <si>
    <t>GERAL PEQUENA</t>
  </si>
  <si>
    <t>HEMORROIDECTOMIA</t>
  </si>
  <si>
    <t>PLÁSTICA</t>
  </si>
  <si>
    <t>SEPTO</t>
  </si>
  <si>
    <t>VELAS HEGAR GROSSAS</t>
  </si>
  <si>
    <t>HTA</t>
  </si>
  <si>
    <t>COMPL. URO</t>
  </si>
  <si>
    <t>CIRURGIA GINECOLÓGICA</t>
  </si>
  <si>
    <t>TIREOIDE</t>
  </si>
  <si>
    <t>AFASTADORES ILUMINADOS</t>
  </si>
  <si>
    <t>AMB. PINHEIROS</t>
  </si>
  <si>
    <t>CONTAINER AESCULAP</t>
  </si>
  <si>
    <t>CESTOS MNH</t>
  </si>
  <si>
    <t>24-395-19</t>
  </si>
  <si>
    <t>24-337-02</t>
  </si>
  <si>
    <t>24-337-01</t>
  </si>
  <si>
    <t>24-182-00</t>
  </si>
  <si>
    <t>06-132-12</t>
  </si>
  <si>
    <t>06-270-12</t>
  </si>
  <si>
    <t>09-828-00</t>
  </si>
  <si>
    <t>09-575-00</t>
  </si>
  <si>
    <t>09-721-01</t>
  </si>
  <si>
    <t>09-662-13</t>
  </si>
  <si>
    <t>09-822-00</t>
  </si>
  <si>
    <t>23-726-12</t>
  </si>
  <si>
    <t>12cm</t>
  </si>
  <si>
    <t>observação</t>
  </si>
  <si>
    <t>rombo 31cm 25x25mm</t>
  </si>
  <si>
    <t>09-162-12</t>
  </si>
  <si>
    <t>09-162-14</t>
  </si>
  <si>
    <t>16cm</t>
  </si>
  <si>
    <t>09-573-00</t>
  </si>
  <si>
    <t>09-572-00</t>
  </si>
  <si>
    <t>09-576-00</t>
  </si>
  <si>
    <t>09-740-19</t>
  </si>
  <si>
    <t>PRIME</t>
  </si>
  <si>
    <t>09-283-01</t>
  </si>
  <si>
    <t>09-283-04</t>
  </si>
  <si>
    <t>09-283-05</t>
  </si>
  <si>
    <t>30X11MM</t>
  </si>
  <si>
    <t>24-425-15</t>
  </si>
  <si>
    <t>24-501-40</t>
  </si>
  <si>
    <t>24-505-40</t>
  </si>
  <si>
    <t>09-345-24</t>
  </si>
  <si>
    <t>09-341-01</t>
  </si>
  <si>
    <t>09-341-02</t>
  </si>
  <si>
    <t>09-187-16</t>
  </si>
  <si>
    <t>09-646-20</t>
  </si>
  <si>
    <t>20CM</t>
  </si>
  <si>
    <t>09-661-10</t>
  </si>
  <si>
    <t>13-875-15</t>
  </si>
  <si>
    <t>03-180-06</t>
  </si>
  <si>
    <t>06-180-09</t>
  </si>
  <si>
    <t>22-308-06</t>
  </si>
  <si>
    <t>22-308-08</t>
  </si>
  <si>
    <t>22-308-10</t>
  </si>
  <si>
    <t>22-308-15</t>
  </si>
  <si>
    <t>22-308-20</t>
  </si>
  <si>
    <t>22-308-12</t>
  </si>
  <si>
    <t>03-180-08</t>
  </si>
  <si>
    <t>03-180-09</t>
  </si>
  <si>
    <t>03-180-11</t>
  </si>
  <si>
    <t>03-240-27</t>
  </si>
  <si>
    <t>04-180-41</t>
  </si>
  <si>
    <t>N4</t>
  </si>
  <si>
    <t>14-612-15</t>
  </si>
  <si>
    <t>14-610-17</t>
  </si>
  <si>
    <t>14-611-16</t>
  </si>
  <si>
    <t>14-607-20</t>
  </si>
  <si>
    <t>14-612-17</t>
  </si>
  <si>
    <t>14-612-16</t>
  </si>
  <si>
    <t>14-447-16</t>
  </si>
  <si>
    <t>14-553-15</t>
  </si>
  <si>
    <t>14-456-20</t>
  </si>
  <si>
    <t>14-461-26</t>
  </si>
  <si>
    <t>14-455-15</t>
  </si>
  <si>
    <t>14-491-25</t>
  </si>
  <si>
    <t>14-491-26</t>
  </si>
  <si>
    <t>14-121-26</t>
  </si>
  <si>
    <t>13-504-10</t>
  </si>
  <si>
    <t>13-505-02</t>
  </si>
  <si>
    <t>20-854-07</t>
  </si>
  <si>
    <t>20-854-08</t>
  </si>
  <si>
    <t>20-854-09</t>
  </si>
  <si>
    <t>20-864-06</t>
  </si>
  <si>
    <t>13-502-10</t>
  </si>
  <si>
    <t>13-502-30</t>
  </si>
  <si>
    <t>13-503-01</t>
  </si>
  <si>
    <t>13-503-02</t>
  </si>
  <si>
    <t>23-556-18</t>
  </si>
  <si>
    <t>23-585-16</t>
  </si>
  <si>
    <t>25-177-06</t>
  </si>
  <si>
    <t>09-950-09</t>
  </si>
  <si>
    <t>09-950-16</t>
  </si>
  <si>
    <t>09-956-30</t>
  </si>
  <si>
    <t>09-950-17</t>
  </si>
  <si>
    <t>200MM</t>
  </si>
  <si>
    <t>09-974-29</t>
  </si>
  <si>
    <t>23-109-02</t>
  </si>
  <si>
    <t>23-109-03</t>
  </si>
  <si>
    <t>23-120-01</t>
  </si>
  <si>
    <t>23-120-02</t>
  </si>
  <si>
    <t>23-120-03</t>
  </si>
  <si>
    <t>18-701-15</t>
  </si>
  <si>
    <t>20-400-19</t>
  </si>
  <si>
    <t>20-400-20</t>
  </si>
  <si>
    <t>20-400-21</t>
  </si>
  <si>
    <t>20-400-22</t>
  </si>
  <si>
    <t>20-400-23</t>
  </si>
  <si>
    <t>20-400-24</t>
  </si>
  <si>
    <t>20-400-25</t>
  </si>
  <si>
    <t>20-400-26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</si>
  <si>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</si>
  <si>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</si>
  <si>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</si>
  <si>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</si>
  <si>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</si>
  <si>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</si>
  <si>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</si>
  <si>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20-400-18</t>
  </si>
  <si>
    <t>20-401-11</t>
  </si>
  <si>
    <t>20-251-03</t>
  </si>
  <si>
    <t>20-251-02</t>
  </si>
  <si>
    <t>20-252-03</t>
  </si>
  <si>
    <t>20-252-04</t>
  </si>
  <si>
    <t>20-251-01</t>
  </si>
  <si>
    <t>20-252-02</t>
  </si>
  <si>
    <t>20-314-30</t>
  </si>
  <si>
    <t>20-315-30</t>
  </si>
  <si>
    <t>20-315-35</t>
  </si>
  <si>
    <t>05-794-12</t>
  </si>
  <si>
    <t>05-762-11</t>
  </si>
  <si>
    <t>20-110-01</t>
  </si>
  <si>
    <t>20-110-03</t>
  </si>
  <si>
    <t>20-110-02</t>
  </si>
  <si>
    <t>17-166-01</t>
  </si>
  <si>
    <t>09-118-01</t>
  </si>
  <si>
    <t>09-154-13</t>
  </si>
  <si>
    <t>13-860-18</t>
  </si>
  <si>
    <t>13-916-22</t>
  </si>
  <si>
    <t>20-501-32</t>
  </si>
  <si>
    <t>07-191-12</t>
  </si>
  <si>
    <t>07-190-12</t>
  </si>
  <si>
    <t>07-481-01</t>
  </si>
  <si>
    <t>06-280-12</t>
  </si>
  <si>
    <t>18-104-15</t>
  </si>
  <si>
    <t>18-104-25</t>
  </si>
  <si>
    <t>18-104-19</t>
  </si>
  <si>
    <t>19CM</t>
  </si>
  <si>
    <t>06-100-14</t>
  </si>
  <si>
    <t>06-100-16</t>
  </si>
  <si>
    <t>06-100-18</t>
  </si>
  <si>
    <t>06-100-25</t>
  </si>
  <si>
    <t>06-100-20</t>
  </si>
  <si>
    <t>06-100-30</t>
  </si>
  <si>
    <t>23-801-23</t>
  </si>
  <si>
    <t>18-190-16</t>
  </si>
  <si>
    <t>07-181-01</t>
  </si>
  <si>
    <t>07-331-18</t>
  </si>
  <si>
    <t>07-681-13</t>
  </si>
  <si>
    <t>13-924-13</t>
  </si>
  <si>
    <t>22-609-16</t>
  </si>
  <si>
    <t>22-607-14</t>
  </si>
  <si>
    <t>23-257-01</t>
  </si>
  <si>
    <t>08-184-25</t>
  </si>
  <si>
    <t>07-152-16</t>
  </si>
  <si>
    <t>07-251-16</t>
  </si>
  <si>
    <t>07-250-16</t>
  </si>
  <si>
    <t>06-346-17</t>
  </si>
  <si>
    <t>17,5cm</t>
  </si>
  <si>
    <t>06-180-17</t>
  </si>
  <si>
    <t>06-732-17</t>
  </si>
  <si>
    <t>06-650-20</t>
  </si>
  <si>
    <t>06-650-16</t>
  </si>
  <si>
    <t>06-250-14</t>
  </si>
  <si>
    <t>06-250-16</t>
  </si>
  <si>
    <t>06-250-25</t>
  </si>
  <si>
    <t>06-250-30</t>
  </si>
  <si>
    <t>06-250-18</t>
  </si>
  <si>
    <t>06-250-20</t>
  </si>
  <si>
    <t>07-573-20</t>
  </si>
  <si>
    <t>08-225-25</t>
  </si>
  <si>
    <t>08-222-18</t>
  </si>
  <si>
    <t>08-222-25</t>
  </si>
  <si>
    <t>07-407-13</t>
  </si>
  <si>
    <t>07-407-18</t>
  </si>
  <si>
    <t>06-340-18</t>
  </si>
  <si>
    <t>18cm</t>
  </si>
  <si>
    <t>06-320-15</t>
  </si>
  <si>
    <t>07-521-24</t>
  </si>
  <si>
    <t>19-107-22</t>
  </si>
  <si>
    <t>19-105-22</t>
  </si>
  <si>
    <t>19-103-22</t>
  </si>
  <si>
    <t>19-101-23</t>
  </si>
  <si>
    <t>07-231-14</t>
  </si>
  <si>
    <t>07-235-16</t>
  </si>
  <si>
    <t>07-234-16</t>
  </si>
  <si>
    <t>07-230-14</t>
  </si>
  <si>
    <t>07-321-18</t>
  </si>
  <si>
    <t>07-321-16</t>
  </si>
  <si>
    <t>07-320-18</t>
  </si>
  <si>
    <t>07-320-16</t>
  </si>
  <si>
    <t>07-320-14</t>
  </si>
  <si>
    <t>06-272-12</t>
  </si>
  <si>
    <t>07-431-19</t>
  </si>
  <si>
    <t>07-437-22</t>
  </si>
  <si>
    <t>07-439-23</t>
  </si>
  <si>
    <t>20-576-08</t>
  </si>
  <si>
    <t>06-448-23</t>
  </si>
  <si>
    <t>07-170-16</t>
  </si>
  <si>
    <t>reta</t>
  </si>
  <si>
    <t>20-542-25</t>
  </si>
  <si>
    <t>9-105-22</t>
  </si>
  <si>
    <t>07-266-20</t>
  </si>
  <si>
    <t>07-311-18</t>
  </si>
  <si>
    <t>07-310-18</t>
  </si>
  <si>
    <t>24-750-01</t>
  </si>
  <si>
    <t>24-754-01</t>
  </si>
  <si>
    <t>23-806-03</t>
  </si>
  <si>
    <t>23-806-02</t>
  </si>
  <si>
    <t>23-806-01</t>
  </si>
  <si>
    <t>07-585-21</t>
  </si>
  <si>
    <t>21-261-01</t>
  </si>
  <si>
    <t>21-260-01</t>
  </si>
  <si>
    <t>11-604-15</t>
  </si>
  <si>
    <t>11-604-18</t>
  </si>
  <si>
    <t>11-604-20</t>
  </si>
  <si>
    <t>11-540-13</t>
  </si>
  <si>
    <t>11-553-26</t>
  </si>
  <si>
    <t>11-314-14</t>
  </si>
  <si>
    <t>11-314-20</t>
  </si>
  <si>
    <t>11-314-18</t>
  </si>
  <si>
    <t>11-314-16</t>
  </si>
  <si>
    <t>11-314-26</t>
  </si>
  <si>
    <t>21.5050.14</t>
  </si>
  <si>
    <t>11-552-16</t>
  </si>
  <si>
    <t>11-552-18</t>
  </si>
  <si>
    <t>11-552-20</t>
  </si>
  <si>
    <t>11-552-26</t>
  </si>
  <si>
    <t>11-566-20</t>
  </si>
  <si>
    <t>11-566-23</t>
  </si>
  <si>
    <t>11-562-15</t>
  </si>
  <si>
    <t>11-562-18</t>
  </si>
  <si>
    <t>11-562-23</t>
  </si>
  <si>
    <t>23-688-01</t>
  </si>
  <si>
    <t>23-694-02</t>
  </si>
  <si>
    <t>23-668-01</t>
  </si>
  <si>
    <t>13-623-17</t>
  </si>
  <si>
    <t>13-625-17</t>
  </si>
  <si>
    <t>13-599-15</t>
  </si>
  <si>
    <t>13-598-15</t>
  </si>
  <si>
    <t>20-613-17</t>
  </si>
  <si>
    <t>09-186-16</t>
  </si>
  <si>
    <t>10-150-14</t>
  </si>
  <si>
    <t>05-474-16</t>
  </si>
  <si>
    <t>05-832-20</t>
  </si>
  <si>
    <t>05-830-14</t>
  </si>
  <si>
    <t>05-591-11</t>
  </si>
  <si>
    <t>05-170-14</t>
  </si>
  <si>
    <t>05-170-17</t>
  </si>
  <si>
    <t>05-240-14</t>
  </si>
  <si>
    <t>05-390-45</t>
  </si>
  <si>
    <t>05-915-23</t>
  </si>
  <si>
    <t>05-494-19</t>
  </si>
  <si>
    <t>05-590-11</t>
  </si>
  <si>
    <t>05-311-15</t>
  </si>
  <si>
    <t>05-171-14</t>
  </si>
  <si>
    <t>05-171-17</t>
  </si>
  <si>
    <t>05-211-14</t>
  </si>
  <si>
    <t>05-221-15</t>
  </si>
  <si>
    <t>05-231-18</t>
  </si>
  <si>
    <t>05-231-20</t>
  </si>
  <si>
    <t>05-231-23</t>
  </si>
  <si>
    <t>05-220-15</t>
  </si>
  <si>
    <t>05-404-19</t>
  </si>
  <si>
    <t>05-403-19</t>
  </si>
  <si>
    <t>51-282-40</t>
  </si>
  <si>
    <t>26-430-04</t>
  </si>
  <si>
    <t>14-347-06</t>
  </si>
  <si>
    <t>14-346-07</t>
  </si>
  <si>
    <t>13-978-23</t>
  </si>
  <si>
    <t>27-304-06</t>
  </si>
  <si>
    <t>HB5618-18</t>
  </si>
  <si>
    <t>14-262-15</t>
  </si>
  <si>
    <t>14-262-20</t>
  </si>
  <si>
    <t>23-563-23</t>
  </si>
  <si>
    <t>13-414-02</t>
  </si>
  <si>
    <t>13-416-16</t>
  </si>
  <si>
    <t>13-442-18</t>
  </si>
  <si>
    <t>06-460-08</t>
  </si>
  <si>
    <t>11-110-15</t>
  </si>
  <si>
    <t>20-400-01</t>
  </si>
  <si>
    <t>20-400-10</t>
  </si>
  <si>
    <t>20-400-02</t>
  </si>
  <si>
    <t>20-400-03</t>
  </si>
  <si>
    <t>20-400-09</t>
  </si>
  <si>
    <t>20-400-08</t>
  </si>
  <si>
    <t>20-400-07</t>
  </si>
  <si>
    <t>20-400-06</t>
  </si>
  <si>
    <t>20-400-05</t>
  </si>
  <si>
    <t>20-400-04</t>
  </si>
  <si>
    <t>20-401-01</t>
  </si>
  <si>
    <t>20-401-10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</si>
  <si>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</si>
  <si>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</si>
  <si>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</si>
  <si>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</si>
  <si>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</si>
  <si>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</si>
  <si>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</si>
  <si>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</si>
  <si>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UPL-052S</t>
  </si>
  <si>
    <t>UPL-101</t>
  </si>
  <si>
    <t>UPL-154</t>
  </si>
  <si>
    <t>06-652-20</t>
  </si>
  <si>
    <t>06-652-24</t>
  </si>
  <si>
    <t>06-652-18</t>
  </si>
  <si>
    <t>02-150-20</t>
  </si>
  <si>
    <t>02-150-25</t>
  </si>
  <si>
    <t>AI2145</t>
  </si>
  <si>
    <t>HARTE</t>
  </si>
  <si>
    <t>02.0180.30</t>
  </si>
  <si>
    <t>20-292-01</t>
  </si>
  <si>
    <t>23-860-01</t>
  </si>
  <si>
    <t>23-860-02</t>
  </si>
  <si>
    <t>23-860-03</t>
  </si>
  <si>
    <t>23-860-04</t>
  </si>
  <si>
    <t>21MM</t>
  </si>
  <si>
    <t>17CM 8MM</t>
  </si>
  <si>
    <t>17CM 10MM</t>
  </si>
  <si>
    <t>13-342-08</t>
  </si>
  <si>
    <t>13-342-10</t>
  </si>
  <si>
    <t>13-190-20</t>
  </si>
  <si>
    <t>20-544-25</t>
  </si>
  <si>
    <t>23-732-16</t>
  </si>
  <si>
    <t>09-740-14</t>
  </si>
  <si>
    <t>09-631-10</t>
  </si>
  <si>
    <t>14-341-08</t>
  </si>
  <si>
    <t>14-340-08</t>
  </si>
  <si>
    <t>06-740-20</t>
  </si>
  <si>
    <t>06-740-18</t>
  </si>
  <si>
    <t>11-514-21</t>
  </si>
  <si>
    <t>COM VIDEA 21CM</t>
  </si>
  <si>
    <t>06-270-15</t>
  </si>
  <si>
    <t>04-150-03</t>
  </si>
  <si>
    <t>27-300-06</t>
  </si>
  <si>
    <t>23-545-16</t>
  </si>
  <si>
    <t>23-134-02</t>
  </si>
  <si>
    <t>13-342-04</t>
  </si>
  <si>
    <t>09-152-02</t>
  </si>
  <si>
    <t>23-281-12</t>
  </si>
  <si>
    <t>23-610-04</t>
  </si>
  <si>
    <t>23-610-07</t>
  </si>
  <si>
    <t>23-257-02</t>
  </si>
  <si>
    <t>15-772-01</t>
  </si>
  <si>
    <t>15-772-02</t>
  </si>
  <si>
    <t>15-772-03</t>
  </si>
  <si>
    <t>23-283-12</t>
  </si>
  <si>
    <t>09-968-50</t>
  </si>
  <si>
    <t>09-968-45</t>
  </si>
  <si>
    <t>06-252-24</t>
  </si>
  <si>
    <t>18-200-20</t>
  </si>
  <si>
    <t>07-571-20</t>
  </si>
  <si>
    <t>08-225-18</t>
  </si>
  <si>
    <t>09-721-02</t>
  </si>
  <si>
    <t>17,5CM</t>
  </si>
  <si>
    <t>09-221-02</t>
  </si>
  <si>
    <t>07-713-16</t>
  </si>
  <si>
    <t>06-652-30</t>
  </si>
  <si>
    <t>06-444-23</t>
  </si>
  <si>
    <t>18-251-28</t>
  </si>
  <si>
    <t>18-190-20</t>
  </si>
  <si>
    <t>07-349-24</t>
  </si>
  <si>
    <t>07-407-28</t>
  </si>
  <si>
    <t>07-320-20</t>
  </si>
  <si>
    <t>07-321-20</t>
  </si>
  <si>
    <t>14-491-24</t>
  </si>
  <si>
    <t>QC.400.120</t>
  </si>
  <si>
    <t>07-211-10</t>
  </si>
  <si>
    <t>07-210-10</t>
  </si>
  <si>
    <t>22-104-01</t>
  </si>
  <si>
    <t>09-190-14</t>
  </si>
  <si>
    <t>13-992-37</t>
  </si>
  <si>
    <t>07-132-12</t>
  </si>
  <si>
    <t>PROFESSOR MEDIDA</t>
  </si>
  <si>
    <t>07-320-26</t>
  </si>
  <si>
    <t>07-310-20</t>
  </si>
  <si>
    <t>05-59011</t>
  </si>
  <si>
    <t>05-215-14</t>
  </si>
  <si>
    <t>N/COTAMOS</t>
  </si>
  <si>
    <r>
      <t> </t>
    </r>
    <r>
      <rPr>
        <sz val="9"/>
        <color rgb="FF7A7A7A"/>
        <rFont val="Arial"/>
        <family val="2"/>
      </rPr>
      <t>AI2299</t>
    </r>
  </si>
  <si>
    <t>AI1415</t>
  </si>
  <si>
    <t>AI1797</t>
  </si>
  <si>
    <t>INCLUSO EM  AI1797</t>
  </si>
  <si>
    <t>HB1924-06</t>
  </si>
  <si>
    <t>Y180.05F</t>
  </si>
  <si>
    <t>Y180.03F</t>
  </si>
  <si>
    <t>Y180.10F</t>
  </si>
  <si>
    <t>Y380.05F</t>
  </si>
  <si>
    <t>Y380.07F</t>
  </si>
  <si>
    <t>Y180.07F</t>
  </si>
  <si>
    <t>485 X 255 X 50</t>
  </si>
  <si>
    <t xml:space="preserve">265 X 170 X 45 </t>
  </si>
  <si>
    <t>485 X 255 X 100</t>
  </si>
  <si>
    <t>245 X 255 X 50</t>
  </si>
  <si>
    <t>245 X 255 X 100</t>
  </si>
  <si>
    <t xml:space="preserve">150 X 140 X 40 </t>
  </si>
  <si>
    <t xml:space="preserve">485 X 255 X 50 </t>
  </si>
  <si>
    <t>Y180.05</t>
  </si>
  <si>
    <t>Y180.10</t>
  </si>
  <si>
    <t>Y380.05</t>
  </si>
  <si>
    <t>Y380.10</t>
  </si>
  <si>
    <t>Y581.44</t>
  </si>
  <si>
    <t>195 X 70 X 40</t>
  </si>
  <si>
    <t xml:space="preserve">NÃO COTAMOS </t>
  </si>
  <si>
    <t>4 X 20 CM</t>
  </si>
  <si>
    <t>AI0466</t>
  </si>
  <si>
    <t>NÃO COTAMOS</t>
  </si>
  <si>
    <t>AI1273</t>
  </si>
  <si>
    <t xml:space="preserve">HARTE </t>
  </si>
  <si>
    <t>AI00494</t>
  </si>
  <si>
    <t>AI00500</t>
  </si>
  <si>
    <t>AI00386</t>
  </si>
  <si>
    <t>20-292-02</t>
  </si>
  <si>
    <t>36.0460.02</t>
  </si>
  <si>
    <t>45 X 65 X 200 MM</t>
  </si>
  <si>
    <t>195 MM</t>
  </si>
  <si>
    <t>607-001</t>
  </si>
  <si>
    <t>BOWA</t>
  </si>
  <si>
    <t>351-040</t>
  </si>
  <si>
    <t>TAMANHO?</t>
  </si>
  <si>
    <t>607-027</t>
  </si>
  <si>
    <t>23-221-20</t>
  </si>
  <si>
    <t>23-611-06</t>
  </si>
  <si>
    <t>AI1272</t>
  </si>
  <si>
    <t>INCLUSO AI1272</t>
  </si>
  <si>
    <t>HB4009-04</t>
  </si>
  <si>
    <t>prime</t>
  </si>
  <si>
    <t>51-274-34</t>
  </si>
  <si>
    <t>51-274-38</t>
  </si>
  <si>
    <t>51-274-42</t>
  </si>
  <si>
    <t>20-250-01</t>
  </si>
  <si>
    <t>55X35</t>
  </si>
  <si>
    <t>AI0465</t>
  </si>
  <si>
    <t>25-153-21</t>
  </si>
  <si>
    <t>INCLUSO NO 24-182-00</t>
  </si>
  <si>
    <t>AI00459</t>
  </si>
  <si>
    <t>Harte</t>
  </si>
  <si>
    <t>AI0503</t>
  </si>
  <si>
    <t>AI0309</t>
  </si>
  <si>
    <t>AI0282</t>
  </si>
  <si>
    <t>13-540-03</t>
  </si>
  <si>
    <t>13-540-04</t>
  </si>
  <si>
    <t>13-234-22</t>
  </si>
  <si>
    <t>09-234-01</t>
  </si>
  <si>
    <t>23-632-10</t>
  </si>
  <si>
    <t>24-505-55</t>
  </si>
  <si>
    <t>AI0082</t>
  </si>
  <si>
    <t>24-525-22</t>
  </si>
  <si>
    <t>24-521-22</t>
  </si>
  <si>
    <t>AI1994</t>
  </si>
  <si>
    <t>10-201-16</t>
  </si>
  <si>
    <t>10-203-16</t>
  </si>
  <si>
    <t>10-205-16</t>
  </si>
  <si>
    <t>HB7440-02</t>
  </si>
  <si>
    <t>HB2097-14</t>
  </si>
  <si>
    <t>HB105</t>
  </si>
  <si>
    <t>HB107</t>
  </si>
  <si>
    <t>HB375-20</t>
  </si>
  <si>
    <t>20-222-01</t>
  </si>
  <si>
    <t>11-556-18</t>
  </si>
  <si>
    <t>19-381-23</t>
  </si>
  <si>
    <t>19-383-24</t>
  </si>
  <si>
    <t>22-411-01</t>
  </si>
  <si>
    <t>22-411-02</t>
  </si>
  <si>
    <t>22-409-02</t>
  </si>
  <si>
    <t>22-409-03</t>
  </si>
  <si>
    <t>22-409-04</t>
  </si>
  <si>
    <t>HB6406</t>
  </si>
  <si>
    <t>HB6401-08</t>
  </si>
  <si>
    <t>HB3614-06</t>
  </si>
  <si>
    <t>AI1996</t>
  </si>
  <si>
    <t>03-340-09</t>
  </si>
  <si>
    <t>03-340-12</t>
  </si>
  <si>
    <t>06.0240.09</t>
  </si>
  <si>
    <t>10-230-12</t>
  </si>
  <si>
    <t>10-230-14</t>
  </si>
  <si>
    <t>10-230-16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</si>
</sst>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0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2529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name val="Arial"/>
      <family val="2"/>
    </font>
    <font>
      <sz val="9"/>
      <name val="Arial"/>
      <family val="2"/>
    </font>
    <font>
      <sz val="10"/>
      <color rgb="FFFF0000"/>
      <name val="Aptos Narrow"/>
      <family val="2"/>
    </font>
    <font>
      <sz val="9"/>
      <color rgb="FFFF0000"/>
      <name val="Arial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color rgb="FFFF0000"/>
      <name val="Arial"/>
      <family val="2"/>
    </font>
    <font>
      <b/>
      <sz val="9"/>
      <color rgb="FF7A7A7A"/>
      <name val="Arial"/>
      <family val="2"/>
    </font>
    <font>
      <sz val="9"/>
      <color rgb="FF7A7A7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53D64"/>
        <bgColor rgb="FF00008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8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78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2" fillId="5" borderId="1" xfId="0" applyFont="1" applyFill="1" applyBorder="1" applyAlignment="1">
      <alignment wrapText="1"/>
    </xf>
    <xf numFmtId="0" fontId="0" fillId="0" borderId="7" xfId="0" applyBorder="1"/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/>
    <xf numFmtId="0" fontId="0" fillId="6" borderId="0" xfId="0" applyFill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2" fillId="6" borderId="1" xfId="0" applyFont="1" applyFill="1" applyBorder="1"/>
    <xf numFmtId="0" fontId="0" fillId="6" borderId="7" xfId="0" applyFill="1" applyBorder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5" borderId="1" xfId="0" applyFont="1" applyFill="1" applyBorder="1"/>
    <xf numFmtId="0" fontId="2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2" fillId="0" borderId="1" xfId="0" applyFont="1" applyBorder="1"/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3" fillId="5" borderId="18" xfId="0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6" borderId="6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9" fillId="6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7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2" xfId="0" applyFont="1" applyFill="1" applyBorder="1"/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2" fillId="6" borderId="7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right"/>
    </xf>
    <xf numFmtId="0" fontId="15" fillId="6" borderId="3" xfId="0" applyFont="1" applyFill="1" applyBorder="1" applyAlignment="1">
      <alignment horizontal="left" vertical="center" wrapText="1"/>
    </xf>
    <xf numFmtId="0" fontId="14" fillId="6" borderId="1" xfId="0" applyFont="1" applyFill="1" applyBorder="1"/>
    <xf numFmtId="0" fontId="14" fillId="6" borderId="2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/>
    <xf numFmtId="0" fontId="0" fillId="0" borderId="15" xfId="0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6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1" fillId="0" borderId="0" xfId="1"/>
    <xf numFmtId="0" fontId="22" fillId="0" borderId="0" xfId="0" applyFont="1"/>
    <xf numFmtId="0" fontId="3" fillId="0" borderId="6" xfId="0" applyFont="1" applyBorder="1" applyAlignment="1">
      <alignment wrapText="1"/>
    </xf>
    <xf numFmtId="0" fontId="1" fillId="3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0" fillId="0" borderId="15" xfId="0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6" borderId="1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5" fillId="4" borderId="13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right"/>
    </xf>
    <xf numFmtId="0" fontId="12" fillId="6" borderId="3" xfId="0" applyFont="1" applyFill="1" applyBorder="1"/>
    <xf numFmtId="0" fontId="2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6" fillId="6" borderId="7" xfId="0" applyFont="1" applyFill="1" applyBorder="1"/>
    <xf numFmtId="0" fontId="16" fillId="6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12" fillId="0" borderId="0" xfId="0" applyFont="1"/>
    <xf numFmtId="0" fontId="16" fillId="6" borderId="1" xfId="0" applyFont="1" applyFill="1" applyBorder="1"/>
    <xf numFmtId="0" fontId="1" fillId="3" borderId="2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2" fillId="0" borderId="0" xfId="0" applyFont="1"/>
    <xf numFmtId="0" fontId="21" fillId="0" borderId="0" xfId="1" applyBorder="1"/>
    <xf numFmtId="0" fontId="2" fillId="0" borderId="12" xfId="0" applyFont="1" applyBorder="1"/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5" borderId="15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6" borderId="25" xfId="0" applyFont="1" applyFill="1" applyBorder="1" applyAlignment="1">
      <alignment wrapText="1"/>
    </xf>
    <xf numFmtId="0" fontId="18" fillId="6" borderId="3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6" borderId="15" xfId="0" applyFont="1" applyFill="1" applyBorder="1" applyAlignment="1">
      <alignment horizontal="right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/>
    <xf numFmtId="0" fontId="20" fillId="2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3" fillId="6" borderId="18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right"/>
    </xf>
    <xf numFmtId="0" fontId="16" fillId="0" borderId="7" xfId="0" applyFont="1" applyBorder="1"/>
    <xf numFmtId="0" fontId="20" fillId="2" borderId="2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right" wrapText="1"/>
    </xf>
    <xf numFmtId="0" fontId="2" fillId="6" borderId="13" xfId="0" applyFont="1" applyFill="1" applyBorder="1"/>
    <xf numFmtId="0" fontId="0" fillId="6" borderId="15" xfId="0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2" fillId="0" borderId="26" xfId="0" applyFont="1" applyBorder="1" applyAlignment="1">
      <alignment horizontal="center"/>
    </xf>
    <xf numFmtId="0" fontId="16" fillId="0" borderId="0" xfId="0" applyFont="1"/>
    <xf numFmtId="0" fontId="23" fillId="4" borderId="0" xfId="0" applyFont="1" applyFill="1"/>
    <xf numFmtId="0" fontId="24" fillId="0" borderId="0" xfId="0" applyFont="1"/>
    <xf numFmtId="0" fontId="20" fillId="2" borderId="14" xfId="0" applyFont="1" applyFill="1" applyBorder="1" applyAlignment="1">
      <alignment horizontal="center" wrapText="1"/>
    </xf>
    <xf numFmtId="0" fontId="20" fillId="3" borderId="23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6" fillId="6" borderId="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wrapText="1"/>
    </xf>
    <xf numFmtId="0" fontId="0" fillId="6" borderId="0" xfId="0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25" xfId="0" applyFont="1" applyFill="1" applyBorder="1"/>
    <xf numFmtId="0" fontId="11" fillId="5" borderId="7" xfId="0" applyFont="1" applyFill="1" applyBorder="1" applyAlignment="1">
      <alignment wrapText="1"/>
    </xf>
    <xf numFmtId="0" fontId="11" fillId="5" borderId="7" xfId="0" applyFont="1" applyFill="1" applyBorder="1"/>
    <xf numFmtId="0" fontId="3" fillId="0" borderId="6" xfId="0" applyFont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6" fillId="0" borderId="7" xfId="0" applyFont="1" applyBorder="1"/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26" fillId="0" borderId="7" xfId="0" applyFont="1" applyBorder="1" applyAlignment="1">
      <alignment horizontal="center"/>
    </xf>
    <xf numFmtId="0" fontId="27" fillId="0" borderId="7" xfId="0" applyFont="1" applyBorder="1" applyAlignment="1">
      <alignment horizontal="right"/>
    </xf>
    <xf numFmtId="0" fontId="6" fillId="6" borderId="7" xfId="0" applyFont="1" applyFill="1" applyBorder="1"/>
    <xf numFmtId="0" fontId="27" fillId="6" borderId="7" xfId="0" applyFont="1" applyFill="1" applyBorder="1" applyAlignment="1">
      <alignment horizontal="right"/>
    </xf>
    <xf numFmtId="0" fontId="27" fillId="0" borderId="7" xfId="0" applyFont="1" applyBorder="1"/>
    <xf numFmtId="0" fontId="6" fillId="0" borderId="13" xfId="0" applyFont="1" applyBorder="1"/>
    <xf numFmtId="0" fontId="26" fillId="0" borderId="13" xfId="0" applyFont="1" applyBorder="1" applyAlignment="1">
      <alignment horizontal="center"/>
    </xf>
    <xf numFmtId="0" fontId="3" fillId="6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6" borderId="3" xfId="0" applyFill="1" applyBorder="1" applyAlignment="1">
      <alignment horizontal="center"/>
    </xf>
    <xf numFmtId="0" fontId="27" fillId="0" borderId="15" xfId="0" applyFont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9" xfId="0" applyBorder="1"/>
    <xf numFmtId="0" fontId="27" fillId="0" borderId="3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2" fillId="6" borderId="6" xfId="0" applyFont="1" applyFill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" fillId="2" borderId="2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/>
    <xf numFmtId="0" fontId="7" fillId="6" borderId="15" xfId="0" applyFont="1" applyFill="1" applyBorder="1" applyAlignment="1">
      <alignment horizontal="right" wrapText="1"/>
    </xf>
    <xf numFmtId="0" fontId="7" fillId="0" borderId="15" xfId="0" applyFont="1" applyBorder="1" applyAlignment="1">
      <alignment horizontal="right"/>
    </xf>
    <xf numFmtId="0" fontId="3" fillId="5" borderId="19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/>
    </xf>
    <xf numFmtId="0" fontId="1" fillId="3" borderId="2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6" borderId="1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right"/>
    </xf>
    <xf numFmtId="0" fontId="5" fillId="6" borderId="18" xfId="0" applyFont="1" applyFill="1" applyBorder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0" borderId="11" xfId="0" applyFont="1" applyBorder="1"/>
    <xf numFmtId="0" fontId="3" fillId="6" borderId="22" xfId="0" applyFont="1" applyFill="1" applyBorder="1" applyAlignment="1">
      <alignment horizontal="right"/>
    </xf>
    <xf numFmtId="0" fontId="13" fillId="6" borderId="15" xfId="0" applyFont="1" applyFill="1" applyBorder="1" applyAlignment="1">
      <alignment horizontal="right" wrapText="1"/>
    </xf>
    <xf numFmtId="0" fontId="13" fillId="6" borderId="15" xfId="0" applyFont="1" applyFill="1" applyBorder="1" applyAlignment="1">
      <alignment horizontal="right"/>
    </xf>
    <xf numFmtId="0" fontId="0" fillId="6" borderId="3" xfId="0" applyFill="1" applyBorder="1"/>
    <xf numFmtId="0" fontId="3" fillId="0" borderId="18" xfId="0" applyFont="1" applyBorder="1"/>
    <xf numFmtId="0" fontId="3" fillId="6" borderId="18" xfId="0" applyFont="1" applyFill="1" applyBorder="1"/>
    <xf numFmtId="0" fontId="3" fillId="0" borderId="27" xfId="0" applyFont="1" applyBorder="1" applyAlignment="1">
      <alignment horizontal="right"/>
    </xf>
    <xf numFmtId="0" fontId="19" fillId="6" borderId="11" xfId="0" applyFont="1" applyFill="1" applyBorder="1" applyAlignment="1">
      <alignment horizontal="right" vertical="center" wrapText="1"/>
    </xf>
    <xf numFmtId="0" fontId="12" fillId="6" borderId="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12" fillId="6" borderId="15" xfId="0" applyFont="1" applyFill="1" applyBorder="1"/>
    <xf numFmtId="0" fontId="1" fillId="2" borderId="23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right"/>
    </xf>
    <xf numFmtId="0" fontId="12" fillId="0" borderId="6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23" fillId="6" borderId="15" xfId="0" applyFont="1" applyFill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0" fillId="0" borderId="20" xfId="0" applyBorder="1"/>
    <xf numFmtId="0" fontId="2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0" fillId="0" borderId="20" xfId="0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3" fillId="6" borderId="11" xfId="0" applyFont="1" applyFill="1" applyBorder="1"/>
    <xf numFmtId="0" fontId="3" fillId="0" borderId="19" xfId="0" applyFont="1" applyBorder="1" applyAlignment="1">
      <alignment horizontal="right"/>
    </xf>
    <xf numFmtId="0" fontId="3" fillId="6" borderId="28" xfId="0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 wrapText="1"/>
    </xf>
    <xf numFmtId="3" fontId="3" fillId="6" borderId="15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center" wrapText="1"/>
    </xf>
    <xf numFmtId="0" fontId="0" fillId="6" borderId="16" xfId="0" applyFill="1" applyBorder="1"/>
    <xf numFmtId="0" fontId="0" fillId="5" borderId="15" xfId="0" applyFill="1" applyBorder="1"/>
    <xf numFmtId="0" fontId="0" fillId="6" borderId="15" xfId="0" applyFill="1" applyBorder="1"/>
    <xf numFmtId="3" fontId="0" fillId="6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3" fontId="0" fillId="0" borderId="3" xfId="0" applyNumberFormat="1" applyBorder="1"/>
    <xf numFmtId="3" fontId="0" fillId="6" borderId="3" xfId="0" applyNumberFormat="1" applyFill="1" applyBorder="1"/>
    <xf numFmtId="3" fontId="0" fillId="6" borderId="3" xfId="0" applyNumberFormat="1" applyFill="1" applyBorder="1" applyAlignment="1">
      <alignment horizontal="center" vertical="top" wrapText="1"/>
    </xf>
    <xf numFmtId="3" fontId="0" fillId="6" borderId="3" xfId="0" applyNumberFormat="1" applyFill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27" fillId="6" borderId="15" xfId="0" applyFont="1" applyFill="1" applyBorder="1" applyAlignment="1">
      <alignment horizontal="right"/>
    </xf>
    <xf numFmtId="0" fontId="27" fillId="0" borderId="2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0" fontId="2" fillId="6" borderId="3" xfId="0" applyFont="1" applyFill="1" applyBorder="1"/>
    <xf numFmtId="0" fontId="2" fillId="6" borderId="1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0" borderId="24" xfId="0" applyFont="1" applyBorder="1" applyAlignment="1">
      <alignment horizontal="right"/>
    </xf>
    <xf numFmtId="0" fontId="8" fillId="6" borderId="1" xfId="0" applyFont="1" applyFill="1" applyBorder="1" applyAlignment="1">
      <alignment wrapText="1"/>
    </xf>
    <xf numFmtId="0" fontId="5" fillId="6" borderId="15" xfId="0" applyFont="1" applyFill="1" applyBorder="1" applyAlignment="1">
      <alignment horizontal="right"/>
    </xf>
    <xf numFmtId="0" fontId="3" fillId="0" borderId="11" xfId="0" applyFont="1" applyBorder="1" applyAlignment="1">
      <alignment horizontal="right" wrapText="1"/>
    </xf>
    <xf numFmtId="0" fontId="3" fillId="0" borderId="13" xfId="0" applyFont="1" applyBorder="1" applyAlignment="1">
      <alignment horizontal="center" wrapText="1"/>
    </xf>
    <xf numFmtId="0" fontId="2" fillId="0" borderId="15" xfId="0" applyFont="1" applyBorder="1"/>
    <xf numFmtId="0" fontId="3" fillId="0" borderId="22" xfId="0" applyFont="1" applyBorder="1" applyAlignment="1">
      <alignment horizontal="right"/>
    </xf>
    <xf numFmtId="0" fontId="3" fillId="6" borderId="20" xfId="0" applyFont="1" applyFill="1" applyBorder="1" applyAlignment="1">
      <alignment horizontal="right"/>
    </xf>
    <xf numFmtId="0" fontId="6" fillId="0" borderId="1" xfId="0" applyFont="1" applyBorder="1"/>
    <xf numFmtId="0" fontId="6" fillId="0" borderId="6" xfId="0" applyFont="1" applyBorder="1"/>
    <xf numFmtId="0" fontId="0" fillId="0" borderId="1" xfId="0" applyBorder="1"/>
    <xf numFmtId="0" fontId="0" fillId="6" borderId="1" xfId="0" applyFill="1" applyBorder="1"/>
    <xf numFmtId="0" fontId="8" fillId="6" borderId="7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2" fillId="6" borderId="15" xfId="0" applyFont="1" applyFill="1" applyBorder="1"/>
    <xf numFmtId="0" fontId="2" fillId="6" borderId="12" xfId="0" applyFont="1" applyFill="1" applyBorder="1" applyAlignment="1">
      <alignment wrapText="1"/>
    </xf>
    <xf numFmtId="0" fontId="0" fillId="5" borderId="1" xfId="0" applyFill="1" applyBorder="1"/>
    <xf numFmtId="0" fontId="3" fillId="0" borderId="25" xfId="0" applyFont="1" applyBorder="1" applyAlignment="1">
      <alignment wrapText="1"/>
    </xf>
    <xf numFmtId="0" fontId="6" fillId="0" borderId="3" xfId="0" applyFont="1" applyBorder="1"/>
    <xf numFmtId="0" fontId="2" fillId="5" borderId="7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11" fillId="6" borderId="3" xfId="0" applyFont="1" applyFill="1" applyBorder="1"/>
    <xf numFmtId="0" fontId="2" fillId="0" borderId="13" xfId="0" applyFont="1" applyBorder="1"/>
    <xf numFmtId="0" fontId="3" fillId="0" borderId="18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1" fillId="6" borderId="2" xfId="0" applyFont="1" applyFill="1" applyBorder="1"/>
    <xf numFmtId="0" fontId="0" fillId="0" borderId="2" xfId="0" applyBorder="1"/>
    <xf numFmtId="0" fontId="2" fillId="6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3" fillId="6" borderId="18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13" fillId="6" borderId="18" xfId="0" applyFont="1" applyFill="1" applyBorder="1" applyAlignment="1">
      <alignment horizontal="right"/>
    </xf>
    <xf numFmtId="0" fontId="2" fillId="0" borderId="18" xfId="0" applyFont="1" applyBorder="1" applyAlignment="1">
      <alignment horizontal="right" wrapText="1"/>
    </xf>
    <xf numFmtId="0" fontId="6" fillId="0" borderId="22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0" fillId="6" borderId="18" xfId="0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 wrapText="1"/>
    </xf>
    <xf numFmtId="3" fontId="0" fillId="6" borderId="18" xfId="0" applyNumberFormat="1" applyFill="1" applyBorder="1" applyAlignment="1">
      <alignment horizontal="right"/>
    </xf>
    <xf numFmtId="0" fontId="2" fillId="0" borderId="18" xfId="0" applyFont="1" applyBorder="1"/>
    <xf numFmtId="0" fontId="3" fillId="6" borderId="12" xfId="0" applyFont="1" applyFill="1" applyBorder="1" applyAlignment="1">
      <alignment horizontal="right"/>
    </xf>
    <xf numFmtId="0" fontId="3" fillId="6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3" fillId="6" borderId="8" xfId="0" applyFont="1" applyFill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25" xfId="0" applyFont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3" fillId="5" borderId="11" xfId="0" applyFont="1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6" borderId="11" xfId="0" applyFill="1" applyBorder="1" applyAlignment="1">
      <alignment horizontal="right"/>
    </xf>
    <xf numFmtId="0" fontId="0" fillId="0" borderId="11" xfId="0" applyBorder="1" applyAlignment="1">
      <alignment horizontal="right" vertical="center"/>
    </xf>
    <xf numFmtId="0" fontId="3" fillId="0" borderId="16" xfId="0" applyFont="1" applyBorder="1" applyAlignment="1">
      <alignment horizontal="right"/>
    </xf>
    <xf numFmtId="0" fontId="3" fillId="6" borderId="16" xfId="0" applyFont="1" applyFill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6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0" fillId="6" borderId="2" xfId="0" applyFill="1" applyBorder="1"/>
    <xf numFmtId="0" fontId="3" fillId="0" borderId="5" xfId="0" applyFont="1" applyBorder="1" applyAlignment="1">
      <alignment wrapText="1"/>
    </xf>
    <xf numFmtId="0" fontId="2" fillId="6" borderId="18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5" borderId="2" xfId="0" applyFill="1" applyBorder="1"/>
    <xf numFmtId="0" fontId="3" fillId="0" borderId="13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4" fillId="6" borderId="18" xfId="0" applyFont="1" applyFill="1" applyBorder="1" applyAlignment="1">
      <alignment wrapText="1"/>
    </xf>
    <xf numFmtId="0" fontId="2" fillId="6" borderId="18" xfId="0" applyFont="1" applyFill="1" applyBorder="1"/>
    <xf numFmtId="0" fontId="7" fillId="6" borderId="15" xfId="0" applyFont="1" applyFill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0" fontId="1" fillId="3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0" fontId="11" fillId="6" borderId="7" xfId="0" applyFont="1" applyFill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29" fillId="0" borderId="7" xfId="0" applyFont="1" applyBorder="1"/>
    <xf numFmtId="0" fontId="10" fillId="0" borderId="4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32" fillId="0" borderId="7" xfId="0" applyFont="1" applyBorder="1" applyAlignment="1">
      <alignment horizontal="left" vertical="center"/>
    </xf>
    <xf numFmtId="0" fontId="2" fillId="6" borderId="16" xfId="0" applyFont="1" applyFill="1" applyBorder="1"/>
    <xf numFmtId="0" fontId="2" fillId="0" borderId="1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25" xfId="0" applyFont="1" applyBorder="1"/>
    <xf numFmtId="0" fontId="4" fillId="0" borderId="12" xfId="0" applyFont="1" applyBorder="1" applyAlignment="1">
      <alignment wrapText="1"/>
    </xf>
    <xf numFmtId="0" fontId="2" fillId="0" borderId="14" xfId="0" applyFont="1" applyBorder="1"/>
    <xf numFmtId="0" fontId="30" fillId="0" borderId="2" xfId="0" applyFont="1" applyBorder="1"/>
    <xf numFmtId="0" fontId="4" fillId="6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8" fillId="6" borderId="2" xfId="0" applyFont="1" applyFill="1" applyBorder="1" applyAlignment="1">
      <alignment wrapText="1"/>
    </xf>
    <xf numFmtId="0" fontId="3" fillId="5" borderId="18" xfId="0" applyFont="1" applyFill="1" applyBorder="1"/>
    <xf numFmtId="0" fontId="30" fillId="6" borderId="7" xfId="0" applyFont="1" applyFill="1" applyBorder="1"/>
    <xf numFmtId="0" fontId="2" fillId="5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18" xfId="0" applyBorder="1"/>
    <xf numFmtId="0" fontId="28" fillId="0" borderId="2" xfId="0" applyFont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6" borderId="5" xfId="0" applyFont="1" applyFill="1" applyBorder="1"/>
    <xf numFmtId="0" fontId="3" fillId="5" borderId="2" xfId="0" applyFont="1" applyFill="1" applyBorder="1" applyAlignment="1">
      <alignment wrapText="1"/>
    </xf>
    <xf numFmtId="0" fontId="28" fillId="0" borderId="1" xfId="0" applyFont="1" applyBorder="1"/>
    <xf numFmtId="0" fontId="4" fillId="6" borderId="13" xfId="0" applyFont="1" applyFill="1" applyBorder="1" applyAlignment="1">
      <alignment wrapText="1"/>
    </xf>
    <xf numFmtId="0" fontId="28" fillId="6" borderId="1" xfId="0" applyFont="1" applyFill="1" applyBorder="1"/>
    <xf numFmtId="0" fontId="2" fillId="5" borderId="2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28" fillId="0" borderId="2" xfId="0" applyFont="1" applyBorder="1"/>
    <xf numFmtId="0" fontId="3" fillId="6" borderId="2" xfId="0" applyFont="1" applyFill="1" applyBorder="1" applyAlignment="1">
      <alignment wrapText="1"/>
    </xf>
    <xf numFmtId="0" fontId="30" fillId="0" borderId="7" xfId="0" applyFont="1" applyBorder="1" applyAlignment="1">
      <alignment wrapText="1"/>
    </xf>
    <xf numFmtId="0" fontId="2" fillId="5" borderId="0" xfId="0" applyFont="1" applyFill="1" applyAlignment="1">
      <alignment wrapText="1"/>
    </xf>
    <xf numFmtId="0" fontId="2" fillId="6" borderId="5" xfId="0" applyFont="1" applyFill="1" applyBorder="1" applyAlignment="1">
      <alignment wrapText="1"/>
    </xf>
    <xf numFmtId="0" fontId="2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wrapText="1"/>
    </xf>
    <xf numFmtId="0" fontId="11" fillId="6" borderId="7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2" fillId="6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0" fontId="0" fillId="6" borderId="19" xfId="0" applyFill="1" applyBorder="1" applyAlignment="1">
      <alignment horizontal="right"/>
    </xf>
    <xf numFmtId="3" fontId="0" fillId="5" borderId="18" xfId="0" applyNumberFormat="1" applyFill="1" applyBorder="1" applyAlignment="1">
      <alignment horizontal="right"/>
    </xf>
    <xf numFmtId="0" fontId="8" fillId="6" borderId="18" xfId="0" applyFont="1" applyFill="1" applyBorder="1" applyAlignment="1">
      <alignment horizontal="right"/>
    </xf>
    <xf numFmtId="0" fontId="1" fillId="3" borderId="18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 wrapText="1"/>
    </xf>
    <xf numFmtId="0" fontId="2" fillId="0" borderId="8" xfId="0" applyFont="1" applyBorder="1" applyAlignment="1">
      <alignment horizontal="right"/>
    </xf>
    <xf numFmtId="0" fontId="17" fillId="6" borderId="6" xfId="0" applyFont="1" applyFill="1" applyBorder="1" applyAlignment="1">
      <alignment horizontal="right"/>
    </xf>
    <xf numFmtId="0" fontId="2" fillId="0" borderId="22" xfId="0" applyFont="1" applyBorder="1" applyAlignment="1">
      <alignment horizontal="right" wrapText="1"/>
    </xf>
    <xf numFmtId="0" fontId="5" fillId="4" borderId="3" xfId="0" applyFont="1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8" fillId="4" borderId="18" xfId="0" applyFont="1" applyFill="1" applyBorder="1" applyAlignment="1">
      <alignment horizontal="right"/>
    </xf>
    <xf numFmtId="0" fontId="6" fillId="0" borderId="13" xfId="0" applyFont="1" applyBorder="1" applyAlignment="1">
      <alignment horizontal="right"/>
    </xf>
    <xf numFmtId="3" fontId="0" fillId="6" borderId="22" xfId="0" applyNumberFormat="1" applyFill="1" applyBorder="1" applyAlignment="1">
      <alignment horizontal="right"/>
    </xf>
    <xf numFmtId="0" fontId="0" fillId="0" borderId="15" xfId="0" applyBorder="1" applyAlignment="1">
      <alignment horizontal="right" vertical="center"/>
    </xf>
    <xf numFmtId="0" fontId="6" fillId="0" borderId="16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1" fillId="7" borderId="3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6" fillId="0" borderId="9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3" fillId="0" borderId="5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right"/>
    </xf>
    <xf numFmtId="0" fontId="7" fillId="6" borderId="0" xfId="0" applyFont="1" applyFill="1" applyAlignment="1">
      <alignment horizontal="right" wrapText="1"/>
    </xf>
    <xf numFmtId="0" fontId="3" fillId="4" borderId="1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right"/>
    </xf>
    <xf numFmtId="0" fontId="28" fillId="6" borderId="3" xfId="0" applyFont="1" applyFill="1" applyBorder="1"/>
    <xf numFmtId="0" fontId="17" fillId="6" borderId="18" xfId="0" applyFont="1" applyFill="1" applyBorder="1" applyAlignment="1">
      <alignment horizontal="right"/>
    </xf>
    <xf numFmtId="0" fontId="0" fillId="6" borderId="19" xfId="0" applyFill="1" applyBorder="1"/>
    <xf numFmtId="0" fontId="3" fillId="6" borderId="24" xfId="0" applyFont="1" applyFill="1" applyBorder="1" applyAlignment="1">
      <alignment horizontal="right"/>
    </xf>
    <xf numFmtId="0" fontId="13" fillId="6" borderId="19" xfId="0" applyFont="1" applyFill="1" applyBorder="1" applyAlignment="1">
      <alignment horizontal="right" wrapText="1"/>
    </xf>
    <xf numFmtId="0" fontId="3" fillId="0" borderId="15" xfId="0" applyFont="1" applyBorder="1"/>
    <xf numFmtId="0" fontId="12" fillId="6" borderId="18" xfId="0" applyFont="1" applyFill="1" applyBorder="1"/>
    <xf numFmtId="0" fontId="16" fillId="0" borderId="12" xfId="0" applyFont="1" applyBorder="1" applyAlignment="1">
      <alignment wrapText="1"/>
    </xf>
    <xf numFmtId="0" fontId="16" fillId="0" borderId="5" xfId="0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3" fillId="6" borderId="7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6" borderId="22" xfId="0" applyFont="1" applyFill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6" borderId="15" xfId="0" applyFont="1" applyFill="1" applyBorder="1"/>
    <xf numFmtId="0" fontId="3" fillId="6" borderId="0" xfId="0" applyFont="1" applyFill="1" applyAlignment="1">
      <alignment horizontal="right" wrapText="1"/>
    </xf>
    <xf numFmtId="0" fontId="3" fillId="0" borderId="28" xfId="0" applyFont="1" applyBorder="1" applyAlignment="1">
      <alignment horizontal="right"/>
    </xf>
    <xf numFmtId="0" fontId="11" fillId="6" borderId="3" xfId="0" applyFont="1" applyFill="1" applyBorder="1" applyAlignment="1">
      <alignment wrapText="1"/>
    </xf>
    <xf numFmtId="0" fontId="11" fillId="6" borderId="13" xfId="0" applyFont="1" applyFill="1" applyBorder="1" applyAlignment="1">
      <alignment wrapText="1"/>
    </xf>
    <xf numFmtId="0" fontId="11" fillId="6" borderId="13" xfId="0" applyFont="1" applyFill="1" applyBorder="1"/>
    <xf numFmtId="0" fontId="0" fillId="0" borderId="13" xfId="0" applyBorder="1"/>
    <xf numFmtId="0" fontId="32" fillId="6" borderId="7" xfId="0" applyFont="1" applyFill="1" applyBorder="1" applyAlignment="1">
      <alignment horizontal="left" vertical="center"/>
    </xf>
    <xf numFmtId="0" fontId="28" fillId="0" borderId="7" xfId="0" applyFont="1" applyBorder="1" applyAlignment="1">
      <alignment wrapText="1"/>
    </xf>
    <xf numFmtId="0" fontId="30" fillId="6" borderId="1" xfId="0" applyFont="1" applyFill="1" applyBorder="1" applyAlignment="1">
      <alignment wrapText="1"/>
    </xf>
    <xf numFmtId="0" fontId="30" fillId="0" borderId="1" xfId="0" applyFont="1" applyBorder="1"/>
    <xf numFmtId="0" fontId="30" fillId="6" borderId="1" xfId="0" applyFont="1" applyFill="1" applyBorder="1"/>
    <xf numFmtId="0" fontId="29" fillId="6" borderId="7" xfId="0" applyFont="1" applyFill="1" applyBorder="1"/>
    <xf numFmtId="0" fontId="30" fillId="0" borderId="6" xfId="0" applyFont="1" applyBorder="1"/>
    <xf numFmtId="0" fontId="33" fillId="6" borderId="1" xfId="0" applyFont="1" applyFill="1" applyBorder="1" applyAlignment="1">
      <alignment wrapText="1"/>
    </xf>
    <xf numFmtId="0" fontId="30" fillId="0" borderId="7" xfId="0" applyFont="1" applyBorder="1"/>
    <xf numFmtId="0" fontId="28" fillId="0" borderId="1" xfId="0" applyFont="1" applyBorder="1" applyAlignment="1">
      <alignment wrapText="1"/>
    </xf>
    <xf numFmtId="0" fontId="28" fillId="6" borderId="6" xfId="0" applyFont="1" applyFill="1" applyBorder="1"/>
    <xf numFmtId="0" fontId="28" fillId="6" borderId="1" xfId="0" applyFont="1" applyFill="1" applyBorder="1" applyAlignment="1">
      <alignment wrapText="1"/>
    </xf>
    <xf numFmtId="0" fontId="28" fillId="0" borderId="7" xfId="0" applyFont="1" applyBorder="1"/>
    <xf numFmtId="0" fontId="28" fillId="6" borderId="7" xfId="0" applyFont="1" applyFill="1" applyBorder="1"/>
    <xf numFmtId="0" fontId="32" fillId="6" borderId="1" xfId="0" applyFont="1" applyFill="1" applyBorder="1"/>
    <xf numFmtId="0" fontId="28" fillId="6" borderId="13" xfId="0" applyFont="1" applyFill="1" applyBorder="1"/>
    <xf numFmtId="0" fontId="30" fillId="0" borderId="1" xfId="0" applyFont="1" applyBorder="1" applyAlignment="1">
      <alignment wrapText="1"/>
    </xf>
    <xf numFmtId="0" fontId="28" fillId="6" borderId="2" xfId="0" applyFont="1" applyFill="1" applyBorder="1"/>
    <xf numFmtId="0" fontId="34" fillId="0" borderId="1" xfId="0" applyFont="1" applyBorder="1"/>
    <xf numFmtId="0" fontId="32" fillId="0" borderId="3" xfId="0" applyFont="1" applyBorder="1"/>
    <xf numFmtId="0" fontId="3" fillId="6" borderId="1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right" wrapText="1"/>
    </xf>
    <xf numFmtId="0" fontId="2" fillId="6" borderId="0" xfId="0" applyFont="1" applyFill="1" applyAlignment="1">
      <alignment wrapText="1"/>
    </xf>
    <xf numFmtId="0" fontId="28" fillId="6" borderId="6" xfId="0" applyFont="1" applyFill="1" applyBorder="1" applyAlignment="1">
      <alignment wrapText="1"/>
    </xf>
    <xf numFmtId="0" fontId="35" fillId="6" borderId="7" xfId="0" applyFont="1" applyFill="1" applyBorder="1"/>
    <xf numFmtId="0" fontId="32" fillId="0" borderId="7" xfId="0" applyFont="1" applyBorder="1"/>
    <xf numFmtId="3" fontId="5" fillId="6" borderId="15" xfId="0" applyNumberFormat="1" applyFont="1" applyFill="1" applyBorder="1" applyAlignment="1">
      <alignment horizontal="right"/>
    </xf>
    <xf numFmtId="0" fontId="35" fillId="6" borderId="7" xfId="0" applyFont="1" applyFill="1" applyBorder="1" applyAlignment="1">
      <alignment wrapText="1"/>
    </xf>
    <xf numFmtId="0" fontId="32" fillId="6" borderId="7" xfId="0" applyFont="1" applyFill="1" applyBorder="1"/>
    <xf numFmtId="0" fontId="36" fillId="0" borderId="0" xfId="0" applyFont="1"/>
    <xf numFmtId="164" fontId="0" fillId="0" borderId="3" xfId="0" applyNumberFormat="1" applyBorder="1"/>
    <xf numFmtId="0" fontId="37" fillId="0" borderId="0" xfId="0" applyFont="1"/>
    <xf numFmtId="0" fontId="0" fillId="0" borderId="3" xfId="0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0" fillId="0" borderId="8" xfId="0" applyBorder="1"/>
    <xf numFmtId="0" fontId="1" fillId="3" borderId="23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6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4" fillId="6" borderId="7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44" fontId="1" fillId="7" borderId="3" xfId="0" applyNumberFormat="1" applyFont="1" applyFill="1" applyBorder="1" applyAlignment="1">
      <alignment horizontal="center" vertical="center"/>
    </xf>
    <xf numFmtId="44" fontId="0" fillId="0" borderId="3" xfId="0" applyNumberFormat="1" applyBorder="1"/>
    <xf numFmtId="44" fontId="32" fillId="0" borderId="3" xfId="0" applyNumberFormat="1" applyFont="1" applyBorder="1" applyAlignment="1">
      <alignment horizontal="center"/>
    </xf>
    <xf numFmtId="44" fontId="32" fillId="0" borderId="3" xfId="0" applyNumberFormat="1" applyFont="1" applyBorder="1"/>
    <xf numFmtId="44" fontId="0" fillId="0" borderId="9" xfId="0" applyNumberFormat="1" applyBorder="1"/>
    <xf numFmtId="44" fontId="0" fillId="0" borderId="7" xfId="0" applyNumberFormat="1" applyBorder="1"/>
    <xf numFmtId="44" fontId="0" fillId="0" borderId="13" xfId="0" applyNumberFormat="1" applyBorder="1"/>
    <xf numFmtId="44" fontId="0" fillId="0" borderId="0" xfId="0" applyNumberFormat="1"/>
    <xf numFmtId="0" fontId="32" fillId="0" borderId="3" xfId="0" applyFont="1" applyBorder="1" applyAlignment="1">
      <alignment horizontal="center" vertical="center" wrapText="1"/>
    </xf>
    <xf numFmtId="0" fontId="30" fillId="0" borderId="15" xfId="0" applyFont="1" applyBorder="1" applyAlignment="1">
      <alignment wrapText="1"/>
    </xf>
    <xf numFmtId="0" fontId="32" fillId="0" borderId="0" xfId="0" applyFont="1"/>
    <xf numFmtId="164" fontId="0" fillId="0" borderId="7" xfId="0" applyNumberFormat="1" applyBorder="1"/>
    <xf numFmtId="0" fontId="6" fillId="0" borderId="0" xfId="0" applyFont="1"/>
    <xf numFmtId="0" fontId="18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38" fillId="0" borderId="3" xfId="0" applyFont="1" applyBorder="1" applyAlignment="1">
      <alignment horizontal="center"/>
    </xf>
    <xf numFmtId="0" fontId="10" fillId="0" borderId="0" xfId="0" applyFont="1"/>
    <xf numFmtId="2" fontId="0" fillId="0" borderId="3" xfId="0" applyNumberFormat="1" applyBorder="1"/>
    <xf numFmtId="0" fontId="39" fillId="6" borderId="3" xfId="0" applyFont="1" applyFill="1" applyBorder="1"/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0DA3874-C803-4CD4-A1F8-7554A64F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70FA819-2C38-4E60-9272-7C5B002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46BF6FCD-5404-4585-9D89-1294FD75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3C04351-4543-4B79-A758-ABD335B50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68940B9-95EA-4C64-8BAF-ED0F5349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D803B8-99D4-4D9A-B413-C72466C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14A0222-CE91-4274-BD8B-0ACBF492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6557C26-7DFC-4332-AC52-9628C57B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DAE35F8-F0F6-45C3-A298-CD9B6E64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F51A0449-905D-4CF4-8C15-4F21DFBF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BED6B2CF-539A-4B97-9740-99FE18A5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579E416-D721-4961-99D1-D55D954F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7A4E5223-5FC3-4A43-9195-2FCFEFC2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53FA54B-BB06-4FE0-90EC-3BDF3D53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FD3B4EAD-F95A-4D18-A656-3BAF12C6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2C9C-36E7-47DE-86C3-BF0C4DB6136B}">
  <dimension ref="A1:G945"/>
  <sheetViews>
    <sheetView topLeftCell="A215" workbookViewId="0">
      <selection activeCell="D232" sqref="D232"/>
    </sheetView>
  </sheetViews>
  <sheetFormatPr defaultRowHeight="17.649999999999999" customHeight="1" x14ac:dyDescent="0.25"/>
  <cols>
    <col min="1" max="1" width="46.28515625" customWidth="1"/>
    <col min="2" max="2" width="20.5703125" customWidth="1"/>
    <col min="3" max="3" width="9.85546875" style="43" customWidth="1"/>
    <col min="4" max="4" width="13.140625" style="27" customWidth="1"/>
    <col min="5" max="5" width="15" style="27" customWidth="1"/>
    <col min="6" max="6" width="26.85546875" style="395" customWidth="1"/>
    <col min="7" max="7" width="22.85546875" customWidth="1"/>
  </cols>
  <sheetData>
    <row r="1" spans="1:7" ht="17.649999999999999" customHeight="1" x14ac:dyDescent="0.25">
      <c r="A1" s="404" t="s">
        <v>0</v>
      </c>
      <c r="B1" s="417"/>
      <c r="C1" s="444" t="s">
        <v>1</v>
      </c>
      <c r="D1" s="459" t="s">
        <v>2</v>
      </c>
      <c r="E1" s="390" t="s">
        <v>1723</v>
      </c>
      <c r="F1" s="472" t="s">
        <v>1729</v>
      </c>
      <c r="G1" t="s">
        <v>1762</v>
      </c>
    </row>
    <row r="2" spans="1:7" ht="17.649999999999999" customHeight="1" x14ac:dyDescent="0.25">
      <c r="A2" s="266" t="s">
        <v>1582</v>
      </c>
      <c r="B2" s="409"/>
      <c r="C2" s="435">
        <v>2</v>
      </c>
      <c r="D2" s="455" t="s">
        <v>1583</v>
      </c>
      <c r="E2" s="258" t="s">
        <v>4</v>
      </c>
      <c r="F2" s="471" t="s">
        <v>1745</v>
      </c>
    </row>
    <row r="3" spans="1:7" ht="17.649999999999999" customHeight="1" x14ac:dyDescent="0.25">
      <c r="A3" s="9" t="s">
        <v>1580</v>
      </c>
      <c r="B3" s="9"/>
      <c r="C3" s="36">
        <v>8</v>
      </c>
      <c r="D3" s="131" t="s">
        <v>1581</v>
      </c>
      <c r="E3" s="366" t="s">
        <v>4</v>
      </c>
      <c r="F3" s="393" t="s">
        <v>1745</v>
      </c>
    </row>
    <row r="4" spans="1:7" ht="17.649999999999999" customHeight="1" x14ac:dyDescent="0.25">
      <c r="A4" s="9" t="s">
        <v>1576</v>
      </c>
      <c r="B4" s="9"/>
      <c r="C4" s="36">
        <v>20</v>
      </c>
      <c r="D4" s="131" t="s">
        <v>1577</v>
      </c>
      <c r="E4" s="366" t="s">
        <v>4</v>
      </c>
      <c r="F4" s="393" t="s">
        <v>1745</v>
      </c>
    </row>
    <row r="5" spans="1:7" ht="17.649999999999999" customHeight="1" x14ac:dyDescent="0.25">
      <c r="A5" s="9" t="s">
        <v>1578</v>
      </c>
      <c r="B5" s="9"/>
      <c r="C5" s="36">
        <v>10</v>
      </c>
      <c r="D5" s="131" t="s">
        <v>1579</v>
      </c>
      <c r="E5" s="366" t="s">
        <v>4</v>
      </c>
      <c r="F5" s="393" t="s">
        <v>1745</v>
      </c>
    </row>
    <row r="6" spans="1:7" ht="17.649999999999999" customHeight="1" x14ac:dyDescent="0.25">
      <c r="A6" s="15" t="s">
        <v>1672</v>
      </c>
      <c r="B6" s="15" t="s">
        <v>1749</v>
      </c>
      <c r="C6" s="23">
        <v>10</v>
      </c>
      <c r="D6" s="89"/>
      <c r="E6" s="366"/>
      <c r="F6" s="393" t="s">
        <v>1746</v>
      </c>
    </row>
    <row r="7" spans="1:7" ht="17.649999999999999" customHeight="1" x14ac:dyDescent="0.25">
      <c r="A7" s="15" t="s">
        <v>1673</v>
      </c>
      <c r="B7" s="15"/>
      <c r="C7" s="23">
        <v>4</v>
      </c>
      <c r="D7" s="89"/>
      <c r="E7" s="366"/>
      <c r="F7" s="393" t="s">
        <v>1746</v>
      </c>
    </row>
    <row r="8" spans="1:7" ht="17.649999999999999" customHeight="1" x14ac:dyDescent="0.25">
      <c r="A8" s="15" t="s">
        <v>1674</v>
      </c>
      <c r="B8" s="15"/>
      <c r="C8" s="23">
        <v>4</v>
      </c>
      <c r="D8" s="89"/>
      <c r="E8" s="366"/>
      <c r="F8" s="393" t="s">
        <v>1746</v>
      </c>
    </row>
    <row r="9" spans="1:7" ht="17.649999999999999" customHeight="1" x14ac:dyDescent="0.25">
      <c r="A9" s="15" t="s">
        <v>1671</v>
      </c>
      <c r="B9" s="15"/>
      <c r="C9" s="23">
        <v>5</v>
      </c>
      <c r="D9" s="89"/>
      <c r="E9" s="366"/>
      <c r="F9" s="393" t="s">
        <v>1746</v>
      </c>
    </row>
    <row r="10" spans="1:7" ht="17.649999999999999" customHeight="1" x14ac:dyDescent="0.25">
      <c r="A10" s="15" t="s">
        <v>1675</v>
      </c>
      <c r="B10" s="15" t="s">
        <v>1871</v>
      </c>
      <c r="C10" s="23">
        <v>2</v>
      </c>
      <c r="D10" s="89"/>
      <c r="E10" s="366"/>
      <c r="F10" s="393" t="s">
        <v>1746</v>
      </c>
    </row>
    <row r="11" spans="1:7" ht="17.649999999999999" customHeight="1" x14ac:dyDescent="0.25">
      <c r="A11" s="15" t="s">
        <v>1676</v>
      </c>
      <c r="B11" s="15"/>
      <c r="C11" s="23">
        <v>30</v>
      </c>
      <c r="D11" s="89"/>
      <c r="E11" s="366"/>
      <c r="F11" s="393" t="s">
        <v>1746</v>
      </c>
    </row>
    <row r="12" spans="1:7" ht="17.649999999999999" customHeight="1" x14ac:dyDescent="0.25">
      <c r="A12" s="154" t="s">
        <v>602</v>
      </c>
      <c r="B12" s="154" t="s">
        <v>1753</v>
      </c>
      <c r="C12" s="441">
        <v>10</v>
      </c>
      <c r="D12" s="152" t="s">
        <v>33</v>
      </c>
      <c r="E12" s="184" t="s">
        <v>8</v>
      </c>
      <c r="F12" s="393" t="s">
        <v>1746</v>
      </c>
    </row>
    <row r="13" spans="1:7" ht="17.649999999999999" customHeight="1" x14ac:dyDescent="0.25">
      <c r="A13" s="154" t="s">
        <v>1606</v>
      </c>
      <c r="B13" s="154" t="s">
        <v>1885</v>
      </c>
      <c r="C13" s="441">
        <v>10</v>
      </c>
      <c r="D13" s="152" t="s">
        <v>43</v>
      </c>
      <c r="E13" s="184" t="s">
        <v>8</v>
      </c>
      <c r="F13" s="393" t="s">
        <v>1746</v>
      </c>
    </row>
    <row r="14" spans="1:7" ht="17.649999999999999" customHeight="1" x14ac:dyDescent="0.25">
      <c r="A14" s="154" t="s">
        <v>1660</v>
      </c>
      <c r="B14" s="154"/>
      <c r="C14" s="441">
        <v>5</v>
      </c>
      <c r="D14" s="152" t="s">
        <v>559</v>
      </c>
      <c r="E14" s="184" t="s">
        <v>8</v>
      </c>
      <c r="F14" s="393" t="s">
        <v>1746</v>
      </c>
    </row>
    <row r="15" spans="1:7" ht="17.649999999999999" customHeight="1" x14ac:dyDescent="0.25">
      <c r="A15" s="180" t="s">
        <v>1661</v>
      </c>
      <c r="B15" s="180"/>
      <c r="C15" s="437">
        <v>10</v>
      </c>
      <c r="D15" s="143" t="s">
        <v>1165</v>
      </c>
      <c r="E15" s="365" t="s">
        <v>8</v>
      </c>
      <c r="F15" s="393" t="s">
        <v>1746</v>
      </c>
    </row>
    <row r="16" spans="1:7" ht="17.649999999999999" customHeight="1" x14ac:dyDescent="0.25">
      <c r="A16" s="154" t="s">
        <v>52</v>
      </c>
      <c r="B16" s="88" t="s">
        <v>1900</v>
      </c>
      <c r="C16" s="188">
        <v>5</v>
      </c>
      <c r="D16" s="152" t="s">
        <v>53</v>
      </c>
      <c r="E16" s="184" t="s">
        <v>8</v>
      </c>
      <c r="F16" s="393" t="s">
        <v>1746</v>
      </c>
    </row>
    <row r="17" spans="1:7" ht="17.649999999999999" customHeight="1" x14ac:dyDescent="0.25">
      <c r="A17" s="154" t="s">
        <v>1613</v>
      </c>
      <c r="B17" s="154" t="s">
        <v>1910</v>
      </c>
      <c r="C17" s="441">
        <v>10</v>
      </c>
      <c r="D17" s="152" t="s">
        <v>55</v>
      </c>
      <c r="E17" s="184" t="s">
        <v>8</v>
      </c>
      <c r="F17" s="393" t="s">
        <v>1746</v>
      </c>
    </row>
    <row r="18" spans="1:7" ht="17.649999999999999" customHeight="1" x14ac:dyDescent="0.25">
      <c r="A18" s="153" t="s">
        <v>1662</v>
      </c>
      <c r="B18" s="153" t="s">
        <v>1945</v>
      </c>
      <c r="C18" s="441">
        <v>10</v>
      </c>
      <c r="D18" s="152" t="s">
        <v>711</v>
      </c>
      <c r="E18" s="184" t="s">
        <v>8</v>
      </c>
      <c r="F18" s="393" t="s">
        <v>1746</v>
      </c>
      <c r="G18" t="s">
        <v>1946</v>
      </c>
    </row>
    <row r="19" spans="1:7" ht="17.649999999999999" customHeight="1" x14ac:dyDescent="0.25">
      <c r="A19" s="153" t="s">
        <v>1663</v>
      </c>
      <c r="B19" s="153" t="s">
        <v>1947</v>
      </c>
      <c r="C19" s="392">
        <v>5</v>
      </c>
      <c r="D19" s="152" t="s">
        <v>252</v>
      </c>
      <c r="E19" s="184" t="s">
        <v>8</v>
      </c>
      <c r="F19" s="393" t="s">
        <v>1746</v>
      </c>
    </row>
    <row r="20" spans="1:7" ht="17.649999999999999" customHeight="1" x14ac:dyDescent="0.25">
      <c r="A20" s="179" t="s">
        <v>1664</v>
      </c>
      <c r="B20" s="179"/>
      <c r="C20" s="447">
        <v>10</v>
      </c>
      <c r="D20" s="143" t="s">
        <v>1165</v>
      </c>
      <c r="E20" s="365" t="s">
        <v>8</v>
      </c>
      <c r="F20" s="393" t="s">
        <v>1746</v>
      </c>
    </row>
    <row r="21" spans="1:7" ht="17.649999999999999" customHeight="1" x14ac:dyDescent="0.25">
      <c r="A21" s="179" t="s">
        <v>1665</v>
      </c>
      <c r="B21" s="179"/>
      <c r="C21" s="447">
        <v>10</v>
      </c>
      <c r="D21" s="143" t="s">
        <v>1165</v>
      </c>
      <c r="E21" s="365" t="s">
        <v>8</v>
      </c>
      <c r="F21" s="393" t="s">
        <v>1746</v>
      </c>
    </row>
    <row r="22" spans="1:7" ht="17.649999999999999" customHeight="1" x14ac:dyDescent="0.25">
      <c r="A22" s="153" t="s">
        <v>1608</v>
      </c>
      <c r="B22" s="153" t="s">
        <v>1991</v>
      </c>
      <c r="C22" s="392">
        <v>18</v>
      </c>
      <c r="D22" s="152" t="s">
        <v>1609</v>
      </c>
      <c r="E22" s="184" t="s">
        <v>8</v>
      </c>
      <c r="F22" s="393" t="s">
        <v>1746</v>
      </c>
    </row>
    <row r="23" spans="1:7" ht="17.649999999999999" customHeight="1" x14ac:dyDescent="0.25">
      <c r="A23" s="180" t="s">
        <v>1666</v>
      </c>
      <c r="B23" s="180" t="s">
        <v>1992</v>
      </c>
      <c r="C23" s="437">
        <v>6</v>
      </c>
      <c r="D23" s="143" t="s">
        <v>1165</v>
      </c>
      <c r="E23" s="365" t="s">
        <v>8</v>
      </c>
      <c r="F23" s="393" t="s">
        <v>1746</v>
      </c>
    </row>
    <row r="24" spans="1:7" ht="17.649999999999999" customHeight="1" x14ac:dyDescent="0.25">
      <c r="A24" s="154" t="s">
        <v>1667</v>
      </c>
      <c r="B24" s="154" t="s">
        <v>1998</v>
      </c>
      <c r="C24" s="441">
        <v>5</v>
      </c>
      <c r="D24" s="152" t="s">
        <v>522</v>
      </c>
      <c r="E24" s="184" t="s">
        <v>8</v>
      </c>
      <c r="F24" s="393" t="s">
        <v>1746</v>
      </c>
    </row>
    <row r="25" spans="1:7" ht="17.649999999999999" customHeight="1" x14ac:dyDescent="0.25">
      <c r="A25" s="153" t="s">
        <v>1668</v>
      </c>
      <c r="B25" s="19" t="s">
        <v>1993</v>
      </c>
      <c r="C25" s="392">
        <v>16</v>
      </c>
      <c r="D25" s="152" t="s">
        <v>1669</v>
      </c>
      <c r="E25" s="184" t="s">
        <v>8</v>
      </c>
      <c r="F25" s="393" t="s">
        <v>1746</v>
      </c>
    </row>
    <row r="26" spans="1:7" ht="17.649999999999999" customHeight="1" x14ac:dyDescent="0.25">
      <c r="A26" s="153" t="s">
        <v>632</v>
      </c>
      <c r="B26" s="153" t="s">
        <v>2002</v>
      </c>
      <c r="C26" s="392">
        <v>20</v>
      </c>
      <c r="D26" s="152" t="s">
        <v>633</v>
      </c>
      <c r="E26" s="184" t="s">
        <v>8</v>
      </c>
      <c r="F26" s="393" t="s">
        <v>1746</v>
      </c>
    </row>
    <row r="27" spans="1:7" ht="17.649999999999999" customHeight="1" x14ac:dyDescent="0.25">
      <c r="A27" s="154" t="s">
        <v>1670</v>
      </c>
      <c r="B27" s="154" t="s">
        <v>1867</v>
      </c>
      <c r="C27" s="441">
        <v>30</v>
      </c>
      <c r="D27" s="152" t="s">
        <v>1605</v>
      </c>
      <c r="E27" s="184" t="s">
        <v>8</v>
      </c>
      <c r="F27" s="393" t="s">
        <v>1746</v>
      </c>
    </row>
    <row r="28" spans="1:7" ht="17.649999999999999" customHeight="1" x14ac:dyDescent="0.25">
      <c r="A28" s="19" t="s">
        <v>309</v>
      </c>
      <c r="B28" s="15" t="s">
        <v>1749</v>
      </c>
      <c r="C28" s="36">
        <v>1</v>
      </c>
      <c r="D28" s="131" t="s">
        <v>310</v>
      </c>
      <c r="E28" s="205" t="s">
        <v>8</v>
      </c>
      <c r="F28" s="393" t="s">
        <v>1730</v>
      </c>
    </row>
    <row r="29" spans="1:7" ht="17.649999999999999" customHeight="1" x14ac:dyDescent="0.25">
      <c r="A29" s="19" t="s">
        <v>312</v>
      </c>
      <c r="B29" s="19" t="s">
        <v>1752</v>
      </c>
      <c r="C29" s="36">
        <v>1</v>
      </c>
      <c r="D29" s="131">
        <v>744600</v>
      </c>
      <c r="E29" s="205" t="s">
        <v>162</v>
      </c>
      <c r="F29" s="393" t="s">
        <v>1730</v>
      </c>
    </row>
    <row r="30" spans="1:7" ht="17.649999999999999" customHeight="1" x14ac:dyDescent="0.25">
      <c r="A30" s="31" t="s">
        <v>311</v>
      </c>
      <c r="B30" s="31"/>
      <c r="C30" s="37">
        <v>1</v>
      </c>
      <c r="D30" s="131">
        <v>752200</v>
      </c>
      <c r="E30" s="205" t="s">
        <v>162</v>
      </c>
      <c r="F30" s="393" t="s">
        <v>1730</v>
      </c>
    </row>
    <row r="31" spans="1:7" ht="17.649999999999999" customHeight="1" x14ac:dyDescent="0.25">
      <c r="A31" s="19" t="s">
        <v>313</v>
      </c>
      <c r="B31" s="19"/>
      <c r="C31" s="36">
        <v>1</v>
      </c>
      <c r="D31" s="131">
        <v>662250</v>
      </c>
      <c r="E31" s="205" t="s">
        <v>314</v>
      </c>
      <c r="F31" s="393" t="s">
        <v>1730</v>
      </c>
    </row>
    <row r="32" spans="1:7" ht="17.649999999999999" customHeight="1" x14ac:dyDescent="0.25">
      <c r="A32" s="19" t="s">
        <v>315</v>
      </c>
      <c r="B32" s="19"/>
      <c r="C32" s="36">
        <v>1</v>
      </c>
      <c r="D32" s="131" t="s">
        <v>316</v>
      </c>
      <c r="E32" s="205" t="s">
        <v>8</v>
      </c>
      <c r="F32" s="393" t="s">
        <v>1730</v>
      </c>
    </row>
    <row r="33" spans="1:6" ht="17.649999999999999" customHeight="1" x14ac:dyDescent="0.25">
      <c r="A33" s="19" t="s">
        <v>317</v>
      </c>
      <c r="B33" s="19"/>
      <c r="C33" s="36">
        <v>1</v>
      </c>
      <c r="D33" s="131" t="s">
        <v>318</v>
      </c>
      <c r="E33" s="205" t="s">
        <v>8</v>
      </c>
      <c r="F33" s="393" t="s">
        <v>1730</v>
      </c>
    </row>
    <row r="34" spans="1:6" ht="17.649999999999999" customHeight="1" x14ac:dyDescent="0.25">
      <c r="A34" s="19" t="s">
        <v>319</v>
      </c>
      <c r="B34" s="19"/>
      <c r="C34" s="36">
        <v>1</v>
      </c>
      <c r="D34" s="131" t="s">
        <v>320</v>
      </c>
      <c r="E34" s="205" t="s">
        <v>8</v>
      </c>
      <c r="F34" s="393" t="s">
        <v>1730</v>
      </c>
    </row>
    <row r="35" spans="1:6" ht="17.649999999999999" customHeight="1" x14ac:dyDescent="0.25">
      <c r="A35" s="19" t="s">
        <v>323</v>
      </c>
      <c r="B35" s="19"/>
      <c r="C35" s="36">
        <v>1</v>
      </c>
      <c r="D35" s="131" t="s">
        <v>324</v>
      </c>
      <c r="E35" s="205" t="s">
        <v>8</v>
      </c>
      <c r="F35" s="393" t="s">
        <v>1730</v>
      </c>
    </row>
    <row r="36" spans="1:6" ht="17.649999999999999" customHeight="1" x14ac:dyDescent="0.25">
      <c r="A36" s="19" t="s">
        <v>321</v>
      </c>
      <c r="B36" s="19" t="s">
        <v>1827</v>
      </c>
      <c r="C36" s="36">
        <v>1</v>
      </c>
      <c r="D36" s="131" t="s">
        <v>322</v>
      </c>
      <c r="E36" s="205" t="s">
        <v>8</v>
      </c>
      <c r="F36" s="393" t="s">
        <v>1730</v>
      </c>
    </row>
    <row r="37" spans="1:6" ht="17.649999999999999" customHeight="1" x14ac:dyDescent="0.25">
      <c r="A37" s="19" t="s">
        <v>325</v>
      </c>
      <c r="B37" s="19"/>
      <c r="C37" s="36">
        <v>1</v>
      </c>
      <c r="D37" s="131" t="s">
        <v>326</v>
      </c>
      <c r="E37" s="205" t="s">
        <v>162</v>
      </c>
      <c r="F37" s="393" t="s">
        <v>1730</v>
      </c>
    </row>
    <row r="38" spans="1:6" ht="17.649999999999999" customHeight="1" x14ac:dyDescent="0.25">
      <c r="A38" s="19" t="s">
        <v>327</v>
      </c>
      <c r="B38" s="19"/>
      <c r="C38" s="36">
        <v>1</v>
      </c>
      <c r="D38" s="131">
        <v>744401</v>
      </c>
      <c r="E38" s="205" t="s">
        <v>162</v>
      </c>
      <c r="F38" s="393" t="s">
        <v>1730</v>
      </c>
    </row>
    <row r="39" spans="1:6" ht="17.649999999999999" customHeight="1" x14ac:dyDescent="0.25">
      <c r="A39" s="19" t="s">
        <v>328</v>
      </c>
      <c r="B39" s="19"/>
      <c r="C39" s="36">
        <v>1</v>
      </c>
      <c r="D39" s="131">
        <v>744402</v>
      </c>
      <c r="E39" s="205" t="s">
        <v>162</v>
      </c>
      <c r="F39" s="393" t="s">
        <v>1730</v>
      </c>
    </row>
    <row r="40" spans="1:6" ht="17.649999999999999" customHeight="1" x14ac:dyDescent="0.25">
      <c r="A40" s="19" t="s">
        <v>329</v>
      </c>
      <c r="B40" s="19"/>
      <c r="C40" s="36">
        <v>1</v>
      </c>
      <c r="D40" s="131">
        <v>744403</v>
      </c>
      <c r="E40" s="205" t="s">
        <v>162</v>
      </c>
      <c r="F40" s="393" t="s">
        <v>1730</v>
      </c>
    </row>
    <row r="41" spans="1:6" ht="17.649999999999999" customHeight="1" x14ac:dyDescent="0.25">
      <c r="A41" s="19" t="s">
        <v>38</v>
      </c>
      <c r="B41" s="9" t="s">
        <v>1883</v>
      </c>
      <c r="C41" s="36">
        <v>2</v>
      </c>
      <c r="D41" s="131" t="s">
        <v>39</v>
      </c>
      <c r="E41" s="205" t="s">
        <v>8</v>
      </c>
      <c r="F41" s="393" t="s">
        <v>1730</v>
      </c>
    </row>
    <row r="42" spans="1:6" ht="17.649999999999999" customHeight="1" x14ac:dyDescent="0.25">
      <c r="A42" s="19" t="s">
        <v>46</v>
      </c>
      <c r="B42" s="194" t="s">
        <v>1889</v>
      </c>
      <c r="C42" s="36">
        <v>1</v>
      </c>
      <c r="D42" s="131" t="s">
        <v>47</v>
      </c>
      <c r="E42" s="205" t="s">
        <v>8</v>
      </c>
      <c r="F42" s="393" t="s">
        <v>1730</v>
      </c>
    </row>
    <row r="43" spans="1:6" ht="17.649999999999999" customHeight="1" x14ac:dyDescent="0.25">
      <c r="A43" s="19" t="s">
        <v>306</v>
      </c>
      <c r="B43" s="19" t="s">
        <v>1896</v>
      </c>
      <c r="C43" s="36">
        <v>2</v>
      </c>
      <c r="D43" s="131">
        <v>971</v>
      </c>
      <c r="E43" s="205" t="s">
        <v>4</v>
      </c>
      <c r="F43" s="393" t="s">
        <v>1730</v>
      </c>
    </row>
    <row r="44" spans="1:6" ht="17.649999999999999" customHeight="1" x14ac:dyDescent="0.25">
      <c r="A44" s="19" t="s">
        <v>308</v>
      </c>
      <c r="B44" s="21" t="s">
        <v>1895</v>
      </c>
      <c r="C44" s="36">
        <v>2</v>
      </c>
      <c r="D44" s="131">
        <v>957</v>
      </c>
      <c r="E44" s="205" t="s">
        <v>4</v>
      </c>
      <c r="F44" s="393" t="s">
        <v>1730</v>
      </c>
    </row>
    <row r="45" spans="1:6" ht="17.649999999999999" customHeight="1" x14ac:dyDescent="0.25">
      <c r="A45" s="19" t="s">
        <v>330</v>
      </c>
      <c r="B45" s="19" t="s">
        <v>1897</v>
      </c>
      <c r="C45" s="36">
        <v>1</v>
      </c>
      <c r="D45" s="131" t="s">
        <v>331</v>
      </c>
      <c r="E45" s="205" t="s">
        <v>8</v>
      </c>
      <c r="F45" s="393" t="s">
        <v>1730</v>
      </c>
    </row>
    <row r="46" spans="1:6" ht="17.649999999999999" customHeight="1" x14ac:dyDescent="0.25">
      <c r="A46" s="19" t="s">
        <v>332</v>
      </c>
      <c r="B46" s="19" t="s">
        <v>1899</v>
      </c>
      <c r="C46" s="36">
        <v>1</v>
      </c>
      <c r="D46" s="131" t="s">
        <v>333</v>
      </c>
      <c r="E46" s="205" t="s">
        <v>8</v>
      </c>
      <c r="F46" s="393" t="s">
        <v>1730</v>
      </c>
    </row>
    <row r="47" spans="1:6" ht="17.649999999999999" customHeight="1" x14ac:dyDescent="0.25">
      <c r="A47" s="19" t="s">
        <v>335</v>
      </c>
      <c r="B47" s="88" t="s">
        <v>1900</v>
      </c>
      <c r="C47" s="36">
        <v>1</v>
      </c>
      <c r="D47" s="131" t="s">
        <v>53</v>
      </c>
      <c r="E47" s="205" t="s">
        <v>8</v>
      </c>
      <c r="F47" s="393" t="s">
        <v>1730</v>
      </c>
    </row>
    <row r="48" spans="1:6" ht="17.649999999999999" customHeight="1" x14ac:dyDescent="0.25">
      <c r="A48" s="19" t="s">
        <v>58</v>
      </c>
      <c r="B48" s="194" t="s">
        <v>1915</v>
      </c>
      <c r="C48" s="36">
        <v>1</v>
      </c>
      <c r="D48" s="131" t="s">
        <v>59</v>
      </c>
      <c r="E48" s="205" t="s">
        <v>8</v>
      </c>
      <c r="F48" s="393" t="s">
        <v>1730</v>
      </c>
    </row>
    <row r="49" spans="1:7" ht="17.649999999999999" customHeight="1" x14ac:dyDescent="0.25">
      <c r="A49" s="19" t="s">
        <v>336</v>
      </c>
      <c r="B49" s="19"/>
      <c r="C49" s="36">
        <v>1</v>
      </c>
      <c r="D49" s="131" t="s">
        <v>337</v>
      </c>
      <c r="E49" s="205" t="s">
        <v>4</v>
      </c>
      <c r="F49" s="393" t="s">
        <v>1730</v>
      </c>
    </row>
    <row r="50" spans="1:7" ht="17.649999999999999" customHeight="1" x14ac:dyDescent="0.25">
      <c r="A50" s="19" t="s">
        <v>338</v>
      </c>
      <c r="B50" s="317" t="s">
        <v>1931</v>
      </c>
      <c r="C50" s="36">
        <v>2</v>
      </c>
      <c r="D50" s="131" t="s">
        <v>66</v>
      </c>
      <c r="E50" s="205" t="s">
        <v>8</v>
      </c>
      <c r="F50" s="393" t="s">
        <v>1730</v>
      </c>
    </row>
    <row r="51" spans="1:7" ht="17.649999999999999" customHeight="1" x14ac:dyDescent="0.25">
      <c r="A51" s="19" t="s">
        <v>339</v>
      </c>
      <c r="B51" s="194" t="s">
        <v>1932</v>
      </c>
      <c r="C51" s="36">
        <v>2</v>
      </c>
      <c r="D51" s="131" t="s">
        <v>68</v>
      </c>
      <c r="E51" s="205" t="s">
        <v>8</v>
      </c>
      <c r="F51" s="393" t="s">
        <v>1730</v>
      </c>
    </row>
    <row r="52" spans="1:7" ht="17.649999999999999" customHeight="1" x14ac:dyDescent="0.25">
      <c r="A52" s="19" t="s">
        <v>340</v>
      </c>
      <c r="B52" s="19" t="s">
        <v>1950</v>
      </c>
      <c r="C52" s="36">
        <v>1</v>
      </c>
      <c r="D52" s="131" t="s">
        <v>341</v>
      </c>
      <c r="E52" s="205" t="s">
        <v>8</v>
      </c>
      <c r="F52" s="393" t="s">
        <v>1730</v>
      </c>
    </row>
    <row r="53" spans="1:7" ht="17.649999999999999" customHeight="1" x14ac:dyDescent="0.25">
      <c r="A53" s="19" t="s">
        <v>342</v>
      </c>
      <c r="B53" s="19" t="s">
        <v>1951</v>
      </c>
      <c r="C53" s="36">
        <v>1</v>
      </c>
      <c r="D53" s="131" t="s">
        <v>343</v>
      </c>
      <c r="E53" s="205" t="s">
        <v>8</v>
      </c>
      <c r="F53" s="393" t="s">
        <v>1730</v>
      </c>
    </row>
    <row r="54" spans="1:7" ht="17.649999999999999" customHeight="1" x14ac:dyDescent="0.25">
      <c r="A54" s="19" t="s">
        <v>344</v>
      </c>
      <c r="B54" s="19"/>
      <c r="C54" s="36">
        <v>2</v>
      </c>
      <c r="D54" s="131" t="s">
        <v>345</v>
      </c>
      <c r="E54" s="205" t="s">
        <v>8</v>
      </c>
      <c r="F54" s="393" t="s">
        <v>1730</v>
      </c>
    </row>
    <row r="55" spans="1:7" ht="17.649999999999999" customHeight="1" x14ac:dyDescent="0.25">
      <c r="A55" s="19" t="s">
        <v>347</v>
      </c>
      <c r="B55" s="19" t="s">
        <v>1798</v>
      </c>
      <c r="C55" s="36">
        <v>1</v>
      </c>
      <c r="D55" s="131" t="s">
        <v>131</v>
      </c>
      <c r="E55" s="205" t="s">
        <v>8</v>
      </c>
      <c r="F55" s="393" t="s">
        <v>1730</v>
      </c>
    </row>
    <row r="56" spans="1:7" ht="17.649999999999999" customHeight="1" x14ac:dyDescent="0.25">
      <c r="A56" s="19" t="s">
        <v>348</v>
      </c>
      <c r="B56" s="19" t="s">
        <v>1966</v>
      </c>
      <c r="C56" s="36">
        <v>1</v>
      </c>
      <c r="D56" s="131" t="s">
        <v>115</v>
      </c>
      <c r="E56" s="205" t="s">
        <v>8</v>
      </c>
      <c r="F56" s="393" t="s">
        <v>1730</v>
      </c>
    </row>
    <row r="57" spans="1:7" ht="17.649999999999999" customHeight="1" x14ac:dyDescent="0.25">
      <c r="A57" s="19" t="s">
        <v>349</v>
      </c>
      <c r="B57" s="19" t="s">
        <v>2003</v>
      </c>
      <c r="C57" s="36">
        <v>1</v>
      </c>
      <c r="D57" s="131" t="s">
        <v>350</v>
      </c>
      <c r="E57" s="205" t="s">
        <v>8</v>
      </c>
      <c r="F57" s="393" t="s">
        <v>1730</v>
      </c>
    </row>
    <row r="58" spans="1:7" ht="17.649999999999999" customHeight="1" x14ac:dyDescent="0.25">
      <c r="A58" s="19" t="s">
        <v>99</v>
      </c>
      <c r="B58" s="9" t="s">
        <v>2006</v>
      </c>
      <c r="C58" s="36">
        <v>1</v>
      </c>
      <c r="D58" s="131" t="s">
        <v>351</v>
      </c>
      <c r="E58" s="205" t="s">
        <v>8</v>
      </c>
      <c r="F58" s="393" t="s">
        <v>1730</v>
      </c>
    </row>
    <row r="59" spans="1:7" ht="17.649999999999999" customHeight="1" x14ac:dyDescent="0.25">
      <c r="A59" s="15" t="s">
        <v>353</v>
      </c>
      <c r="B59" s="15"/>
      <c r="C59" s="23"/>
      <c r="D59" s="89">
        <v>662550</v>
      </c>
      <c r="E59" s="366" t="s">
        <v>314</v>
      </c>
      <c r="F59" s="393" t="s">
        <v>1731</v>
      </c>
    </row>
    <row r="60" spans="1:7" ht="17.649999999999999" customHeight="1" x14ac:dyDescent="0.25">
      <c r="A60" s="15" t="s">
        <v>354</v>
      </c>
      <c r="B60" s="15"/>
      <c r="C60" s="23"/>
      <c r="D60" s="89" t="s">
        <v>355</v>
      </c>
      <c r="E60" s="366" t="s">
        <v>356</v>
      </c>
      <c r="F60" s="393" t="s">
        <v>1731</v>
      </c>
    </row>
    <row r="61" spans="1:7" ht="17.649999999999999" customHeight="1" x14ac:dyDescent="0.25">
      <c r="A61" s="15" t="s">
        <v>357</v>
      </c>
      <c r="B61" s="15"/>
      <c r="C61" s="23"/>
      <c r="D61" s="89" t="s">
        <v>358</v>
      </c>
      <c r="E61" s="366" t="s">
        <v>356</v>
      </c>
      <c r="F61" s="393" t="s">
        <v>1731</v>
      </c>
    </row>
    <row r="62" spans="1:7" ht="17.649999999999999" customHeight="1" x14ac:dyDescent="0.25">
      <c r="A62" s="194" t="s">
        <v>175</v>
      </c>
      <c r="B62" s="15" t="s">
        <v>1749</v>
      </c>
      <c r="C62" s="195">
        <v>3</v>
      </c>
      <c r="D62" s="292" t="s">
        <v>176</v>
      </c>
      <c r="E62" s="297" t="s">
        <v>8</v>
      </c>
      <c r="F62" s="393" t="s">
        <v>1728</v>
      </c>
    </row>
    <row r="63" spans="1:7" ht="17.649999999999999" customHeight="1" x14ac:dyDescent="0.25">
      <c r="A63" s="194" t="s">
        <v>195</v>
      </c>
      <c r="B63" s="194" t="s">
        <v>1759</v>
      </c>
      <c r="C63" s="195">
        <v>2</v>
      </c>
      <c r="D63" s="292" t="s">
        <v>196</v>
      </c>
      <c r="E63" s="297" t="s">
        <v>8</v>
      </c>
      <c r="F63" s="393" t="s">
        <v>1728</v>
      </c>
    </row>
    <row r="64" spans="1:7" ht="17.649999999999999" customHeight="1" x14ac:dyDescent="0.25">
      <c r="A64" s="194" t="s">
        <v>163</v>
      </c>
      <c r="B64" s="396" t="s">
        <v>1760</v>
      </c>
      <c r="C64" s="197">
        <v>3</v>
      </c>
      <c r="D64" s="292">
        <v>2997</v>
      </c>
      <c r="E64" s="297" t="s">
        <v>4</v>
      </c>
      <c r="F64" s="393" t="s">
        <v>1728</v>
      </c>
      <c r="G64" t="s">
        <v>1761</v>
      </c>
    </row>
    <row r="65" spans="1:7" ht="17.649999999999999" customHeight="1" x14ac:dyDescent="0.25">
      <c r="A65" s="194" t="s">
        <v>189</v>
      </c>
      <c r="B65" s="194" t="s">
        <v>1764</v>
      </c>
      <c r="C65" s="197">
        <v>6</v>
      </c>
      <c r="D65" s="292" t="s">
        <v>190</v>
      </c>
      <c r="E65" s="297" t="s">
        <v>8</v>
      </c>
      <c r="F65" s="393" t="s">
        <v>1728</v>
      </c>
      <c r="G65" t="s">
        <v>1766</v>
      </c>
    </row>
    <row r="66" spans="1:7" ht="17.649999999999999" customHeight="1" x14ac:dyDescent="0.25">
      <c r="A66" s="194" t="s">
        <v>191</v>
      </c>
      <c r="B66" s="194" t="s">
        <v>1765</v>
      </c>
      <c r="C66" s="195">
        <v>7</v>
      </c>
      <c r="D66" s="292" t="s">
        <v>192</v>
      </c>
      <c r="E66" s="297" t="s">
        <v>8</v>
      </c>
      <c r="F66" s="393" t="s">
        <v>1728</v>
      </c>
      <c r="G66" t="s">
        <v>1766</v>
      </c>
    </row>
    <row r="67" spans="1:7" ht="17.649999999999999" customHeight="1" x14ac:dyDescent="0.25">
      <c r="A67" s="194" t="s">
        <v>11</v>
      </c>
      <c r="B67" s="88" t="s">
        <v>1767</v>
      </c>
      <c r="C67" s="197">
        <v>10</v>
      </c>
      <c r="D67" s="292" t="s">
        <v>12</v>
      </c>
      <c r="E67" s="297" t="s">
        <v>8</v>
      </c>
      <c r="F67" s="393" t="s">
        <v>1728</v>
      </c>
    </row>
    <row r="68" spans="1:7" ht="17.649999999999999" customHeight="1" x14ac:dyDescent="0.25">
      <c r="A68" s="194" t="s">
        <v>13</v>
      </c>
      <c r="B68" s="21" t="s">
        <v>1756</v>
      </c>
      <c r="C68" s="195">
        <v>10</v>
      </c>
      <c r="D68" s="292" t="s">
        <v>14</v>
      </c>
      <c r="E68" s="297" t="s">
        <v>8</v>
      </c>
      <c r="F68" s="393" t="s">
        <v>1728</v>
      </c>
    </row>
    <row r="69" spans="1:7" ht="17.649999999999999" customHeight="1" x14ac:dyDescent="0.25">
      <c r="A69" s="194" t="s">
        <v>15</v>
      </c>
      <c r="B69" s="194" t="s">
        <v>1769</v>
      </c>
      <c r="C69" s="197">
        <v>5</v>
      </c>
      <c r="D69" s="292" t="s">
        <v>16</v>
      </c>
      <c r="E69" s="297" t="s">
        <v>8</v>
      </c>
      <c r="F69" s="393" t="s">
        <v>1728</v>
      </c>
    </row>
    <row r="70" spans="1:7" ht="17.649999999999999" customHeight="1" x14ac:dyDescent="0.25">
      <c r="A70" s="194" t="s">
        <v>6</v>
      </c>
      <c r="B70" s="22" t="s">
        <v>1768</v>
      </c>
      <c r="C70" s="195">
        <v>5</v>
      </c>
      <c r="D70" s="292" t="s">
        <v>7</v>
      </c>
      <c r="E70" s="297" t="s">
        <v>8</v>
      </c>
      <c r="F70" s="393" t="s">
        <v>1728</v>
      </c>
    </row>
    <row r="71" spans="1:7" ht="17.649999999999999" customHeight="1" x14ac:dyDescent="0.25">
      <c r="A71" s="194" t="s">
        <v>253</v>
      </c>
      <c r="B71" s="194"/>
      <c r="C71" s="195">
        <v>1</v>
      </c>
      <c r="D71" s="292" t="s">
        <v>254</v>
      </c>
      <c r="E71" s="297" t="s">
        <v>8</v>
      </c>
      <c r="F71" s="393" t="s">
        <v>1728</v>
      </c>
    </row>
    <row r="72" spans="1:7" ht="17.649999999999999" customHeight="1" x14ac:dyDescent="0.25">
      <c r="A72" s="194" t="s">
        <v>255</v>
      </c>
      <c r="B72" s="194" t="s">
        <v>1770</v>
      </c>
      <c r="C72" s="197">
        <v>4</v>
      </c>
      <c r="D72" s="292" t="s">
        <v>256</v>
      </c>
      <c r="E72" s="297" t="s">
        <v>8</v>
      </c>
      <c r="F72" s="393" t="s">
        <v>1728</v>
      </c>
    </row>
    <row r="73" spans="1:7" ht="17.649999999999999" customHeight="1" x14ac:dyDescent="0.25">
      <c r="A73" s="194" t="s">
        <v>197</v>
      </c>
      <c r="B73" s="400">
        <v>10425</v>
      </c>
      <c r="C73" s="197">
        <v>1</v>
      </c>
      <c r="D73" s="292" t="s">
        <v>198</v>
      </c>
      <c r="E73" s="297" t="s">
        <v>8</v>
      </c>
      <c r="F73" s="393" t="s">
        <v>1728</v>
      </c>
      <c r="G73" t="s">
        <v>1771</v>
      </c>
    </row>
    <row r="74" spans="1:7" ht="17.649999999999999" customHeight="1" x14ac:dyDescent="0.25">
      <c r="A74" s="194" t="s">
        <v>199</v>
      </c>
      <c r="B74" s="194" t="s">
        <v>1772</v>
      </c>
      <c r="C74" s="195">
        <v>5</v>
      </c>
      <c r="D74" s="292" t="s">
        <v>200</v>
      </c>
      <c r="E74" s="297" t="s">
        <v>8</v>
      </c>
      <c r="F74" s="393" t="s">
        <v>1728</v>
      </c>
    </row>
    <row r="75" spans="1:7" ht="17.649999999999999" customHeight="1" x14ac:dyDescent="0.25">
      <c r="A75" s="194" t="s">
        <v>201</v>
      </c>
      <c r="B75" s="194" t="s">
        <v>1773</v>
      </c>
      <c r="C75" s="197">
        <v>3</v>
      </c>
      <c r="D75" s="292" t="s">
        <v>202</v>
      </c>
      <c r="E75" s="297" t="s">
        <v>8</v>
      </c>
      <c r="F75" s="393" t="s">
        <v>1728</v>
      </c>
    </row>
    <row r="76" spans="1:7" ht="17.649999999999999" customHeight="1" x14ac:dyDescent="0.25">
      <c r="A76" s="194" t="s">
        <v>203</v>
      </c>
      <c r="B76" s="194" t="s">
        <v>1774</v>
      </c>
      <c r="C76" s="195">
        <v>3</v>
      </c>
      <c r="D76" s="292" t="s">
        <v>204</v>
      </c>
      <c r="E76" s="297" t="s">
        <v>8</v>
      </c>
      <c r="F76" s="393" t="s">
        <v>1728</v>
      </c>
    </row>
    <row r="77" spans="1:7" ht="17.649999999999999" customHeight="1" x14ac:dyDescent="0.25">
      <c r="A77" s="194" t="s">
        <v>17</v>
      </c>
      <c r="B77" s="194" t="s">
        <v>1780</v>
      </c>
      <c r="C77" s="195">
        <v>3</v>
      </c>
      <c r="D77" s="292" t="s">
        <v>18</v>
      </c>
      <c r="E77" s="297" t="s">
        <v>8</v>
      </c>
      <c r="F77" s="393" t="s">
        <v>1728</v>
      </c>
    </row>
    <row r="78" spans="1:7" ht="17.649999999999999" customHeight="1" x14ac:dyDescent="0.25">
      <c r="A78" s="194" t="s">
        <v>19</v>
      </c>
      <c r="B78" s="194" t="s">
        <v>1781</v>
      </c>
      <c r="C78" s="197">
        <v>3</v>
      </c>
      <c r="D78" s="292" t="s">
        <v>20</v>
      </c>
      <c r="E78" s="297" t="s">
        <v>8</v>
      </c>
      <c r="F78" s="393" t="s">
        <v>1728</v>
      </c>
    </row>
    <row r="79" spans="1:7" ht="17.649999999999999" customHeight="1" x14ac:dyDescent="0.25">
      <c r="A79" s="194" t="s">
        <v>21</v>
      </c>
      <c r="B79" s="88" t="s">
        <v>1779</v>
      </c>
      <c r="C79" s="195">
        <v>3</v>
      </c>
      <c r="D79" s="292" t="s">
        <v>22</v>
      </c>
      <c r="E79" s="297" t="s">
        <v>8</v>
      </c>
      <c r="F79" s="393" t="s">
        <v>1728</v>
      </c>
    </row>
    <row r="80" spans="1:7" ht="17.649999999999999" customHeight="1" x14ac:dyDescent="0.25">
      <c r="A80" s="194" t="s">
        <v>231</v>
      </c>
      <c r="B80" s="194" t="s">
        <v>1758</v>
      </c>
      <c r="C80" s="197">
        <v>4</v>
      </c>
      <c r="D80" s="292" t="s">
        <v>232</v>
      </c>
      <c r="E80" s="297" t="s">
        <v>8</v>
      </c>
      <c r="F80" s="393" t="s">
        <v>1728</v>
      </c>
    </row>
    <row r="81" spans="1:7" ht="17.649999999999999" customHeight="1" x14ac:dyDescent="0.25">
      <c r="A81" s="194" t="s">
        <v>233</v>
      </c>
      <c r="B81" s="194" t="s">
        <v>1783</v>
      </c>
      <c r="C81" s="195">
        <v>4</v>
      </c>
      <c r="D81" s="292" t="s">
        <v>234</v>
      </c>
      <c r="E81" s="297" t="s">
        <v>8</v>
      </c>
      <c r="F81" s="393" t="s">
        <v>1728</v>
      </c>
      <c r="G81" t="s">
        <v>1784</v>
      </c>
    </row>
    <row r="82" spans="1:7" ht="17.649999999999999" customHeight="1" x14ac:dyDescent="0.25">
      <c r="A82" s="156" t="s">
        <v>297</v>
      </c>
      <c r="B82" s="156"/>
      <c r="C82" s="222">
        <v>2</v>
      </c>
      <c r="D82" s="89" t="s">
        <v>298</v>
      </c>
      <c r="E82" s="368" t="s">
        <v>299</v>
      </c>
      <c r="F82" s="393" t="s">
        <v>1728</v>
      </c>
    </row>
    <row r="83" spans="1:7" ht="17.649999999999999" customHeight="1" x14ac:dyDescent="0.25">
      <c r="A83" s="156" t="s">
        <v>302</v>
      </c>
      <c r="B83" s="156"/>
      <c r="C83" s="222">
        <v>2</v>
      </c>
      <c r="D83" s="89" t="s">
        <v>303</v>
      </c>
      <c r="E83" s="368" t="s">
        <v>299</v>
      </c>
      <c r="F83" s="393" t="s">
        <v>1728</v>
      </c>
    </row>
    <row r="84" spans="1:7" ht="17.649999999999999" customHeight="1" x14ac:dyDescent="0.25">
      <c r="A84" s="156" t="s">
        <v>293</v>
      </c>
      <c r="B84" s="401" t="s">
        <v>2012</v>
      </c>
      <c r="C84" s="222">
        <v>6</v>
      </c>
      <c r="D84" s="89" t="s">
        <v>294</v>
      </c>
      <c r="E84" s="368" t="s">
        <v>146</v>
      </c>
      <c r="F84" s="393" t="s">
        <v>1728</v>
      </c>
    </row>
    <row r="85" spans="1:7" ht="17.649999999999999" customHeight="1" x14ac:dyDescent="0.25">
      <c r="A85" s="194" t="s">
        <v>164</v>
      </c>
      <c r="B85" s="194"/>
      <c r="C85" s="195">
        <v>10</v>
      </c>
      <c r="D85" s="292"/>
      <c r="E85" s="297" t="s">
        <v>4</v>
      </c>
      <c r="F85" s="393" t="s">
        <v>1728</v>
      </c>
    </row>
    <row r="86" spans="1:7" ht="17.649999999999999" customHeight="1" x14ac:dyDescent="0.25">
      <c r="A86" s="194" t="s">
        <v>151</v>
      </c>
      <c r="B86" s="76" t="s">
        <v>1787</v>
      </c>
      <c r="C86" s="197">
        <v>8</v>
      </c>
      <c r="D86" s="292">
        <v>2045</v>
      </c>
      <c r="E86" s="297" t="s">
        <v>4</v>
      </c>
      <c r="F86" s="393" t="s">
        <v>1728</v>
      </c>
    </row>
    <row r="87" spans="1:7" ht="17.649999999999999" customHeight="1" x14ac:dyDescent="0.25">
      <c r="A87" s="194" t="s">
        <v>152</v>
      </c>
      <c r="B87" s="194" t="s">
        <v>1795</v>
      </c>
      <c r="C87" s="195">
        <v>8</v>
      </c>
      <c r="D87" s="292">
        <v>2047</v>
      </c>
      <c r="E87" s="297" t="s">
        <v>4</v>
      </c>
      <c r="F87" s="393" t="s">
        <v>1728</v>
      </c>
    </row>
    <row r="88" spans="1:7" ht="17.649999999999999" customHeight="1" x14ac:dyDescent="0.25">
      <c r="A88" s="194" t="s">
        <v>153</v>
      </c>
      <c r="B88" s="88" t="s">
        <v>1796</v>
      </c>
      <c r="C88" s="197">
        <v>8</v>
      </c>
      <c r="D88" s="292">
        <v>2049</v>
      </c>
      <c r="E88" s="297" t="s">
        <v>4</v>
      </c>
      <c r="F88" s="393" t="s">
        <v>1728</v>
      </c>
    </row>
    <row r="89" spans="1:7" ht="17.649999999999999" customHeight="1" x14ac:dyDescent="0.25">
      <c r="A89" s="194" t="s">
        <v>154</v>
      </c>
      <c r="B89" s="88" t="s">
        <v>1797</v>
      </c>
      <c r="C89" s="195">
        <v>6</v>
      </c>
      <c r="D89" s="292">
        <v>2050</v>
      </c>
      <c r="E89" s="297" t="s">
        <v>4</v>
      </c>
      <c r="F89" s="393" t="s">
        <v>1728</v>
      </c>
    </row>
    <row r="90" spans="1:7" ht="17.649999999999999" customHeight="1" x14ac:dyDescent="0.25">
      <c r="A90" s="194" t="s">
        <v>130</v>
      </c>
      <c r="B90" s="21" t="s">
        <v>1798</v>
      </c>
      <c r="C90" s="197">
        <v>5</v>
      </c>
      <c r="D90" s="292" t="s">
        <v>131</v>
      </c>
      <c r="E90" s="297" t="s">
        <v>8</v>
      </c>
      <c r="F90" s="393" t="s">
        <v>1728</v>
      </c>
    </row>
    <row r="91" spans="1:7" ht="17.649999999999999" customHeight="1" x14ac:dyDescent="0.25">
      <c r="A91" s="194" t="s">
        <v>215</v>
      </c>
      <c r="B91" s="194"/>
      <c r="C91" s="197">
        <v>10</v>
      </c>
      <c r="D91" s="292"/>
      <c r="E91" s="297" t="s">
        <v>216</v>
      </c>
      <c r="F91" s="393" t="s">
        <v>1728</v>
      </c>
    </row>
    <row r="92" spans="1:7" ht="17.649999999999999" customHeight="1" x14ac:dyDescent="0.25">
      <c r="A92" s="194" t="s">
        <v>275</v>
      </c>
      <c r="B92" s="194"/>
      <c r="C92" s="195">
        <v>2</v>
      </c>
      <c r="D92" s="292" t="s">
        <v>276</v>
      </c>
      <c r="E92" s="297" t="s">
        <v>10</v>
      </c>
      <c r="F92" s="393" t="s">
        <v>1728</v>
      </c>
    </row>
    <row r="93" spans="1:7" ht="17.649999999999999" customHeight="1" x14ac:dyDescent="0.25">
      <c r="A93" s="194" t="s">
        <v>285</v>
      </c>
      <c r="B93" s="194"/>
      <c r="C93" s="197">
        <v>2</v>
      </c>
      <c r="D93" s="292" t="s">
        <v>286</v>
      </c>
      <c r="E93" s="297" t="s">
        <v>287</v>
      </c>
      <c r="F93" s="393" t="s">
        <v>1728</v>
      </c>
    </row>
    <row r="94" spans="1:7" ht="17.649999999999999" customHeight="1" x14ac:dyDescent="0.25">
      <c r="A94" s="194" t="s">
        <v>221</v>
      </c>
      <c r="B94" s="194"/>
      <c r="C94" s="195">
        <v>5</v>
      </c>
      <c r="D94" s="292" t="s">
        <v>222</v>
      </c>
      <c r="E94" s="297" t="s">
        <v>216</v>
      </c>
      <c r="F94" s="393" t="s">
        <v>1728</v>
      </c>
    </row>
    <row r="95" spans="1:7" ht="17.649999999999999" customHeight="1" x14ac:dyDescent="0.25">
      <c r="A95" s="194" t="s">
        <v>185</v>
      </c>
      <c r="B95" s="194" t="s">
        <v>2013</v>
      </c>
      <c r="C95" s="197">
        <v>4</v>
      </c>
      <c r="D95" s="292" t="s">
        <v>186</v>
      </c>
      <c r="E95" s="297" t="s">
        <v>146</v>
      </c>
      <c r="F95" s="393" t="s">
        <v>1728</v>
      </c>
    </row>
    <row r="96" spans="1:7" ht="17.649999999999999" customHeight="1" x14ac:dyDescent="0.25">
      <c r="A96" s="194" t="s">
        <v>290</v>
      </c>
      <c r="B96" s="194"/>
      <c r="C96" s="197">
        <v>1</v>
      </c>
      <c r="D96" s="292" t="s">
        <v>291</v>
      </c>
      <c r="E96" s="297" t="s">
        <v>292</v>
      </c>
      <c r="F96" s="393" t="s">
        <v>1728</v>
      </c>
    </row>
    <row r="97" spans="1:6" ht="17.649999999999999" customHeight="1" x14ac:dyDescent="0.25">
      <c r="A97" s="194" t="s">
        <v>288</v>
      </c>
      <c r="B97" s="194"/>
      <c r="C97" s="195">
        <v>2</v>
      </c>
      <c r="D97" s="292" t="s">
        <v>289</v>
      </c>
      <c r="E97" s="297" t="s">
        <v>287</v>
      </c>
      <c r="F97" s="393" t="s">
        <v>1728</v>
      </c>
    </row>
    <row r="98" spans="1:6" ht="17.649999999999999" customHeight="1" x14ac:dyDescent="0.25">
      <c r="A98" s="194" t="s">
        <v>277</v>
      </c>
      <c r="B98" s="194"/>
      <c r="C98" s="197">
        <v>2</v>
      </c>
      <c r="D98" s="292" t="s">
        <v>278</v>
      </c>
      <c r="E98" s="297" t="s">
        <v>10</v>
      </c>
      <c r="F98" s="393" t="s">
        <v>1728</v>
      </c>
    </row>
    <row r="99" spans="1:6" ht="17.649999999999999" customHeight="1" x14ac:dyDescent="0.25">
      <c r="A99" s="194" t="s">
        <v>181</v>
      </c>
      <c r="B99" s="194" t="s">
        <v>2017</v>
      </c>
      <c r="C99" s="197">
        <v>4</v>
      </c>
      <c r="D99" s="292" t="s">
        <v>182</v>
      </c>
      <c r="E99" s="297" t="s">
        <v>8</v>
      </c>
      <c r="F99" s="393" t="s">
        <v>1728</v>
      </c>
    </row>
    <row r="100" spans="1:6" ht="17.649999999999999" customHeight="1" x14ac:dyDescent="0.25">
      <c r="A100" s="194" t="s">
        <v>183</v>
      </c>
      <c r="B100" s="194"/>
      <c r="C100" s="195">
        <v>6</v>
      </c>
      <c r="D100" s="292" t="s">
        <v>184</v>
      </c>
      <c r="E100" s="297" t="s">
        <v>146</v>
      </c>
      <c r="F100" s="393" t="s">
        <v>1728</v>
      </c>
    </row>
    <row r="101" spans="1:6" ht="17.649999999999999" customHeight="1" x14ac:dyDescent="0.25">
      <c r="A101" s="194" t="s">
        <v>213</v>
      </c>
      <c r="B101" s="194"/>
      <c r="C101" s="197">
        <v>40</v>
      </c>
      <c r="D101" s="292"/>
      <c r="E101" s="297" t="s">
        <v>206</v>
      </c>
      <c r="F101" s="393" t="s">
        <v>1728</v>
      </c>
    </row>
    <row r="102" spans="1:6" ht="17.649999999999999" customHeight="1" x14ac:dyDescent="0.25">
      <c r="A102" s="194" t="s">
        <v>214</v>
      </c>
      <c r="B102" s="194"/>
      <c r="C102" s="195">
        <v>30</v>
      </c>
      <c r="D102" s="292"/>
      <c r="E102" s="297" t="s">
        <v>206</v>
      </c>
      <c r="F102" s="393" t="s">
        <v>1728</v>
      </c>
    </row>
    <row r="103" spans="1:6" ht="17.649999999999999" customHeight="1" x14ac:dyDescent="0.25">
      <c r="A103" s="194" t="s">
        <v>279</v>
      </c>
      <c r="B103" s="194" t="s">
        <v>1817</v>
      </c>
      <c r="C103" s="195">
        <v>2</v>
      </c>
      <c r="D103" s="292" t="s">
        <v>280</v>
      </c>
      <c r="E103" s="297" t="s">
        <v>8</v>
      </c>
      <c r="F103" s="393" t="s">
        <v>1728</v>
      </c>
    </row>
    <row r="104" spans="1:6" ht="17.649999999999999" customHeight="1" x14ac:dyDescent="0.25">
      <c r="A104" s="202" t="s">
        <v>281</v>
      </c>
      <c r="B104" s="194" t="s">
        <v>1818</v>
      </c>
      <c r="C104" s="203">
        <v>2</v>
      </c>
      <c r="D104" s="304" t="s">
        <v>282</v>
      </c>
      <c r="E104" s="297" t="s">
        <v>8</v>
      </c>
      <c r="F104" s="393" t="s">
        <v>1728</v>
      </c>
    </row>
    <row r="105" spans="1:6" ht="17.649999999999999" customHeight="1" x14ac:dyDescent="0.25">
      <c r="A105" s="194" t="s">
        <v>283</v>
      </c>
      <c r="B105" s="194" t="s">
        <v>1819</v>
      </c>
      <c r="C105" s="195">
        <v>2</v>
      </c>
      <c r="D105" s="292" t="s">
        <v>284</v>
      </c>
      <c r="E105" s="297" t="s">
        <v>8</v>
      </c>
      <c r="F105" s="393" t="s">
        <v>1728</v>
      </c>
    </row>
    <row r="106" spans="1:6" ht="17.649999999999999" customHeight="1" x14ac:dyDescent="0.25">
      <c r="A106" s="194" t="s">
        <v>237</v>
      </c>
      <c r="B106" s="194" t="s">
        <v>1821</v>
      </c>
      <c r="C106" s="195">
        <v>4</v>
      </c>
      <c r="D106" s="292" t="s">
        <v>238</v>
      </c>
      <c r="E106" s="297" t="s">
        <v>8</v>
      </c>
      <c r="F106" s="393" t="s">
        <v>1728</v>
      </c>
    </row>
    <row r="107" spans="1:6" ht="17.649999999999999" customHeight="1" x14ac:dyDescent="0.25">
      <c r="A107" s="194" t="s">
        <v>235</v>
      </c>
      <c r="B107" s="194" t="s">
        <v>1822</v>
      </c>
      <c r="C107" s="197">
        <v>4</v>
      </c>
      <c r="D107" s="196" t="s">
        <v>236</v>
      </c>
      <c r="E107" s="470" t="s">
        <v>8</v>
      </c>
      <c r="F107" s="393" t="s">
        <v>1728</v>
      </c>
    </row>
    <row r="108" spans="1:6" ht="17.649999999999999" customHeight="1" x14ac:dyDescent="0.25">
      <c r="A108" s="194" t="s">
        <v>239</v>
      </c>
      <c r="B108" s="194" t="s">
        <v>1823</v>
      </c>
      <c r="C108" s="197">
        <v>4</v>
      </c>
      <c r="D108" s="196" t="s">
        <v>240</v>
      </c>
      <c r="E108" s="292" t="s">
        <v>8</v>
      </c>
      <c r="F108" s="393" t="s">
        <v>1728</v>
      </c>
    </row>
    <row r="109" spans="1:6" ht="17.649999999999999" customHeight="1" x14ac:dyDescent="0.25">
      <c r="A109" s="194" t="s">
        <v>241</v>
      </c>
      <c r="B109" s="194" t="s">
        <v>1824</v>
      </c>
      <c r="C109" s="195">
        <v>4</v>
      </c>
      <c r="D109" s="196" t="s">
        <v>242</v>
      </c>
      <c r="E109" s="292" t="s">
        <v>8</v>
      </c>
      <c r="F109" s="393" t="s">
        <v>1728</v>
      </c>
    </row>
    <row r="110" spans="1:6" ht="17.649999999999999" customHeight="1" x14ac:dyDescent="0.25">
      <c r="A110" s="194" t="s">
        <v>157</v>
      </c>
      <c r="B110" s="194" t="s">
        <v>1825</v>
      </c>
      <c r="C110" s="195">
        <v>8</v>
      </c>
      <c r="D110" s="196" t="s">
        <v>158</v>
      </c>
      <c r="E110" s="292" t="s">
        <v>8</v>
      </c>
      <c r="F110" s="393" t="s">
        <v>1728</v>
      </c>
    </row>
    <row r="111" spans="1:6" ht="17.649999999999999" customHeight="1" x14ac:dyDescent="0.25">
      <c r="A111" s="194" t="s">
        <v>161</v>
      </c>
      <c r="B111" s="396" t="s">
        <v>2021</v>
      </c>
      <c r="C111" s="195">
        <v>3</v>
      </c>
      <c r="D111" s="196">
        <v>479100</v>
      </c>
      <c r="E111" s="292" t="s">
        <v>162</v>
      </c>
      <c r="F111" s="393" t="s">
        <v>1728</v>
      </c>
    </row>
    <row r="112" spans="1:6" ht="17.649999999999999" customHeight="1" x14ac:dyDescent="0.25">
      <c r="A112" s="194" t="s">
        <v>122</v>
      </c>
      <c r="B112" s="194" t="s">
        <v>1828</v>
      </c>
      <c r="C112" s="197">
        <v>5</v>
      </c>
      <c r="D112" s="196" t="s">
        <v>123</v>
      </c>
      <c r="E112" s="292" t="s">
        <v>8</v>
      </c>
      <c r="F112" s="393" t="s">
        <v>1728</v>
      </c>
    </row>
    <row r="113" spans="1:7" ht="17.649999999999999" customHeight="1" x14ac:dyDescent="0.25">
      <c r="A113" s="194" t="s">
        <v>124</v>
      </c>
      <c r="B113" s="194" t="s">
        <v>1831</v>
      </c>
      <c r="C113" s="195">
        <v>5</v>
      </c>
      <c r="D113" s="196" t="s">
        <v>125</v>
      </c>
      <c r="E113" s="292" t="s">
        <v>8</v>
      </c>
      <c r="F113" s="393" t="s">
        <v>1728</v>
      </c>
      <c r="G113" t="s">
        <v>1832</v>
      </c>
    </row>
    <row r="114" spans="1:7" ht="17.649999999999999" customHeight="1" x14ac:dyDescent="0.25">
      <c r="A114" s="194" t="s">
        <v>169</v>
      </c>
      <c r="B114" s="194" t="s">
        <v>1836</v>
      </c>
      <c r="C114" s="197">
        <v>4</v>
      </c>
      <c r="D114" s="196" t="s">
        <v>170</v>
      </c>
      <c r="E114" s="292" t="s">
        <v>4</v>
      </c>
      <c r="F114" s="393" t="s">
        <v>1728</v>
      </c>
    </row>
    <row r="115" spans="1:7" ht="17.649999999999999" customHeight="1" x14ac:dyDescent="0.25">
      <c r="A115" s="194" t="s">
        <v>171</v>
      </c>
      <c r="B115" s="194" t="s">
        <v>1837</v>
      </c>
      <c r="C115" s="195">
        <v>4</v>
      </c>
      <c r="D115" s="196" t="s">
        <v>172</v>
      </c>
      <c r="E115" s="292" t="s">
        <v>4</v>
      </c>
      <c r="F115" s="393" t="s">
        <v>1728</v>
      </c>
    </row>
    <row r="116" spans="1:7" ht="17.649999999999999" customHeight="1" x14ac:dyDescent="0.25">
      <c r="A116" s="194" t="s">
        <v>173</v>
      </c>
      <c r="B116" s="194" t="s">
        <v>1838</v>
      </c>
      <c r="C116" s="197">
        <v>4</v>
      </c>
      <c r="D116" s="196" t="s">
        <v>174</v>
      </c>
      <c r="E116" s="292" t="s">
        <v>4</v>
      </c>
      <c r="F116" s="393" t="s">
        <v>1728</v>
      </c>
    </row>
    <row r="117" spans="1:7" ht="17.649999999999999" customHeight="1" x14ac:dyDescent="0.25">
      <c r="A117" s="194" t="s">
        <v>179</v>
      </c>
      <c r="B117" s="194"/>
      <c r="C117" s="195">
        <v>15</v>
      </c>
      <c r="D117" s="196" t="s">
        <v>180</v>
      </c>
      <c r="E117" s="292" t="s">
        <v>162</v>
      </c>
      <c r="F117" s="393" t="s">
        <v>1728</v>
      </c>
    </row>
    <row r="118" spans="1:7" ht="17.649999999999999" customHeight="1" x14ac:dyDescent="0.25">
      <c r="A118" s="194" t="s">
        <v>177</v>
      </c>
      <c r="B118" s="194"/>
      <c r="C118" s="197">
        <v>4</v>
      </c>
      <c r="D118" s="196" t="s">
        <v>178</v>
      </c>
      <c r="E118" s="292" t="s">
        <v>162</v>
      </c>
      <c r="F118" s="393" t="s">
        <v>1728</v>
      </c>
    </row>
    <row r="119" spans="1:7" ht="17.649999999999999" customHeight="1" x14ac:dyDescent="0.25">
      <c r="A119" s="194" t="s">
        <v>225</v>
      </c>
      <c r="B119" s="194" t="s">
        <v>1871</v>
      </c>
      <c r="C119" s="195">
        <v>10</v>
      </c>
      <c r="D119" s="196" t="s">
        <v>226</v>
      </c>
      <c r="E119" s="292" t="s">
        <v>8</v>
      </c>
      <c r="F119" s="393" t="s">
        <v>1728</v>
      </c>
    </row>
    <row r="120" spans="1:7" ht="17.649999999999999" customHeight="1" x14ac:dyDescent="0.25">
      <c r="A120" s="194" t="s">
        <v>223</v>
      </c>
      <c r="B120" s="194" t="s">
        <v>1872</v>
      </c>
      <c r="C120" s="197">
        <v>10</v>
      </c>
      <c r="D120" s="196" t="s">
        <v>224</v>
      </c>
      <c r="E120" s="292" t="s">
        <v>8</v>
      </c>
      <c r="F120" s="393" t="s">
        <v>1728</v>
      </c>
    </row>
    <row r="121" spans="1:7" ht="17.649999999999999" customHeight="1" x14ac:dyDescent="0.25">
      <c r="A121" s="194" t="s">
        <v>207</v>
      </c>
      <c r="B121" s="194"/>
      <c r="C121" s="195">
        <v>2</v>
      </c>
      <c r="D121" s="196"/>
      <c r="E121" s="292" t="s">
        <v>208</v>
      </c>
      <c r="F121" s="393" t="s">
        <v>1728</v>
      </c>
    </row>
    <row r="122" spans="1:7" ht="17.649999999999999" customHeight="1" x14ac:dyDescent="0.25">
      <c r="A122" s="194" t="s">
        <v>249</v>
      </c>
      <c r="B122" s="194" t="s">
        <v>1876</v>
      </c>
      <c r="C122" s="195">
        <v>4</v>
      </c>
      <c r="D122" s="196" t="s">
        <v>250</v>
      </c>
      <c r="E122" s="292" t="s">
        <v>10</v>
      </c>
      <c r="F122" s="393" t="s">
        <v>1728</v>
      </c>
    </row>
    <row r="123" spans="1:7" ht="17.649999999999999" customHeight="1" x14ac:dyDescent="0.25">
      <c r="A123" s="194" t="s">
        <v>209</v>
      </c>
      <c r="B123" s="194"/>
      <c r="C123" s="197">
        <v>15</v>
      </c>
      <c r="D123" s="196"/>
      <c r="E123" s="292" t="s">
        <v>206</v>
      </c>
      <c r="F123" s="393" t="s">
        <v>1728</v>
      </c>
    </row>
    <row r="124" spans="1:7" ht="17.649999999999999" customHeight="1" x14ac:dyDescent="0.25">
      <c r="A124" s="156" t="s">
        <v>300</v>
      </c>
      <c r="B124" s="156"/>
      <c r="C124" s="222">
        <v>2</v>
      </c>
      <c r="D124" s="56" t="s">
        <v>301</v>
      </c>
      <c r="E124" s="469" t="s">
        <v>299</v>
      </c>
      <c r="F124" s="393" t="s">
        <v>1728</v>
      </c>
    </row>
    <row r="125" spans="1:7" ht="17.649999999999999" customHeight="1" x14ac:dyDescent="0.25">
      <c r="A125" s="194" t="s">
        <v>168</v>
      </c>
      <c r="B125" s="194" t="s">
        <v>2023</v>
      </c>
      <c r="C125" s="195">
        <v>4</v>
      </c>
      <c r="D125" s="196" t="s">
        <v>167</v>
      </c>
      <c r="E125" s="292" t="s">
        <v>8</v>
      </c>
      <c r="F125" s="393" t="s">
        <v>1728</v>
      </c>
    </row>
    <row r="126" spans="1:7" ht="17.649999999999999" customHeight="1" x14ac:dyDescent="0.25">
      <c r="A126" s="194" t="s">
        <v>165</v>
      </c>
      <c r="B126" s="194" t="s">
        <v>2022</v>
      </c>
      <c r="C126" s="197">
        <v>4</v>
      </c>
      <c r="D126" s="196" t="s">
        <v>166</v>
      </c>
      <c r="E126" s="292" t="s">
        <v>8</v>
      </c>
      <c r="F126" s="393" t="s">
        <v>1728</v>
      </c>
    </row>
    <row r="127" spans="1:7" ht="17.649999999999999" customHeight="1" x14ac:dyDescent="0.25">
      <c r="A127" s="194" t="s">
        <v>219</v>
      </c>
      <c r="B127" s="194"/>
      <c r="C127" s="197">
        <v>2</v>
      </c>
      <c r="D127" s="196"/>
      <c r="E127" s="292" t="s">
        <v>220</v>
      </c>
      <c r="F127" s="393" t="s">
        <v>1728</v>
      </c>
    </row>
    <row r="128" spans="1:7" ht="17.649999999999999" customHeight="1" x14ac:dyDescent="0.25">
      <c r="A128" s="194" t="s">
        <v>23</v>
      </c>
      <c r="B128" s="194" t="s">
        <v>1877</v>
      </c>
      <c r="C128" s="197">
        <v>20</v>
      </c>
      <c r="D128" s="196" t="s">
        <v>24</v>
      </c>
      <c r="E128" s="292" t="s">
        <v>8</v>
      </c>
      <c r="F128" s="393" t="s">
        <v>1728</v>
      </c>
    </row>
    <row r="129" spans="1:6" ht="17.649999999999999" customHeight="1" x14ac:dyDescent="0.25">
      <c r="A129" s="194" t="s">
        <v>25</v>
      </c>
      <c r="B129" s="194" t="s">
        <v>1878</v>
      </c>
      <c r="C129" s="195">
        <v>20</v>
      </c>
      <c r="D129" s="196" t="s">
        <v>26</v>
      </c>
      <c r="E129" s="292" t="s">
        <v>8</v>
      </c>
      <c r="F129" s="393" t="s">
        <v>1728</v>
      </c>
    </row>
    <row r="130" spans="1:6" ht="17.649999999999999" customHeight="1" x14ac:dyDescent="0.25">
      <c r="A130" s="194" t="s">
        <v>27</v>
      </c>
      <c r="B130" s="194" t="s">
        <v>1879</v>
      </c>
      <c r="C130" s="197">
        <v>6</v>
      </c>
      <c r="D130" s="196" t="s">
        <v>28</v>
      </c>
      <c r="E130" s="292" t="s">
        <v>8</v>
      </c>
      <c r="F130" s="393" t="s">
        <v>1728</v>
      </c>
    </row>
    <row r="131" spans="1:6" ht="17.649999999999999" customHeight="1" x14ac:dyDescent="0.25">
      <c r="A131" s="194" t="s">
        <v>159</v>
      </c>
      <c r="B131" s="194" t="s">
        <v>1880</v>
      </c>
      <c r="C131" s="197">
        <v>10</v>
      </c>
      <c r="D131" s="196" t="s">
        <v>160</v>
      </c>
      <c r="E131" s="292" t="s">
        <v>8</v>
      </c>
      <c r="F131" s="393" t="s">
        <v>1728</v>
      </c>
    </row>
    <row r="132" spans="1:6" ht="17.649999999999999" customHeight="1" x14ac:dyDescent="0.25">
      <c r="A132" s="194" t="s">
        <v>29</v>
      </c>
      <c r="B132" s="194" t="s">
        <v>1754</v>
      </c>
      <c r="C132" s="195">
        <v>15</v>
      </c>
      <c r="D132" s="196" t="s">
        <v>30</v>
      </c>
      <c r="E132" s="292" t="s">
        <v>8</v>
      </c>
      <c r="F132" s="393" t="s">
        <v>1728</v>
      </c>
    </row>
    <row r="133" spans="1:6" ht="17.649999999999999" customHeight="1" x14ac:dyDescent="0.25">
      <c r="A133" s="194" t="s">
        <v>32</v>
      </c>
      <c r="B133" s="194" t="s">
        <v>1753</v>
      </c>
      <c r="C133" s="197">
        <v>10</v>
      </c>
      <c r="D133" s="196" t="s">
        <v>33</v>
      </c>
      <c r="E133" s="292" t="s">
        <v>8</v>
      </c>
      <c r="F133" s="393" t="s">
        <v>1728</v>
      </c>
    </row>
    <row r="134" spans="1:6" ht="17.649999999999999" customHeight="1" x14ac:dyDescent="0.25">
      <c r="A134" s="194" t="s">
        <v>35</v>
      </c>
      <c r="B134" s="317" t="s">
        <v>1881</v>
      </c>
      <c r="C134" s="195">
        <v>15</v>
      </c>
      <c r="D134" s="196" t="s">
        <v>36</v>
      </c>
      <c r="E134" s="292" t="s">
        <v>8</v>
      </c>
      <c r="F134" s="393" t="s">
        <v>1728</v>
      </c>
    </row>
    <row r="135" spans="1:6" ht="17.649999999999999" customHeight="1" x14ac:dyDescent="0.25">
      <c r="A135" s="194" t="s">
        <v>38</v>
      </c>
      <c r="B135" s="9" t="s">
        <v>1883</v>
      </c>
      <c r="C135" s="197">
        <v>15</v>
      </c>
      <c r="D135" s="196" t="s">
        <v>39</v>
      </c>
      <c r="E135" s="292" t="s">
        <v>8</v>
      </c>
      <c r="F135" s="393" t="s">
        <v>1728</v>
      </c>
    </row>
    <row r="136" spans="1:6" ht="17.649999999999999" customHeight="1" x14ac:dyDescent="0.25">
      <c r="A136" s="194" t="s">
        <v>40</v>
      </c>
      <c r="B136" s="194" t="s">
        <v>1882</v>
      </c>
      <c r="C136" s="195">
        <v>6</v>
      </c>
      <c r="D136" s="196" t="s">
        <v>41</v>
      </c>
      <c r="E136" s="292" t="s">
        <v>8</v>
      </c>
      <c r="F136" s="393" t="s">
        <v>1728</v>
      </c>
    </row>
    <row r="137" spans="1:6" ht="17.649999999999999" customHeight="1" x14ac:dyDescent="0.25">
      <c r="A137" s="194" t="s">
        <v>42</v>
      </c>
      <c r="B137" s="194" t="s">
        <v>1885</v>
      </c>
      <c r="C137" s="197">
        <v>10</v>
      </c>
      <c r="D137" s="196" t="s">
        <v>43</v>
      </c>
      <c r="E137" s="292" t="s">
        <v>8</v>
      </c>
      <c r="F137" s="393" t="s">
        <v>1728</v>
      </c>
    </row>
    <row r="138" spans="1:6" ht="17.649999999999999" customHeight="1" x14ac:dyDescent="0.25">
      <c r="A138" s="194" t="s">
        <v>44</v>
      </c>
      <c r="B138" s="194" t="s">
        <v>1886</v>
      </c>
      <c r="C138" s="195">
        <v>10</v>
      </c>
      <c r="D138" s="196" t="s">
        <v>45</v>
      </c>
      <c r="E138" s="292" t="s">
        <v>8</v>
      </c>
      <c r="F138" s="393" t="s">
        <v>1728</v>
      </c>
    </row>
    <row r="139" spans="1:6" ht="17.649999999999999" customHeight="1" x14ac:dyDescent="0.25">
      <c r="A139" s="194" t="s">
        <v>46</v>
      </c>
      <c r="B139" s="194" t="s">
        <v>1889</v>
      </c>
      <c r="C139" s="197">
        <v>8</v>
      </c>
      <c r="D139" s="196" t="s">
        <v>47</v>
      </c>
      <c r="E139" s="292" t="s">
        <v>8</v>
      </c>
      <c r="F139" s="393" t="s">
        <v>1728</v>
      </c>
    </row>
    <row r="140" spans="1:6" ht="17.649999999999999" customHeight="1" x14ac:dyDescent="0.25">
      <c r="A140" s="194" t="s">
        <v>48</v>
      </c>
      <c r="B140" s="194" t="s">
        <v>1888</v>
      </c>
      <c r="C140" s="195">
        <v>5</v>
      </c>
      <c r="D140" s="196" t="s">
        <v>49</v>
      </c>
      <c r="E140" s="292" t="s">
        <v>8</v>
      </c>
      <c r="F140" s="393" t="s">
        <v>1728</v>
      </c>
    </row>
    <row r="141" spans="1:6" ht="17.649999999999999" customHeight="1" x14ac:dyDescent="0.25">
      <c r="A141" s="194" t="s">
        <v>50</v>
      </c>
      <c r="B141" s="194" t="s">
        <v>1890</v>
      </c>
      <c r="C141" s="197">
        <v>3</v>
      </c>
      <c r="D141" s="196" t="s">
        <v>51</v>
      </c>
      <c r="E141" s="292" t="s">
        <v>8</v>
      </c>
      <c r="F141" s="393" t="s">
        <v>1728</v>
      </c>
    </row>
    <row r="142" spans="1:6" ht="17.649999999999999" customHeight="1" x14ac:dyDescent="0.25">
      <c r="A142" s="194" t="s">
        <v>3</v>
      </c>
      <c r="B142" s="19" t="s">
        <v>1896</v>
      </c>
      <c r="C142" s="195">
        <v>50</v>
      </c>
      <c r="D142" s="196">
        <v>971</v>
      </c>
      <c r="E142" s="292" t="s">
        <v>4</v>
      </c>
      <c r="F142" s="393" t="s">
        <v>1728</v>
      </c>
    </row>
    <row r="143" spans="1:6" ht="17.649999999999999" customHeight="1" x14ac:dyDescent="0.25">
      <c r="A143" s="194" t="s">
        <v>5</v>
      </c>
      <c r="B143" s="21" t="s">
        <v>1895</v>
      </c>
      <c r="C143" s="197">
        <v>30</v>
      </c>
      <c r="D143" s="196">
        <v>957</v>
      </c>
      <c r="E143" s="292" t="s">
        <v>4</v>
      </c>
      <c r="F143" s="393" t="s">
        <v>1728</v>
      </c>
    </row>
    <row r="144" spans="1:6" ht="17.649999999999999" customHeight="1" x14ac:dyDescent="0.25">
      <c r="A144" s="194" t="s">
        <v>155</v>
      </c>
      <c r="B144" s="194" t="s">
        <v>1898</v>
      </c>
      <c r="C144" s="197">
        <v>5</v>
      </c>
      <c r="D144" s="196" t="s">
        <v>156</v>
      </c>
      <c r="E144" s="292" t="s">
        <v>8</v>
      </c>
      <c r="F144" s="393" t="s">
        <v>1728</v>
      </c>
    </row>
    <row r="145" spans="1:6" ht="17.649999999999999" customHeight="1" x14ac:dyDescent="0.25">
      <c r="A145" s="194" t="s">
        <v>52</v>
      </c>
      <c r="B145" s="194" t="s">
        <v>1900</v>
      </c>
      <c r="C145" s="195">
        <v>10</v>
      </c>
      <c r="D145" s="196" t="s">
        <v>53</v>
      </c>
      <c r="E145" s="292" t="s">
        <v>8</v>
      </c>
      <c r="F145" s="393" t="s">
        <v>1728</v>
      </c>
    </row>
    <row r="146" spans="1:6" ht="17.649999999999999" customHeight="1" x14ac:dyDescent="0.25">
      <c r="A146" s="194" t="s">
        <v>257</v>
      </c>
      <c r="B146" s="194"/>
      <c r="C146" s="195">
        <v>4</v>
      </c>
      <c r="D146" s="196" t="s">
        <v>258</v>
      </c>
      <c r="E146" s="292" t="s">
        <v>8</v>
      </c>
      <c r="F146" s="393" t="s">
        <v>1728</v>
      </c>
    </row>
    <row r="147" spans="1:6" ht="17.649999999999999" customHeight="1" x14ac:dyDescent="0.25">
      <c r="A147" s="194" t="s">
        <v>257</v>
      </c>
      <c r="B147" s="194"/>
      <c r="C147" s="197">
        <v>4</v>
      </c>
      <c r="D147" s="196" t="s">
        <v>263</v>
      </c>
      <c r="E147" s="292" t="s">
        <v>8</v>
      </c>
      <c r="F147" s="393" t="s">
        <v>1728</v>
      </c>
    </row>
    <row r="148" spans="1:6" ht="17.649999999999999" customHeight="1" x14ac:dyDescent="0.25">
      <c r="A148" s="194" t="s">
        <v>259</v>
      </c>
      <c r="B148" s="194"/>
      <c r="C148" s="197">
        <v>4</v>
      </c>
      <c r="D148" s="196" t="s">
        <v>260</v>
      </c>
      <c r="E148" s="292" t="s">
        <v>8</v>
      </c>
      <c r="F148" s="393" t="s">
        <v>1728</v>
      </c>
    </row>
    <row r="149" spans="1:6" ht="17.649999999999999" customHeight="1" x14ac:dyDescent="0.25">
      <c r="A149" s="194" t="s">
        <v>259</v>
      </c>
      <c r="B149" s="194"/>
      <c r="C149" s="195">
        <v>4</v>
      </c>
      <c r="D149" s="196" t="s">
        <v>264</v>
      </c>
      <c r="E149" s="292" t="s">
        <v>8</v>
      </c>
      <c r="F149" s="393" t="s">
        <v>1728</v>
      </c>
    </row>
    <row r="150" spans="1:6" ht="17.649999999999999" customHeight="1" x14ac:dyDescent="0.25">
      <c r="A150" s="194" t="s">
        <v>261</v>
      </c>
      <c r="B150" s="194"/>
      <c r="C150" s="195">
        <v>2</v>
      </c>
      <c r="D150" s="196" t="s">
        <v>262</v>
      </c>
      <c r="E150" s="292" t="s">
        <v>8</v>
      </c>
      <c r="F150" s="393" t="s">
        <v>1728</v>
      </c>
    </row>
    <row r="151" spans="1:6" ht="17.649999999999999" customHeight="1" x14ac:dyDescent="0.25">
      <c r="A151" s="194" t="s">
        <v>261</v>
      </c>
      <c r="B151" s="194"/>
      <c r="C151" s="197">
        <v>2</v>
      </c>
      <c r="D151" s="196" t="s">
        <v>265</v>
      </c>
      <c r="E151" s="292" t="s">
        <v>8</v>
      </c>
      <c r="F151" s="393" t="s">
        <v>1728</v>
      </c>
    </row>
    <row r="152" spans="1:6" ht="17.649999999999999" customHeight="1" x14ac:dyDescent="0.25">
      <c r="A152" s="194" t="s">
        <v>54</v>
      </c>
      <c r="B152" s="154" t="s">
        <v>1910</v>
      </c>
      <c r="C152" s="197">
        <v>10</v>
      </c>
      <c r="D152" s="196" t="s">
        <v>55</v>
      </c>
      <c r="E152" s="292" t="s">
        <v>8</v>
      </c>
      <c r="F152" s="393" t="s">
        <v>1728</v>
      </c>
    </row>
    <row r="153" spans="1:6" ht="17.649999999999999" customHeight="1" x14ac:dyDescent="0.25">
      <c r="A153" s="194" t="s">
        <v>56</v>
      </c>
      <c r="B153" s="154" t="s">
        <v>1911</v>
      </c>
      <c r="C153" s="195">
        <v>10</v>
      </c>
      <c r="D153" s="196" t="s">
        <v>57</v>
      </c>
      <c r="E153" s="292" t="s">
        <v>8</v>
      </c>
      <c r="F153" s="393" t="s">
        <v>1728</v>
      </c>
    </row>
    <row r="154" spans="1:6" ht="17.649999999999999" customHeight="1" x14ac:dyDescent="0.25">
      <c r="A154" s="194" t="s">
        <v>58</v>
      </c>
      <c r="B154" s="194" t="s">
        <v>1915</v>
      </c>
      <c r="C154" s="197">
        <v>8</v>
      </c>
      <c r="D154" s="196" t="s">
        <v>59</v>
      </c>
      <c r="E154" s="292" t="s">
        <v>8</v>
      </c>
      <c r="F154" s="393" t="s">
        <v>1728</v>
      </c>
    </row>
    <row r="155" spans="1:6" ht="17.649999999999999" customHeight="1" x14ac:dyDescent="0.25">
      <c r="A155" s="194" t="s">
        <v>60</v>
      </c>
      <c r="B155" s="194" t="s">
        <v>1912</v>
      </c>
      <c r="C155" s="195">
        <v>4</v>
      </c>
      <c r="D155" s="196" t="s">
        <v>61</v>
      </c>
      <c r="E155" s="292" t="s">
        <v>8</v>
      </c>
      <c r="F155" s="393" t="s">
        <v>1728</v>
      </c>
    </row>
    <row r="156" spans="1:6" ht="17.649999999999999" customHeight="1" x14ac:dyDescent="0.25">
      <c r="A156" s="194" t="s">
        <v>62</v>
      </c>
      <c r="B156" s="194" t="s">
        <v>1913</v>
      </c>
      <c r="C156" s="197">
        <v>3</v>
      </c>
      <c r="D156" s="196" t="s">
        <v>63</v>
      </c>
      <c r="E156" s="292" t="s">
        <v>8</v>
      </c>
      <c r="F156" s="393" t="s">
        <v>1728</v>
      </c>
    </row>
    <row r="157" spans="1:6" ht="17.649999999999999" customHeight="1" x14ac:dyDescent="0.25">
      <c r="A157" s="194" t="s">
        <v>108</v>
      </c>
      <c r="B157" s="194" t="s">
        <v>1924</v>
      </c>
      <c r="C157" s="195">
        <v>6</v>
      </c>
      <c r="D157" s="196" t="s">
        <v>109</v>
      </c>
      <c r="E157" s="292" t="s">
        <v>10</v>
      </c>
      <c r="F157" s="393" t="s">
        <v>1728</v>
      </c>
    </row>
    <row r="158" spans="1:6" ht="17.649999999999999" customHeight="1" x14ac:dyDescent="0.25">
      <c r="A158" s="194" t="s">
        <v>64</v>
      </c>
      <c r="B158" s="317" t="s">
        <v>1930</v>
      </c>
      <c r="C158" s="195">
        <v>20</v>
      </c>
      <c r="D158" s="196" t="s">
        <v>65</v>
      </c>
      <c r="E158" s="292" t="s">
        <v>8</v>
      </c>
      <c r="F158" s="393" t="s">
        <v>1728</v>
      </c>
    </row>
    <row r="159" spans="1:6" ht="17.649999999999999" customHeight="1" x14ac:dyDescent="0.25">
      <c r="A159" s="194" t="s">
        <v>64</v>
      </c>
      <c r="B159" s="317" t="s">
        <v>1931</v>
      </c>
      <c r="C159" s="197">
        <v>20</v>
      </c>
      <c r="D159" s="196" t="s">
        <v>66</v>
      </c>
      <c r="E159" s="292" t="s">
        <v>8</v>
      </c>
      <c r="F159" s="393" t="s">
        <v>1728</v>
      </c>
    </row>
    <row r="160" spans="1:6" ht="17.649999999999999" customHeight="1" x14ac:dyDescent="0.25">
      <c r="A160" s="194" t="s">
        <v>67</v>
      </c>
      <c r="B160" s="194" t="s">
        <v>1932</v>
      </c>
      <c r="C160" s="195">
        <v>10</v>
      </c>
      <c r="D160" s="196" t="s">
        <v>68</v>
      </c>
      <c r="E160" s="292" t="s">
        <v>8</v>
      </c>
      <c r="F160" s="393" t="s">
        <v>1728</v>
      </c>
    </row>
    <row r="161" spans="1:6" ht="17.649999999999999" customHeight="1" x14ac:dyDescent="0.25">
      <c r="A161" s="194" t="s">
        <v>67</v>
      </c>
      <c r="B161" s="194" t="s">
        <v>1933</v>
      </c>
      <c r="C161" s="197">
        <v>10</v>
      </c>
      <c r="D161" s="196" t="s">
        <v>69</v>
      </c>
      <c r="E161" s="292" t="s">
        <v>8</v>
      </c>
      <c r="F161" s="393" t="s">
        <v>1728</v>
      </c>
    </row>
    <row r="162" spans="1:6" ht="17.649999999999999" customHeight="1" x14ac:dyDescent="0.25">
      <c r="A162" s="194" t="s">
        <v>70</v>
      </c>
      <c r="B162" s="194" t="s">
        <v>1935</v>
      </c>
      <c r="C162" s="195">
        <v>10</v>
      </c>
      <c r="D162" s="196" t="s">
        <v>71</v>
      </c>
      <c r="E162" s="292" t="s">
        <v>8</v>
      </c>
      <c r="F162" s="393" t="s">
        <v>1728</v>
      </c>
    </row>
    <row r="163" spans="1:6" ht="17.649999999999999" customHeight="1" x14ac:dyDescent="0.25">
      <c r="A163" s="194" t="s">
        <v>75</v>
      </c>
      <c r="B163" s="194" t="s">
        <v>1938</v>
      </c>
      <c r="C163" s="195">
        <v>10</v>
      </c>
      <c r="D163" s="196" t="s">
        <v>76</v>
      </c>
      <c r="E163" s="292" t="s">
        <v>8</v>
      </c>
      <c r="F163" s="393" t="s">
        <v>1728</v>
      </c>
    </row>
    <row r="164" spans="1:6" ht="17.649999999999999" customHeight="1" x14ac:dyDescent="0.25">
      <c r="A164" s="194" t="s">
        <v>72</v>
      </c>
      <c r="B164" s="9" t="s">
        <v>1937</v>
      </c>
      <c r="C164" s="197">
        <v>20</v>
      </c>
      <c r="D164" s="196" t="s">
        <v>73</v>
      </c>
      <c r="E164" s="292" t="s">
        <v>8</v>
      </c>
      <c r="F164" s="393" t="s">
        <v>1728</v>
      </c>
    </row>
    <row r="165" spans="1:6" ht="17.649999999999999" customHeight="1" x14ac:dyDescent="0.25">
      <c r="A165" s="194" t="s">
        <v>77</v>
      </c>
      <c r="B165" s="9" t="s">
        <v>1936</v>
      </c>
      <c r="C165" s="197">
        <v>15</v>
      </c>
      <c r="D165" s="196" t="s">
        <v>78</v>
      </c>
      <c r="E165" s="292" t="s">
        <v>8</v>
      </c>
      <c r="F165" s="393" t="s">
        <v>1728</v>
      </c>
    </row>
    <row r="166" spans="1:6" ht="17.649999999999999" customHeight="1" x14ac:dyDescent="0.25">
      <c r="A166" s="194" t="s">
        <v>266</v>
      </c>
      <c r="B166" s="194"/>
      <c r="C166" s="195">
        <v>2</v>
      </c>
      <c r="D166" s="196" t="s">
        <v>267</v>
      </c>
      <c r="E166" s="292" t="s">
        <v>8</v>
      </c>
      <c r="F166" s="393" t="s">
        <v>1728</v>
      </c>
    </row>
    <row r="167" spans="1:6" ht="17.649999999999999" customHeight="1" x14ac:dyDescent="0.25">
      <c r="A167" s="194" t="s">
        <v>268</v>
      </c>
      <c r="B167" s="194"/>
      <c r="C167" s="197">
        <v>2</v>
      </c>
      <c r="D167" s="196" t="s">
        <v>269</v>
      </c>
      <c r="E167" s="292" t="s">
        <v>8</v>
      </c>
      <c r="F167" s="393" t="s">
        <v>1728</v>
      </c>
    </row>
    <row r="168" spans="1:6" ht="17.649999999999999" customHeight="1" x14ac:dyDescent="0.25">
      <c r="A168" s="194" t="s">
        <v>85</v>
      </c>
      <c r="B168" s="194" t="s">
        <v>1893</v>
      </c>
      <c r="C168" s="197">
        <v>8</v>
      </c>
      <c r="D168" s="196" t="s">
        <v>86</v>
      </c>
      <c r="E168" s="292" t="s">
        <v>8</v>
      </c>
      <c r="F168" s="393" t="s">
        <v>1728</v>
      </c>
    </row>
    <row r="169" spans="1:6" ht="17.649999999999999" customHeight="1" x14ac:dyDescent="0.25">
      <c r="A169" s="194" t="s">
        <v>83</v>
      </c>
      <c r="B169" s="194" t="s">
        <v>1894</v>
      </c>
      <c r="C169" s="195">
        <v>8</v>
      </c>
      <c r="D169" s="196" t="s">
        <v>84</v>
      </c>
      <c r="E169" s="292" t="s">
        <v>8</v>
      </c>
      <c r="F169" s="393" t="s">
        <v>1728</v>
      </c>
    </row>
    <row r="170" spans="1:6" ht="17.649999999999999" customHeight="1" x14ac:dyDescent="0.25">
      <c r="A170" s="194" t="s">
        <v>81</v>
      </c>
      <c r="B170" s="88" t="s">
        <v>1940</v>
      </c>
      <c r="C170" s="197">
        <v>10</v>
      </c>
      <c r="D170" s="196" t="s">
        <v>82</v>
      </c>
      <c r="E170" s="292" t="s">
        <v>8</v>
      </c>
      <c r="F170" s="393" t="s">
        <v>1728</v>
      </c>
    </row>
    <row r="171" spans="1:6" ht="17.649999999999999" customHeight="1" x14ac:dyDescent="0.25">
      <c r="A171" s="194" t="s">
        <v>79</v>
      </c>
      <c r="B171" s="194" t="s">
        <v>1941</v>
      </c>
      <c r="C171" s="195">
        <v>10</v>
      </c>
      <c r="D171" s="196" t="s">
        <v>80</v>
      </c>
      <c r="E171" s="292" t="s">
        <v>8</v>
      </c>
      <c r="F171" s="393" t="s">
        <v>1728</v>
      </c>
    </row>
    <row r="172" spans="1:6" ht="17.649999999999999" customHeight="1" x14ac:dyDescent="0.25">
      <c r="A172" s="156" t="s">
        <v>295</v>
      </c>
      <c r="B172" s="156"/>
      <c r="C172" s="222">
        <v>2</v>
      </c>
      <c r="D172" s="56" t="s">
        <v>296</v>
      </c>
      <c r="E172" s="469" t="s">
        <v>146</v>
      </c>
      <c r="F172" s="393" t="s">
        <v>1728</v>
      </c>
    </row>
    <row r="173" spans="1:6" ht="17.649999999999999" customHeight="1" x14ac:dyDescent="0.25">
      <c r="A173" s="194" t="s">
        <v>187</v>
      </c>
      <c r="B173" s="194"/>
      <c r="C173" s="195">
        <v>10</v>
      </c>
      <c r="D173" s="196" t="s">
        <v>188</v>
      </c>
      <c r="E173" s="292" t="s">
        <v>10</v>
      </c>
      <c r="F173" s="393" t="s">
        <v>1728</v>
      </c>
    </row>
    <row r="174" spans="1:6" ht="17.649999999999999" customHeight="1" x14ac:dyDescent="0.25">
      <c r="A174" s="194" t="s">
        <v>247</v>
      </c>
      <c r="B174" s="194" t="s">
        <v>1958</v>
      </c>
      <c r="C174" s="197">
        <v>6</v>
      </c>
      <c r="D174" s="196" t="s">
        <v>248</v>
      </c>
      <c r="E174" s="292" t="s">
        <v>8</v>
      </c>
      <c r="F174" s="393" t="s">
        <v>1728</v>
      </c>
    </row>
    <row r="175" spans="1:6" ht="17.649999999999999" customHeight="1" x14ac:dyDescent="0.25">
      <c r="A175" s="194" t="s">
        <v>205</v>
      </c>
      <c r="B175" s="194"/>
      <c r="C175" s="197">
        <v>20</v>
      </c>
      <c r="D175" s="196"/>
      <c r="E175" s="292" t="s">
        <v>206</v>
      </c>
      <c r="F175" s="393" t="s">
        <v>1728</v>
      </c>
    </row>
    <row r="176" spans="1:6" ht="17.649999999999999" customHeight="1" x14ac:dyDescent="0.25">
      <c r="A176" s="194" t="s">
        <v>87</v>
      </c>
      <c r="B176" s="194" t="s">
        <v>1960</v>
      </c>
      <c r="C176" s="195">
        <v>15</v>
      </c>
      <c r="D176" s="196" t="s">
        <v>88</v>
      </c>
      <c r="E176" s="292" t="s">
        <v>8</v>
      </c>
      <c r="F176" s="393" t="s">
        <v>1728</v>
      </c>
    </row>
    <row r="177" spans="1:6" ht="17.649999999999999" customHeight="1" x14ac:dyDescent="0.25">
      <c r="A177" s="194" t="s">
        <v>89</v>
      </c>
      <c r="B177" s="194" t="s">
        <v>1961</v>
      </c>
      <c r="C177" s="197">
        <v>15</v>
      </c>
      <c r="D177" s="196" t="s">
        <v>90</v>
      </c>
      <c r="E177" s="292" t="s">
        <v>10</v>
      </c>
      <c r="F177" s="393" t="s">
        <v>1728</v>
      </c>
    </row>
    <row r="178" spans="1:6" ht="17.649999999999999" customHeight="1" x14ac:dyDescent="0.25">
      <c r="A178" s="194" t="s">
        <v>91</v>
      </c>
      <c r="B178" s="194" t="s">
        <v>1962</v>
      </c>
      <c r="C178" s="195">
        <v>10</v>
      </c>
      <c r="D178" s="196" t="s">
        <v>92</v>
      </c>
      <c r="E178" s="292" t="s">
        <v>10</v>
      </c>
      <c r="F178" s="393" t="s">
        <v>1728</v>
      </c>
    </row>
    <row r="179" spans="1:6" ht="17.649999999999999" customHeight="1" x14ac:dyDescent="0.25">
      <c r="A179" s="194" t="s">
        <v>93</v>
      </c>
      <c r="B179" s="194" t="s">
        <v>1963</v>
      </c>
      <c r="C179" s="197">
        <v>10</v>
      </c>
      <c r="D179" s="196" t="s">
        <v>94</v>
      </c>
      <c r="E179" s="292" t="s">
        <v>10</v>
      </c>
      <c r="F179" s="393" t="s">
        <v>1728</v>
      </c>
    </row>
    <row r="180" spans="1:6" ht="17.649999999999999" customHeight="1" x14ac:dyDescent="0.25">
      <c r="A180" s="194" t="s">
        <v>270</v>
      </c>
      <c r="B180" s="194"/>
      <c r="C180" s="195">
        <v>2</v>
      </c>
      <c r="D180" s="196" t="s">
        <v>271</v>
      </c>
      <c r="E180" s="292" t="s">
        <v>272</v>
      </c>
      <c r="F180" s="393" t="s">
        <v>1728</v>
      </c>
    </row>
    <row r="181" spans="1:6" ht="17.649999999999999" customHeight="1" x14ac:dyDescent="0.25">
      <c r="A181" s="194" t="s">
        <v>273</v>
      </c>
      <c r="B181" s="194"/>
      <c r="C181" s="197">
        <v>2</v>
      </c>
      <c r="D181" s="196" t="s">
        <v>274</v>
      </c>
      <c r="E181" s="292" t="s">
        <v>272</v>
      </c>
      <c r="F181" s="393" t="s">
        <v>1728</v>
      </c>
    </row>
    <row r="182" spans="1:6" ht="17.649999999999999" customHeight="1" x14ac:dyDescent="0.25">
      <c r="A182" s="194" t="s">
        <v>110</v>
      </c>
      <c r="B182" s="194" t="s">
        <v>1970</v>
      </c>
      <c r="C182" s="197">
        <v>15</v>
      </c>
      <c r="D182" s="196" t="s">
        <v>111</v>
      </c>
      <c r="E182" s="292" t="s">
        <v>8</v>
      </c>
      <c r="F182" s="393" t="s">
        <v>1728</v>
      </c>
    </row>
    <row r="183" spans="1:6" ht="17.649999999999999" customHeight="1" x14ac:dyDescent="0.25">
      <c r="A183" s="194" t="s">
        <v>112</v>
      </c>
      <c r="B183" s="194" t="s">
        <v>1972</v>
      </c>
      <c r="C183" s="195">
        <v>15</v>
      </c>
      <c r="D183" s="196" t="s">
        <v>113</v>
      </c>
      <c r="E183" s="292" t="s">
        <v>8</v>
      </c>
      <c r="F183" s="393" t="s">
        <v>1728</v>
      </c>
    </row>
    <row r="184" spans="1:6" ht="17.649999999999999" customHeight="1" x14ac:dyDescent="0.25">
      <c r="A184" s="194" t="s">
        <v>114</v>
      </c>
      <c r="B184" s="194" t="s">
        <v>1973</v>
      </c>
      <c r="C184" s="197">
        <v>10</v>
      </c>
      <c r="D184" s="196" t="s">
        <v>115</v>
      </c>
      <c r="E184" s="292" t="s">
        <v>8</v>
      </c>
      <c r="F184" s="393" t="s">
        <v>1728</v>
      </c>
    </row>
    <row r="185" spans="1:6" ht="17.649999999999999" customHeight="1" x14ac:dyDescent="0.25">
      <c r="A185" s="194" t="s">
        <v>116</v>
      </c>
      <c r="B185" s="194" t="s">
        <v>1974</v>
      </c>
      <c r="C185" s="195">
        <v>3</v>
      </c>
      <c r="D185" s="196" t="s">
        <v>117</v>
      </c>
      <c r="E185" s="292" t="s">
        <v>8</v>
      </c>
      <c r="F185" s="393" t="s">
        <v>1728</v>
      </c>
    </row>
    <row r="186" spans="1:6" ht="17.649999999999999" customHeight="1" x14ac:dyDescent="0.25">
      <c r="A186" s="202" t="s">
        <v>251</v>
      </c>
      <c r="B186" s="202" t="s">
        <v>1947</v>
      </c>
      <c r="C186" s="203">
        <v>6</v>
      </c>
      <c r="D186" s="467" t="s">
        <v>252</v>
      </c>
      <c r="E186" s="304" t="s">
        <v>8</v>
      </c>
      <c r="F186" s="394" t="s">
        <v>1728</v>
      </c>
    </row>
    <row r="187" spans="1:6" ht="17.649999999999999" customHeight="1" x14ac:dyDescent="0.25">
      <c r="A187" s="322" t="s">
        <v>217</v>
      </c>
      <c r="B187" s="322"/>
      <c r="C187" s="337">
        <v>2</v>
      </c>
      <c r="D187" s="295"/>
      <c r="E187" s="295" t="s">
        <v>218</v>
      </c>
      <c r="F187" s="393" t="s">
        <v>1728</v>
      </c>
    </row>
    <row r="188" spans="1:6" ht="17.649999999999999" customHeight="1" x14ac:dyDescent="0.25">
      <c r="A188" s="322" t="s">
        <v>212</v>
      </c>
      <c r="B188" s="322"/>
      <c r="C188" s="337">
        <v>3</v>
      </c>
      <c r="D188" s="295"/>
      <c r="E188" s="295"/>
      <c r="F188" s="393" t="s">
        <v>1728</v>
      </c>
    </row>
    <row r="189" spans="1:6" ht="17.649999999999999" customHeight="1" x14ac:dyDescent="0.25">
      <c r="A189" s="322" t="s">
        <v>211</v>
      </c>
      <c r="B189" s="322"/>
      <c r="C189" s="332">
        <v>6</v>
      </c>
      <c r="D189" s="295"/>
      <c r="E189" s="295"/>
      <c r="F189" s="393" t="s">
        <v>1728</v>
      </c>
    </row>
    <row r="190" spans="1:6" ht="17.649999999999999" customHeight="1" x14ac:dyDescent="0.25">
      <c r="A190" s="312" t="s">
        <v>210</v>
      </c>
      <c r="B190" s="372"/>
      <c r="C190" s="331">
        <v>3</v>
      </c>
      <c r="D190" s="349"/>
      <c r="E190" s="295"/>
      <c r="F190" s="393" t="s">
        <v>1728</v>
      </c>
    </row>
    <row r="191" spans="1:6" ht="17.649999999999999" customHeight="1" x14ac:dyDescent="0.25">
      <c r="A191" s="312" t="s">
        <v>193</v>
      </c>
      <c r="B191" s="372"/>
      <c r="C191" s="330">
        <v>15</v>
      </c>
      <c r="D191" s="349" t="s">
        <v>194</v>
      </c>
      <c r="E191" s="295" t="s">
        <v>146</v>
      </c>
      <c r="F191" s="393" t="s">
        <v>1728</v>
      </c>
    </row>
    <row r="192" spans="1:6" ht="17.649999999999999" customHeight="1" x14ac:dyDescent="0.25">
      <c r="A192" s="312" t="s">
        <v>229</v>
      </c>
      <c r="B192" s="372" t="s">
        <v>1988</v>
      </c>
      <c r="C192" s="331">
        <v>15</v>
      </c>
      <c r="D192" s="349" t="s">
        <v>230</v>
      </c>
      <c r="E192" s="295" t="s">
        <v>8</v>
      </c>
      <c r="F192" s="393" t="s">
        <v>1728</v>
      </c>
    </row>
    <row r="193" spans="1:6" ht="17.649999999999999" customHeight="1" x14ac:dyDescent="0.25">
      <c r="A193" s="312" t="s">
        <v>227</v>
      </c>
      <c r="B193" s="372" t="s">
        <v>1782</v>
      </c>
      <c r="C193" s="330">
        <v>6</v>
      </c>
      <c r="D193" s="349" t="s">
        <v>228</v>
      </c>
      <c r="E193" s="295" t="s">
        <v>8</v>
      </c>
      <c r="F193" s="393" t="s">
        <v>1728</v>
      </c>
    </row>
    <row r="194" spans="1:6" ht="17.649999999999999" customHeight="1" x14ac:dyDescent="0.25">
      <c r="A194" s="312" t="s">
        <v>128</v>
      </c>
      <c r="B194" s="372"/>
      <c r="C194" s="331">
        <v>5</v>
      </c>
      <c r="D194" s="349" t="s">
        <v>129</v>
      </c>
      <c r="E194" s="295" t="s">
        <v>8</v>
      </c>
      <c r="F194" s="393" t="s">
        <v>1728</v>
      </c>
    </row>
    <row r="195" spans="1:6" ht="17.649999999999999" customHeight="1" x14ac:dyDescent="0.25">
      <c r="A195" s="312" t="s">
        <v>126</v>
      </c>
      <c r="B195" s="372" t="s">
        <v>1989</v>
      </c>
      <c r="C195" s="330">
        <v>5</v>
      </c>
      <c r="D195" s="349" t="s">
        <v>127</v>
      </c>
      <c r="E195" s="295" t="s">
        <v>8</v>
      </c>
      <c r="F195" s="393" t="s">
        <v>1728</v>
      </c>
    </row>
    <row r="196" spans="1:6" ht="17.649999999999999" customHeight="1" x14ac:dyDescent="0.25">
      <c r="A196" s="312" t="s">
        <v>118</v>
      </c>
      <c r="B196" s="374" t="s">
        <v>1993</v>
      </c>
      <c r="C196" s="330">
        <v>15</v>
      </c>
      <c r="D196" s="360" t="s">
        <v>119</v>
      </c>
      <c r="E196" s="295" t="s">
        <v>10</v>
      </c>
      <c r="F196" s="393" t="s">
        <v>1728</v>
      </c>
    </row>
    <row r="197" spans="1:6" ht="17.649999999999999" customHeight="1" x14ac:dyDescent="0.25">
      <c r="A197" s="312" t="s">
        <v>120</v>
      </c>
      <c r="B197" s="412" t="s">
        <v>2000</v>
      </c>
      <c r="C197" s="436">
        <v>10</v>
      </c>
      <c r="D197" s="292" t="s">
        <v>121</v>
      </c>
      <c r="E197" s="295" t="s">
        <v>10</v>
      </c>
      <c r="F197" s="393" t="s">
        <v>1728</v>
      </c>
    </row>
    <row r="198" spans="1:6" ht="17.649999999999999" customHeight="1" x14ac:dyDescent="0.25">
      <c r="A198" s="312" t="s">
        <v>95</v>
      </c>
      <c r="B198" s="374" t="s">
        <v>2003</v>
      </c>
      <c r="C198" s="397">
        <v>10</v>
      </c>
      <c r="D198" s="349" t="s">
        <v>96</v>
      </c>
      <c r="E198" s="295" t="s">
        <v>8</v>
      </c>
      <c r="F198" s="393" t="s">
        <v>1728</v>
      </c>
    </row>
    <row r="199" spans="1:6" ht="17.649999999999999" customHeight="1" x14ac:dyDescent="0.25">
      <c r="A199" s="312" t="s">
        <v>97</v>
      </c>
      <c r="B199" s="375" t="s">
        <v>1995</v>
      </c>
      <c r="C199" s="330">
        <v>15</v>
      </c>
      <c r="D199" s="349" t="s">
        <v>98</v>
      </c>
      <c r="E199" s="295" t="s">
        <v>8</v>
      </c>
      <c r="F199" s="393" t="s">
        <v>1728</v>
      </c>
    </row>
    <row r="200" spans="1:6" ht="17.649999999999999" customHeight="1" x14ac:dyDescent="0.25">
      <c r="A200" s="312" t="s">
        <v>102</v>
      </c>
      <c r="B200" s="372" t="s">
        <v>2004</v>
      </c>
      <c r="C200" s="330">
        <v>10</v>
      </c>
      <c r="D200" s="349" t="s">
        <v>103</v>
      </c>
      <c r="E200" s="295" t="s">
        <v>10</v>
      </c>
      <c r="F200" s="393" t="s">
        <v>1728</v>
      </c>
    </row>
    <row r="201" spans="1:6" ht="17.649999999999999" customHeight="1" x14ac:dyDescent="0.25">
      <c r="A201" s="312" t="s">
        <v>104</v>
      </c>
      <c r="B201" s="372" t="s">
        <v>2007</v>
      </c>
      <c r="C201" s="331">
        <v>10</v>
      </c>
      <c r="D201" s="349" t="s">
        <v>105</v>
      </c>
      <c r="E201" s="295" t="s">
        <v>10</v>
      </c>
      <c r="F201" s="393" t="s">
        <v>1728</v>
      </c>
    </row>
    <row r="202" spans="1:6" ht="17.649999999999999" customHeight="1" x14ac:dyDescent="0.25">
      <c r="A202" s="312" t="s">
        <v>106</v>
      </c>
      <c r="B202" s="372" t="s">
        <v>2008</v>
      </c>
      <c r="C202" s="330">
        <v>5</v>
      </c>
      <c r="D202" s="349" t="s">
        <v>107</v>
      </c>
      <c r="E202" s="295" t="s">
        <v>10</v>
      </c>
      <c r="F202" s="393" t="s">
        <v>1728</v>
      </c>
    </row>
    <row r="203" spans="1:6" ht="17.649999999999999" customHeight="1" x14ac:dyDescent="0.25">
      <c r="A203" s="312" t="s">
        <v>99</v>
      </c>
      <c r="B203" s="373" t="s">
        <v>2006</v>
      </c>
      <c r="C203" s="331">
        <v>15</v>
      </c>
      <c r="D203" s="349" t="s">
        <v>100</v>
      </c>
      <c r="E203" s="295" t="s">
        <v>10</v>
      </c>
      <c r="F203" s="393" t="s">
        <v>1728</v>
      </c>
    </row>
    <row r="204" spans="1:6" ht="17.649999999999999" customHeight="1" x14ac:dyDescent="0.25">
      <c r="A204" s="312" t="s">
        <v>245</v>
      </c>
      <c r="B204" s="372"/>
      <c r="C204" s="331">
        <v>1</v>
      </c>
      <c r="D204" s="349" t="s">
        <v>246</v>
      </c>
      <c r="E204" s="295" t="s">
        <v>8</v>
      </c>
      <c r="F204" s="393" t="s">
        <v>1728</v>
      </c>
    </row>
    <row r="205" spans="1:6" ht="17.649999999999999" customHeight="1" x14ac:dyDescent="0.25">
      <c r="A205" s="312" t="s">
        <v>243</v>
      </c>
      <c r="B205" s="372"/>
      <c r="C205" s="330">
        <v>1</v>
      </c>
      <c r="D205" s="349" t="s">
        <v>244</v>
      </c>
      <c r="E205" s="295" t="s">
        <v>8</v>
      </c>
      <c r="F205" s="393" t="s">
        <v>1728</v>
      </c>
    </row>
    <row r="206" spans="1:6" ht="17.649999999999999" customHeight="1" x14ac:dyDescent="0.25">
      <c r="A206" s="312" t="s">
        <v>132</v>
      </c>
      <c r="B206" s="376" t="s">
        <v>1857</v>
      </c>
      <c r="C206" s="331">
        <v>6</v>
      </c>
      <c r="D206" s="349" t="s">
        <v>133</v>
      </c>
      <c r="E206" s="295" t="s">
        <v>8</v>
      </c>
      <c r="F206" s="393" t="s">
        <v>1728</v>
      </c>
    </row>
    <row r="207" spans="1:6" ht="17.649999999999999" customHeight="1" x14ac:dyDescent="0.25">
      <c r="A207" s="312" t="s">
        <v>134</v>
      </c>
      <c r="B207" s="372" t="s">
        <v>1859</v>
      </c>
      <c r="C207" s="330">
        <v>4</v>
      </c>
      <c r="D207" s="349" t="s">
        <v>135</v>
      </c>
      <c r="E207" s="295" t="s">
        <v>8</v>
      </c>
      <c r="F207" s="393" t="s">
        <v>1728</v>
      </c>
    </row>
    <row r="208" spans="1:6" ht="17.649999999999999" customHeight="1" x14ac:dyDescent="0.25">
      <c r="A208" s="312" t="s">
        <v>138</v>
      </c>
      <c r="B208" s="372" t="s">
        <v>1860</v>
      </c>
      <c r="C208" s="330">
        <v>2</v>
      </c>
      <c r="D208" s="349" t="s">
        <v>139</v>
      </c>
      <c r="E208" s="295" t="s">
        <v>8</v>
      </c>
      <c r="F208" s="393" t="s">
        <v>1728</v>
      </c>
    </row>
    <row r="209" spans="1:6" ht="17.649999999999999" customHeight="1" x14ac:dyDescent="0.25">
      <c r="A209" s="312" t="s">
        <v>149</v>
      </c>
      <c r="B209" s="372"/>
      <c r="C209" s="331">
        <v>4</v>
      </c>
      <c r="D209" s="349" t="s">
        <v>150</v>
      </c>
      <c r="E209" s="295" t="s">
        <v>146</v>
      </c>
      <c r="F209" s="393" t="s">
        <v>1728</v>
      </c>
    </row>
    <row r="210" spans="1:6" ht="17.649999999999999" customHeight="1" x14ac:dyDescent="0.25">
      <c r="A210" s="312" t="s">
        <v>142</v>
      </c>
      <c r="B210" s="376" t="s">
        <v>1861</v>
      </c>
      <c r="C210" s="330">
        <v>6</v>
      </c>
      <c r="D210" s="349" t="s">
        <v>143</v>
      </c>
      <c r="E210" s="295" t="s">
        <v>8</v>
      </c>
      <c r="F210" s="393" t="s">
        <v>1728</v>
      </c>
    </row>
    <row r="211" spans="1:6" ht="17.649999999999999" customHeight="1" x14ac:dyDescent="0.25">
      <c r="A211" s="312" t="s">
        <v>147</v>
      </c>
      <c r="B211" s="372"/>
      <c r="C211" s="330">
        <v>4</v>
      </c>
      <c r="D211" s="349" t="s">
        <v>148</v>
      </c>
      <c r="E211" s="295" t="s">
        <v>146</v>
      </c>
      <c r="F211" s="393" t="s">
        <v>1728</v>
      </c>
    </row>
    <row r="212" spans="1:6" ht="17.649999999999999" customHeight="1" x14ac:dyDescent="0.25">
      <c r="A212" s="312" t="s">
        <v>144</v>
      </c>
      <c r="B212" s="372"/>
      <c r="C212" s="331">
        <v>4</v>
      </c>
      <c r="D212" s="349" t="s">
        <v>145</v>
      </c>
      <c r="E212" s="295" t="s">
        <v>146</v>
      </c>
      <c r="F212" s="393" t="s">
        <v>1728</v>
      </c>
    </row>
    <row r="213" spans="1:6" ht="17.649999999999999" customHeight="1" x14ac:dyDescent="0.25">
      <c r="A213" s="312" t="s">
        <v>140</v>
      </c>
      <c r="B213" s="379" t="s">
        <v>1858</v>
      </c>
      <c r="C213" s="454">
        <v>6</v>
      </c>
      <c r="D213" s="360" t="s">
        <v>141</v>
      </c>
      <c r="E213" s="295" t="s">
        <v>8</v>
      </c>
      <c r="F213" s="393" t="s">
        <v>1728</v>
      </c>
    </row>
    <row r="214" spans="1:6" ht="17.649999999999999" customHeight="1" x14ac:dyDescent="0.25">
      <c r="A214" s="313" t="s">
        <v>136</v>
      </c>
      <c r="B214" s="135" t="s">
        <v>1862</v>
      </c>
      <c r="C214" s="195">
        <v>4</v>
      </c>
      <c r="D214" s="348" t="s">
        <v>137</v>
      </c>
      <c r="E214" s="295" t="s">
        <v>8</v>
      </c>
      <c r="F214" s="393" t="s">
        <v>1728</v>
      </c>
    </row>
    <row r="215" spans="1:6" ht="17.649999999999999" customHeight="1" x14ac:dyDescent="0.25">
      <c r="A215" s="5" t="s">
        <v>370</v>
      </c>
      <c r="B215" s="418" t="s">
        <v>1749</v>
      </c>
      <c r="C215" s="60">
        <v>1</v>
      </c>
      <c r="D215" s="131" t="s">
        <v>310</v>
      </c>
      <c r="E215" s="112" t="s">
        <v>8</v>
      </c>
      <c r="F215" s="393" t="s">
        <v>1682</v>
      </c>
    </row>
    <row r="216" spans="1:6" ht="17.649999999999999" customHeight="1" x14ac:dyDescent="0.25">
      <c r="A216" s="61" t="s">
        <v>421</v>
      </c>
      <c r="B216" s="250" t="s">
        <v>1750</v>
      </c>
      <c r="C216" s="157">
        <v>1</v>
      </c>
      <c r="D216" s="387" t="s">
        <v>422</v>
      </c>
      <c r="E216" s="112" t="s">
        <v>8</v>
      </c>
      <c r="F216" s="393" t="s">
        <v>1682</v>
      </c>
    </row>
    <row r="217" spans="1:6" ht="17.649999999999999" customHeight="1" x14ac:dyDescent="0.25">
      <c r="A217" s="44" t="s">
        <v>423</v>
      </c>
      <c r="B217" s="414" t="s">
        <v>1751</v>
      </c>
      <c r="C217" s="439">
        <v>1</v>
      </c>
      <c r="D217" s="143" t="s">
        <v>424</v>
      </c>
      <c r="E217" s="233" t="s">
        <v>4</v>
      </c>
      <c r="F217" s="393" t="s">
        <v>1682</v>
      </c>
    </row>
    <row r="218" spans="1:6" ht="17.649999999999999" customHeight="1" x14ac:dyDescent="0.25">
      <c r="A218" s="5" t="s">
        <v>365</v>
      </c>
      <c r="B218" s="386" t="s">
        <v>1767</v>
      </c>
      <c r="C218" s="60">
        <v>2</v>
      </c>
      <c r="D218" s="131" t="s">
        <v>12</v>
      </c>
      <c r="E218" s="112" t="s">
        <v>8</v>
      </c>
      <c r="F218" s="393" t="s">
        <v>1682</v>
      </c>
    </row>
    <row r="219" spans="1:6" ht="17.649999999999999" customHeight="1" x14ac:dyDescent="0.25">
      <c r="A219" s="5" t="s">
        <v>366</v>
      </c>
      <c r="B219" s="2" t="s">
        <v>1768</v>
      </c>
      <c r="C219" s="30">
        <v>2</v>
      </c>
      <c r="D219" s="53" t="s">
        <v>7</v>
      </c>
      <c r="E219" s="112" t="s">
        <v>8</v>
      </c>
      <c r="F219" s="393" t="s">
        <v>1682</v>
      </c>
    </row>
    <row r="220" spans="1:6" ht="17.649999999999999" customHeight="1" x14ac:dyDescent="0.25">
      <c r="A220" s="5" t="s">
        <v>369</v>
      </c>
      <c r="B220" s="249" t="s">
        <v>1772</v>
      </c>
      <c r="C220" s="30">
        <v>2</v>
      </c>
      <c r="D220" s="53" t="s">
        <v>200</v>
      </c>
      <c r="E220" s="112" t="s">
        <v>8</v>
      </c>
      <c r="F220" s="393" t="s">
        <v>1682</v>
      </c>
    </row>
    <row r="221" spans="1:6" ht="17.649999999999999" customHeight="1" x14ac:dyDescent="0.25">
      <c r="A221" s="61" t="s">
        <v>368</v>
      </c>
      <c r="B221" s="250" t="s">
        <v>1774</v>
      </c>
      <c r="C221" s="62">
        <v>2</v>
      </c>
      <c r="D221" s="75" t="s">
        <v>204</v>
      </c>
      <c r="E221" s="112" t="s">
        <v>8</v>
      </c>
      <c r="F221" s="393" t="s">
        <v>1682</v>
      </c>
    </row>
    <row r="222" spans="1:6" ht="17.649999999999999" customHeight="1" x14ac:dyDescent="0.25">
      <c r="A222" s="61" t="s">
        <v>381</v>
      </c>
      <c r="B222" s="250" t="s">
        <v>1776</v>
      </c>
      <c r="C222" s="62">
        <v>3</v>
      </c>
      <c r="D222" s="204" t="s">
        <v>382</v>
      </c>
      <c r="E222" s="112" t="s">
        <v>8</v>
      </c>
      <c r="F222" s="393" t="s">
        <v>1682</v>
      </c>
    </row>
    <row r="223" spans="1:6" ht="17.649999999999999" customHeight="1" x14ac:dyDescent="0.25">
      <c r="A223" s="305" t="s">
        <v>445</v>
      </c>
      <c r="B223" s="421" t="s">
        <v>1777</v>
      </c>
      <c r="C223" s="60">
        <v>2</v>
      </c>
      <c r="D223" s="131" t="s">
        <v>446</v>
      </c>
      <c r="E223" s="112" t="s">
        <v>8</v>
      </c>
      <c r="F223" s="393" t="s">
        <v>1682</v>
      </c>
    </row>
    <row r="224" spans="1:6" ht="17.649999999999999" customHeight="1" x14ac:dyDescent="0.25">
      <c r="A224" s="305" t="s">
        <v>428</v>
      </c>
      <c r="B224" s="421" t="s">
        <v>1778</v>
      </c>
      <c r="C224" s="60">
        <v>2</v>
      </c>
      <c r="D224" s="131" t="s">
        <v>429</v>
      </c>
      <c r="E224" s="112" t="s">
        <v>8</v>
      </c>
      <c r="F224" s="393" t="s">
        <v>1682</v>
      </c>
    </row>
    <row r="225" spans="1:6" ht="17.649999999999999" customHeight="1" x14ac:dyDescent="0.25">
      <c r="A225" s="305" t="s">
        <v>426</v>
      </c>
      <c r="B225" s="381"/>
      <c r="C225" s="30">
        <v>2</v>
      </c>
      <c r="D225" s="53" t="s">
        <v>427</v>
      </c>
      <c r="E225" s="112" t="s">
        <v>8</v>
      </c>
      <c r="F225" s="393" t="s">
        <v>1682</v>
      </c>
    </row>
    <row r="226" spans="1:6" ht="17.649999999999999" customHeight="1" x14ac:dyDescent="0.25">
      <c r="A226" s="305" t="s">
        <v>430</v>
      </c>
      <c r="B226" s="381"/>
      <c r="C226" s="30">
        <v>1</v>
      </c>
      <c r="D226" s="53" t="s">
        <v>431</v>
      </c>
      <c r="E226" s="112" t="s">
        <v>8</v>
      </c>
      <c r="F226" s="393" t="s">
        <v>1682</v>
      </c>
    </row>
    <row r="227" spans="1:6" ht="17.649999999999999" customHeight="1" x14ac:dyDescent="0.25">
      <c r="A227" s="305" t="s">
        <v>432</v>
      </c>
      <c r="B227" s="381"/>
      <c r="C227" s="30">
        <v>2</v>
      </c>
      <c r="D227" s="207" t="s">
        <v>433</v>
      </c>
      <c r="E227" s="112" t="s">
        <v>8</v>
      </c>
      <c r="F227" s="393" t="s">
        <v>1682</v>
      </c>
    </row>
    <row r="228" spans="1:6" ht="17.649999999999999" customHeight="1" x14ac:dyDescent="0.25">
      <c r="A228" s="305" t="s">
        <v>434</v>
      </c>
      <c r="B228" s="381"/>
      <c r="C228" s="30">
        <v>1</v>
      </c>
      <c r="D228" s="276" t="s">
        <v>435</v>
      </c>
      <c r="E228" s="112" t="s">
        <v>8</v>
      </c>
      <c r="F228" s="393" t="s">
        <v>1682</v>
      </c>
    </row>
    <row r="229" spans="1:6" ht="17.649999999999999" customHeight="1" x14ac:dyDescent="0.25">
      <c r="A229" s="5" t="s">
        <v>367</v>
      </c>
      <c r="B229" s="2" t="s">
        <v>1782</v>
      </c>
      <c r="C229" s="30">
        <v>2</v>
      </c>
      <c r="D229" s="53" t="s">
        <v>230</v>
      </c>
      <c r="E229" s="112" t="s">
        <v>8</v>
      </c>
      <c r="F229" s="393" t="s">
        <v>1682</v>
      </c>
    </row>
    <row r="230" spans="1:6" ht="17.649999999999999" customHeight="1" x14ac:dyDescent="0.25">
      <c r="A230" s="61" t="s">
        <v>419</v>
      </c>
      <c r="B230" s="17" t="s">
        <v>1786</v>
      </c>
      <c r="C230" s="62">
        <v>1</v>
      </c>
      <c r="D230" s="75" t="s">
        <v>420</v>
      </c>
      <c r="E230" s="112" t="s">
        <v>8</v>
      </c>
      <c r="F230" s="393" t="s">
        <v>1682</v>
      </c>
    </row>
    <row r="231" spans="1:6" ht="17.649999999999999" customHeight="1" x14ac:dyDescent="0.25">
      <c r="A231" s="5" t="s">
        <v>364</v>
      </c>
      <c r="B231" s="376" t="s">
        <v>1797</v>
      </c>
      <c r="C231" s="55">
        <v>1</v>
      </c>
      <c r="D231" s="75">
        <v>2050</v>
      </c>
      <c r="E231" s="112" t="s">
        <v>4</v>
      </c>
      <c r="F231" s="393" t="s">
        <v>1682</v>
      </c>
    </row>
    <row r="232" spans="1:6" ht="17.649999999999999" customHeight="1" x14ac:dyDescent="0.25">
      <c r="A232" s="5" t="s">
        <v>361</v>
      </c>
      <c r="B232" s="2"/>
      <c r="C232" s="30">
        <v>1</v>
      </c>
      <c r="D232" s="53">
        <v>662590</v>
      </c>
      <c r="E232" s="112" t="s">
        <v>362</v>
      </c>
      <c r="F232" s="393" t="s">
        <v>1682</v>
      </c>
    </row>
    <row r="233" spans="1:6" ht="17.649999999999999" customHeight="1" x14ac:dyDescent="0.25">
      <c r="A233" s="305" t="s">
        <v>449</v>
      </c>
      <c r="B233" s="381"/>
      <c r="C233" s="30">
        <v>1</v>
      </c>
      <c r="D233" s="53" t="s">
        <v>450</v>
      </c>
      <c r="E233" s="112" t="s">
        <v>8</v>
      </c>
      <c r="F233" s="393" t="s">
        <v>1682</v>
      </c>
    </row>
    <row r="234" spans="1:6" ht="17.649999999999999" customHeight="1" x14ac:dyDescent="0.25">
      <c r="A234" s="305" t="s">
        <v>447</v>
      </c>
      <c r="B234" s="381"/>
      <c r="C234" s="30">
        <v>1</v>
      </c>
      <c r="D234" s="53" t="s">
        <v>448</v>
      </c>
      <c r="E234" s="112" t="s">
        <v>8</v>
      </c>
      <c r="F234" s="393" t="s">
        <v>1682</v>
      </c>
    </row>
    <row r="235" spans="1:6" ht="17.649999999999999" customHeight="1" x14ac:dyDescent="0.25">
      <c r="A235" s="61" t="s">
        <v>383</v>
      </c>
      <c r="B235" s="17"/>
      <c r="C235" s="62">
        <v>1</v>
      </c>
      <c r="D235" s="75" t="s">
        <v>384</v>
      </c>
      <c r="E235" s="112" t="s">
        <v>8</v>
      </c>
      <c r="F235" s="393" t="s">
        <v>1682</v>
      </c>
    </row>
    <row r="236" spans="1:6" ht="17.649999999999999" customHeight="1" x14ac:dyDescent="0.25">
      <c r="A236" s="5" t="s">
        <v>385</v>
      </c>
      <c r="B236" s="2"/>
      <c r="C236" s="30">
        <v>1</v>
      </c>
      <c r="D236" s="53" t="s">
        <v>386</v>
      </c>
      <c r="E236" s="112" t="s">
        <v>8</v>
      </c>
      <c r="F236" s="393" t="s">
        <v>1682</v>
      </c>
    </row>
    <row r="237" spans="1:6" ht="17.649999999999999" customHeight="1" x14ac:dyDescent="0.25">
      <c r="A237" s="405" t="s">
        <v>425</v>
      </c>
      <c r="B237" s="420"/>
      <c r="C237" s="64">
        <v>1</v>
      </c>
      <c r="D237" s="52" t="s">
        <v>424</v>
      </c>
      <c r="E237" s="233" t="s">
        <v>8</v>
      </c>
      <c r="F237" s="393" t="s">
        <v>1682</v>
      </c>
    </row>
    <row r="238" spans="1:6" ht="17.649999999999999" customHeight="1" x14ac:dyDescent="0.25">
      <c r="A238" s="5" t="s">
        <v>387</v>
      </c>
      <c r="B238" s="2"/>
      <c r="C238" s="30">
        <v>1</v>
      </c>
      <c r="D238" s="53" t="s">
        <v>388</v>
      </c>
      <c r="E238" s="112" t="s">
        <v>8</v>
      </c>
      <c r="F238" s="393" t="s">
        <v>1682</v>
      </c>
    </row>
    <row r="239" spans="1:6" ht="17.649999999999999" customHeight="1" x14ac:dyDescent="0.25">
      <c r="A239" s="5" t="s">
        <v>389</v>
      </c>
      <c r="B239" s="2"/>
      <c r="C239" s="30">
        <v>1</v>
      </c>
      <c r="D239" s="53" t="s">
        <v>390</v>
      </c>
      <c r="E239" s="112" t="s">
        <v>8</v>
      </c>
      <c r="F239" s="393" t="s">
        <v>1682</v>
      </c>
    </row>
    <row r="240" spans="1:6" ht="17.649999999999999" customHeight="1" x14ac:dyDescent="0.25">
      <c r="A240" s="5" t="s">
        <v>391</v>
      </c>
      <c r="B240" s="410" t="s">
        <v>1826</v>
      </c>
      <c r="C240" s="30">
        <v>1</v>
      </c>
      <c r="D240" s="53" t="s">
        <v>392</v>
      </c>
      <c r="E240" s="112" t="s">
        <v>8</v>
      </c>
      <c r="F240" s="393" t="s">
        <v>1682</v>
      </c>
    </row>
    <row r="241" spans="1:6" ht="17.649999999999999" customHeight="1" x14ac:dyDescent="0.25">
      <c r="A241" s="5" t="s">
        <v>394</v>
      </c>
      <c r="B241" s="2"/>
      <c r="C241" s="30">
        <v>1</v>
      </c>
      <c r="D241" s="53" t="s">
        <v>395</v>
      </c>
      <c r="E241" s="112" t="s">
        <v>8</v>
      </c>
      <c r="F241" s="393" t="s">
        <v>1682</v>
      </c>
    </row>
    <row r="242" spans="1:6" ht="17.649999999999999" customHeight="1" x14ac:dyDescent="0.25">
      <c r="A242" s="305" t="s">
        <v>436</v>
      </c>
      <c r="B242" s="377" t="s">
        <v>1825</v>
      </c>
      <c r="C242" s="30">
        <v>1</v>
      </c>
      <c r="D242" s="53" t="s">
        <v>158</v>
      </c>
      <c r="E242" s="112" t="s">
        <v>8</v>
      </c>
      <c r="F242" s="393" t="s">
        <v>1682</v>
      </c>
    </row>
    <row r="243" spans="1:6" ht="17.649999999999999" customHeight="1" x14ac:dyDescent="0.25">
      <c r="A243" s="22" t="s">
        <v>396</v>
      </c>
      <c r="B243" s="22" t="s">
        <v>1827</v>
      </c>
      <c r="C243" s="38">
        <v>1</v>
      </c>
      <c r="D243" s="131" t="s">
        <v>322</v>
      </c>
      <c r="E243" s="112" t="s">
        <v>8</v>
      </c>
      <c r="F243" s="393" t="s">
        <v>1682</v>
      </c>
    </row>
    <row r="244" spans="1:6" ht="17.649999999999999" customHeight="1" x14ac:dyDescent="0.25">
      <c r="A244" s="65" t="s">
        <v>397</v>
      </c>
      <c r="B244" s="65" t="s">
        <v>2018</v>
      </c>
      <c r="C244" s="188">
        <v>1</v>
      </c>
      <c r="D244" s="152" t="s">
        <v>398</v>
      </c>
      <c r="E244" s="74" t="s">
        <v>8</v>
      </c>
      <c r="F244" s="393" t="s">
        <v>1682</v>
      </c>
    </row>
    <row r="245" spans="1:6" ht="17.649999999999999" customHeight="1" x14ac:dyDescent="0.25">
      <c r="A245" s="22" t="s">
        <v>399</v>
      </c>
      <c r="B245" s="22" t="s">
        <v>1829</v>
      </c>
      <c r="C245" s="38">
        <v>1</v>
      </c>
      <c r="D245" s="239" t="s">
        <v>125</v>
      </c>
      <c r="E245" s="112" t="s">
        <v>8</v>
      </c>
      <c r="F245" s="393" t="s">
        <v>1682</v>
      </c>
    </row>
    <row r="246" spans="1:6" ht="17.649999999999999" customHeight="1" x14ac:dyDescent="0.25">
      <c r="A246" s="22" t="s">
        <v>400</v>
      </c>
      <c r="B246" s="22"/>
      <c r="C246" s="38">
        <v>1</v>
      </c>
      <c r="D246" s="131" t="s">
        <v>401</v>
      </c>
      <c r="E246" s="112" t="s">
        <v>8</v>
      </c>
      <c r="F246" s="393" t="s">
        <v>1682</v>
      </c>
    </row>
    <row r="247" spans="1:6" ht="17.649999999999999" customHeight="1" x14ac:dyDescent="0.25">
      <c r="A247" s="65" t="s">
        <v>402</v>
      </c>
      <c r="B247" s="415" t="s">
        <v>1874</v>
      </c>
      <c r="C247" s="188">
        <v>1</v>
      </c>
      <c r="D247" s="229" t="s">
        <v>403</v>
      </c>
      <c r="E247" s="74" t="s">
        <v>8</v>
      </c>
      <c r="F247" s="393" t="s">
        <v>1682</v>
      </c>
    </row>
    <row r="248" spans="1:6" ht="17.649999999999999" customHeight="1" x14ac:dyDescent="0.25">
      <c r="A248" s="65" t="s">
        <v>165</v>
      </c>
      <c r="B248" s="65" t="s">
        <v>2022</v>
      </c>
      <c r="C248" s="38">
        <v>1</v>
      </c>
      <c r="D248" s="230" t="s">
        <v>166</v>
      </c>
      <c r="E248" s="112" t="s">
        <v>8</v>
      </c>
      <c r="F248" s="393" t="s">
        <v>1682</v>
      </c>
    </row>
    <row r="249" spans="1:6" ht="17.649999999999999" customHeight="1" x14ac:dyDescent="0.25">
      <c r="A249" s="316" t="s">
        <v>439</v>
      </c>
      <c r="B249" s="316"/>
      <c r="C249" s="38">
        <v>1</v>
      </c>
      <c r="D249" s="131" t="s">
        <v>440</v>
      </c>
      <c r="E249" s="112" t="s">
        <v>8</v>
      </c>
      <c r="F249" s="393" t="s">
        <v>1682</v>
      </c>
    </row>
    <row r="250" spans="1:6" ht="17.649999999999999" customHeight="1" x14ac:dyDescent="0.25">
      <c r="A250" s="316" t="s">
        <v>443</v>
      </c>
      <c r="B250" s="316"/>
      <c r="C250" s="38">
        <v>1</v>
      </c>
      <c r="D250" s="131" t="s">
        <v>444</v>
      </c>
      <c r="E250" s="112" t="s">
        <v>8</v>
      </c>
      <c r="F250" s="393" t="s">
        <v>1682</v>
      </c>
    </row>
    <row r="251" spans="1:6" ht="17.649999999999999" customHeight="1" x14ac:dyDescent="0.25">
      <c r="A251" s="316" t="s">
        <v>437</v>
      </c>
      <c r="B251" s="316"/>
      <c r="C251" s="38">
        <v>1</v>
      </c>
      <c r="D251" s="131" t="s">
        <v>438</v>
      </c>
      <c r="E251" s="112" t="s">
        <v>8</v>
      </c>
      <c r="F251" s="393" t="s">
        <v>1682</v>
      </c>
    </row>
    <row r="252" spans="1:6" ht="17.649999999999999" customHeight="1" x14ac:dyDescent="0.25">
      <c r="A252" s="316" t="s">
        <v>441</v>
      </c>
      <c r="B252" s="316"/>
      <c r="C252" s="38">
        <v>1</v>
      </c>
      <c r="D252" s="131" t="s">
        <v>442</v>
      </c>
      <c r="E252" s="112" t="s">
        <v>8</v>
      </c>
      <c r="F252" s="393" t="s">
        <v>1682</v>
      </c>
    </row>
    <row r="253" spans="1:6" ht="17.649999999999999" customHeight="1" x14ac:dyDescent="0.25">
      <c r="A253" s="22" t="s">
        <v>404</v>
      </c>
      <c r="B253" s="22" t="s">
        <v>1891</v>
      </c>
      <c r="C253" s="38">
        <v>1</v>
      </c>
      <c r="D253" s="131" t="s">
        <v>405</v>
      </c>
      <c r="E253" s="112" t="s">
        <v>8</v>
      </c>
      <c r="F253" s="393" t="s">
        <v>1682</v>
      </c>
    </row>
    <row r="254" spans="1:6" ht="17.649999999999999" customHeight="1" x14ac:dyDescent="0.25">
      <c r="A254" s="5" t="s">
        <v>306</v>
      </c>
      <c r="B254" s="374" t="s">
        <v>1896</v>
      </c>
      <c r="C254" s="32">
        <v>1</v>
      </c>
      <c r="D254" s="53">
        <v>971</v>
      </c>
      <c r="E254" s="112" t="s">
        <v>4</v>
      </c>
      <c r="F254" s="393" t="s">
        <v>1682</v>
      </c>
    </row>
    <row r="255" spans="1:6" ht="17.649999999999999" customHeight="1" x14ac:dyDescent="0.25">
      <c r="A255" s="5" t="s">
        <v>308</v>
      </c>
      <c r="B255" s="362" t="s">
        <v>1895</v>
      </c>
      <c r="C255" s="32">
        <v>1</v>
      </c>
      <c r="D255" s="53">
        <v>957</v>
      </c>
      <c r="E255" s="112" t="s">
        <v>4</v>
      </c>
      <c r="F255" s="393" t="s">
        <v>1682</v>
      </c>
    </row>
    <row r="256" spans="1:6" ht="17.649999999999999" customHeight="1" x14ac:dyDescent="0.25">
      <c r="A256" s="5" t="s">
        <v>406</v>
      </c>
      <c r="B256" s="2" t="s">
        <v>1953</v>
      </c>
      <c r="C256" s="30">
        <v>1</v>
      </c>
      <c r="D256" s="53" t="s">
        <v>407</v>
      </c>
      <c r="E256" s="112" t="s">
        <v>8</v>
      </c>
      <c r="F256" s="393" t="s">
        <v>1682</v>
      </c>
    </row>
    <row r="257" spans="1:6" ht="17.649999999999999" customHeight="1" x14ac:dyDescent="0.25">
      <c r="A257" s="5" t="s">
        <v>408</v>
      </c>
      <c r="B257" s="2" t="s">
        <v>1952</v>
      </c>
      <c r="C257" s="30">
        <v>1</v>
      </c>
      <c r="D257" s="53" t="s">
        <v>409</v>
      </c>
      <c r="E257" s="112" t="s">
        <v>8</v>
      </c>
      <c r="F257" s="393" t="s">
        <v>1682</v>
      </c>
    </row>
    <row r="258" spans="1:6" ht="17.649999999999999" customHeight="1" x14ac:dyDescent="0.25">
      <c r="A258" s="5" t="s">
        <v>410</v>
      </c>
      <c r="B258" s="2" t="s">
        <v>1954</v>
      </c>
      <c r="C258" s="30">
        <v>1</v>
      </c>
      <c r="D258" s="53" t="s">
        <v>411</v>
      </c>
      <c r="E258" s="112" t="s">
        <v>8</v>
      </c>
      <c r="F258" s="393" t="s">
        <v>1682</v>
      </c>
    </row>
    <row r="259" spans="1:6" ht="17.649999999999999" customHeight="1" x14ac:dyDescent="0.25">
      <c r="A259" s="5" t="s">
        <v>412</v>
      </c>
      <c r="B259" s="2" t="s">
        <v>1955</v>
      </c>
      <c r="C259" s="30">
        <v>1</v>
      </c>
      <c r="D259" s="53" t="s">
        <v>413</v>
      </c>
      <c r="E259" s="112" t="s">
        <v>8</v>
      </c>
      <c r="F259" s="393" t="s">
        <v>1682</v>
      </c>
    </row>
    <row r="260" spans="1:6" ht="17.649999999999999" customHeight="1" x14ac:dyDescent="0.25">
      <c r="A260" s="61" t="s">
        <v>414</v>
      </c>
      <c r="B260" s="17" t="s">
        <v>1956</v>
      </c>
      <c r="C260" s="62">
        <v>1</v>
      </c>
      <c r="D260" s="458">
        <v>15216</v>
      </c>
      <c r="E260" s="74" t="s">
        <v>146</v>
      </c>
      <c r="F260" s="393" t="s">
        <v>1682</v>
      </c>
    </row>
    <row r="261" spans="1:6" ht="17.649999999999999" customHeight="1" x14ac:dyDescent="0.25">
      <c r="A261" s="5" t="s">
        <v>379</v>
      </c>
      <c r="B261" s="2"/>
      <c r="C261" s="30">
        <v>1</v>
      </c>
      <c r="D261" s="53" t="s">
        <v>380</v>
      </c>
      <c r="E261" s="112" t="s">
        <v>8</v>
      </c>
      <c r="F261" s="393" t="s">
        <v>1682</v>
      </c>
    </row>
    <row r="262" spans="1:6" ht="17.649999999999999" customHeight="1" x14ac:dyDescent="0.25">
      <c r="A262" s="61" t="s">
        <v>377</v>
      </c>
      <c r="B262" s="17" t="s">
        <v>1982</v>
      </c>
      <c r="C262" s="62">
        <v>1</v>
      </c>
      <c r="D262" s="75" t="s">
        <v>378</v>
      </c>
      <c r="E262" s="74" t="s">
        <v>10</v>
      </c>
      <c r="F262" s="393" t="s">
        <v>1682</v>
      </c>
    </row>
    <row r="263" spans="1:6" ht="17.649999999999999" customHeight="1" x14ac:dyDescent="0.25">
      <c r="A263" s="5" t="s">
        <v>415</v>
      </c>
      <c r="B263" s="362" t="s">
        <v>1985</v>
      </c>
      <c r="C263" s="30">
        <v>1</v>
      </c>
      <c r="D263" s="53" t="s">
        <v>416</v>
      </c>
      <c r="E263" s="112" t="s">
        <v>8</v>
      </c>
      <c r="F263" s="393" t="s">
        <v>1682</v>
      </c>
    </row>
    <row r="264" spans="1:6" ht="17.649999999999999" customHeight="1" x14ac:dyDescent="0.25">
      <c r="A264" s="5" t="s">
        <v>417</v>
      </c>
      <c r="B264" s="2" t="s">
        <v>1986</v>
      </c>
      <c r="C264" s="30">
        <v>1</v>
      </c>
      <c r="D264" s="53" t="s">
        <v>418</v>
      </c>
      <c r="E264" s="112" t="s">
        <v>8</v>
      </c>
      <c r="F264" s="393" t="s">
        <v>1682</v>
      </c>
    </row>
    <row r="265" spans="1:6" ht="17.649999999999999" customHeight="1" x14ac:dyDescent="0.25">
      <c r="A265" s="5" t="s">
        <v>371</v>
      </c>
      <c r="B265" s="2"/>
      <c r="C265" s="30">
        <v>1</v>
      </c>
      <c r="D265" s="53" t="s">
        <v>372</v>
      </c>
      <c r="E265" s="112" t="s">
        <v>8</v>
      </c>
      <c r="F265" s="393" t="s">
        <v>1682</v>
      </c>
    </row>
    <row r="266" spans="1:6" ht="17.649999999999999" customHeight="1" x14ac:dyDescent="0.25">
      <c r="A266" s="5" t="s">
        <v>373</v>
      </c>
      <c r="B266" s="2"/>
      <c r="C266" s="30">
        <v>1</v>
      </c>
      <c r="D266" s="53" t="s">
        <v>374</v>
      </c>
      <c r="E266" s="112" t="s">
        <v>8</v>
      </c>
      <c r="F266" s="393" t="s">
        <v>1682</v>
      </c>
    </row>
    <row r="267" spans="1:6" ht="17.649999999999999" customHeight="1" x14ac:dyDescent="0.25">
      <c r="A267" s="5" t="s">
        <v>375</v>
      </c>
      <c r="B267" s="2" t="s">
        <v>1866</v>
      </c>
      <c r="C267" s="30">
        <v>1</v>
      </c>
      <c r="D267" s="53" t="s">
        <v>376</v>
      </c>
      <c r="E267" s="112" t="s">
        <v>8</v>
      </c>
      <c r="F267" s="393" t="s">
        <v>1682</v>
      </c>
    </row>
    <row r="268" spans="1:6" ht="17.649999999999999" customHeight="1" x14ac:dyDescent="0.25">
      <c r="A268" s="314" t="s">
        <v>1715</v>
      </c>
      <c r="B268" s="418"/>
      <c r="C268" s="448">
        <v>1</v>
      </c>
      <c r="D268" s="389">
        <v>662290</v>
      </c>
      <c r="E268" s="258"/>
      <c r="F268" s="393" t="s">
        <v>1748</v>
      </c>
    </row>
    <row r="269" spans="1:6" ht="17.649999999999999" customHeight="1" x14ac:dyDescent="0.25">
      <c r="A269" s="314" t="s">
        <v>1714</v>
      </c>
      <c r="B269" s="334"/>
      <c r="C269" s="338">
        <v>1</v>
      </c>
      <c r="D269" s="388">
        <v>662250</v>
      </c>
      <c r="E269" s="258"/>
      <c r="F269" s="393" t="s">
        <v>1748</v>
      </c>
    </row>
    <row r="270" spans="1:6" ht="17.649999999999999" customHeight="1" x14ac:dyDescent="0.25">
      <c r="A270" s="314" t="s">
        <v>1718</v>
      </c>
      <c r="B270" s="334"/>
      <c r="C270" s="338">
        <v>1</v>
      </c>
      <c r="D270" s="388">
        <v>662290</v>
      </c>
      <c r="E270" s="258"/>
      <c r="F270" s="393" t="s">
        <v>1748</v>
      </c>
    </row>
    <row r="271" spans="1:6" ht="17.649999999999999" customHeight="1" x14ac:dyDescent="0.25">
      <c r="A271" s="314" t="s">
        <v>1710</v>
      </c>
      <c r="B271" s="334"/>
      <c r="C271" s="338">
        <v>1</v>
      </c>
      <c r="D271" s="388">
        <v>662290</v>
      </c>
      <c r="E271" s="258"/>
      <c r="F271" s="393" t="s">
        <v>1748</v>
      </c>
    </row>
    <row r="272" spans="1:6" ht="17.649999999999999" customHeight="1" x14ac:dyDescent="0.25">
      <c r="A272" s="314" t="s">
        <v>1713</v>
      </c>
      <c r="B272" s="334"/>
      <c r="C272" s="338">
        <v>1</v>
      </c>
      <c r="D272" s="388">
        <v>662290</v>
      </c>
      <c r="E272" s="258"/>
      <c r="F272" s="393" t="s">
        <v>1748</v>
      </c>
    </row>
    <row r="273" spans="1:6" ht="17.649999999999999" customHeight="1" x14ac:dyDescent="0.25">
      <c r="A273" s="314" t="s">
        <v>1709</v>
      </c>
      <c r="B273" s="334"/>
      <c r="C273" s="338">
        <v>1</v>
      </c>
      <c r="D273" s="388">
        <v>662290</v>
      </c>
      <c r="E273" s="258"/>
      <c r="F273" s="393" t="s">
        <v>1748</v>
      </c>
    </row>
    <row r="274" spans="1:6" ht="17.649999999999999" customHeight="1" x14ac:dyDescent="0.25">
      <c r="A274" s="315" t="s">
        <v>1720</v>
      </c>
      <c r="B274" s="378"/>
      <c r="C274" s="336">
        <v>2</v>
      </c>
      <c r="D274" s="356" t="s">
        <v>1721</v>
      </c>
      <c r="E274" s="258"/>
      <c r="F274" s="393" t="s">
        <v>1748</v>
      </c>
    </row>
    <row r="275" spans="1:6" ht="17.649999999999999" customHeight="1" x14ac:dyDescent="0.25">
      <c r="A275" s="314" t="s">
        <v>1708</v>
      </c>
      <c r="B275" s="334"/>
      <c r="C275" s="338">
        <v>1</v>
      </c>
      <c r="D275" s="388">
        <v>662550</v>
      </c>
      <c r="E275" s="258"/>
      <c r="F275" s="393" t="s">
        <v>1748</v>
      </c>
    </row>
    <row r="276" spans="1:6" ht="17.649999999999999" customHeight="1" x14ac:dyDescent="0.25">
      <c r="A276" s="314" t="s">
        <v>1711</v>
      </c>
      <c r="B276" s="334"/>
      <c r="C276" s="338">
        <v>10</v>
      </c>
      <c r="D276" s="388">
        <v>662250</v>
      </c>
      <c r="E276" s="258"/>
      <c r="F276" s="393" t="s">
        <v>1748</v>
      </c>
    </row>
    <row r="277" spans="1:6" ht="17.649999999999999" customHeight="1" x14ac:dyDescent="0.25">
      <c r="A277" s="314" t="s">
        <v>1712</v>
      </c>
      <c r="B277" s="334"/>
      <c r="C277" s="338">
        <v>1</v>
      </c>
      <c r="D277" s="388">
        <v>662250</v>
      </c>
      <c r="E277" s="258"/>
      <c r="F277" s="393" t="s">
        <v>1748</v>
      </c>
    </row>
    <row r="278" spans="1:6" ht="17.649999999999999" customHeight="1" x14ac:dyDescent="0.25">
      <c r="A278" s="314" t="s">
        <v>1717</v>
      </c>
      <c r="B278" s="334"/>
      <c r="C278" s="338">
        <v>1</v>
      </c>
      <c r="D278" s="388">
        <v>662590</v>
      </c>
      <c r="E278" s="258"/>
      <c r="F278" s="393" t="s">
        <v>1748</v>
      </c>
    </row>
    <row r="279" spans="1:6" ht="17.649999999999999" customHeight="1" x14ac:dyDescent="0.25">
      <c r="A279" s="315" t="s">
        <v>1719</v>
      </c>
      <c r="B279" s="378"/>
      <c r="C279" s="336">
        <v>1</v>
      </c>
      <c r="D279" s="356">
        <v>662290</v>
      </c>
      <c r="E279" s="258"/>
      <c r="F279" s="393" t="s">
        <v>1748</v>
      </c>
    </row>
    <row r="280" spans="1:6" ht="17.649999999999999" customHeight="1" x14ac:dyDescent="0.25">
      <c r="A280" s="314" t="s">
        <v>1716</v>
      </c>
      <c r="B280" s="334"/>
      <c r="C280" s="338">
        <v>2</v>
      </c>
      <c r="D280" s="388">
        <v>662290</v>
      </c>
      <c r="E280" s="258"/>
      <c r="F280" s="393" t="s">
        <v>1748</v>
      </c>
    </row>
    <row r="281" spans="1:6" ht="17.649999999999999" customHeight="1" x14ac:dyDescent="0.25">
      <c r="A281" s="314" t="s">
        <v>1705</v>
      </c>
      <c r="B281" s="334"/>
      <c r="C281" s="338">
        <v>2</v>
      </c>
      <c r="D281" s="388">
        <v>662550</v>
      </c>
      <c r="E281" s="258"/>
      <c r="F281" s="393" t="s">
        <v>1748</v>
      </c>
    </row>
    <row r="282" spans="1:6" ht="17.649999999999999" customHeight="1" x14ac:dyDescent="0.25">
      <c r="A282" s="314" t="s">
        <v>1707</v>
      </c>
      <c r="B282" s="334"/>
      <c r="C282" s="338">
        <v>1</v>
      </c>
      <c r="D282" s="388">
        <v>662550</v>
      </c>
      <c r="E282" s="258"/>
      <c r="F282" s="393" t="s">
        <v>1748</v>
      </c>
    </row>
    <row r="283" spans="1:6" ht="17.649999999999999" customHeight="1" x14ac:dyDescent="0.25">
      <c r="A283" s="314" t="s">
        <v>1706</v>
      </c>
      <c r="B283" s="334"/>
      <c r="C283" s="338">
        <v>2</v>
      </c>
      <c r="D283" s="388">
        <v>662550</v>
      </c>
      <c r="E283" s="258"/>
      <c r="F283" s="393" t="s">
        <v>1748</v>
      </c>
    </row>
    <row r="284" spans="1:6" ht="17.649999999999999" customHeight="1" x14ac:dyDescent="0.25">
      <c r="A284" s="12" t="s">
        <v>1437</v>
      </c>
      <c r="B284" s="362" t="s">
        <v>1754</v>
      </c>
      <c r="C284" s="130">
        <v>1</v>
      </c>
      <c r="D284" s="352" t="s">
        <v>601</v>
      </c>
      <c r="E284" s="191" t="s">
        <v>8</v>
      </c>
      <c r="F284" s="393" t="s">
        <v>1743</v>
      </c>
    </row>
    <row r="285" spans="1:6" ht="17.649999999999999" customHeight="1" x14ac:dyDescent="0.25">
      <c r="A285" s="12" t="s">
        <v>1438</v>
      </c>
      <c r="B285" s="362" t="s">
        <v>1753</v>
      </c>
      <c r="C285" s="130">
        <v>1</v>
      </c>
      <c r="D285" s="352" t="s">
        <v>33</v>
      </c>
      <c r="E285" s="191" t="s">
        <v>8</v>
      </c>
      <c r="F285" s="393" t="s">
        <v>1743</v>
      </c>
    </row>
    <row r="286" spans="1:6" ht="17.649999999999999" customHeight="1" x14ac:dyDescent="0.25">
      <c r="A286" s="12" t="s">
        <v>1435</v>
      </c>
      <c r="B286" s="362" t="s">
        <v>1756</v>
      </c>
      <c r="C286" s="130">
        <v>2</v>
      </c>
      <c r="D286" s="351" t="s">
        <v>14</v>
      </c>
      <c r="E286" s="191" t="s">
        <v>8</v>
      </c>
      <c r="F286" s="393" t="s">
        <v>1743</v>
      </c>
    </row>
    <row r="287" spans="1:6" ht="17.649999999999999" customHeight="1" x14ac:dyDescent="0.25">
      <c r="A287" s="12" t="s">
        <v>1449</v>
      </c>
      <c r="B287" s="362"/>
      <c r="C287" s="130">
        <f>SUM(C286)</f>
        <v>2</v>
      </c>
      <c r="D287" s="351"/>
      <c r="E287" s="191"/>
      <c r="F287" s="393" t="s">
        <v>1743</v>
      </c>
    </row>
    <row r="288" spans="1:6" ht="17.649999999999999" customHeight="1" x14ac:dyDescent="0.25">
      <c r="A288" s="12" t="s">
        <v>1434</v>
      </c>
      <c r="B288" s="362" t="s">
        <v>1868</v>
      </c>
      <c r="C288" s="130">
        <v>1</v>
      </c>
      <c r="D288" s="351" t="s">
        <v>544</v>
      </c>
      <c r="E288" s="191" t="s">
        <v>8</v>
      </c>
      <c r="F288" s="393" t="s">
        <v>1743</v>
      </c>
    </row>
    <row r="289" spans="1:6" ht="17.649999999999999" customHeight="1" x14ac:dyDescent="0.25">
      <c r="A289" s="12" t="s">
        <v>1215</v>
      </c>
      <c r="B289" s="374" t="s">
        <v>1870</v>
      </c>
      <c r="C289" s="130">
        <v>1</v>
      </c>
      <c r="D289" s="351" t="s">
        <v>542</v>
      </c>
      <c r="E289" s="191" t="s">
        <v>8</v>
      </c>
      <c r="F289" s="393" t="s">
        <v>1743</v>
      </c>
    </row>
    <row r="290" spans="1:6" ht="17.649999999999999" customHeight="1" x14ac:dyDescent="0.25">
      <c r="A290" s="12" t="s">
        <v>1446</v>
      </c>
      <c r="B290" s="362" t="s">
        <v>1876</v>
      </c>
      <c r="C290" s="130">
        <v>1</v>
      </c>
      <c r="D290" s="351" t="s">
        <v>250</v>
      </c>
      <c r="E290" s="191" t="s">
        <v>10</v>
      </c>
      <c r="F290" s="393" t="s">
        <v>1743</v>
      </c>
    </row>
    <row r="291" spans="1:6" ht="17.649999999999999" customHeight="1" x14ac:dyDescent="0.25">
      <c r="A291" s="12" t="s">
        <v>1443</v>
      </c>
      <c r="B291" s="362" t="s">
        <v>1877</v>
      </c>
      <c r="C291" s="130">
        <v>4</v>
      </c>
      <c r="D291" s="351" t="s">
        <v>24</v>
      </c>
      <c r="E291" s="191" t="s">
        <v>8</v>
      </c>
      <c r="F291" s="393" t="s">
        <v>1743</v>
      </c>
    </row>
    <row r="292" spans="1:6" ht="17.649999999999999" customHeight="1" x14ac:dyDescent="0.25">
      <c r="A292" s="12" t="s">
        <v>35</v>
      </c>
      <c r="B292" s="375" t="s">
        <v>1881</v>
      </c>
      <c r="C292" s="130">
        <v>4</v>
      </c>
      <c r="D292" s="351" t="s">
        <v>36</v>
      </c>
      <c r="E292" s="191" t="s">
        <v>8</v>
      </c>
      <c r="F292" s="393" t="s">
        <v>1743</v>
      </c>
    </row>
    <row r="293" spans="1:6" ht="17.649999999999999" customHeight="1" x14ac:dyDescent="0.25">
      <c r="A293" s="12" t="s">
        <v>38</v>
      </c>
      <c r="B293" s="373" t="s">
        <v>1883</v>
      </c>
      <c r="C293" s="130">
        <v>2</v>
      </c>
      <c r="D293" s="351" t="s">
        <v>39</v>
      </c>
      <c r="E293" s="191" t="s">
        <v>8</v>
      </c>
      <c r="F293" s="393" t="s">
        <v>1743</v>
      </c>
    </row>
    <row r="294" spans="1:6" ht="17.649999999999999" customHeight="1" x14ac:dyDescent="0.25">
      <c r="A294" s="12" t="s">
        <v>44</v>
      </c>
      <c r="B294" s="362" t="s">
        <v>1886</v>
      </c>
      <c r="C294" s="130">
        <v>1</v>
      </c>
      <c r="D294" s="351" t="s">
        <v>45</v>
      </c>
      <c r="E294" s="191" t="s">
        <v>8</v>
      </c>
      <c r="F294" s="393" t="s">
        <v>1743</v>
      </c>
    </row>
    <row r="295" spans="1:6" ht="17.649999999999999" customHeight="1" x14ac:dyDescent="0.25">
      <c r="A295" s="12" t="s">
        <v>706</v>
      </c>
      <c r="B295" s="362" t="s">
        <v>1887</v>
      </c>
      <c r="C295" s="130">
        <v>1</v>
      </c>
      <c r="D295" s="351" t="s">
        <v>678</v>
      </c>
      <c r="E295" s="191" t="s">
        <v>8</v>
      </c>
      <c r="F295" s="393" t="s">
        <v>1743</v>
      </c>
    </row>
    <row r="296" spans="1:6" ht="17.649999999999999" customHeight="1" x14ac:dyDescent="0.25">
      <c r="A296" s="12" t="s">
        <v>1444</v>
      </c>
      <c r="B296" s="362" t="s">
        <v>1895</v>
      </c>
      <c r="C296" s="130">
        <v>6</v>
      </c>
      <c r="D296" s="351">
        <v>957</v>
      </c>
      <c r="E296" s="191" t="s">
        <v>4</v>
      </c>
      <c r="F296" s="393" t="s">
        <v>1743</v>
      </c>
    </row>
    <row r="297" spans="1:6" ht="17.649999999999999" customHeight="1" x14ac:dyDescent="0.25">
      <c r="A297" s="12" t="s">
        <v>525</v>
      </c>
      <c r="B297" s="376" t="s">
        <v>1900</v>
      </c>
      <c r="C297" s="130">
        <v>1</v>
      </c>
      <c r="D297" s="351" t="s">
        <v>53</v>
      </c>
      <c r="E297" s="191" t="s">
        <v>8</v>
      </c>
      <c r="F297" s="393" t="s">
        <v>1743</v>
      </c>
    </row>
    <row r="298" spans="1:6" ht="17.649999999999999" customHeight="1" x14ac:dyDescent="0.25">
      <c r="A298" s="12" t="s">
        <v>1436</v>
      </c>
      <c r="B298" s="362" t="s">
        <v>1901</v>
      </c>
      <c r="C298" s="130">
        <v>2</v>
      </c>
      <c r="D298" s="351" t="s">
        <v>736</v>
      </c>
      <c r="E298" s="191" t="s">
        <v>8</v>
      </c>
      <c r="F298" s="393" t="s">
        <v>1743</v>
      </c>
    </row>
    <row r="299" spans="1:6" ht="17.649999999999999" customHeight="1" x14ac:dyDescent="0.25">
      <c r="A299" s="12" t="s">
        <v>56</v>
      </c>
      <c r="B299" s="333" t="s">
        <v>1911</v>
      </c>
      <c r="C299" s="130">
        <v>1</v>
      </c>
      <c r="D299" s="351" t="s">
        <v>57</v>
      </c>
      <c r="E299" s="191" t="s">
        <v>8</v>
      </c>
      <c r="F299" s="393" t="s">
        <v>1743</v>
      </c>
    </row>
    <row r="300" spans="1:6" ht="17.649999999999999" customHeight="1" x14ac:dyDescent="0.25">
      <c r="A300" s="12" t="s">
        <v>1222</v>
      </c>
      <c r="B300" s="362" t="s">
        <v>1914</v>
      </c>
      <c r="C300" s="130">
        <v>1</v>
      </c>
      <c r="D300" s="351" t="s">
        <v>683</v>
      </c>
      <c r="E300" s="191" t="s">
        <v>8</v>
      </c>
      <c r="F300" s="393" t="s">
        <v>1743</v>
      </c>
    </row>
    <row r="301" spans="1:6" ht="17.649999999999999" customHeight="1" x14ac:dyDescent="0.25">
      <c r="A301" s="12" t="s">
        <v>1439</v>
      </c>
      <c r="B301" s="362" t="s">
        <v>1916</v>
      </c>
      <c r="C301" s="130">
        <v>2</v>
      </c>
      <c r="D301" s="351" t="s">
        <v>1226</v>
      </c>
      <c r="E301" s="191" t="s">
        <v>8</v>
      </c>
      <c r="F301" s="393" t="s">
        <v>1743</v>
      </c>
    </row>
    <row r="302" spans="1:6" ht="17.649999999999999" customHeight="1" x14ac:dyDescent="0.25">
      <c r="A302" s="12" t="s">
        <v>1447</v>
      </c>
      <c r="B302" s="362" t="s">
        <v>1917</v>
      </c>
      <c r="C302" s="130">
        <v>2</v>
      </c>
      <c r="D302" s="351" t="s">
        <v>1352</v>
      </c>
      <c r="E302" s="191" t="s">
        <v>8</v>
      </c>
      <c r="F302" s="393" t="s">
        <v>1743</v>
      </c>
    </row>
    <row r="303" spans="1:6" ht="17.649999999999999" customHeight="1" x14ac:dyDescent="0.25">
      <c r="A303" s="12" t="s">
        <v>1448</v>
      </c>
      <c r="B303" s="362" t="s">
        <v>1919</v>
      </c>
      <c r="C303" s="130">
        <v>1</v>
      </c>
      <c r="D303" s="351" t="s">
        <v>1354</v>
      </c>
      <c r="E303" s="191" t="s">
        <v>8</v>
      </c>
      <c r="F303" s="393" t="s">
        <v>1743</v>
      </c>
    </row>
    <row r="304" spans="1:6" ht="17.649999999999999" customHeight="1" x14ac:dyDescent="0.25">
      <c r="A304" s="12" t="s">
        <v>338</v>
      </c>
      <c r="B304" s="375" t="s">
        <v>1931</v>
      </c>
      <c r="C304" s="130">
        <v>4</v>
      </c>
      <c r="D304" s="351" t="s">
        <v>66</v>
      </c>
      <c r="E304" s="191" t="s">
        <v>8</v>
      </c>
      <c r="F304" s="393" t="s">
        <v>1743</v>
      </c>
    </row>
    <row r="305" spans="1:6" ht="17.649999999999999" customHeight="1" x14ac:dyDescent="0.25">
      <c r="A305" s="12" t="s">
        <v>339</v>
      </c>
      <c r="B305" s="372" t="s">
        <v>1932</v>
      </c>
      <c r="C305" s="130">
        <v>4</v>
      </c>
      <c r="D305" s="351" t="s">
        <v>68</v>
      </c>
      <c r="E305" s="191" t="s">
        <v>8</v>
      </c>
      <c r="F305" s="393" t="s">
        <v>1743</v>
      </c>
    </row>
    <row r="306" spans="1:6" ht="17.649999999999999" customHeight="1" x14ac:dyDescent="0.25">
      <c r="A306" s="12" t="s">
        <v>1440</v>
      </c>
      <c r="B306" s="362" t="s">
        <v>1934</v>
      </c>
      <c r="C306" s="130">
        <v>2</v>
      </c>
      <c r="D306" s="352" t="s">
        <v>684</v>
      </c>
      <c r="E306" s="191" t="s">
        <v>8</v>
      </c>
      <c r="F306" s="393" t="s">
        <v>1743</v>
      </c>
    </row>
    <row r="307" spans="1:6" ht="17.649999999999999" customHeight="1" x14ac:dyDescent="0.25">
      <c r="A307" s="12" t="s">
        <v>1441</v>
      </c>
      <c r="B307" s="362" t="s">
        <v>1937</v>
      </c>
      <c r="C307" s="130">
        <v>4</v>
      </c>
      <c r="D307" s="352" t="s">
        <v>73</v>
      </c>
      <c r="E307" s="191" t="s">
        <v>8</v>
      </c>
      <c r="F307" s="393" t="s">
        <v>1743</v>
      </c>
    </row>
    <row r="308" spans="1:6" ht="17.649999999999999" customHeight="1" x14ac:dyDescent="0.25">
      <c r="A308" s="12" t="s">
        <v>1370</v>
      </c>
      <c r="B308" s="362" t="s">
        <v>1942</v>
      </c>
      <c r="C308" s="130">
        <v>2</v>
      </c>
      <c r="D308" s="352" t="s">
        <v>1235</v>
      </c>
      <c r="E308" s="191" t="s">
        <v>8</v>
      </c>
      <c r="F308" s="393" t="s">
        <v>1743</v>
      </c>
    </row>
    <row r="309" spans="1:6" ht="17.649999999999999" customHeight="1" x14ac:dyDescent="0.25">
      <c r="A309" s="12" t="s">
        <v>1442</v>
      </c>
      <c r="B309" s="373" t="s">
        <v>1878</v>
      </c>
      <c r="C309" s="130">
        <v>4</v>
      </c>
      <c r="D309" s="352" t="s">
        <v>26</v>
      </c>
      <c r="E309" s="191" t="s">
        <v>8</v>
      </c>
      <c r="F309" s="393" t="s">
        <v>1743</v>
      </c>
    </row>
    <row r="310" spans="1:6" ht="17.649999999999999" customHeight="1" x14ac:dyDescent="0.25">
      <c r="A310" s="12" t="s">
        <v>549</v>
      </c>
      <c r="B310" s="362" t="s">
        <v>1943</v>
      </c>
      <c r="C310" s="130">
        <v>1</v>
      </c>
      <c r="D310" s="352" t="s">
        <v>550</v>
      </c>
      <c r="E310" s="191" t="s">
        <v>8</v>
      </c>
      <c r="F310" s="393" t="s">
        <v>1743</v>
      </c>
    </row>
    <row r="311" spans="1:6" ht="17.649999999999999" customHeight="1" x14ac:dyDescent="0.25">
      <c r="A311" s="12" t="s">
        <v>551</v>
      </c>
      <c r="B311" s="362" t="s">
        <v>1947</v>
      </c>
      <c r="C311" s="130">
        <v>1</v>
      </c>
      <c r="D311" s="352" t="s">
        <v>252</v>
      </c>
      <c r="E311" s="191" t="s">
        <v>8</v>
      </c>
      <c r="F311" s="393" t="s">
        <v>1743</v>
      </c>
    </row>
    <row r="312" spans="1:6" ht="17.649999999999999" customHeight="1" x14ac:dyDescent="0.25">
      <c r="A312" s="12" t="s">
        <v>1389</v>
      </c>
      <c r="B312" s="362" t="s">
        <v>1967</v>
      </c>
      <c r="C312" s="130">
        <v>1</v>
      </c>
      <c r="D312" s="352" t="s">
        <v>113</v>
      </c>
      <c r="E312" s="191" t="s">
        <v>8</v>
      </c>
      <c r="F312" s="393" t="s">
        <v>1743</v>
      </c>
    </row>
    <row r="313" spans="1:6" ht="17.649999999999999" customHeight="1" x14ac:dyDescent="0.25">
      <c r="A313" s="12" t="s">
        <v>1388</v>
      </c>
      <c r="B313" s="373" t="s">
        <v>1966</v>
      </c>
      <c r="C313" s="130">
        <v>2</v>
      </c>
      <c r="D313" s="352" t="s">
        <v>115</v>
      </c>
      <c r="E313" s="191" t="s">
        <v>8</v>
      </c>
      <c r="F313" s="393" t="s">
        <v>1743</v>
      </c>
    </row>
    <row r="314" spans="1:6" ht="17.649999999999999" customHeight="1" x14ac:dyDescent="0.25">
      <c r="A314" s="12" t="s">
        <v>95</v>
      </c>
      <c r="B314" s="374" t="s">
        <v>2003</v>
      </c>
      <c r="C314" s="130">
        <v>1</v>
      </c>
      <c r="D314" s="352" t="s">
        <v>96</v>
      </c>
      <c r="E314" s="191" t="s">
        <v>8</v>
      </c>
      <c r="F314" s="393" t="s">
        <v>1743</v>
      </c>
    </row>
    <row r="315" spans="1:6" ht="17.649999999999999" customHeight="1" x14ac:dyDescent="0.25">
      <c r="A315" s="12" t="s">
        <v>97</v>
      </c>
      <c r="B315" s="375" t="s">
        <v>1995</v>
      </c>
      <c r="C315" s="130">
        <v>1</v>
      </c>
      <c r="D315" s="352" t="s">
        <v>98</v>
      </c>
      <c r="E315" s="191" t="s">
        <v>8</v>
      </c>
      <c r="F315" s="393" t="s">
        <v>1743</v>
      </c>
    </row>
    <row r="316" spans="1:6" ht="17.649999999999999" customHeight="1" x14ac:dyDescent="0.25">
      <c r="A316" s="12" t="s">
        <v>929</v>
      </c>
      <c r="B316" s="374" t="s">
        <v>2004</v>
      </c>
      <c r="C316" s="130">
        <v>1</v>
      </c>
      <c r="D316" s="352" t="s">
        <v>1445</v>
      </c>
      <c r="E316" s="191" t="s">
        <v>8</v>
      </c>
      <c r="F316" s="393" t="s">
        <v>1743</v>
      </c>
    </row>
    <row r="317" spans="1:6" ht="17.649999999999999" customHeight="1" x14ac:dyDescent="0.25">
      <c r="A317" s="12" t="s">
        <v>99</v>
      </c>
      <c r="B317" s="373" t="s">
        <v>2006</v>
      </c>
      <c r="C317" s="130">
        <v>2</v>
      </c>
      <c r="D317" s="352" t="s">
        <v>662</v>
      </c>
      <c r="E317" s="191" t="s">
        <v>8</v>
      </c>
      <c r="F317" s="393" t="s">
        <v>1743</v>
      </c>
    </row>
    <row r="318" spans="1:6" ht="17.649999999999999" customHeight="1" x14ac:dyDescent="0.25">
      <c r="A318" s="12" t="s">
        <v>517</v>
      </c>
      <c r="B318" s="373" t="s">
        <v>2008</v>
      </c>
      <c r="C318" s="130">
        <v>1</v>
      </c>
      <c r="D318" s="352" t="s">
        <v>518</v>
      </c>
      <c r="E318" s="191" t="s">
        <v>8</v>
      </c>
      <c r="F318" s="393" t="s">
        <v>1743</v>
      </c>
    </row>
    <row r="319" spans="1:6" ht="17.649999999999999" customHeight="1" x14ac:dyDescent="0.25">
      <c r="A319" s="12" t="s">
        <v>1431</v>
      </c>
      <c r="B319" s="362" t="s">
        <v>1858</v>
      </c>
      <c r="C319" s="130">
        <v>1</v>
      </c>
      <c r="D319" s="352" t="s">
        <v>141</v>
      </c>
      <c r="E319" s="191" t="s">
        <v>8</v>
      </c>
      <c r="F319" s="393" t="s">
        <v>1743</v>
      </c>
    </row>
    <row r="320" spans="1:6" ht="17.649999999999999" customHeight="1" x14ac:dyDescent="0.25">
      <c r="A320" s="12" t="s">
        <v>1338</v>
      </c>
      <c r="B320" s="376" t="s">
        <v>1861</v>
      </c>
      <c r="C320" s="130">
        <v>1</v>
      </c>
      <c r="D320" s="352" t="s">
        <v>143</v>
      </c>
      <c r="E320" s="191" t="s">
        <v>8</v>
      </c>
      <c r="F320" s="393" t="s">
        <v>1743</v>
      </c>
    </row>
    <row r="321" spans="1:7" ht="17.649999999999999" customHeight="1" x14ac:dyDescent="0.25">
      <c r="A321" s="12" t="s">
        <v>1432</v>
      </c>
      <c r="B321" s="362"/>
      <c r="C321" s="130">
        <v>2</v>
      </c>
      <c r="D321" s="352" t="s">
        <v>1433</v>
      </c>
      <c r="E321" s="191" t="s">
        <v>8</v>
      </c>
      <c r="F321" s="393" t="s">
        <v>1743</v>
      </c>
    </row>
    <row r="322" spans="1:7" ht="17.649999999999999" customHeight="1" x14ac:dyDescent="0.25">
      <c r="A322" s="5" t="s">
        <v>481</v>
      </c>
      <c r="B322" s="2"/>
      <c r="C322" s="30">
        <v>1</v>
      </c>
      <c r="D322" s="466">
        <v>662550</v>
      </c>
      <c r="E322" s="112" t="s">
        <v>314</v>
      </c>
      <c r="F322" s="393" t="s">
        <v>1685</v>
      </c>
    </row>
    <row r="323" spans="1:7" ht="17.649999999999999" customHeight="1" x14ac:dyDescent="0.25">
      <c r="A323" s="5" t="s">
        <v>498</v>
      </c>
      <c r="B323" s="410" t="s">
        <v>1802</v>
      </c>
      <c r="C323" s="30">
        <v>1</v>
      </c>
      <c r="D323" s="53" t="s">
        <v>499</v>
      </c>
      <c r="E323" s="112" t="s">
        <v>10</v>
      </c>
      <c r="F323" s="393" t="s">
        <v>1685</v>
      </c>
    </row>
    <row r="324" spans="1:7" ht="17.649999999999999" customHeight="1" x14ac:dyDescent="0.25">
      <c r="A324" s="5" t="s">
        <v>488</v>
      </c>
      <c r="B324" s="410" t="s">
        <v>1801</v>
      </c>
      <c r="C324" s="30">
        <v>1</v>
      </c>
      <c r="D324" s="75" t="s">
        <v>489</v>
      </c>
      <c r="E324" s="112" t="s">
        <v>10</v>
      </c>
      <c r="F324" s="393" t="s">
        <v>1685</v>
      </c>
    </row>
    <row r="325" spans="1:7" ht="17.649999999999999" customHeight="1" x14ac:dyDescent="0.25">
      <c r="A325" s="5" t="s">
        <v>496</v>
      </c>
      <c r="B325" s="410" t="s">
        <v>1803</v>
      </c>
      <c r="C325" s="30">
        <v>1</v>
      </c>
      <c r="D325" s="53" t="s">
        <v>497</v>
      </c>
      <c r="E325" s="112" t="s">
        <v>10</v>
      </c>
      <c r="F325" s="393" t="s">
        <v>1685</v>
      </c>
    </row>
    <row r="326" spans="1:7" ht="17.649999999999999" customHeight="1" x14ac:dyDescent="0.25">
      <c r="A326" s="5" t="s">
        <v>496</v>
      </c>
      <c r="B326" s="410" t="s">
        <v>1804</v>
      </c>
      <c r="C326" s="30">
        <v>1</v>
      </c>
      <c r="D326" s="53" t="s">
        <v>500</v>
      </c>
      <c r="E326" s="112" t="s">
        <v>10</v>
      </c>
      <c r="F326" s="393" t="s">
        <v>1685</v>
      </c>
    </row>
    <row r="327" spans="1:7" ht="17.649999999999999" customHeight="1" x14ac:dyDescent="0.25">
      <c r="A327" s="5" t="s">
        <v>494</v>
      </c>
      <c r="B327" s="410" t="s">
        <v>1805</v>
      </c>
      <c r="C327" s="30">
        <v>1</v>
      </c>
      <c r="D327" s="53" t="s">
        <v>495</v>
      </c>
      <c r="E327" s="112" t="s">
        <v>10</v>
      </c>
      <c r="F327" s="393" t="s">
        <v>1685</v>
      </c>
    </row>
    <row r="328" spans="1:7" ht="17.649999999999999" customHeight="1" x14ac:dyDescent="0.25">
      <c r="A328" s="5" t="s">
        <v>492</v>
      </c>
      <c r="B328" s="410" t="s">
        <v>1806</v>
      </c>
      <c r="C328" s="30">
        <v>1</v>
      </c>
      <c r="D328" s="75" t="s">
        <v>493</v>
      </c>
      <c r="E328" s="112" t="s">
        <v>10</v>
      </c>
      <c r="F328" s="393" t="s">
        <v>1685</v>
      </c>
    </row>
    <row r="329" spans="1:7" ht="17.649999999999999" customHeight="1" x14ac:dyDescent="0.25">
      <c r="A329" s="5" t="s">
        <v>490</v>
      </c>
      <c r="B329" s="410" t="s">
        <v>1801</v>
      </c>
      <c r="C329" s="30">
        <v>2</v>
      </c>
      <c r="D329" s="75" t="s">
        <v>491</v>
      </c>
      <c r="E329" s="112" t="s">
        <v>10</v>
      </c>
      <c r="F329" s="393" t="s">
        <v>1685</v>
      </c>
    </row>
    <row r="330" spans="1:7" ht="17.649999999999999" customHeight="1" x14ac:dyDescent="0.25">
      <c r="A330" s="5" t="s">
        <v>484</v>
      </c>
      <c r="B330" s="410" t="s">
        <v>1807</v>
      </c>
      <c r="C330" s="30">
        <v>1</v>
      </c>
      <c r="D330" s="75" t="s">
        <v>485</v>
      </c>
      <c r="E330" s="112" t="s">
        <v>10</v>
      </c>
      <c r="F330" s="393" t="s">
        <v>1685</v>
      </c>
    </row>
    <row r="331" spans="1:7" ht="17.649999999999999" customHeight="1" x14ac:dyDescent="0.25">
      <c r="A331" s="5" t="s">
        <v>482</v>
      </c>
      <c r="B331" s="410" t="s">
        <v>1808</v>
      </c>
      <c r="C331" s="30">
        <v>1</v>
      </c>
      <c r="D331" s="75" t="s">
        <v>483</v>
      </c>
      <c r="E331" s="112" t="s">
        <v>10</v>
      </c>
      <c r="F331" s="393" t="s">
        <v>1685</v>
      </c>
    </row>
    <row r="332" spans="1:7" ht="17.649999999999999" customHeight="1" x14ac:dyDescent="0.25">
      <c r="A332" s="5" t="s">
        <v>486</v>
      </c>
      <c r="B332" s="410" t="s">
        <v>1811</v>
      </c>
      <c r="C332" s="30">
        <v>1</v>
      </c>
      <c r="D332" s="75" t="s">
        <v>487</v>
      </c>
      <c r="E332" s="112" t="s">
        <v>10</v>
      </c>
      <c r="F332" s="393" t="s">
        <v>1685</v>
      </c>
    </row>
    <row r="333" spans="1:7" ht="17.649999999999999" customHeight="1" x14ac:dyDescent="0.25">
      <c r="A333" s="1" t="s">
        <v>313</v>
      </c>
      <c r="B333" s="373"/>
      <c r="C333" s="32">
        <v>1</v>
      </c>
      <c r="D333" s="53">
        <v>662250</v>
      </c>
      <c r="E333" s="112" t="s">
        <v>501</v>
      </c>
      <c r="F333" s="393" t="s">
        <v>1732</v>
      </c>
    </row>
    <row r="334" spans="1:7" ht="17.649999999999999" customHeight="1" x14ac:dyDescent="0.25">
      <c r="A334" s="1" t="s">
        <v>523</v>
      </c>
      <c r="B334" s="373"/>
      <c r="C334" s="32">
        <v>2</v>
      </c>
      <c r="D334" s="53" t="s">
        <v>524</v>
      </c>
      <c r="E334" s="112" t="s">
        <v>8</v>
      </c>
      <c r="F334" s="393" t="s">
        <v>1732</v>
      </c>
    </row>
    <row r="335" spans="1:7" ht="17.649999999999999" customHeight="1" x14ac:dyDescent="0.25">
      <c r="A335" s="1" t="s">
        <v>526</v>
      </c>
      <c r="B335" s="373" t="s">
        <v>1883</v>
      </c>
      <c r="C335" s="32">
        <v>2</v>
      </c>
      <c r="D335" s="53" t="s">
        <v>39</v>
      </c>
      <c r="E335" s="112" t="s">
        <v>8</v>
      </c>
      <c r="F335" s="393" t="s">
        <v>1732</v>
      </c>
      <c r="G335" t="s">
        <v>1884</v>
      </c>
    </row>
    <row r="336" spans="1:7" ht="17.649999999999999" customHeight="1" x14ac:dyDescent="0.25">
      <c r="A336" s="1" t="s">
        <v>525</v>
      </c>
      <c r="B336" s="376" t="s">
        <v>1900</v>
      </c>
      <c r="C336" s="32">
        <v>1</v>
      </c>
      <c r="D336" s="53" t="s">
        <v>53</v>
      </c>
      <c r="E336" s="112" t="s">
        <v>8</v>
      </c>
      <c r="F336" s="393" t="s">
        <v>1732</v>
      </c>
    </row>
    <row r="337" spans="1:6" ht="17.649999999999999" customHeight="1" x14ac:dyDescent="0.25">
      <c r="A337" s="1" t="s">
        <v>527</v>
      </c>
      <c r="B337" s="373" t="s">
        <v>1947</v>
      </c>
      <c r="C337" s="32">
        <v>1</v>
      </c>
      <c r="D337" s="53" t="s">
        <v>252</v>
      </c>
      <c r="E337" s="112" t="s">
        <v>8</v>
      </c>
      <c r="F337" s="393" t="s">
        <v>1732</v>
      </c>
    </row>
    <row r="338" spans="1:6" ht="17.649999999999999" customHeight="1" x14ac:dyDescent="0.25">
      <c r="A338" s="1" t="s">
        <v>528</v>
      </c>
      <c r="B338" s="373"/>
      <c r="C338" s="32">
        <v>2</v>
      </c>
      <c r="D338" s="53" t="s">
        <v>529</v>
      </c>
      <c r="E338" s="112" t="s">
        <v>8</v>
      </c>
      <c r="F338" s="393" t="s">
        <v>1732</v>
      </c>
    </row>
    <row r="339" spans="1:6" ht="17.649999999999999" customHeight="1" x14ac:dyDescent="0.25">
      <c r="A339" s="1" t="s">
        <v>530</v>
      </c>
      <c r="B339" s="373" t="s">
        <v>1964</v>
      </c>
      <c r="C339" s="32">
        <v>1</v>
      </c>
      <c r="D339" s="53" t="s">
        <v>531</v>
      </c>
      <c r="E339" s="112" t="s">
        <v>8</v>
      </c>
      <c r="F339" s="393" t="s">
        <v>1732</v>
      </c>
    </row>
    <row r="340" spans="1:6" ht="17.649999999999999" customHeight="1" x14ac:dyDescent="0.25">
      <c r="A340" s="1" t="s">
        <v>95</v>
      </c>
      <c r="B340" s="374" t="s">
        <v>2003</v>
      </c>
      <c r="C340" s="32">
        <v>1</v>
      </c>
      <c r="D340" s="53" t="s">
        <v>350</v>
      </c>
      <c r="E340" s="112" t="s">
        <v>8</v>
      </c>
      <c r="F340" s="393" t="s">
        <v>1732</v>
      </c>
    </row>
    <row r="341" spans="1:6" ht="17.649999999999999" customHeight="1" x14ac:dyDescent="0.25">
      <c r="A341" s="1" t="s">
        <v>97</v>
      </c>
      <c r="B341" s="375" t="s">
        <v>1995</v>
      </c>
      <c r="C341" s="32">
        <v>1</v>
      </c>
      <c r="D341" s="53" t="s">
        <v>516</v>
      </c>
      <c r="E341" s="112" t="s">
        <v>8</v>
      </c>
      <c r="F341" s="393" t="s">
        <v>1732</v>
      </c>
    </row>
    <row r="342" spans="1:6" ht="17.649999999999999" customHeight="1" x14ac:dyDescent="0.25">
      <c r="A342" s="1" t="s">
        <v>519</v>
      </c>
      <c r="B342" s="373" t="s">
        <v>2007</v>
      </c>
      <c r="C342" s="32">
        <v>1</v>
      </c>
      <c r="D342" s="53" t="s">
        <v>520</v>
      </c>
      <c r="E342" s="112" t="s">
        <v>8</v>
      </c>
      <c r="F342" s="393" t="s">
        <v>1732</v>
      </c>
    </row>
    <row r="343" spans="1:6" ht="17.649999999999999" customHeight="1" x14ac:dyDescent="0.25">
      <c r="A343" s="1" t="s">
        <v>517</v>
      </c>
      <c r="B343" s="373" t="s">
        <v>2008</v>
      </c>
      <c r="C343" s="32">
        <v>1</v>
      </c>
      <c r="D343" s="53" t="s">
        <v>518</v>
      </c>
      <c r="E343" s="112" t="s">
        <v>8</v>
      </c>
      <c r="F343" s="393" t="s">
        <v>1732</v>
      </c>
    </row>
    <row r="344" spans="1:6" ht="17.649999999999999" customHeight="1" x14ac:dyDescent="0.25">
      <c r="A344" s="1" t="s">
        <v>521</v>
      </c>
      <c r="B344" s="373" t="s">
        <v>1998</v>
      </c>
      <c r="C344" s="32">
        <v>1</v>
      </c>
      <c r="D344" s="53" t="s">
        <v>522</v>
      </c>
      <c r="E344" s="112" t="s">
        <v>8</v>
      </c>
      <c r="F344" s="393" t="s">
        <v>1732</v>
      </c>
    </row>
    <row r="345" spans="1:6" ht="17.649999999999999" customHeight="1" x14ac:dyDescent="0.25">
      <c r="A345" s="1" t="s">
        <v>532</v>
      </c>
      <c r="B345" s="373" t="s">
        <v>1863</v>
      </c>
      <c r="C345" s="32">
        <v>2</v>
      </c>
      <c r="D345" s="53" t="s">
        <v>533</v>
      </c>
      <c r="E345" s="112" t="s">
        <v>8</v>
      </c>
      <c r="F345" s="393" t="s">
        <v>1732</v>
      </c>
    </row>
    <row r="346" spans="1:6" ht="17.649999999999999" customHeight="1" x14ac:dyDescent="0.25">
      <c r="A346" s="1" t="s">
        <v>534</v>
      </c>
      <c r="B346" s="373" t="s">
        <v>1864</v>
      </c>
      <c r="C346" s="32">
        <v>2</v>
      </c>
      <c r="D346" s="53" t="s">
        <v>535</v>
      </c>
      <c r="E346" s="112" t="s">
        <v>8</v>
      </c>
      <c r="F346" s="393" t="s">
        <v>1732</v>
      </c>
    </row>
    <row r="347" spans="1:6" ht="17.649999999999999" customHeight="1" x14ac:dyDescent="0.25">
      <c r="A347" s="1" t="s">
        <v>536</v>
      </c>
      <c r="B347" s="373" t="s">
        <v>1865</v>
      </c>
      <c r="C347" s="32">
        <v>1</v>
      </c>
      <c r="D347" s="53" t="s">
        <v>535</v>
      </c>
      <c r="E347" s="112" t="s">
        <v>8</v>
      </c>
      <c r="F347" s="393" t="s">
        <v>1732</v>
      </c>
    </row>
    <row r="348" spans="1:6" ht="17.649999999999999" customHeight="1" x14ac:dyDescent="0.25">
      <c r="A348" s="12" t="s">
        <v>976</v>
      </c>
      <c r="B348" s="362"/>
      <c r="C348" s="130">
        <v>1</v>
      </c>
      <c r="D348" s="352" t="s">
        <v>307</v>
      </c>
      <c r="E348" s="191"/>
      <c r="F348" s="393" t="s">
        <v>1742</v>
      </c>
    </row>
    <row r="349" spans="1:6" ht="17.649999999999999" customHeight="1" x14ac:dyDescent="0.25">
      <c r="A349" s="12" t="s">
        <v>1418</v>
      </c>
      <c r="B349" s="362" t="s">
        <v>2016</v>
      </c>
      <c r="C349" s="130">
        <v>1</v>
      </c>
      <c r="D349" s="352" t="s">
        <v>1419</v>
      </c>
      <c r="E349" s="191" t="s">
        <v>8</v>
      </c>
      <c r="F349" s="393" t="s">
        <v>1742</v>
      </c>
    </row>
    <row r="350" spans="1:6" ht="17.649999999999999" customHeight="1" x14ac:dyDescent="0.25">
      <c r="A350" s="165" t="s">
        <v>1429</v>
      </c>
      <c r="B350" s="424"/>
      <c r="C350" s="446">
        <v>1</v>
      </c>
      <c r="D350" s="460"/>
      <c r="E350" s="269" t="s">
        <v>10</v>
      </c>
      <c r="F350" s="393" t="s">
        <v>1742</v>
      </c>
    </row>
    <row r="351" spans="1:6" ht="17.649999999999999" customHeight="1" x14ac:dyDescent="0.25">
      <c r="A351" s="165" t="s">
        <v>1430</v>
      </c>
      <c r="B351" s="424"/>
      <c r="C351" s="446">
        <v>1</v>
      </c>
      <c r="D351" s="460"/>
      <c r="E351" s="269" t="s">
        <v>10</v>
      </c>
      <c r="F351" s="393" t="s">
        <v>1742</v>
      </c>
    </row>
    <row r="352" spans="1:6" ht="17.649999999999999" customHeight="1" x14ac:dyDescent="0.25">
      <c r="A352" s="12" t="s">
        <v>1416</v>
      </c>
      <c r="B352" s="362" t="s">
        <v>1814</v>
      </c>
      <c r="C352" s="130">
        <v>1</v>
      </c>
      <c r="D352" s="352" t="s">
        <v>1417</v>
      </c>
      <c r="E352" s="191" t="s">
        <v>10</v>
      </c>
      <c r="F352" s="393" t="s">
        <v>1742</v>
      </c>
    </row>
    <row r="353" spans="1:7" ht="17.649999999999999" customHeight="1" x14ac:dyDescent="0.25">
      <c r="A353" s="12" t="s">
        <v>1399</v>
      </c>
      <c r="B353" s="362"/>
      <c r="C353" s="130">
        <v>1</v>
      </c>
      <c r="D353" s="352" t="s">
        <v>1400</v>
      </c>
      <c r="E353" s="191" t="s">
        <v>363</v>
      </c>
      <c r="F353" s="393" t="s">
        <v>1742</v>
      </c>
    </row>
    <row r="354" spans="1:7" ht="17.649999999999999" customHeight="1" x14ac:dyDescent="0.25">
      <c r="A354" s="12" t="s">
        <v>1420</v>
      </c>
      <c r="B354" s="362" t="s">
        <v>1875</v>
      </c>
      <c r="C354" s="130">
        <v>1</v>
      </c>
      <c r="D354" s="352" t="s">
        <v>1421</v>
      </c>
      <c r="E354" s="191" t="s">
        <v>8</v>
      </c>
      <c r="F354" s="393" t="s">
        <v>1742</v>
      </c>
    </row>
    <row r="355" spans="1:7" ht="17.649999999999999" customHeight="1" x14ac:dyDescent="0.25">
      <c r="A355" s="12" t="s">
        <v>1412</v>
      </c>
      <c r="B355" s="362" t="s">
        <v>1925</v>
      </c>
      <c r="C355" s="130">
        <v>1</v>
      </c>
      <c r="D355" s="307" t="s">
        <v>1413</v>
      </c>
      <c r="E355" s="191" t="s">
        <v>8</v>
      </c>
      <c r="F355" s="393" t="s">
        <v>1742</v>
      </c>
    </row>
    <row r="356" spans="1:7" ht="17.649999999999999" customHeight="1" x14ac:dyDescent="0.25">
      <c r="A356" s="12" t="s">
        <v>1410</v>
      </c>
      <c r="B356" s="362" t="s">
        <v>1926</v>
      </c>
      <c r="C356" s="130">
        <v>1</v>
      </c>
      <c r="D356" s="138" t="s">
        <v>1411</v>
      </c>
      <c r="E356" s="191" t="s">
        <v>8</v>
      </c>
      <c r="F356" s="393" t="s">
        <v>1742</v>
      </c>
    </row>
    <row r="357" spans="1:7" ht="17.649999999999999" customHeight="1" x14ac:dyDescent="0.25">
      <c r="A357" s="95" t="s">
        <v>1407</v>
      </c>
      <c r="B357" s="135" t="s">
        <v>1927</v>
      </c>
      <c r="C357" s="340">
        <v>1</v>
      </c>
      <c r="D357" s="162" t="s">
        <v>553</v>
      </c>
      <c r="E357" s="191" t="s">
        <v>8</v>
      </c>
      <c r="F357" s="393" t="s">
        <v>1742</v>
      </c>
    </row>
    <row r="358" spans="1:7" ht="17.649999999999999" customHeight="1" x14ac:dyDescent="0.25">
      <c r="A358" s="95" t="s">
        <v>1408</v>
      </c>
      <c r="B358" s="135" t="s">
        <v>1928</v>
      </c>
      <c r="C358" s="340">
        <v>1</v>
      </c>
      <c r="D358" s="162" t="s">
        <v>1409</v>
      </c>
      <c r="E358" s="191" t="s">
        <v>8</v>
      </c>
      <c r="F358" s="393" t="s">
        <v>1742</v>
      </c>
    </row>
    <row r="359" spans="1:7" ht="17.649999999999999" customHeight="1" x14ac:dyDescent="0.25">
      <c r="A359" s="95" t="s">
        <v>1405</v>
      </c>
      <c r="B359" s="135" t="s">
        <v>1929</v>
      </c>
      <c r="C359" s="115">
        <v>1</v>
      </c>
      <c r="D359" s="352" t="s">
        <v>1406</v>
      </c>
      <c r="E359" s="191" t="s">
        <v>8</v>
      </c>
      <c r="F359" s="393" t="s">
        <v>1742</v>
      </c>
    </row>
    <row r="360" spans="1:7" ht="17.649999999999999" customHeight="1" x14ac:dyDescent="0.25">
      <c r="A360" s="12" t="s">
        <v>1401</v>
      </c>
      <c r="B360" s="362"/>
      <c r="C360" s="130">
        <v>1</v>
      </c>
      <c r="D360" s="137" t="s">
        <v>1402</v>
      </c>
      <c r="E360" s="191" t="s">
        <v>10</v>
      </c>
      <c r="F360" s="393" t="s">
        <v>1742</v>
      </c>
    </row>
    <row r="361" spans="1:7" ht="17.649999999999999" customHeight="1" x14ac:dyDescent="0.25">
      <c r="A361" s="12" t="s">
        <v>1403</v>
      </c>
      <c r="B361" s="362"/>
      <c r="C361" s="130">
        <v>1</v>
      </c>
      <c r="D361" s="352" t="s">
        <v>1404</v>
      </c>
      <c r="E361" s="191" t="s">
        <v>10</v>
      </c>
      <c r="F361" s="393" t="s">
        <v>1742</v>
      </c>
    </row>
    <row r="362" spans="1:7" ht="17.649999999999999" customHeight="1" x14ac:dyDescent="0.25">
      <c r="A362" s="12" t="s">
        <v>1414</v>
      </c>
      <c r="B362" s="362" t="s">
        <v>1957</v>
      </c>
      <c r="C362" s="130">
        <v>1</v>
      </c>
      <c r="D362" s="352" t="s">
        <v>1415</v>
      </c>
      <c r="E362" s="191" t="s">
        <v>8</v>
      </c>
      <c r="F362" s="393" t="s">
        <v>1742</v>
      </c>
    </row>
    <row r="363" spans="1:7" ht="17.649999999999999" customHeight="1" x14ac:dyDescent="0.25">
      <c r="A363" s="12" t="s">
        <v>1422</v>
      </c>
      <c r="B363" s="362" t="s">
        <v>1983</v>
      </c>
      <c r="C363" s="130">
        <v>1</v>
      </c>
      <c r="D363" s="352" t="s">
        <v>1423</v>
      </c>
      <c r="E363" s="191" t="s">
        <v>8</v>
      </c>
      <c r="F363" s="393" t="s">
        <v>1742</v>
      </c>
    </row>
    <row r="364" spans="1:7" ht="17.649999999999999" customHeight="1" x14ac:dyDescent="0.25">
      <c r="A364" s="12" t="s">
        <v>1424</v>
      </c>
      <c r="B364" s="362" t="s">
        <v>1984</v>
      </c>
      <c r="C364" s="130">
        <v>1</v>
      </c>
      <c r="D364" s="352" t="s">
        <v>1425</v>
      </c>
      <c r="E364" s="191" t="s">
        <v>8</v>
      </c>
      <c r="F364" s="393" t="s">
        <v>1742</v>
      </c>
    </row>
    <row r="365" spans="1:7" ht="17.649999999999999" customHeight="1" x14ac:dyDescent="0.25">
      <c r="A365" s="12" t="s">
        <v>1426</v>
      </c>
      <c r="B365" s="362" t="s">
        <v>1985</v>
      </c>
      <c r="C365" s="130">
        <v>1</v>
      </c>
      <c r="D365" s="352" t="s">
        <v>416</v>
      </c>
      <c r="E365" s="191" t="s">
        <v>8</v>
      </c>
      <c r="F365" s="393" t="s">
        <v>1742</v>
      </c>
    </row>
    <row r="366" spans="1:7" ht="17.649999999999999" customHeight="1" x14ac:dyDescent="0.25">
      <c r="A366" s="186" t="s">
        <v>1427</v>
      </c>
      <c r="B366" s="431" t="s">
        <v>1986</v>
      </c>
      <c r="C366" s="452">
        <v>1</v>
      </c>
      <c r="D366" s="355" t="s">
        <v>1428</v>
      </c>
      <c r="E366" s="192" t="s">
        <v>8</v>
      </c>
      <c r="F366" s="393" t="s">
        <v>1742</v>
      </c>
    </row>
    <row r="367" spans="1:7" ht="17.649999999999999" customHeight="1" x14ac:dyDescent="0.25">
      <c r="A367" s="3" t="s">
        <v>1296</v>
      </c>
      <c r="B367" s="419" t="s">
        <v>1757</v>
      </c>
      <c r="C367" s="45">
        <v>2</v>
      </c>
      <c r="D367" s="347" t="s">
        <v>1297</v>
      </c>
      <c r="E367" s="263" t="s">
        <v>10</v>
      </c>
      <c r="F367" s="393" t="s">
        <v>1718</v>
      </c>
      <c r="G367" t="s">
        <v>1763</v>
      </c>
    </row>
    <row r="368" spans="1:7" ht="17.649999999999999" customHeight="1" x14ac:dyDescent="0.25">
      <c r="A368" s="3" t="s">
        <v>1298</v>
      </c>
      <c r="B368" s="376" t="s">
        <v>1779</v>
      </c>
      <c r="C368" s="45">
        <v>2</v>
      </c>
      <c r="D368" s="347" t="s">
        <v>22</v>
      </c>
      <c r="E368" s="263" t="s">
        <v>8</v>
      </c>
      <c r="F368" s="393" t="s">
        <v>1718</v>
      </c>
    </row>
    <row r="369" spans="1:7" ht="17.649999999999999" customHeight="1" x14ac:dyDescent="0.25">
      <c r="A369" s="3" t="s">
        <v>1299</v>
      </c>
      <c r="B369" s="374"/>
      <c r="C369" s="45">
        <v>2</v>
      </c>
      <c r="D369" s="347" t="s">
        <v>1300</v>
      </c>
      <c r="E369" s="263" t="s">
        <v>10</v>
      </c>
      <c r="F369" s="393" t="s">
        <v>1718</v>
      </c>
    </row>
    <row r="370" spans="1:7" ht="17.649999999999999" customHeight="1" x14ac:dyDescent="0.25">
      <c r="A370" s="3" t="s">
        <v>1132</v>
      </c>
      <c r="B370" s="376" t="s">
        <v>1796</v>
      </c>
      <c r="C370" s="45">
        <v>1</v>
      </c>
      <c r="D370" s="347">
        <v>2049</v>
      </c>
      <c r="E370" s="263" t="s">
        <v>4</v>
      </c>
      <c r="F370" s="393" t="s">
        <v>1718</v>
      </c>
    </row>
    <row r="371" spans="1:7" ht="17.649999999999999" customHeight="1" x14ac:dyDescent="0.25">
      <c r="A371" s="3" t="s">
        <v>1301</v>
      </c>
      <c r="B371" s="374" t="s">
        <v>2014</v>
      </c>
      <c r="C371" s="45">
        <v>2</v>
      </c>
      <c r="D371" s="347" t="s">
        <v>1302</v>
      </c>
      <c r="E371" s="263" t="s">
        <v>10</v>
      </c>
      <c r="F371" s="393" t="s">
        <v>1718</v>
      </c>
    </row>
    <row r="372" spans="1:7" ht="17.649999999999999" customHeight="1" x14ac:dyDescent="0.25">
      <c r="A372" s="3" t="s">
        <v>1303</v>
      </c>
      <c r="B372" s="374" t="s">
        <v>2015</v>
      </c>
      <c r="C372" s="45">
        <v>2</v>
      </c>
      <c r="D372" s="347" t="s">
        <v>1304</v>
      </c>
      <c r="E372" s="263" t="s">
        <v>10</v>
      </c>
      <c r="F372" s="393" t="s">
        <v>1718</v>
      </c>
    </row>
    <row r="373" spans="1:7" ht="17.649999999999999" customHeight="1" x14ac:dyDescent="0.25">
      <c r="A373" s="3" t="s">
        <v>1318</v>
      </c>
      <c r="B373" s="419" t="s">
        <v>1809</v>
      </c>
      <c r="C373" s="45">
        <v>1</v>
      </c>
      <c r="D373" s="347" t="s">
        <v>1319</v>
      </c>
      <c r="E373" s="263" t="s">
        <v>10</v>
      </c>
      <c r="F373" s="393" t="s">
        <v>1718</v>
      </c>
    </row>
    <row r="374" spans="1:7" ht="17.649999999999999" customHeight="1" x14ac:dyDescent="0.25">
      <c r="A374" s="3" t="s">
        <v>1316</v>
      </c>
      <c r="B374" s="374"/>
      <c r="C374" s="45">
        <v>1</v>
      </c>
      <c r="D374" s="347" t="s">
        <v>1317</v>
      </c>
      <c r="E374" s="263" t="s">
        <v>10</v>
      </c>
      <c r="F374" s="393" t="s">
        <v>1718</v>
      </c>
    </row>
    <row r="375" spans="1:7" ht="17.649999999999999" customHeight="1" x14ac:dyDescent="0.25">
      <c r="A375" s="3" t="s">
        <v>1314</v>
      </c>
      <c r="B375" s="419" t="s">
        <v>1810</v>
      </c>
      <c r="C375" s="45">
        <v>1</v>
      </c>
      <c r="D375" s="347" t="s">
        <v>1315</v>
      </c>
      <c r="E375" s="263" t="s">
        <v>10</v>
      </c>
      <c r="F375" s="393" t="s">
        <v>1718</v>
      </c>
    </row>
    <row r="376" spans="1:7" ht="17.649999999999999" customHeight="1" x14ac:dyDescent="0.25">
      <c r="A376" s="3" t="s">
        <v>1312</v>
      </c>
      <c r="B376" s="374" t="s">
        <v>1813</v>
      </c>
      <c r="C376" s="45">
        <v>1</v>
      </c>
      <c r="D376" s="347" t="s">
        <v>1313</v>
      </c>
      <c r="E376" s="263" t="s">
        <v>10</v>
      </c>
      <c r="F376" s="393" t="s">
        <v>1718</v>
      </c>
    </row>
    <row r="377" spans="1:7" ht="17.649999999999999" customHeight="1" x14ac:dyDescent="0.25">
      <c r="A377" s="3" t="s">
        <v>1310</v>
      </c>
      <c r="B377" s="374" t="s">
        <v>1812</v>
      </c>
      <c r="C377" s="45">
        <v>1</v>
      </c>
      <c r="D377" s="347" t="s">
        <v>1311</v>
      </c>
      <c r="E377" s="263" t="s">
        <v>10</v>
      </c>
      <c r="F377" s="393" t="s">
        <v>1718</v>
      </c>
    </row>
    <row r="378" spans="1:7" ht="17.649999999999999" customHeight="1" x14ac:dyDescent="0.25">
      <c r="A378" s="3" t="s">
        <v>1337</v>
      </c>
      <c r="B378" s="374"/>
      <c r="C378" s="45">
        <v>1</v>
      </c>
      <c r="D378" s="347"/>
      <c r="E378" s="263"/>
      <c r="F378" s="393" t="s">
        <v>1718</v>
      </c>
    </row>
    <row r="379" spans="1:7" ht="17.649999999999999" customHeight="1" x14ac:dyDescent="0.25">
      <c r="A379" s="3" t="s">
        <v>1308</v>
      </c>
      <c r="B379" s="374"/>
      <c r="C379" s="45">
        <v>1</v>
      </c>
      <c r="D379" s="347" t="s">
        <v>1309</v>
      </c>
      <c r="E379" s="263" t="s">
        <v>10</v>
      </c>
      <c r="F379" s="393" t="s">
        <v>1718</v>
      </c>
    </row>
    <row r="380" spans="1:7" ht="17.649999999999999" customHeight="1" x14ac:dyDescent="0.25">
      <c r="A380" s="3" t="s">
        <v>1320</v>
      </c>
      <c r="B380" s="374"/>
      <c r="C380" s="45">
        <v>1</v>
      </c>
      <c r="D380" s="347" t="s">
        <v>1321</v>
      </c>
      <c r="E380" s="263" t="s">
        <v>10</v>
      </c>
      <c r="F380" s="393" t="s">
        <v>1718</v>
      </c>
    </row>
    <row r="381" spans="1:7" ht="17.649999999999999" customHeight="1" x14ac:dyDescent="0.25">
      <c r="A381" s="3" t="s">
        <v>1322</v>
      </c>
      <c r="B381" s="374"/>
      <c r="C381" s="45">
        <v>1</v>
      </c>
      <c r="D381" s="347" t="s">
        <v>1323</v>
      </c>
      <c r="E381" s="263" t="s">
        <v>10</v>
      </c>
      <c r="F381" s="393" t="s">
        <v>1718</v>
      </c>
    </row>
    <row r="382" spans="1:7" ht="17.649999999999999" customHeight="1" x14ac:dyDescent="0.25">
      <c r="A382" s="3" t="s">
        <v>1305</v>
      </c>
      <c r="B382" s="374" t="s">
        <v>1922</v>
      </c>
      <c r="C382" s="45">
        <v>1</v>
      </c>
      <c r="D382" s="347" t="s">
        <v>1306</v>
      </c>
      <c r="E382" s="263" t="s">
        <v>10</v>
      </c>
      <c r="F382" s="393" t="s">
        <v>1718</v>
      </c>
      <c r="G382" t="s">
        <v>1923</v>
      </c>
    </row>
    <row r="383" spans="1:7" ht="17.649999999999999" customHeight="1" x14ac:dyDescent="0.25">
      <c r="A383" s="3" t="s">
        <v>1324</v>
      </c>
      <c r="B383" s="374"/>
      <c r="C383" s="45">
        <v>1</v>
      </c>
      <c r="D383" s="347" t="s">
        <v>1325</v>
      </c>
      <c r="E383" s="263" t="s">
        <v>10</v>
      </c>
      <c r="F383" s="393" t="s">
        <v>1718</v>
      </c>
    </row>
    <row r="384" spans="1:7" ht="17.649999999999999" customHeight="1" x14ac:dyDescent="0.25">
      <c r="A384" s="3" t="s">
        <v>1307</v>
      </c>
      <c r="B384" s="374"/>
      <c r="C384" s="45">
        <v>1</v>
      </c>
      <c r="D384" s="347" t="s">
        <v>738</v>
      </c>
      <c r="E384" s="263" t="s">
        <v>10</v>
      </c>
      <c r="F384" s="393" t="s">
        <v>1718</v>
      </c>
    </row>
    <row r="385" spans="1:6" ht="17.649999999999999" customHeight="1" x14ac:dyDescent="0.25">
      <c r="A385" s="3" t="s">
        <v>1326</v>
      </c>
      <c r="B385" s="374"/>
      <c r="C385" s="45">
        <v>1</v>
      </c>
      <c r="D385" s="347" t="s">
        <v>1327</v>
      </c>
      <c r="E385" s="263" t="s">
        <v>8</v>
      </c>
      <c r="F385" s="393" t="s">
        <v>1718</v>
      </c>
    </row>
    <row r="386" spans="1:6" ht="17.649999999999999" customHeight="1" x14ac:dyDescent="0.25">
      <c r="A386" s="302" t="s">
        <v>1328</v>
      </c>
      <c r="B386" s="374" t="s">
        <v>1975</v>
      </c>
      <c r="C386" s="303">
        <v>2</v>
      </c>
      <c r="D386" s="463" t="s">
        <v>1329</v>
      </c>
      <c r="E386" s="263" t="s">
        <v>10</v>
      </c>
      <c r="F386" s="393" t="s">
        <v>1718</v>
      </c>
    </row>
    <row r="387" spans="1:6" ht="17.649999999999999" customHeight="1" x14ac:dyDescent="0.25">
      <c r="A387" s="3" t="s">
        <v>1332</v>
      </c>
      <c r="B387" s="374" t="s">
        <v>1975</v>
      </c>
      <c r="C387" s="45">
        <v>1</v>
      </c>
      <c r="D387" s="347" t="s">
        <v>1333</v>
      </c>
      <c r="E387" s="263" t="s">
        <v>10</v>
      </c>
      <c r="F387" s="393" t="s">
        <v>1718</v>
      </c>
    </row>
    <row r="388" spans="1:6" ht="17.649999999999999" customHeight="1" x14ac:dyDescent="0.25">
      <c r="A388" s="3" t="s">
        <v>1330</v>
      </c>
      <c r="B388" s="374" t="s">
        <v>1976</v>
      </c>
      <c r="C388" s="45">
        <v>1</v>
      </c>
      <c r="D388" s="347" t="s">
        <v>1331</v>
      </c>
      <c r="E388" s="263" t="s">
        <v>10</v>
      </c>
      <c r="F388" s="393" t="s">
        <v>1718</v>
      </c>
    </row>
    <row r="389" spans="1:6" ht="17.649999999999999" customHeight="1" x14ac:dyDescent="0.25">
      <c r="A389" s="3" t="s">
        <v>1336</v>
      </c>
      <c r="B389" s="374" t="s">
        <v>2010</v>
      </c>
      <c r="C389" s="45">
        <v>1</v>
      </c>
      <c r="D389" s="347" t="s">
        <v>640</v>
      </c>
      <c r="E389" s="263" t="s">
        <v>10</v>
      </c>
      <c r="F389" s="393" t="s">
        <v>1718</v>
      </c>
    </row>
    <row r="390" spans="1:6" ht="17.649999999999999" customHeight="1" x14ac:dyDescent="0.25">
      <c r="A390" s="3" t="s">
        <v>1334</v>
      </c>
      <c r="B390" s="374" t="s">
        <v>2011</v>
      </c>
      <c r="C390" s="45">
        <v>1</v>
      </c>
      <c r="D390" s="347" t="s">
        <v>1335</v>
      </c>
      <c r="E390" s="263" t="s">
        <v>10</v>
      </c>
      <c r="F390" s="393" t="s">
        <v>1718</v>
      </c>
    </row>
    <row r="391" spans="1:6" ht="17.649999999999999" customHeight="1" x14ac:dyDescent="0.25">
      <c r="A391" s="315" t="s">
        <v>1679</v>
      </c>
      <c r="B391" s="378"/>
      <c r="C391" s="336">
        <v>5</v>
      </c>
      <c r="D391" s="356" t="s">
        <v>1680</v>
      </c>
      <c r="E391" s="258"/>
      <c r="F391" s="393" t="s">
        <v>1747</v>
      </c>
    </row>
    <row r="392" spans="1:6" ht="17.649999999999999" customHeight="1" x14ac:dyDescent="0.25">
      <c r="A392" s="320" t="s">
        <v>1681</v>
      </c>
      <c r="B392" s="382"/>
      <c r="C392" s="339">
        <v>1</v>
      </c>
      <c r="D392" s="457"/>
      <c r="E392" s="258"/>
      <c r="F392" s="393" t="s">
        <v>1747</v>
      </c>
    </row>
    <row r="393" spans="1:6" ht="17.649999999999999" customHeight="1" x14ac:dyDescent="0.25">
      <c r="A393" s="315" t="s">
        <v>1682</v>
      </c>
      <c r="B393" s="378"/>
      <c r="C393" s="336">
        <v>1</v>
      </c>
      <c r="D393" s="356" t="s">
        <v>1680</v>
      </c>
      <c r="E393" s="258"/>
      <c r="F393" s="393" t="s">
        <v>1747</v>
      </c>
    </row>
    <row r="394" spans="1:6" ht="17.649999999999999" customHeight="1" x14ac:dyDescent="0.25">
      <c r="A394" s="315" t="s">
        <v>1683</v>
      </c>
      <c r="B394" s="378"/>
      <c r="C394" s="336">
        <v>10</v>
      </c>
      <c r="D394" s="353" t="s">
        <v>1684</v>
      </c>
      <c r="E394" s="258"/>
      <c r="F394" s="393" t="s">
        <v>1747</v>
      </c>
    </row>
    <row r="395" spans="1:6" ht="17.649999999999999" customHeight="1" x14ac:dyDescent="0.25">
      <c r="A395" s="315" t="s">
        <v>1715</v>
      </c>
      <c r="B395" s="378"/>
      <c r="C395" s="336">
        <v>1</v>
      </c>
      <c r="D395" s="353" t="s">
        <v>1701</v>
      </c>
      <c r="E395" s="258"/>
      <c r="F395" s="393" t="s">
        <v>1747</v>
      </c>
    </row>
    <row r="396" spans="1:6" ht="17.649999999999999" customHeight="1" x14ac:dyDescent="0.25">
      <c r="A396" s="315" t="s">
        <v>1687</v>
      </c>
      <c r="B396" s="378"/>
      <c r="C396" s="336">
        <v>2</v>
      </c>
      <c r="D396" s="356" t="s">
        <v>1680</v>
      </c>
      <c r="E396" s="258"/>
      <c r="F396" s="393" t="s">
        <v>1747</v>
      </c>
    </row>
    <row r="397" spans="1:6" ht="17.649999999999999" customHeight="1" x14ac:dyDescent="0.25">
      <c r="A397" s="315" t="s">
        <v>1685</v>
      </c>
      <c r="B397" s="378"/>
      <c r="C397" s="336">
        <v>1</v>
      </c>
      <c r="D397" s="353" t="s">
        <v>1686</v>
      </c>
      <c r="E397" s="258"/>
      <c r="F397" s="393" t="s">
        <v>1747</v>
      </c>
    </row>
    <row r="398" spans="1:6" ht="17.649999999999999" customHeight="1" x14ac:dyDescent="0.25">
      <c r="A398" s="315" t="s">
        <v>1714</v>
      </c>
      <c r="B398" s="378"/>
      <c r="C398" s="336">
        <v>1</v>
      </c>
      <c r="D398" s="356" t="s">
        <v>1680</v>
      </c>
      <c r="E398" s="258"/>
      <c r="F398" s="393" t="s">
        <v>1747</v>
      </c>
    </row>
    <row r="399" spans="1:6" ht="17.649999999999999" customHeight="1" x14ac:dyDescent="0.25">
      <c r="A399" s="315" t="s">
        <v>1718</v>
      </c>
      <c r="B399" s="378"/>
      <c r="C399" s="336">
        <v>1</v>
      </c>
      <c r="D399" s="353" t="s">
        <v>1701</v>
      </c>
      <c r="E399" s="258"/>
      <c r="F399" s="393" t="s">
        <v>1747</v>
      </c>
    </row>
    <row r="400" spans="1:6" ht="17.649999999999999" customHeight="1" x14ac:dyDescent="0.25">
      <c r="A400" s="315" t="s">
        <v>1688</v>
      </c>
      <c r="B400" s="378"/>
      <c r="C400" s="336">
        <v>1</v>
      </c>
      <c r="D400" s="356" t="s">
        <v>1680</v>
      </c>
      <c r="E400" s="258"/>
      <c r="F400" s="393" t="s">
        <v>1747</v>
      </c>
    </row>
    <row r="401" spans="1:6" ht="17.649999999999999" customHeight="1" x14ac:dyDescent="0.25">
      <c r="A401" s="315" t="s">
        <v>1689</v>
      </c>
      <c r="B401" s="378"/>
      <c r="C401" s="336">
        <v>2</v>
      </c>
      <c r="D401" s="356" t="s">
        <v>1680</v>
      </c>
      <c r="E401" s="258"/>
      <c r="F401" s="393" t="s">
        <v>1747</v>
      </c>
    </row>
    <row r="402" spans="1:6" ht="17.649999999999999" customHeight="1" x14ac:dyDescent="0.25">
      <c r="A402" s="315" t="s">
        <v>1690</v>
      </c>
      <c r="B402" s="378"/>
      <c r="C402" s="336">
        <v>1</v>
      </c>
      <c r="D402" s="353" t="s">
        <v>697</v>
      </c>
      <c r="E402" s="258"/>
      <c r="F402" s="393" t="s">
        <v>1747</v>
      </c>
    </row>
    <row r="403" spans="1:6" ht="17.649999999999999" customHeight="1" x14ac:dyDescent="0.25">
      <c r="A403" s="315" t="s">
        <v>1692</v>
      </c>
      <c r="B403" s="378"/>
      <c r="C403" s="336">
        <v>6</v>
      </c>
      <c r="D403" s="356" t="s">
        <v>1680</v>
      </c>
      <c r="E403" s="258"/>
      <c r="F403" s="393" t="s">
        <v>1747</v>
      </c>
    </row>
    <row r="404" spans="1:6" ht="17.649999999999999" customHeight="1" x14ac:dyDescent="0.25">
      <c r="A404" s="315" t="s">
        <v>1693</v>
      </c>
      <c r="B404" s="378"/>
      <c r="C404" s="336">
        <v>15</v>
      </c>
      <c r="D404" s="353" t="s">
        <v>1686</v>
      </c>
      <c r="E404" s="258"/>
      <c r="F404" s="393" t="s">
        <v>1747</v>
      </c>
    </row>
    <row r="405" spans="1:6" ht="17.649999999999999" customHeight="1" x14ac:dyDescent="0.25">
      <c r="A405" s="315" t="s">
        <v>1694</v>
      </c>
      <c r="B405" s="378"/>
      <c r="C405" s="336">
        <v>1</v>
      </c>
      <c r="D405" s="356" t="s">
        <v>1680</v>
      </c>
      <c r="E405" s="258"/>
      <c r="F405" s="393" t="s">
        <v>1747</v>
      </c>
    </row>
    <row r="406" spans="1:6" ht="17.649999999999999" customHeight="1" x14ac:dyDescent="0.25">
      <c r="A406" s="315" t="s">
        <v>1710</v>
      </c>
      <c r="B406" s="378"/>
      <c r="C406" s="336">
        <v>1</v>
      </c>
      <c r="D406" s="353" t="s">
        <v>1704</v>
      </c>
      <c r="E406" s="258"/>
      <c r="F406" s="393" t="s">
        <v>1747</v>
      </c>
    </row>
    <row r="407" spans="1:6" ht="17.649999999999999" customHeight="1" x14ac:dyDescent="0.25">
      <c r="A407" s="315" t="s">
        <v>1696</v>
      </c>
      <c r="B407" s="378"/>
      <c r="C407" s="336">
        <v>2</v>
      </c>
      <c r="D407" s="356" t="s">
        <v>1680</v>
      </c>
      <c r="E407" s="258"/>
      <c r="F407" s="393" t="s">
        <v>1747</v>
      </c>
    </row>
    <row r="408" spans="1:6" ht="17.649999999999999" customHeight="1" x14ac:dyDescent="0.25">
      <c r="A408" s="248" t="s">
        <v>1697</v>
      </c>
      <c r="B408" s="248"/>
      <c r="C408" s="208">
        <v>1</v>
      </c>
      <c r="D408" s="468" t="s">
        <v>1680</v>
      </c>
      <c r="E408" s="258"/>
      <c r="F408" s="393" t="s">
        <v>1747</v>
      </c>
    </row>
    <row r="409" spans="1:6" ht="17.649999999999999" customHeight="1" x14ac:dyDescent="0.25">
      <c r="A409" s="320" t="s">
        <v>1699</v>
      </c>
      <c r="B409" s="382"/>
      <c r="C409" s="339">
        <v>3</v>
      </c>
      <c r="D409" s="465"/>
      <c r="E409" s="258"/>
      <c r="F409" s="393" t="s">
        <v>1747</v>
      </c>
    </row>
    <row r="410" spans="1:6" ht="17.649999999999999" customHeight="1" x14ac:dyDescent="0.25">
      <c r="A410" s="315" t="s">
        <v>1703</v>
      </c>
      <c r="B410" s="378"/>
      <c r="C410" s="336">
        <v>2</v>
      </c>
      <c r="D410" s="353" t="s">
        <v>1704</v>
      </c>
      <c r="E410" s="258"/>
      <c r="F410" s="393" t="s">
        <v>1747</v>
      </c>
    </row>
    <row r="411" spans="1:6" ht="17.649999999999999" customHeight="1" x14ac:dyDescent="0.25">
      <c r="A411" s="315" t="s">
        <v>1713</v>
      </c>
      <c r="B411" s="378"/>
      <c r="C411" s="336">
        <v>1</v>
      </c>
      <c r="D411" s="353" t="s">
        <v>1704</v>
      </c>
      <c r="E411" s="258"/>
      <c r="F411" s="393" t="s">
        <v>1747</v>
      </c>
    </row>
    <row r="412" spans="1:6" ht="17.649999999999999" customHeight="1" x14ac:dyDescent="0.25">
      <c r="A412" s="315" t="s">
        <v>1709</v>
      </c>
      <c r="B412" s="378"/>
      <c r="C412" s="336">
        <v>1</v>
      </c>
      <c r="D412" s="353" t="s">
        <v>1704</v>
      </c>
      <c r="E412" s="258"/>
      <c r="F412" s="393" t="s">
        <v>1747</v>
      </c>
    </row>
    <row r="413" spans="1:6" ht="17.649999999999999" customHeight="1" x14ac:dyDescent="0.25">
      <c r="A413" s="315" t="s">
        <v>1698</v>
      </c>
      <c r="B413" s="378"/>
      <c r="C413" s="336">
        <v>1</v>
      </c>
      <c r="D413" s="353" t="s">
        <v>1686</v>
      </c>
      <c r="E413" s="258"/>
      <c r="F413" s="393" t="s">
        <v>1747</v>
      </c>
    </row>
    <row r="414" spans="1:6" ht="17.649999999999999" customHeight="1" x14ac:dyDescent="0.25">
      <c r="A414" s="315" t="s">
        <v>1720</v>
      </c>
      <c r="B414" s="378"/>
      <c r="C414" s="336">
        <v>2</v>
      </c>
      <c r="D414" s="356" t="s">
        <v>1680</v>
      </c>
      <c r="E414" s="258"/>
      <c r="F414" s="393" t="s">
        <v>1747</v>
      </c>
    </row>
    <row r="415" spans="1:6" ht="17.649999999999999" customHeight="1" x14ac:dyDescent="0.25">
      <c r="A415" s="315" t="s">
        <v>1700</v>
      </c>
      <c r="B415" s="378"/>
      <c r="C415" s="336">
        <v>32</v>
      </c>
      <c r="D415" s="353" t="s">
        <v>1701</v>
      </c>
      <c r="E415" s="258"/>
      <c r="F415" s="393" t="s">
        <v>1747</v>
      </c>
    </row>
    <row r="416" spans="1:6" ht="17.649999999999999" customHeight="1" x14ac:dyDescent="0.25">
      <c r="A416" s="315" t="s">
        <v>1708</v>
      </c>
      <c r="B416" s="378"/>
      <c r="C416" s="336">
        <v>1</v>
      </c>
      <c r="D416" s="353" t="s">
        <v>1686</v>
      </c>
      <c r="E416" s="258"/>
      <c r="F416" s="393" t="s">
        <v>1747</v>
      </c>
    </row>
    <row r="417" spans="1:6" ht="17.649999999999999" customHeight="1" x14ac:dyDescent="0.25">
      <c r="A417" s="315" t="s">
        <v>1695</v>
      </c>
      <c r="B417" s="378"/>
      <c r="C417" s="336">
        <v>1</v>
      </c>
      <c r="D417" s="356" t="s">
        <v>1680</v>
      </c>
      <c r="E417" s="258"/>
      <c r="F417" s="393" t="s">
        <v>1747</v>
      </c>
    </row>
    <row r="418" spans="1:6" ht="17.649999999999999" customHeight="1" x14ac:dyDescent="0.25">
      <c r="A418" s="315" t="s">
        <v>1702</v>
      </c>
      <c r="B418" s="378"/>
      <c r="C418" s="336">
        <v>5</v>
      </c>
      <c r="D418" s="353" t="s">
        <v>697</v>
      </c>
      <c r="E418" s="258"/>
      <c r="F418" s="393" t="s">
        <v>1747</v>
      </c>
    </row>
    <row r="419" spans="1:6" ht="17.649999999999999" customHeight="1" x14ac:dyDescent="0.25">
      <c r="A419" s="315" t="s">
        <v>1711</v>
      </c>
      <c r="B419" s="378"/>
      <c r="C419" s="336">
        <v>10</v>
      </c>
      <c r="D419" s="356" t="s">
        <v>1680</v>
      </c>
      <c r="E419" s="258"/>
      <c r="F419" s="393" t="s">
        <v>1747</v>
      </c>
    </row>
    <row r="420" spans="1:6" ht="17.649999999999999" customHeight="1" x14ac:dyDescent="0.25">
      <c r="A420" s="315" t="s">
        <v>1712</v>
      </c>
      <c r="B420" s="378"/>
      <c r="C420" s="336">
        <v>1</v>
      </c>
      <c r="D420" s="356" t="s">
        <v>1680</v>
      </c>
      <c r="E420" s="258"/>
      <c r="F420" s="393" t="s">
        <v>1747</v>
      </c>
    </row>
    <row r="421" spans="1:6" ht="17.649999999999999" customHeight="1" x14ac:dyDescent="0.25">
      <c r="A421" s="315" t="s">
        <v>1717</v>
      </c>
      <c r="B421" s="378"/>
      <c r="C421" s="336">
        <v>1</v>
      </c>
      <c r="D421" s="353" t="s">
        <v>697</v>
      </c>
      <c r="E421" s="258"/>
      <c r="F421" s="393" t="s">
        <v>1747</v>
      </c>
    </row>
    <row r="422" spans="1:6" ht="17.649999999999999" customHeight="1" x14ac:dyDescent="0.25">
      <c r="A422" s="315" t="s">
        <v>1719</v>
      </c>
      <c r="B422" s="378"/>
      <c r="C422" s="336">
        <v>1</v>
      </c>
      <c r="D422" s="353" t="s">
        <v>1701</v>
      </c>
      <c r="E422" s="258"/>
      <c r="F422" s="393" t="s">
        <v>1747</v>
      </c>
    </row>
    <row r="423" spans="1:6" ht="17.649999999999999" customHeight="1" x14ac:dyDescent="0.25">
      <c r="A423" s="315" t="s">
        <v>1716</v>
      </c>
      <c r="B423" s="378"/>
      <c r="C423" s="336">
        <v>2</v>
      </c>
      <c r="D423" s="353" t="s">
        <v>1704</v>
      </c>
      <c r="E423" s="258"/>
      <c r="F423" s="393" t="s">
        <v>1747</v>
      </c>
    </row>
    <row r="424" spans="1:6" ht="17.649999999999999" customHeight="1" x14ac:dyDescent="0.25">
      <c r="A424" s="315" t="s">
        <v>1691</v>
      </c>
      <c r="B424" s="378"/>
      <c r="C424" s="336">
        <v>2</v>
      </c>
      <c r="D424" s="356" t="s">
        <v>1680</v>
      </c>
      <c r="E424" s="258"/>
      <c r="F424" s="393" t="s">
        <v>1747</v>
      </c>
    </row>
    <row r="425" spans="1:6" ht="17.649999999999999" customHeight="1" x14ac:dyDescent="0.25">
      <c r="A425" s="315" t="s">
        <v>1705</v>
      </c>
      <c r="B425" s="378"/>
      <c r="C425" s="336">
        <v>2</v>
      </c>
      <c r="D425" s="353" t="s">
        <v>1686</v>
      </c>
      <c r="E425" s="258"/>
      <c r="F425" s="393" t="s">
        <v>1747</v>
      </c>
    </row>
    <row r="426" spans="1:6" ht="17.649999999999999" customHeight="1" x14ac:dyDescent="0.25">
      <c r="A426" s="315" t="s">
        <v>1707</v>
      </c>
      <c r="B426" s="378"/>
      <c r="C426" s="336">
        <v>1</v>
      </c>
      <c r="D426" s="353" t="s">
        <v>1686</v>
      </c>
      <c r="E426" s="258"/>
      <c r="F426" s="393" t="s">
        <v>1747</v>
      </c>
    </row>
    <row r="427" spans="1:6" ht="17.649999999999999" customHeight="1" x14ac:dyDescent="0.25">
      <c r="A427" s="315" t="s">
        <v>1706</v>
      </c>
      <c r="B427" s="378"/>
      <c r="C427" s="336">
        <v>2</v>
      </c>
      <c r="D427" s="353" t="s">
        <v>1686</v>
      </c>
      <c r="E427" s="258"/>
      <c r="F427" s="393" t="s">
        <v>1747</v>
      </c>
    </row>
    <row r="428" spans="1:6" ht="17.649999999999999" customHeight="1" x14ac:dyDescent="0.25">
      <c r="A428" s="3" t="s">
        <v>313</v>
      </c>
      <c r="B428" s="374"/>
      <c r="C428" s="32">
        <v>1</v>
      </c>
      <c r="D428" s="53">
        <v>662250</v>
      </c>
      <c r="E428" s="112" t="s">
        <v>501</v>
      </c>
      <c r="F428" s="393" t="s">
        <v>1733</v>
      </c>
    </row>
    <row r="429" spans="1:6" ht="17.649999999999999" customHeight="1" x14ac:dyDescent="0.25">
      <c r="A429" s="66" t="s">
        <v>547</v>
      </c>
      <c r="B429" s="377" t="s">
        <v>1820</v>
      </c>
      <c r="C429" s="55">
        <v>1</v>
      </c>
      <c r="D429" s="75" t="s">
        <v>548</v>
      </c>
      <c r="E429" s="74" t="s">
        <v>10</v>
      </c>
      <c r="F429" s="393" t="s">
        <v>1733</v>
      </c>
    </row>
    <row r="430" spans="1:6" ht="17.649999999999999" customHeight="1" x14ac:dyDescent="0.25">
      <c r="A430" s="3" t="s">
        <v>539</v>
      </c>
      <c r="B430" s="374" t="s">
        <v>1869</v>
      </c>
      <c r="C430" s="32">
        <v>1</v>
      </c>
      <c r="D430" s="53" t="s">
        <v>540</v>
      </c>
      <c r="E430" s="112" t="s">
        <v>8</v>
      </c>
      <c r="F430" s="393" t="s">
        <v>1733</v>
      </c>
    </row>
    <row r="431" spans="1:6" ht="17.649999999999999" customHeight="1" x14ac:dyDescent="0.25">
      <c r="A431" s="3" t="s">
        <v>541</v>
      </c>
      <c r="B431" s="374" t="s">
        <v>1870</v>
      </c>
      <c r="C431" s="32">
        <v>1</v>
      </c>
      <c r="D431" s="53" t="s">
        <v>542</v>
      </c>
      <c r="E431" s="112" t="s">
        <v>8</v>
      </c>
      <c r="F431" s="393" t="s">
        <v>1733</v>
      </c>
    </row>
    <row r="432" spans="1:6" ht="17.649999999999999" customHeight="1" x14ac:dyDescent="0.25">
      <c r="A432" s="3" t="s">
        <v>543</v>
      </c>
      <c r="B432" s="362" t="s">
        <v>1868</v>
      </c>
      <c r="C432" s="32">
        <v>1</v>
      </c>
      <c r="D432" s="53" t="s">
        <v>544</v>
      </c>
      <c r="E432" s="112" t="s">
        <v>8</v>
      </c>
      <c r="F432" s="393" t="s">
        <v>1733</v>
      </c>
    </row>
    <row r="433" spans="1:6" ht="17.649999999999999" customHeight="1" x14ac:dyDescent="0.25">
      <c r="A433" s="66" t="s">
        <v>249</v>
      </c>
      <c r="B433" s="377" t="s">
        <v>1876</v>
      </c>
      <c r="C433" s="55">
        <v>1</v>
      </c>
      <c r="D433" s="75" t="s">
        <v>250</v>
      </c>
      <c r="E433" s="74" t="s">
        <v>10</v>
      </c>
      <c r="F433" s="393" t="s">
        <v>1733</v>
      </c>
    </row>
    <row r="434" spans="1:6" ht="17.649999999999999" customHeight="1" x14ac:dyDescent="0.25">
      <c r="A434" s="3" t="s">
        <v>46</v>
      </c>
      <c r="B434" s="372" t="s">
        <v>1889</v>
      </c>
      <c r="C434" s="32">
        <v>1</v>
      </c>
      <c r="D434" s="53" t="s">
        <v>47</v>
      </c>
      <c r="E434" s="112" t="s">
        <v>8</v>
      </c>
      <c r="F434" s="393" t="s">
        <v>1733</v>
      </c>
    </row>
    <row r="435" spans="1:6" ht="17.649999999999999" customHeight="1" x14ac:dyDescent="0.25">
      <c r="A435" s="3" t="s">
        <v>537</v>
      </c>
      <c r="B435" s="374" t="s">
        <v>1896</v>
      </c>
      <c r="C435" s="32">
        <v>4</v>
      </c>
      <c r="D435" s="53" t="s">
        <v>538</v>
      </c>
      <c r="E435" s="112" t="s">
        <v>8</v>
      </c>
      <c r="F435" s="393" t="s">
        <v>1733</v>
      </c>
    </row>
    <row r="436" spans="1:6" ht="17.649999999999999" customHeight="1" x14ac:dyDescent="0.25">
      <c r="A436" s="3" t="s">
        <v>335</v>
      </c>
      <c r="B436" s="376" t="s">
        <v>1900</v>
      </c>
      <c r="C436" s="32">
        <v>1</v>
      </c>
      <c r="D436" s="53" t="s">
        <v>53</v>
      </c>
      <c r="E436" s="112" t="s">
        <v>8</v>
      </c>
      <c r="F436" s="393" t="s">
        <v>1733</v>
      </c>
    </row>
    <row r="437" spans="1:6" ht="17.649999999999999" customHeight="1" x14ac:dyDescent="0.25">
      <c r="A437" s="3" t="s">
        <v>58</v>
      </c>
      <c r="B437" s="372" t="s">
        <v>1915</v>
      </c>
      <c r="C437" s="32">
        <v>1</v>
      </c>
      <c r="D437" s="53" t="s">
        <v>59</v>
      </c>
      <c r="E437" s="112" t="s">
        <v>8</v>
      </c>
      <c r="F437" s="393" t="s">
        <v>1733</v>
      </c>
    </row>
    <row r="438" spans="1:6" ht="17.649999999999999" customHeight="1" x14ac:dyDescent="0.25">
      <c r="A438" s="3" t="s">
        <v>545</v>
      </c>
      <c r="B438" s="374" t="s">
        <v>1919</v>
      </c>
      <c r="C438" s="32">
        <v>1</v>
      </c>
      <c r="D438" s="53" t="s">
        <v>546</v>
      </c>
      <c r="E438" s="112" t="s">
        <v>8</v>
      </c>
      <c r="F438" s="393" t="s">
        <v>1733</v>
      </c>
    </row>
    <row r="439" spans="1:6" ht="17.649999999999999" customHeight="1" x14ac:dyDescent="0.25">
      <c r="A439" s="66" t="s">
        <v>549</v>
      </c>
      <c r="B439" s="377" t="s">
        <v>1943</v>
      </c>
      <c r="C439" s="55">
        <v>1</v>
      </c>
      <c r="D439" s="75" t="s">
        <v>550</v>
      </c>
      <c r="E439" s="74" t="s">
        <v>8</v>
      </c>
      <c r="F439" s="393" t="s">
        <v>1733</v>
      </c>
    </row>
    <row r="440" spans="1:6" ht="17.649999999999999" customHeight="1" x14ac:dyDescent="0.25">
      <c r="A440" s="66" t="s">
        <v>551</v>
      </c>
      <c r="B440" s="377" t="s">
        <v>1947</v>
      </c>
      <c r="C440" s="55">
        <v>1</v>
      </c>
      <c r="D440" s="75" t="s">
        <v>252</v>
      </c>
      <c r="E440" s="74" t="s">
        <v>8</v>
      </c>
      <c r="F440" s="393" t="s">
        <v>1733</v>
      </c>
    </row>
    <row r="441" spans="1:6" ht="17.649999999999999" customHeight="1" x14ac:dyDescent="0.25">
      <c r="A441" s="3" t="s">
        <v>558</v>
      </c>
      <c r="B441" s="374"/>
      <c r="C441" s="32">
        <v>1</v>
      </c>
      <c r="D441" s="53" t="s">
        <v>559</v>
      </c>
      <c r="E441" s="112" t="s">
        <v>8</v>
      </c>
      <c r="F441" s="393" t="s">
        <v>1733</v>
      </c>
    </row>
    <row r="442" spans="1:6" ht="17.649999999999999" customHeight="1" x14ac:dyDescent="0.25">
      <c r="A442" s="241" t="s">
        <v>552</v>
      </c>
      <c r="B442" s="241" t="s">
        <v>1948</v>
      </c>
      <c r="C442" s="335">
        <v>1</v>
      </c>
      <c r="D442" s="245" t="s">
        <v>553</v>
      </c>
      <c r="E442" s="74" t="s">
        <v>8</v>
      </c>
      <c r="F442" s="393" t="s">
        <v>1733</v>
      </c>
    </row>
    <row r="443" spans="1:6" ht="17.649999999999999" customHeight="1" x14ac:dyDescent="0.25">
      <c r="A443" s="66" t="s">
        <v>554</v>
      </c>
      <c r="B443" s="377" t="s">
        <v>1958</v>
      </c>
      <c r="C443" s="55">
        <v>1</v>
      </c>
      <c r="D443" s="74" t="s">
        <v>555</v>
      </c>
      <c r="E443" s="74" t="s">
        <v>8</v>
      </c>
      <c r="F443" s="393" t="s">
        <v>1733</v>
      </c>
    </row>
    <row r="444" spans="1:6" ht="17.649999999999999" customHeight="1" x14ac:dyDescent="0.25">
      <c r="A444" s="66" t="s">
        <v>556</v>
      </c>
      <c r="B444" s="377" t="s">
        <v>1959</v>
      </c>
      <c r="C444" s="55">
        <v>1</v>
      </c>
      <c r="D444" s="42" t="s">
        <v>557</v>
      </c>
      <c r="E444" s="74" t="s">
        <v>8</v>
      </c>
      <c r="F444" s="393" t="s">
        <v>1733</v>
      </c>
    </row>
    <row r="445" spans="1:6" ht="17.649999999999999" customHeight="1" x14ac:dyDescent="0.25">
      <c r="A445" s="3" t="s">
        <v>519</v>
      </c>
      <c r="B445" s="373" t="s">
        <v>2007</v>
      </c>
      <c r="C445" s="32">
        <v>1</v>
      </c>
      <c r="D445" s="26" t="s">
        <v>520</v>
      </c>
      <c r="E445" s="112" t="s">
        <v>8</v>
      </c>
      <c r="F445" s="393" t="s">
        <v>1733</v>
      </c>
    </row>
    <row r="446" spans="1:6" ht="17.649999999999999" customHeight="1" x14ac:dyDescent="0.25">
      <c r="A446" s="1" t="s">
        <v>560</v>
      </c>
      <c r="B446" s="373"/>
      <c r="C446" s="32">
        <v>1</v>
      </c>
      <c r="D446" s="26" t="s">
        <v>561</v>
      </c>
      <c r="E446" s="112" t="s">
        <v>4</v>
      </c>
      <c r="F446" s="393" t="s">
        <v>1734</v>
      </c>
    </row>
    <row r="447" spans="1:6" ht="17.649999999999999" customHeight="1" x14ac:dyDescent="0.25">
      <c r="A447" s="1" t="s">
        <v>562</v>
      </c>
      <c r="B447" s="373"/>
      <c r="C447" s="32">
        <v>1</v>
      </c>
      <c r="D447" s="26">
        <v>3455</v>
      </c>
      <c r="E447" s="112" t="s">
        <v>4</v>
      </c>
      <c r="F447" s="393" t="s">
        <v>1734</v>
      </c>
    </row>
    <row r="448" spans="1:6" ht="17.649999999999999" customHeight="1" x14ac:dyDescent="0.25">
      <c r="A448" s="1" t="s">
        <v>563</v>
      </c>
      <c r="B448" s="373"/>
      <c r="C448" s="32">
        <v>1</v>
      </c>
      <c r="D448" s="26">
        <v>2603</v>
      </c>
      <c r="E448" s="112" t="s">
        <v>4</v>
      </c>
      <c r="F448" s="393" t="s">
        <v>1734</v>
      </c>
    </row>
    <row r="449" spans="1:6" ht="17.649999999999999" customHeight="1" x14ac:dyDescent="0.25">
      <c r="A449" s="1" t="s">
        <v>564</v>
      </c>
      <c r="B449" s="373"/>
      <c r="C449" s="32">
        <v>1</v>
      </c>
      <c r="D449" s="26">
        <v>2629</v>
      </c>
      <c r="E449" s="112" t="s">
        <v>4</v>
      </c>
      <c r="F449" s="393" t="s">
        <v>1734</v>
      </c>
    </row>
    <row r="450" spans="1:6" ht="17.649999999999999" customHeight="1" x14ac:dyDescent="0.25">
      <c r="A450" s="1" t="s">
        <v>565</v>
      </c>
      <c r="B450" s="373"/>
      <c r="C450" s="32">
        <v>1</v>
      </c>
      <c r="D450" s="26">
        <v>2939</v>
      </c>
      <c r="E450" s="112" t="s">
        <v>4</v>
      </c>
      <c r="F450" s="393" t="s">
        <v>1734</v>
      </c>
    </row>
    <row r="451" spans="1:6" ht="17.649999999999999" customHeight="1" x14ac:dyDescent="0.25">
      <c r="A451" s="1" t="s">
        <v>566</v>
      </c>
      <c r="B451" s="373"/>
      <c r="C451" s="32">
        <v>1</v>
      </c>
      <c r="D451" s="26">
        <v>2625</v>
      </c>
      <c r="E451" s="112" t="s">
        <v>4</v>
      </c>
      <c r="F451" s="393" t="s">
        <v>1734</v>
      </c>
    </row>
    <row r="452" spans="1:6" ht="17.649999999999999" customHeight="1" x14ac:dyDescent="0.25">
      <c r="A452" s="1" t="s">
        <v>567</v>
      </c>
      <c r="B452" s="373"/>
      <c r="C452" s="32">
        <v>1</v>
      </c>
      <c r="D452" s="26">
        <v>2626</v>
      </c>
      <c r="E452" s="112" t="s">
        <v>4</v>
      </c>
      <c r="F452" s="393" t="s">
        <v>1734</v>
      </c>
    </row>
    <row r="453" spans="1:6" ht="17.649999999999999" customHeight="1" x14ac:dyDescent="0.25">
      <c r="A453" s="1" t="s">
        <v>568</v>
      </c>
      <c r="B453" s="373"/>
      <c r="C453" s="32">
        <v>1</v>
      </c>
      <c r="D453" s="26">
        <v>2638</v>
      </c>
      <c r="E453" s="112" t="s">
        <v>4</v>
      </c>
      <c r="F453" s="393" t="s">
        <v>1734</v>
      </c>
    </row>
    <row r="454" spans="1:6" ht="17.649999999999999" customHeight="1" x14ac:dyDescent="0.25">
      <c r="A454" s="1" t="s">
        <v>569</v>
      </c>
      <c r="B454" s="373"/>
      <c r="C454" s="32">
        <v>1</v>
      </c>
      <c r="D454" s="26">
        <v>2634</v>
      </c>
      <c r="E454" s="112" t="s">
        <v>4</v>
      </c>
      <c r="F454" s="393" t="s">
        <v>1734</v>
      </c>
    </row>
    <row r="455" spans="1:6" ht="17.649999999999999" customHeight="1" x14ac:dyDescent="0.25">
      <c r="A455" s="1" t="s">
        <v>570</v>
      </c>
      <c r="B455" s="373"/>
      <c r="C455" s="32">
        <v>1</v>
      </c>
      <c r="D455" s="26">
        <v>2635</v>
      </c>
      <c r="E455" s="112" t="s">
        <v>4</v>
      </c>
      <c r="F455" s="393" t="s">
        <v>1734</v>
      </c>
    </row>
    <row r="456" spans="1:6" ht="17.649999999999999" customHeight="1" x14ac:dyDescent="0.25">
      <c r="A456" s="1" t="s">
        <v>571</v>
      </c>
      <c r="B456" s="373"/>
      <c r="C456" s="32">
        <v>1</v>
      </c>
      <c r="D456" s="26">
        <v>2619</v>
      </c>
      <c r="E456" s="112" t="s">
        <v>4</v>
      </c>
      <c r="F456" s="393" t="s">
        <v>1734</v>
      </c>
    </row>
    <row r="457" spans="1:6" ht="17.649999999999999" customHeight="1" x14ac:dyDescent="0.25">
      <c r="A457" s="1" t="s">
        <v>572</v>
      </c>
      <c r="B457" s="373"/>
      <c r="C457" s="32">
        <v>1</v>
      </c>
      <c r="D457" s="26">
        <v>2673</v>
      </c>
      <c r="E457" s="112" t="s">
        <v>4</v>
      </c>
      <c r="F457" s="393" t="s">
        <v>1734</v>
      </c>
    </row>
    <row r="458" spans="1:6" ht="17.649999999999999" customHeight="1" x14ac:dyDescent="0.25">
      <c r="A458" s="1" t="s">
        <v>573</v>
      </c>
      <c r="B458" s="373"/>
      <c r="C458" s="32">
        <v>1</v>
      </c>
      <c r="D458" s="26">
        <v>2653</v>
      </c>
      <c r="E458" s="112" t="s">
        <v>4</v>
      </c>
      <c r="F458" s="393" t="s">
        <v>1734</v>
      </c>
    </row>
    <row r="459" spans="1:6" ht="17.649999999999999" customHeight="1" x14ac:dyDescent="0.25">
      <c r="A459" s="1" t="s">
        <v>574</v>
      </c>
      <c r="B459" s="373"/>
      <c r="C459" s="32">
        <v>1</v>
      </c>
      <c r="D459" s="26">
        <v>2654</v>
      </c>
      <c r="E459" s="112" t="s">
        <v>4</v>
      </c>
      <c r="F459" s="393" t="s">
        <v>1734</v>
      </c>
    </row>
    <row r="460" spans="1:6" ht="17.649999999999999" customHeight="1" x14ac:dyDescent="0.25">
      <c r="A460" s="1" t="s">
        <v>575</v>
      </c>
      <c r="B460" s="373"/>
      <c r="C460" s="32">
        <v>1</v>
      </c>
      <c r="D460" s="26">
        <v>2637</v>
      </c>
      <c r="E460" s="112" t="s">
        <v>4</v>
      </c>
      <c r="F460" s="393" t="s">
        <v>1734</v>
      </c>
    </row>
    <row r="461" spans="1:6" ht="17.649999999999999" customHeight="1" x14ac:dyDescent="0.25">
      <c r="A461" s="1" t="s">
        <v>576</v>
      </c>
      <c r="B461" s="373"/>
      <c r="C461" s="32">
        <v>1</v>
      </c>
      <c r="D461" s="26">
        <v>2941</v>
      </c>
      <c r="E461" s="112" t="s">
        <v>4</v>
      </c>
      <c r="F461" s="393" t="s">
        <v>1734</v>
      </c>
    </row>
    <row r="462" spans="1:6" ht="17.649999999999999" customHeight="1" x14ac:dyDescent="0.25">
      <c r="A462" s="1" t="s">
        <v>577</v>
      </c>
      <c r="B462" s="373"/>
      <c r="C462" s="32">
        <v>1</v>
      </c>
      <c r="D462" s="26">
        <v>2667</v>
      </c>
      <c r="E462" s="112" t="s">
        <v>4</v>
      </c>
      <c r="F462" s="393" t="s">
        <v>1734</v>
      </c>
    </row>
    <row r="463" spans="1:6" ht="17.649999999999999" customHeight="1" x14ac:dyDescent="0.25">
      <c r="A463" s="1" t="s">
        <v>578</v>
      </c>
      <c r="B463" s="373"/>
      <c r="C463" s="32">
        <v>1</v>
      </c>
      <c r="D463" s="53">
        <v>2668</v>
      </c>
      <c r="E463" s="112" t="s">
        <v>4</v>
      </c>
      <c r="F463" s="393" t="s">
        <v>1734</v>
      </c>
    </row>
    <row r="464" spans="1:6" ht="17.649999999999999" customHeight="1" x14ac:dyDescent="0.25">
      <c r="A464" s="1" t="s">
        <v>579</v>
      </c>
      <c r="B464" s="373"/>
      <c r="C464" s="32">
        <v>1</v>
      </c>
      <c r="D464" s="53">
        <v>2670</v>
      </c>
      <c r="E464" s="112" t="s">
        <v>4</v>
      </c>
      <c r="F464" s="393" t="s">
        <v>1734</v>
      </c>
    </row>
    <row r="465" spans="1:7" ht="17.649999999999999" customHeight="1" x14ac:dyDescent="0.25">
      <c r="A465" s="1" t="s">
        <v>580</v>
      </c>
      <c r="B465" s="373"/>
      <c r="C465" s="32">
        <v>1</v>
      </c>
      <c r="D465" s="53">
        <v>2676</v>
      </c>
      <c r="E465" s="112" t="s">
        <v>4</v>
      </c>
      <c r="F465" s="393" t="s">
        <v>1734</v>
      </c>
    </row>
    <row r="466" spans="1:7" ht="17.649999999999999" customHeight="1" x14ac:dyDescent="0.25">
      <c r="A466" s="1" t="s">
        <v>596</v>
      </c>
      <c r="B466" s="373" t="s">
        <v>2019</v>
      </c>
      <c r="C466" s="32">
        <v>1</v>
      </c>
      <c r="D466" s="53" t="s">
        <v>597</v>
      </c>
      <c r="E466" s="112" t="s">
        <v>8</v>
      </c>
      <c r="F466" s="393" t="s">
        <v>1735</v>
      </c>
    </row>
    <row r="467" spans="1:7" ht="17.649999999999999" customHeight="1" x14ac:dyDescent="0.25">
      <c r="A467" s="24" t="s">
        <v>594</v>
      </c>
      <c r="B467" s="376" t="s">
        <v>2020</v>
      </c>
      <c r="C467" s="55">
        <v>1</v>
      </c>
      <c r="D467" s="75" t="s">
        <v>595</v>
      </c>
      <c r="E467" s="112" t="s">
        <v>8</v>
      </c>
      <c r="F467" s="393" t="s">
        <v>1735</v>
      </c>
    </row>
    <row r="468" spans="1:7" ht="17.649999999999999" customHeight="1" x14ac:dyDescent="0.25">
      <c r="A468" s="1" t="s">
        <v>598</v>
      </c>
      <c r="B468" s="373" t="s">
        <v>1873</v>
      </c>
      <c r="C468" s="32">
        <v>2</v>
      </c>
      <c r="D468" s="53" t="s">
        <v>599</v>
      </c>
      <c r="E468" s="112" t="s">
        <v>8</v>
      </c>
      <c r="F468" s="393" t="s">
        <v>1735</v>
      </c>
    </row>
    <row r="469" spans="1:7" ht="17.649999999999999" customHeight="1" x14ac:dyDescent="0.25">
      <c r="A469" s="1" t="s">
        <v>600</v>
      </c>
      <c r="B469" s="373" t="s">
        <v>1754</v>
      </c>
      <c r="C469" s="32">
        <v>2</v>
      </c>
      <c r="D469" s="53" t="s">
        <v>601</v>
      </c>
      <c r="E469" s="112" t="s">
        <v>8</v>
      </c>
      <c r="F469" s="393" t="s">
        <v>1735</v>
      </c>
    </row>
    <row r="470" spans="1:7" ht="17.649999999999999" customHeight="1" x14ac:dyDescent="0.25">
      <c r="A470" s="24" t="s">
        <v>602</v>
      </c>
      <c r="B470" s="423" t="s">
        <v>1753</v>
      </c>
      <c r="C470" s="177">
        <v>2</v>
      </c>
      <c r="D470" s="204" t="s">
        <v>33</v>
      </c>
      <c r="E470" s="112" t="s">
        <v>8</v>
      </c>
      <c r="F470" s="393" t="s">
        <v>1735</v>
      </c>
    </row>
    <row r="471" spans="1:7" ht="17.649999999999999" customHeight="1" x14ac:dyDescent="0.25">
      <c r="A471" s="8" t="s">
        <v>603</v>
      </c>
      <c r="B471" s="132" t="s">
        <v>1893</v>
      </c>
      <c r="C471" s="36">
        <v>2</v>
      </c>
      <c r="D471" s="131" t="s">
        <v>86</v>
      </c>
      <c r="E471" s="112" t="s">
        <v>8</v>
      </c>
      <c r="F471" s="393" t="s">
        <v>1735</v>
      </c>
    </row>
    <row r="472" spans="1:7" ht="17.649999999999999" customHeight="1" x14ac:dyDescent="0.25">
      <c r="A472" s="8" t="s">
        <v>604</v>
      </c>
      <c r="B472" s="135" t="s">
        <v>1895</v>
      </c>
      <c r="C472" s="36">
        <v>4</v>
      </c>
      <c r="D472" s="131" t="s">
        <v>605</v>
      </c>
      <c r="E472" s="112" t="s">
        <v>8</v>
      </c>
      <c r="F472" s="393" t="s">
        <v>1735</v>
      </c>
    </row>
    <row r="473" spans="1:7" ht="17.649999999999999" customHeight="1" x14ac:dyDescent="0.25">
      <c r="A473" s="8" t="s">
        <v>606</v>
      </c>
      <c r="B473" s="132" t="s">
        <v>1907</v>
      </c>
      <c r="C473" s="36">
        <v>2</v>
      </c>
      <c r="D473" s="131" t="s">
        <v>607</v>
      </c>
      <c r="E473" s="112" t="s">
        <v>8</v>
      </c>
      <c r="F473" s="393" t="s">
        <v>1735</v>
      </c>
      <c r="G473" t="s">
        <v>1905</v>
      </c>
    </row>
    <row r="474" spans="1:7" ht="17.649999999999999" customHeight="1" x14ac:dyDescent="0.25">
      <c r="A474" s="407" t="s">
        <v>608</v>
      </c>
      <c r="B474" s="132"/>
      <c r="C474" s="298">
        <v>2</v>
      </c>
      <c r="D474" s="131" t="s">
        <v>609</v>
      </c>
      <c r="E474" s="112" t="s">
        <v>8</v>
      </c>
      <c r="F474" s="393" t="s">
        <v>1735</v>
      </c>
    </row>
    <row r="475" spans="1:7" ht="17.649999999999999" customHeight="1" x14ac:dyDescent="0.25">
      <c r="A475" s="300" t="s">
        <v>610</v>
      </c>
      <c r="B475" s="300"/>
      <c r="C475" s="335">
        <v>1</v>
      </c>
      <c r="D475" s="245" t="s">
        <v>611</v>
      </c>
      <c r="E475" s="112" t="s">
        <v>8</v>
      </c>
      <c r="F475" s="393" t="s">
        <v>1735</v>
      </c>
    </row>
    <row r="476" spans="1:7" ht="17.649999999999999" customHeight="1" x14ac:dyDescent="0.25">
      <c r="A476" s="9" t="s">
        <v>612</v>
      </c>
      <c r="B476" s="9" t="s">
        <v>1918</v>
      </c>
      <c r="C476" s="36">
        <v>1</v>
      </c>
      <c r="D476" s="131" t="s">
        <v>613</v>
      </c>
      <c r="E476" s="112" t="s">
        <v>8</v>
      </c>
      <c r="F476" s="393" t="s">
        <v>1735</v>
      </c>
    </row>
    <row r="477" spans="1:7" ht="17.649999999999999" customHeight="1" x14ac:dyDescent="0.25">
      <c r="A477" s="9" t="s">
        <v>614</v>
      </c>
      <c r="B477" s="317" t="s">
        <v>1930</v>
      </c>
      <c r="C477" s="36">
        <v>2</v>
      </c>
      <c r="D477" s="131" t="s">
        <v>65</v>
      </c>
      <c r="E477" s="112" t="s">
        <v>8</v>
      </c>
      <c r="F477" s="393" t="s">
        <v>1735</v>
      </c>
    </row>
    <row r="478" spans="1:7" ht="17.649999999999999" customHeight="1" x14ac:dyDescent="0.25">
      <c r="A478" s="9" t="s">
        <v>615</v>
      </c>
      <c r="B478" s="9" t="s">
        <v>1877</v>
      </c>
      <c r="C478" s="36">
        <v>6</v>
      </c>
      <c r="D478" s="131" t="s">
        <v>24</v>
      </c>
      <c r="E478" s="112" t="s">
        <v>8</v>
      </c>
      <c r="F478" s="393" t="s">
        <v>1735</v>
      </c>
    </row>
    <row r="479" spans="1:7" ht="17.649999999999999" customHeight="1" x14ac:dyDescent="0.25">
      <c r="A479" s="9" t="s">
        <v>617</v>
      </c>
      <c r="B479" s="9" t="s">
        <v>1878</v>
      </c>
      <c r="C479" s="36">
        <v>4</v>
      </c>
      <c r="D479" s="131" t="s">
        <v>26</v>
      </c>
      <c r="E479" s="112" t="s">
        <v>8</v>
      </c>
      <c r="F479" s="393" t="s">
        <v>1735</v>
      </c>
    </row>
    <row r="480" spans="1:7" ht="17.649999999999999" customHeight="1" x14ac:dyDescent="0.25">
      <c r="A480" s="9" t="s">
        <v>619</v>
      </c>
      <c r="B480" s="9"/>
      <c r="C480" s="36">
        <v>1</v>
      </c>
      <c r="D480" s="131" t="s">
        <v>620</v>
      </c>
      <c r="E480" s="112" t="s">
        <v>8</v>
      </c>
      <c r="F480" s="393" t="s">
        <v>1735</v>
      </c>
    </row>
    <row r="481" spans="1:6" ht="17.649999999999999" customHeight="1" x14ac:dyDescent="0.25">
      <c r="A481" s="9" t="s">
        <v>621</v>
      </c>
      <c r="B481" s="9"/>
      <c r="C481" s="36">
        <v>2</v>
      </c>
      <c r="D481" s="131" t="s">
        <v>607</v>
      </c>
      <c r="E481" s="112" t="s">
        <v>8</v>
      </c>
      <c r="F481" s="393" t="s">
        <v>1735</v>
      </c>
    </row>
    <row r="482" spans="1:6" ht="17.649999999999999" customHeight="1" x14ac:dyDescent="0.25">
      <c r="A482" s="9" t="s">
        <v>622</v>
      </c>
      <c r="B482" s="9"/>
      <c r="C482" s="36">
        <v>1</v>
      </c>
      <c r="D482" s="131" t="s">
        <v>623</v>
      </c>
      <c r="E482" s="112" t="s">
        <v>8</v>
      </c>
      <c r="F482" s="393" t="s">
        <v>1735</v>
      </c>
    </row>
    <row r="483" spans="1:6" ht="17.649999999999999" customHeight="1" x14ac:dyDescent="0.25">
      <c r="A483" s="88" t="s">
        <v>624</v>
      </c>
      <c r="B483" s="88" t="s">
        <v>1967</v>
      </c>
      <c r="C483" s="68">
        <v>1</v>
      </c>
      <c r="D483" s="152" t="s">
        <v>113</v>
      </c>
      <c r="E483" s="112" t="s">
        <v>8</v>
      </c>
      <c r="F483" s="393" t="s">
        <v>1735</v>
      </c>
    </row>
    <row r="484" spans="1:6" ht="17.649999999999999" customHeight="1" x14ac:dyDescent="0.25">
      <c r="A484" s="163" t="s">
        <v>625</v>
      </c>
      <c r="B484" s="117" t="s">
        <v>1966</v>
      </c>
      <c r="C484" s="442">
        <v>2</v>
      </c>
      <c r="D484" s="152" t="s">
        <v>115</v>
      </c>
      <c r="E484" s="112" t="s">
        <v>8</v>
      </c>
      <c r="F484" s="393" t="s">
        <v>1735</v>
      </c>
    </row>
    <row r="485" spans="1:6" ht="17.649999999999999" customHeight="1" x14ac:dyDescent="0.25">
      <c r="A485" s="300" t="s">
        <v>626</v>
      </c>
      <c r="B485" s="300" t="s">
        <v>1978</v>
      </c>
      <c r="C485" s="335">
        <v>1</v>
      </c>
      <c r="D485" s="245" t="s">
        <v>627</v>
      </c>
      <c r="E485" s="112" t="s">
        <v>8</v>
      </c>
      <c r="F485" s="393" t="s">
        <v>1735</v>
      </c>
    </row>
    <row r="486" spans="1:6" ht="17.649999999999999" customHeight="1" x14ac:dyDescent="0.25">
      <c r="A486" s="24" t="s">
        <v>628</v>
      </c>
      <c r="B486" s="376" t="s">
        <v>1996</v>
      </c>
      <c r="C486" s="55">
        <v>1</v>
      </c>
      <c r="D486" s="75" t="s">
        <v>629</v>
      </c>
      <c r="E486" s="112" t="s">
        <v>8</v>
      </c>
      <c r="F486" s="393" t="s">
        <v>1735</v>
      </c>
    </row>
    <row r="487" spans="1:6" ht="17.649999999999999" customHeight="1" x14ac:dyDescent="0.25">
      <c r="A487" s="24" t="s">
        <v>630</v>
      </c>
      <c r="B487" s="376" t="s">
        <v>1997</v>
      </c>
      <c r="C487" s="55">
        <v>1</v>
      </c>
      <c r="D487" s="75" t="s">
        <v>631</v>
      </c>
      <c r="E487" s="112" t="s">
        <v>8</v>
      </c>
      <c r="F487" s="393" t="s">
        <v>1735</v>
      </c>
    </row>
    <row r="488" spans="1:6" ht="17.649999999999999" customHeight="1" x14ac:dyDescent="0.25">
      <c r="A488" s="24" t="s">
        <v>632</v>
      </c>
      <c r="B488" s="376" t="s">
        <v>2002</v>
      </c>
      <c r="C488" s="55">
        <v>1</v>
      </c>
      <c r="D488" s="75" t="s">
        <v>633</v>
      </c>
      <c r="E488" s="112" t="s">
        <v>8</v>
      </c>
      <c r="F488" s="393" t="s">
        <v>1735</v>
      </c>
    </row>
    <row r="489" spans="1:6" ht="17.649999999999999" customHeight="1" x14ac:dyDescent="0.25">
      <c r="A489" s="24" t="s">
        <v>634</v>
      </c>
      <c r="B489" s="373" t="s">
        <v>2005</v>
      </c>
      <c r="C489" s="55">
        <v>1</v>
      </c>
      <c r="D489" s="75" t="s">
        <v>635</v>
      </c>
      <c r="E489" s="112" t="s">
        <v>8</v>
      </c>
      <c r="F489" s="393" t="s">
        <v>1735</v>
      </c>
    </row>
    <row r="490" spans="1:6" ht="17.649999999999999" customHeight="1" x14ac:dyDescent="0.25">
      <c r="A490" s="24" t="s">
        <v>636</v>
      </c>
      <c r="B490" s="376" t="s">
        <v>2009</v>
      </c>
      <c r="C490" s="55">
        <v>1</v>
      </c>
      <c r="D490" s="75" t="s">
        <v>637</v>
      </c>
      <c r="E490" s="112" t="s">
        <v>8</v>
      </c>
      <c r="F490" s="393" t="s">
        <v>1735</v>
      </c>
    </row>
    <row r="491" spans="1:6" ht="17.649999999999999" customHeight="1" x14ac:dyDescent="0.25">
      <c r="A491" s="24" t="s">
        <v>671</v>
      </c>
      <c r="B491" s="362" t="s">
        <v>1756</v>
      </c>
      <c r="C491" s="55">
        <v>2</v>
      </c>
      <c r="D491" s="75" t="s">
        <v>14</v>
      </c>
      <c r="E491" s="74" t="s">
        <v>8</v>
      </c>
      <c r="F491" s="393" t="s">
        <v>1692</v>
      </c>
    </row>
    <row r="492" spans="1:6" ht="17.649999999999999" customHeight="1" x14ac:dyDescent="0.25">
      <c r="A492" s="24" t="s">
        <v>670</v>
      </c>
      <c r="B492" s="376" t="s">
        <v>1767</v>
      </c>
      <c r="C492" s="55">
        <v>2</v>
      </c>
      <c r="D492" s="75" t="s">
        <v>12</v>
      </c>
      <c r="E492" s="74" t="s">
        <v>8</v>
      </c>
      <c r="F492" s="393" t="s">
        <v>1692</v>
      </c>
    </row>
    <row r="493" spans="1:6" ht="17.649999999999999" customHeight="1" x14ac:dyDescent="0.25">
      <c r="A493" s="24" t="s">
        <v>672</v>
      </c>
      <c r="B493" s="376" t="s">
        <v>1779</v>
      </c>
      <c r="C493" s="55">
        <v>2</v>
      </c>
      <c r="D493" s="75" t="s">
        <v>22</v>
      </c>
      <c r="E493" s="74" t="s">
        <v>8</v>
      </c>
      <c r="F493" s="393" t="s">
        <v>1692</v>
      </c>
    </row>
    <row r="494" spans="1:6" ht="17.649999999999999" customHeight="1" x14ac:dyDescent="0.25">
      <c r="A494" s="24" t="s">
        <v>313</v>
      </c>
      <c r="B494" s="376"/>
      <c r="C494" s="55">
        <v>1</v>
      </c>
      <c r="D494" s="75">
        <v>662250</v>
      </c>
      <c r="E494" s="74" t="s">
        <v>501</v>
      </c>
      <c r="F494" s="393" t="s">
        <v>1692</v>
      </c>
    </row>
    <row r="495" spans="1:6" ht="17.649999999999999" customHeight="1" x14ac:dyDescent="0.25">
      <c r="A495" s="24" t="s">
        <v>673</v>
      </c>
      <c r="B495" s="376" t="s">
        <v>1877</v>
      </c>
      <c r="C495" s="55">
        <v>8</v>
      </c>
      <c r="D495" s="53" t="s">
        <v>24</v>
      </c>
      <c r="E495" s="74" t="s">
        <v>8</v>
      </c>
      <c r="F495" s="393" t="s">
        <v>1692</v>
      </c>
    </row>
    <row r="496" spans="1:6" ht="17.649999999999999" customHeight="1" x14ac:dyDescent="0.25">
      <c r="A496" s="24" t="s">
        <v>674</v>
      </c>
      <c r="B496" s="376" t="s">
        <v>1878</v>
      </c>
      <c r="C496" s="55">
        <v>4</v>
      </c>
      <c r="D496" s="53" t="s">
        <v>26</v>
      </c>
      <c r="E496" s="74" t="s">
        <v>8</v>
      </c>
      <c r="F496" s="393" t="s">
        <v>1692</v>
      </c>
    </row>
    <row r="497" spans="1:6" ht="17.649999999999999" customHeight="1" x14ac:dyDescent="0.25">
      <c r="A497" s="24" t="s">
        <v>27</v>
      </c>
      <c r="B497" s="376" t="s">
        <v>1879</v>
      </c>
      <c r="C497" s="55">
        <v>2</v>
      </c>
      <c r="D497" s="75" t="s">
        <v>28</v>
      </c>
      <c r="E497" s="74" t="s">
        <v>8</v>
      </c>
      <c r="F497" s="393" t="s">
        <v>1692</v>
      </c>
    </row>
    <row r="498" spans="1:6" ht="17.649999999999999" customHeight="1" x14ac:dyDescent="0.25">
      <c r="A498" s="24" t="s">
        <v>29</v>
      </c>
      <c r="B498" s="376" t="s">
        <v>1754</v>
      </c>
      <c r="C498" s="55">
        <v>2</v>
      </c>
      <c r="D498" s="75" t="s">
        <v>601</v>
      </c>
      <c r="E498" s="74" t="s">
        <v>8</v>
      </c>
      <c r="F498" s="393" t="s">
        <v>1692</v>
      </c>
    </row>
    <row r="499" spans="1:6" ht="17.649999999999999" customHeight="1" x14ac:dyDescent="0.25">
      <c r="A499" s="24" t="s">
        <v>32</v>
      </c>
      <c r="B499" s="376" t="s">
        <v>1753</v>
      </c>
      <c r="C499" s="55">
        <v>1</v>
      </c>
      <c r="D499" s="184" t="s">
        <v>33</v>
      </c>
      <c r="E499" s="74" t="s">
        <v>8</v>
      </c>
      <c r="F499" s="393" t="s">
        <v>1692</v>
      </c>
    </row>
    <row r="500" spans="1:6" ht="17.649999999999999" customHeight="1" x14ac:dyDescent="0.25">
      <c r="A500" s="24" t="s">
        <v>675</v>
      </c>
      <c r="B500" s="376" t="s">
        <v>1881</v>
      </c>
      <c r="C500" s="55">
        <v>4</v>
      </c>
      <c r="D500" s="75" t="s">
        <v>36</v>
      </c>
      <c r="E500" s="74" t="s">
        <v>8</v>
      </c>
      <c r="F500" s="393" t="s">
        <v>1692</v>
      </c>
    </row>
    <row r="501" spans="1:6" ht="17.649999999999999" customHeight="1" x14ac:dyDescent="0.25">
      <c r="A501" s="24" t="s">
        <v>677</v>
      </c>
      <c r="B501" s="376" t="s">
        <v>1887</v>
      </c>
      <c r="C501" s="55">
        <v>1</v>
      </c>
      <c r="D501" s="75" t="s">
        <v>678</v>
      </c>
      <c r="E501" s="74" t="s">
        <v>8</v>
      </c>
      <c r="F501" s="393" t="s">
        <v>1692</v>
      </c>
    </row>
    <row r="502" spans="1:6" ht="17.649999999999999" customHeight="1" x14ac:dyDescent="0.25">
      <c r="A502" s="24" t="s">
        <v>676</v>
      </c>
      <c r="B502" s="362" t="s">
        <v>1886</v>
      </c>
      <c r="C502" s="55">
        <v>1</v>
      </c>
      <c r="D502" s="75" t="s">
        <v>45</v>
      </c>
      <c r="E502" s="74" t="s">
        <v>8</v>
      </c>
      <c r="F502" s="393" t="s">
        <v>1692</v>
      </c>
    </row>
    <row r="503" spans="1:6" ht="17.649999999999999" customHeight="1" x14ac:dyDescent="0.25">
      <c r="A503" s="1" t="s">
        <v>306</v>
      </c>
      <c r="B503" s="374" t="s">
        <v>1896</v>
      </c>
      <c r="C503" s="32">
        <v>5</v>
      </c>
      <c r="D503" s="53" t="s">
        <v>538</v>
      </c>
      <c r="E503" s="112" t="s">
        <v>8</v>
      </c>
      <c r="F503" s="393" t="s">
        <v>1692</v>
      </c>
    </row>
    <row r="504" spans="1:6" ht="17.649999999999999" customHeight="1" x14ac:dyDescent="0.25">
      <c r="A504" s="24" t="s">
        <v>52</v>
      </c>
      <c r="B504" s="376" t="s">
        <v>1900</v>
      </c>
      <c r="C504" s="55">
        <v>1</v>
      </c>
      <c r="D504" s="75" t="s">
        <v>53</v>
      </c>
      <c r="E504" s="74" t="s">
        <v>8</v>
      </c>
      <c r="F504" s="393" t="s">
        <v>1692</v>
      </c>
    </row>
    <row r="505" spans="1:6" ht="17.649999999999999" customHeight="1" x14ac:dyDescent="0.25">
      <c r="A505" s="24" t="s">
        <v>679</v>
      </c>
      <c r="B505" s="376"/>
      <c r="C505" s="55">
        <v>2</v>
      </c>
      <c r="D505" s="75" t="s">
        <v>680</v>
      </c>
      <c r="E505" s="74" t="s">
        <v>8</v>
      </c>
      <c r="F505" s="393" t="s">
        <v>1692</v>
      </c>
    </row>
    <row r="506" spans="1:6" ht="17.649999999999999" customHeight="1" x14ac:dyDescent="0.25">
      <c r="A506" s="24" t="s">
        <v>681</v>
      </c>
      <c r="B506" s="333" t="s">
        <v>1911</v>
      </c>
      <c r="C506" s="55">
        <v>1</v>
      </c>
      <c r="D506" s="204" t="s">
        <v>57</v>
      </c>
      <c r="E506" s="74" t="s">
        <v>8</v>
      </c>
      <c r="F506" s="393" t="s">
        <v>1692</v>
      </c>
    </row>
    <row r="507" spans="1:6" ht="17.649999999999999" customHeight="1" x14ac:dyDescent="0.25">
      <c r="A507" s="24" t="s">
        <v>682</v>
      </c>
      <c r="B507" s="362" t="s">
        <v>1914</v>
      </c>
      <c r="C507" s="80">
        <v>1</v>
      </c>
      <c r="D507" s="152" t="s">
        <v>683</v>
      </c>
      <c r="E507" s="74" t="s">
        <v>8</v>
      </c>
      <c r="F507" s="393" t="s">
        <v>1692</v>
      </c>
    </row>
    <row r="508" spans="1:6" ht="17.649999999999999" customHeight="1" x14ac:dyDescent="0.25">
      <c r="A508" s="24" t="s">
        <v>64</v>
      </c>
      <c r="B508" s="375" t="s">
        <v>1931</v>
      </c>
      <c r="C508" s="80">
        <v>6</v>
      </c>
      <c r="D508" s="152" t="s">
        <v>66</v>
      </c>
      <c r="E508" s="74" t="s">
        <v>8</v>
      </c>
      <c r="F508" s="393" t="s">
        <v>1692</v>
      </c>
    </row>
    <row r="509" spans="1:6" ht="17.649999999999999" customHeight="1" x14ac:dyDescent="0.25">
      <c r="A509" s="24" t="s">
        <v>67</v>
      </c>
      <c r="B509" s="372" t="s">
        <v>1932</v>
      </c>
      <c r="C509" s="55">
        <v>3</v>
      </c>
      <c r="D509" s="75" t="s">
        <v>68</v>
      </c>
      <c r="E509" s="74" t="s">
        <v>8</v>
      </c>
      <c r="F509" s="393" t="s">
        <v>1692</v>
      </c>
    </row>
    <row r="510" spans="1:6" ht="17.649999999999999" customHeight="1" x14ac:dyDescent="0.25">
      <c r="A510" s="24" t="s">
        <v>70</v>
      </c>
      <c r="B510" s="362" t="s">
        <v>1934</v>
      </c>
      <c r="C510" s="55">
        <v>2</v>
      </c>
      <c r="D510" s="75" t="s">
        <v>684</v>
      </c>
      <c r="E510" s="74" t="s">
        <v>8</v>
      </c>
      <c r="F510" s="393" t="s">
        <v>1692</v>
      </c>
    </row>
    <row r="511" spans="1:6" ht="17.649999999999999" customHeight="1" x14ac:dyDescent="0.25">
      <c r="A511" s="24" t="s">
        <v>685</v>
      </c>
      <c r="B511" s="376" t="s">
        <v>1936</v>
      </c>
      <c r="C511" s="55">
        <v>3</v>
      </c>
      <c r="D511" s="75" t="s">
        <v>78</v>
      </c>
      <c r="E511" s="74" t="s">
        <v>8</v>
      </c>
      <c r="F511" s="393" t="s">
        <v>1692</v>
      </c>
    </row>
    <row r="512" spans="1:6" ht="17.649999999999999" customHeight="1" x14ac:dyDescent="0.25">
      <c r="A512" s="24" t="s">
        <v>686</v>
      </c>
      <c r="B512" s="376" t="s">
        <v>1937</v>
      </c>
      <c r="C512" s="55">
        <v>2</v>
      </c>
      <c r="D512" s="75" t="s">
        <v>73</v>
      </c>
      <c r="E512" s="74" t="s">
        <v>8</v>
      </c>
      <c r="F512" s="393" t="s">
        <v>1692</v>
      </c>
    </row>
    <row r="513" spans="1:6" ht="17.649999999999999" customHeight="1" x14ac:dyDescent="0.25">
      <c r="A513" s="24" t="s">
        <v>687</v>
      </c>
      <c r="B513" s="376" t="s">
        <v>1940</v>
      </c>
      <c r="C513" s="55">
        <v>2</v>
      </c>
      <c r="D513" s="75" t="s">
        <v>84</v>
      </c>
      <c r="E513" s="74" t="s">
        <v>8</v>
      </c>
      <c r="F513" s="393" t="s">
        <v>1692</v>
      </c>
    </row>
    <row r="514" spans="1:6" ht="17.649999999999999" customHeight="1" x14ac:dyDescent="0.25">
      <c r="A514" s="24" t="s">
        <v>688</v>
      </c>
      <c r="B514" s="376" t="s">
        <v>1949</v>
      </c>
      <c r="C514" s="55">
        <v>1</v>
      </c>
      <c r="D514" s="75" t="s">
        <v>689</v>
      </c>
      <c r="E514" s="74" t="s">
        <v>8</v>
      </c>
      <c r="F514" s="393" t="s">
        <v>1692</v>
      </c>
    </row>
    <row r="515" spans="1:6" ht="17.649999999999999" customHeight="1" x14ac:dyDescent="0.25">
      <c r="A515" s="24" t="s">
        <v>657</v>
      </c>
      <c r="B515" s="372" t="s">
        <v>1960</v>
      </c>
      <c r="C515" s="55">
        <v>2</v>
      </c>
      <c r="D515" s="75" t="s">
        <v>88</v>
      </c>
      <c r="E515" s="74" t="s">
        <v>8</v>
      </c>
      <c r="F515" s="393" t="s">
        <v>1692</v>
      </c>
    </row>
    <row r="516" spans="1:6" ht="17.649999999999999" customHeight="1" x14ac:dyDescent="0.25">
      <c r="A516" s="24" t="s">
        <v>690</v>
      </c>
      <c r="B516" s="376" t="s">
        <v>1967</v>
      </c>
      <c r="C516" s="55">
        <v>2</v>
      </c>
      <c r="D516" s="75" t="s">
        <v>113</v>
      </c>
      <c r="E516" s="74" t="s">
        <v>8</v>
      </c>
      <c r="F516" s="393" t="s">
        <v>1692</v>
      </c>
    </row>
    <row r="517" spans="1:6" ht="17.649999999999999" customHeight="1" x14ac:dyDescent="0.25">
      <c r="A517" s="24" t="s">
        <v>632</v>
      </c>
      <c r="B517" s="376" t="s">
        <v>2003</v>
      </c>
      <c r="C517" s="55">
        <v>1</v>
      </c>
      <c r="D517" s="240" t="s">
        <v>96</v>
      </c>
      <c r="E517" s="74" t="s">
        <v>8</v>
      </c>
      <c r="F517" s="393" t="s">
        <v>1692</v>
      </c>
    </row>
    <row r="518" spans="1:6" ht="17.649999999999999" customHeight="1" x14ac:dyDescent="0.25">
      <c r="A518" s="24" t="s">
        <v>691</v>
      </c>
      <c r="B518" s="375" t="s">
        <v>1995</v>
      </c>
      <c r="C518" s="55">
        <v>1</v>
      </c>
      <c r="D518" s="75" t="s">
        <v>98</v>
      </c>
      <c r="E518" s="74" t="s">
        <v>8</v>
      </c>
      <c r="F518" s="393" t="s">
        <v>1692</v>
      </c>
    </row>
    <row r="519" spans="1:6" ht="17.649999999999999" customHeight="1" x14ac:dyDescent="0.25">
      <c r="A519" s="24" t="s">
        <v>663</v>
      </c>
      <c r="B519" s="376" t="s">
        <v>2005</v>
      </c>
      <c r="C519" s="336">
        <v>1</v>
      </c>
      <c r="D519" s="353" t="s">
        <v>635</v>
      </c>
      <c r="E519" s="74" t="s">
        <v>8</v>
      </c>
      <c r="F519" s="393" t="s">
        <v>1692</v>
      </c>
    </row>
    <row r="520" spans="1:6" ht="17.649999999999999" customHeight="1" x14ac:dyDescent="0.25">
      <c r="A520" s="24" t="s">
        <v>693</v>
      </c>
      <c r="B520" s="373" t="s">
        <v>2006</v>
      </c>
      <c r="C520" s="55">
        <v>2</v>
      </c>
      <c r="D520" s="75" t="s">
        <v>662</v>
      </c>
      <c r="E520" s="74" t="s">
        <v>8</v>
      </c>
      <c r="F520" s="393" t="s">
        <v>1692</v>
      </c>
    </row>
    <row r="521" spans="1:6" ht="17.649999999999999" customHeight="1" x14ac:dyDescent="0.25">
      <c r="A521" s="24" t="s">
        <v>692</v>
      </c>
      <c r="B521" s="373" t="s">
        <v>2007</v>
      </c>
      <c r="C521" s="55">
        <v>1</v>
      </c>
      <c r="D521" s="75" t="s">
        <v>520</v>
      </c>
      <c r="E521" s="74" t="s">
        <v>8</v>
      </c>
      <c r="F521" s="393" t="s">
        <v>1692</v>
      </c>
    </row>
    <row r="522" spans="1:6" ht="17.649999999999999" customHeight="1" x14ac:dyDescent="0.25">
      <c r="A522" s="3" t="s">
        <v>698</v>
      </c>
      <c r="B522" s="374"/>
      <c r="C522" s="45">
        <v>1</v>
      </c>
      <c r="D522" s="53" t="s">
        <v>699</v>
      </c>
      <c r="E522" s="112" t="s">
        <v>10</v>
      </c>
      <c r="F522" s="393" t="s">
        <v>1736</v>
      </c>
    </row>
    <row r="523" spans="1:6" ht="17.649999999999999" customHeight="1" x14ac:dyDescent="0.25">
      <c r="A523" s="3" t="s">
        <v>159</v>
      </c>
      <c r="B523" s="374" t="s">
        <v>1880</v>
      </c>
      <c r="C523" s="45">
        <v>1</v>
      </c>
      <c r="D523" s="53" t="s">
        <v>160</v>
      </c>
      <c r="E523" s="112" t="s">
        <v>8</v>
      </c>
      <c r="F523" s="393" t="s">
        <v>1736</v>
      </c>
    </row>
    <row r="524" spans="1:6" ht="17.649999999999999" customHeight="1" x14ac:dyDescent="0.25">
      <c r="A524" s="3" t="s">
        <v>703</v>
      </c>
      <c r="B524" s="374" t="s">
        <v>1754</v>
      </c>
      <c r="C524" s="45">
        <v>2</v>
      </c>
      <c r="D524" s="53" t="s">
        <v>601</v>
      </c>
      <c r="E524" s="112" t="s">
        <v>8</v>
      </c>
      <c r="F524" s="393" t="s">
        <v>1736</v>
      </c>
    </row>
    <row r="525" spans="1:6" ht="17.649999999999999" customHeight="1" x14ac:dyDescent="0.25">
      <c r="A525" s="3" t="s">
        <v>704</v>
      </c>
      <c r="B525" s="376" t="s">
        <v>1753</v>
      </c>
      <c r="C525" s="45">
        <v>1</v>
      </c>
      <c r="D525" s="53" t="s">
        <v>33</v>
      </c>
      <c r="E525" s="112" t="s">
        <v>8</v>
      </c>
      <c r="F525" s="393" t="s">
        <v>1736</v>
      </c>
    </row>
    <row r="526" spans="1:6" ht="17.649999999999999" customHeight="1" x14ac:dyDescent="0.25">
      <c r="A526" s="3" t="s">
        <v>705</v>
      </c>
      <c r="B526" s="375" t="s">
        <v>1881</v>
      </c>
      <c r="C526" s="45">
        <v>2</v>
      </c>
      <c r="D526" s="53" t="s">
        <v>36</v>
      </c>
      <c r="E526" s="112" t="s">
        <v>8</v>
      </c>
      <c r="F526" s="393" t="s">
        <v>1736</v>
      </c>
    </row>
    <row r="527" spans="1:6" ht="17.649999999999999" customHeight="1" x14ac:dyDescent="0.25">
      <c r="A527" s="3" t="s">
        <v>706</v>
      </c>
      <c r="B527" s="374" t="s">
        <v>1887</v>
      </c>
      <c r="C527" s="45">
        <v>2</v>
      </c>
      <c r="D527" s="53" t="s">
        <v>678</v>
      </c>
      <c r="E527" s="112" t="s">
        <v>8</v>
      </c>
      <c r="F527" s="393" t="s">
        <v>1736</v>
      </c>
    </row>
    <row r="528" spans="1:6" ht="17.649999999999999" customHeight="1" x14ac:dyDescent="0.25">
      <c r="A528" s="3" t="s">
        <v>707</v>
      </c>
      <c r="B528" s="362" t="s">
        <v>1895</v>
      </c>
      <c r="C528" s="45">
        <v>4</v>
      </c>
      <c r="D528" s="53" t="s">
        <v>605</v>
      </c>
      <c r="E528" s="112" t="s">
        <v>8</v>
      </c>
      <c r="F528" s="393" t="s">
        <v>1736</v>
      </c>
    </row>
    <row r="529" spans="1:6" ht="17.649999999999999" customHeight="1" x14ac:dyDescent="0.25">
      <c r="A529" s="3" t="s">
        <v>54</v>
      </c>
      <c r="B529" s="333" t="s">
        <v>1910</v>
      </c>
      <c r="C529" s="45">
        <v>2</v>
      </c>
      <c r="D529" s="53" t="s">
        <v>55</v>
      </c>
      <c r="E529" s="112" t="s">
        <v>8</v>
      </c>
      <c r="F529" s="393" t="s">
        <v>1736</v>
      </c>
    </row>
    <row r="530" spans="1:6" ht="17.649999999999999" customHeight="1" x14ac:dyDescent="0.25">
      <c r="A530" s="3" t="s">
        <v>338</v>
      </c>
      <c r="B530" s="375" t="s">
        <v>1931</v>
      </c>
      <c r="C530" s="45">
        <v>2</v>
      </c>
      <c r="D530" s="53" t="s">
        <v>66</v>
      </c>
      <c r="E530" s="112" t="s">
        <v>8</v>
      </c>
      <c r="F530" s="393" t="s">
        <v>1736</v>
      </c>
    </row>
    <row r="531" spans="1:6" ht="17.649999999999999" customHeight="1" x14ac:dyDescent="0.25">
      <c r="A531" s="3" t="s">
        <v>75</v>
      </c>
      <c r="B531" s="372" t="s">
        <v>1938</v>
      </c>
      <c r="C531" s="45">
        <v>2</v>
      </c>
      <c r="D531" s="53" t="s">
        <v>76</v>
      </c>
      <c r="E531" s="112" t="s">
        <v>8</v>
      </c>
      <c r="F531" s="393" t="s">
        <v>1736</v>
      </c>
    </row>
    <row r="532" spans="1:6" ht="17.649999999999999" customHeight="1" x14ac:dyDescent="0.25">
      <c r="A532" s="3" t="s">
        <v>708</v>
      </c>
      <c r="B532" s="374" t="s">
        <v>1877</v>
      </c>
      <c r="C532" s="45">
        <v>6</v>
      </c>
      <c r="D532" s="53" t="s">
        <v>24</v>
      </c>
      <c r="E532" s="112" t="s">
        <v>8</v>
      </c>
      <c r="F532" s="393" t="s">
        <v>1736</v>
      </c>
    </row>
    <row r="533" spans="1:6" ht="17.649999999999999" customHeight="1" x14ac:dyDescent="0.25">
      <c r="A533" s="3" t="s">
        <v>709</v>
      </c>
      <c r="B533" s="373" t="s">
        <v>1878</v>
      </c>
      <c r="C533" s="45">
        <v>4</v>
      </c>
      <c r="D533" s="53" t="s">
        <v>26</v>
      </c>
      <c r="E533" s="112" t="s">
        <v>8</v>
      </c>
      <c r="F533" s="393" t="s">
        <v>1736</v>
      </c>
    </row>
    <row r="534" spans="1:6" ht="17.649999999999999" customHeight="1" x14ac:dyDescent="0.25">
      <c r="A534" s="3" t="s">
        <v>710</v>
      </c>
      <c r="B534" s="374" t="s">
        <v>1945</v>
      </c>
      <c r="C534" s="45">
        <v>1</v>
      </c>
      <c r="D534" s="53" t="s">
        <v>711</v>
      </c>
      <c r="E534" s="112" t="s">
        <v>8</v>
      </c>
      <c r="F534" s="393" t="s">
        <v>1736</v>
      </c>
    </row>
    <row r="535" spans="1:6" ht="17.649999999999999" customHeight="1" x14ac:dyDescent="0.25">
      <c r="A535" s="3" t="s">
        <v>712</v>
      </c>
      <c r="B535" s="374" t="s">
        <v>1951</v>
      </c>
      <c r="C535" s="45">
        <v>2</v>
      </c>
      <c r="D535" s="53" t="s">
        <v>713</v>
      </c>
      <c r="E535" s="112" t="s">
        <v>8</v>
      </c>
      <c r="F535" s="393" t="s">
        <v>1736</v>
      </c>
    </row>
    <row r="536" spans="1:6" ht="17.649999999999999" customHeight="1" x14ac:dyDescent="0.25">
      <c r="A536" s="3" t="s">
        <v>714</v>
      </c>
      <c r="B536" s="372" t="s">
        <v>1960</v>
      </c>
      <c r="C536" s="45">
        <v>2</v>
      </c>
      <c r="D536" s="53" t="s">
        <v>88</v>
      </c>
      <c r="E536" s="112" t="s">
        <v>8</v>
      </c>
      <c r="F536" s="393" t="s">
        <v>1736</v>
      </c>
    </row>
    <row r="537" spans="1:6" ht="17.649999999999999" customHeight="1" x14ac:dyDescent="0.25">
      <c r="A537" s="3" t="s">
        <v>700</v>
      </c>
      <c r="B537" s="374"/>
      <c r="C537" s="45">
        <v>1</v>
      </c>
      <c r="D537" s="53" t="s">
        <v>701</v>
      </c>
      <c r="E537" s="112" t="s">
        <v>10</v>
      </c>
      <c r="F537" s="393" t="s">
        <v>1736</v>
      </c>
    </row>
    <row r="538" spans="1:6" ht="17.649999999999999" customHeight="1" x14ac:dyDescent="0.25">
      <c r="A538" s="3" t="s">
        <v>716</v>
      </c>
      <c r="B538" s="412" t="s">
        <v>1993</v>
      </c>
      <c r="C538" s="113">
        <v>1</v>
      </c>
      <c r="D538" s="53" t="s">
        <v>665</v>
      </c>
      <c r="E538" s="112" t="s">
        <v>8</v>
      </c>
      <c r="F538" s="393" t="s">
        <v>1736</v>
      </c>
    </row>
    <row r="539" spans="1:6" ht="17.649999999999999" customHeight="1" x14ac:dyDescent="0.25">
      <c r="A539" s="3" t="s">
        <v>717</v>
      </c>
      <c r="B539" s="412" t="s">
        <v>2000</v>
      </c>
      <c r="C539" s="113">
        <v>1</v>
      </c>
      <c r="D539" s="53" t="s">
        <v>665</v>
      </c>
      <c r="E539" s="112" t="s">
        <v>8</v>
      </c>
      <c r="F539" s="393" t="s">
        <v>1736</v>
      </c>
    </row>
    <row r="540" spans="1:6" ht="17.649999999999999" customHeight="1" x14ac:dyDescent="0.25">
      <c r="A540" s="20" t="s">
        <v>718</v>
      </c>
      <c r="B540" s="132" t="s">
        <v>2002</v>
      </c>
      <c r="C540" s="343">
        <v>1</v>
      </c>
      <c r="D540" s="299" t="s">
        <v>633</v>
      </c>
      <c r="E540" s="112" t="s">
        <v>8</v>
      </c>
      <c r="F540" s="393" t="s">
        <v>1736</v>
      </c>
    </row>
    <row r="541" spans="1:6" ht="17.649999999999999" customHeight="1" x14ac:dyDescent="0.25">
      <c r="A541" s="19" t="s">
        <v>719</v>
      </c>
      <c r="B541" s="317" t="s">
        <v>1995</v>
      </c>
      <c r="C541" s="113">
        <v>1</v>
      </c>
      <c r="D541" s="276" t="s">
        <v>516</v>
      </c>
      <c r="E541" s="112" t="s">
        <v>8</v>
      </c>
      <c r="F541" s="393" t="s">
        <v>1736</v>
      </c>
    </row>
    <row r="542" spans="1:6" ht="17.649999999999999" customHeight="1" x14ac:dyDescent="0.25">
      <c r="A542" s="324" t="s">
        <v>720</v>
      </c>
      <c r="B542" s="327" t="s">
        <v>2005</v>
      </c>
      <c r="C542" s="301">
        <v>1</v>
      </c>
      <c r="D542" s="359" t="s">
        <v>635</v>
      </c>
      <c r="E542" s="74" t="s">
        <v>8</v>
      </c>
      <c r="F542" s="393" t="s">
        <v>1736</v>
      </c>
    </row>
    <row r="543" spans="1:6" ht="17.649999999999999" customHeight="1" x14ac:dyDescent="0.25">
      <c r="A543" s="241" t="s">
        <v>99</v>
      </c>
      <c r="B543" s="264" t="s">
        <v>2006</v>
      </c>
      <c r="C543" s="208">
        <v>1</v>
      </c>
      <c r="D543" s="456" t="s">
        <v>662</v>
      </c>
      <c r="E543" s="74" t="s">
        <v>8</v>
      </c>
      <c r="F543" s="393" t="s">
        <v>1736</v>
      </c>
    </row>
    <row r="544" spans="1:6" ht="17.649999999999999" customHeight="1" x14ac:dyDescent="0.25">
      <c r="A544" s="1" t="s">
        <v>313</v>
      </c>
      <c r="B544" s="373"/>
      <c r="C544" s="32">
        <v>1</v>
      </c>
      <c r="D544" s="205">
        <v>662250</v>
      </c>
      <c r="E544" s="112" t="s">
        <v>501</v>
      </c>
      <c r="F544" s="393" t="s">
        <v>1737</v>
      </c>
    </row>
    <row r="545" spans="1:7" ht="17.649999999999999" customHeight="1" x14ac:dyDescent="0.25">
      <c r="A545" s="16" t="s">
        <v>721</v>
      </c>
      <c r="B545" s="375" t="s">
        <v>1815</v>
      </c>
      <c r="C545" s="50">
        <v>1</v>
      </c>
      <c r="D545" s="75" t="s">
        <v>722</v>
      </c>
      <c r="E545" s="74" t="s">
        <v>8</v>
      </c>
      <c r="F545" s="393" t="s">
        <v>1737</v>
      </c>
    </row>
    <row r="546" spans="1:7" ht="17.649999999999999" customHeight="1" x14ac:dyDescent="0.25">
      <c r="A546" s="16" t="s">
        <v>723</v>
      </c>
      <c r="B546" s="375" t="s">
        <v>1816</v>
      </c>
      <c r="C546" s="50">
        <v>1</v>
      </c>
      <c r="D546" s="75" t="s">
        <v>724</v>
      </c>
      <c r="E546" s="74" t="s">
        <v>8</v>
      </c>
      <c r="F546" s="393" t="s">
        <v>1737</v>
      </c>
    </row>
    <row r="547" spans="1:7" ht="17.649999999999999" customHeight="1" x14ac:dyDescent="0.25">
      <c r="A547" s="16" t="s">
        <v>725</v>
      </c>
      <c r="B547" s="411">
        <v>10659</v>
      </c>
      <c r="C547" s="50">
        <v>1</v>
      </c>
      <c r="D547" s="75" t="s">
        <v>726</v>
      </c>
      <c r="E547" s="74" t="s">
        <v>8</v>
      </c>
      <c r="F547" s="393" t="s">
        <v>1737</v>
      </c>
      <c r="G547" t="s">
        <v>1771</v>
      </c>
    </row>
    <row r="548" spans="1:7" ht="17.649999999999999" customHeight="1" x14ac:dyDescent="0.25">
      <c r="A548" s="16" t="s">
        <v>727</v>
      </c>
      <c r="B548" s="375" t="s">
        <v>1839</v>
      </c>
      <c r="C548" s="50">
        <v>1</v>
      </c>
      <c r="D548" s="75" t="s">
        <v>728</v>
      </c>
      <c r="E548" s="74" t="s">
        <v>8</v>
      </c>
      <c r="F548" s="393" t="s">
        <v>1737</v>
      </c>
    </row>
    <row r="549" spans="1:7" ht="17.649999999999999" customHeight="1" x14ac:dyDescent="0.25">
      <c r="A549" s="16" t="s">
        <v>729</v>
      </c>
      <c r="B549" s="375"/>
      <c r="C549" s="50">
        <v>3</v>
      </c>
      <c r="D549" s="75" t="s">
        <v>730</v>
      </c>
      <c r="E549" s="74" t="s">
        <v>4</v>
      </c>
      <c r="F549" s="393" t="s">
        <v>1737</v>
      </c>
    </row>
    <row r="550" spans="1:7" ht="17.649999999999999" customHeight="1" x14ac:dyDescent="0.25">
      <c r="A550" s="16" t="s">
        <v>731</v>
      </c>
      <c r="B550" s="375" t="s">
        <v>1754</v>
      </c>
      <c r="C550" s="50">
        <v>1</v>
      </c>
      <c r="D550" s="75" t="s">
        <v>601</v>
      </c>
      <c r="E550" s="74" t="s">
        <v>8</v>
      </c>
      <c r="F550" s="393" t="s">
        <v>1737</v>
      </c>
    </row>
    <row r="551" spans="1:7" ht="17.649999999999999" customHeight="1" x14ac:dyDescent="0.25">
      <c r="A551" s="16" t="s">
        <v>732</v>
      </c>
      <c r="B551" s="376" t="s">
        <v>1753</v>
      </c>
      <c r="C551" s="50">
        <v>1</v>
      </c>
      <c r="D551" s="75" t="s">
        <v>33</v>
      </c>
      <c r="E551" s="74" t="s">
        <v>8</v>
      </c>
      <c r="F551" s="393" t="s">
        <v>1737</v>
      </c>
    </row>
    <row r="552" spans="1:7" ht="17.649999999999999" customHeight="1" x14ac:dyDescent="0.25">
      <c r="A552" s="16" t="s">
        <v>733</v>
      </c>
      <c r="B552" s="375" t="s">
        <v>1881</v>
      </c>
      <c r="C552" s="50">
        <v>4</v>
      </c>
      <c r="D552" s="75" t="s">
        <v>36</v>
      </c>
      <c r="E552" s="74" t="s">
        <v>8</v>
      </c>
      <c r="F552" s="393" t="s">
        <v>1737</v>
      </c>
    </row>
    <row r="553" spans="1:7" ht="17.649999999999999" customHeight="1" x14ac:dyDescent="0.25">
      <c r="A553" s="16" t="s">
        <v>641</v>
      </c>
      <c r="B553" s="376" t="s">
        <v>1886</v>
      </c>
      <c r="C553" s="50">
        <v>1</v>
      </c>
      <c r="D553" s="75" t="s">
        <v>45</v>
      </c>
      <c r="E553" s="74" t="s">
        <v>8</v>
      </c>
      <c r="F553" s="393" t="s">
        <v>1737</v>
      </c>
    </row>
    <row r="554" spans="1:7" ht="17.649999999999999" customHeight="1" x14ac:dyDescent="0.25">
      <c r="A554" s="16" t="s">
        <v>734</v>
      </c>
      <c r="B554" s="375" t="s">
        <v>1888</v>
      </c>
      <c r="C554" s="50">
        <v>1</v>
      </c>
      <c r="D554" s="75" t="s">
        <v>49</v>
      </c>
      <c r="E554" s="74" t="s">
        <v>8</v>
      </c>
      <c r="F554" s="393" t="s">
        <v>1737</v>
      </c>
    </row>
    <row r="555" spans="1:7" ht="17.649999999999999" customHeight="1" x14ac:dyDescent="0.25">
      <c r="A555" s="4" t="s">
        <v>604</v>
      </c>
      <c r="B555" s="362" t="s">
        <v>1895</v>
      </c>
      <c r="C555" s="49">
        <v>5</v>
      </c>
      <c r="D555" s="53" t="s">
        <v>605</v>
      </c>
      <c r="E555" s="112" t="s">
        <v>8</v>
      </c>
      <c r="F555" s="393" t="s">
        <v>1737</v>
      </c>
    </row>
    <row r="556" spans="1:7" ht="17.649999999999999" customHeight="1" x14ac:dyDescent="0.25">
      <c r="A556" s="408" t="s">
        <v>645</v>
      </c>
      <c r="B556" s="376" t="s">
        <v>1900</v>
      </c>
      <c r="C556" s="451">
        <v>1</v>
      </c>
      <c r="D556" s="207" t="s">
        <v>53</v>
      </c>
      <c r="E556" s="112" t="s">
        <v>8</v>
      </c>
      <c r="F556" s="393" t="s">
        <v>1737</v>
      </c>
    </row>
    <row r="557" spans="1:7" ht="17.649999999999999" customHeight="1" x14ac:dyDescent="0.25">
      <c r="A557" s="406" t="s">
        <v>735</v>
      </c>
      <c r="B557" s="422" t="s">
        <v>1901</v>
      </c>
      <c r="C557" s="445">
        <v>1</v>
      </c>
      <c r="D557" s="310" t="s">
        <v>736</v>
      </c>
      <c r="E557" s="112" t="s">
        <v>8</v>
      </c>
      <c r="F557" s="393" t="s">
        <v>1737</v>
      </c>
      <c r="G557" t="s">
        <v>1766</v>
      </c>
    </row>
    <row r="558" spans="1:7" ht="17.649999999999999" customHeight="1" x14ac:dyDescent="0.25">
      <c r="A558" s="16" t="s">
        <v>737</v>
      </c>
      <c r="B558" s="375" t="s">
        <v>1904</v>
      </c>
      <c r="C558" s="50">
        <v>1</v>
      </c>
      <c r="D558" s="42" t="s">
        <v>738</v>
      </c>
      <c r="E558" s="74" t="s">
        <v>10</v>
      </c>
      <c r="F558" s="393" t="s">
        <v>1737</v>
      </c>
      <c r="G558" t="s">
        <v>1905</v>
      </c>
    </row>
    <row r="559" spans="1:7" ht="17.649999999999999" customHeight="1" x14ac:dyDescent="0.25">
      <c r="A559" s="16" t="s">
        <v>739</v>
      </c>
      <c r="B559" s="373" t="s">
        <v>1906</v>
      </c>
      <c r="C559" s="50">
        <v>1</v>
      </c>
      <c r="D559" s="42" t="s">
        <v>740</v>
      </c>
      <c r="E559" s="74" t="s">
        <v>10</v>
      </c>
      <c r="F559" s="393" t="s">
        <v>1737</v>
      </c>
      <c r="G559" t="s">
        <v>1905</v>
      </c>
    </row>
    <row r="560" spans="1:7" ht="17.649999999999999" customHeight="1" x14ac:dyDescent="0.25">
      <c r="A560" s="16" t="s">
        <v>741</v>
      </c>
      <c r="B560" s="333" t="s">
        <v>1910</v>
      </c>
      <c r="C560" s="50">
        <v>1</v>
      </c>
      <c r="D560" s="42" t="s">
        <v>55</v>
      </c>
      <c r="E560" s="74" t="s">
        <v>8</v>
      </c>
      <c r="F560" s="393" t="s">
        <v>1737</v>
      </c>
    </row>
    <row r="561" spans="1:6" ht="17.649999999999999" customHeight="1" x14ac:dyDescent="0.25">
      <c r="A561" s="16" t="s">
        <v>743</v>
      </c>
      <c r="B561" s="375" t="s">
        <v>1912</v>
      </c>
      <c r="C561" s="50">
        <v>1</v>
      </c>
      <c r="D561" s="42" t="s">
        <v>61</v>
      </c>
      <c r="E561" s="74" t="s">
        <v>8</v>
      </c>
      <c r="F561" s="393" t="s">
        <v>1737</v>
      </c>
    </row>
    <row r="562" spans="1:6" ht="17.649999999999999" customHeight="1" x14ac:dyDescent="0.25">
      <c r="A562" s="16" t="s">
        <v>744</v>
      </c>
      <c r="B562" s="375" t="s">
        <v>1913</v>
      </c>
      <c r="C562" s="50">
        <v>1</v>
      </c>
      <c r="D562" s="42" t="s">
        <v>63</v>
      </c>
      <c r="E562" s="74" t="s">
        <v>8</v>
      </c>
      <c r="F562" s="393" t="s">
        <v>1737</v>
      </c>
    </row>
    <row r="563" spans="1:6" ht="17.649999999999999" customHeight="1" x14ac:dyDescent="0.25">
      <c r="A563" s="16" t="s">
        <v>745</v>
      </c>
      <c r="B563" s="375" t="s">
        <v>1919</v>
      </c>
      <c r="C563" s="50">
        <v>1</v>
      </c>
      <c r="D563" s="42" t="s">
        <v>546</v>
      </c>
      <c r="E563" s="74" t="s">
        <v>8</v>
      </c>
      <c r="F563" s="393" t="s">
        <v>1737</v>
      </c>
    </row>
    <row r="564" spans="1:6" ht="17.649999999999999" customHeight="1" x14ac:dyDescent="0.25">
      <c r="A564" s="16" t="s">
        <v>746</v>
      </c>
      <c r="B564" s="375" t="s">
        <v>1930</v>
      </c>
      <c r="C564" s="50">
        <v>4</v>
      </c>
      <c r="D564" s="42" t="s">
        <v>65</v>
      </c>
      <c r="E564" s="74" t="s">
        <v>8</v>
      </c>
      <c r="F564" s="393" t="s">
        <v>1737</v>
      </c>
    </row>
    <row r="565" spans="1:6" ht="17.649999999999999" customHeight="1" x14ac:dyDescent="0.25">
      <c r="A565" s="109" t="s">
        <v>748</v>
      </c>
      <c r="B565" s="372" t="s">
        <v>1932</v>
      </c>
      <c r="C565" s="50">
        <v>4</v>
      </c>
      <c r="D565" s="42" t="s">
        <v>68</v>
      </c>
      <c r="E565" s="74" t="s">
        <v>8</v>
      </c>
      <c r="F565" s="393" t="s">
        <v>1737</v>
      </c>
    </row>
    <row r="566" spans="1:6" ht="17.649999999999999" customHeight="1" x14ac:dyDescent="0.25">
      <c r="A566" s="317" t="s">
        <v>749</v>
      </c>
      <c r="B566" s="373" t="s">
        <v>1938</v>
      </c>
      <c r="C566" s="50">
        <v>3</v>
      </c>
      <c r="D566" s="42" t="s">
        <v>76</v>
      </c>
      <c r="E566" s="74" t="s">
        <v>8</v>
      </c>
      <c r="F566" s="393" t="s">
        <v>1737</v>
      </c>
    </row>
    <row r="567" spans="1:6" ht="17.649999999999999" customHeight="1" x14ac:dyDescent="0.25">
      <c r="A567" s="16" t="s">
        <v>647</v>
      </c>
      <c r="B567" s="375" t="s">
        <v>1877</v>
      </c>
      <c r="C567" s="50">
        <v>4</v>
      </c>
      <c r="D567" s="74" t="s">
        <v>24</v>
      </c>
      <c r="E567" s="74" t="s">
        <v>8</v>
      </c>
      <c r="F567" s="393" t="s">
        <v>1737</v>
      </c>
    </row>
    <row r="568" spans="1:6" ht="17.649999999999999" customHeight="1" x14ac:dyDescent="0.25">
      <c r="A568" s="16" t="s">
        <v>617</v>
      </c>
      <c r="B568" s="373" t="s">
        <v>1878</v>
      </c>
      <c r="C568" s="50">
        <v>4</v>
      </c>
      <c r="D568" s="42" t="s">
        <v>26</v>
      </c>
      <c r="E568" s="74" t="s">
        <v>8</v>
      </c>
      <c r="F568" s="393" t="s">
        <v>1737</v>
      </c>
    </row>
    <row r="569" spans="1:6" ht="17.649999999999999" customHeight="1" x14ac:dyDescent="0.25">
      <c r="A569" s="16" t="s">
        <v>750</v>
      </c>
      <c r="B569" s="375" t="s">
        <v>1949</v>
      </c>
      <c r="C569" s="50">
        <v>1</v>
      </c>
      <c r="D569" s="42" t="s">
        <v>689</v>
      </c>
      <c r="E569" s="74" t="s">
        <v>8</v>
      </c>
      <c r="F569" s="393" t="s">
        <v>1737</v>
      </c>
    </row>
    <row r="570" spans="1:6" ht="17.649999999999999" customHeight="1" x14ac:dyDescent="0.25">
      <c r="A570" s="16" t="s">
        <v>754</v>
      </c>
      <c r="B570" s="377" t="s">
        <v>1965</v>
      </c>
      <c r="C570" s="50">
        <v>1</v>
      </c>
      <c r="D570" s="42" t="s">
        <v>111</v>
      </c>
      <c r="E570" s="74" t="s">
        <v>8</v>
      </c>
      <c r="F570" s="393" t="s">
        <v>1737</v>
      </c>
    </row>
    <row r="571" spans="1:6" ht="17.649999999999999" customHeight="1" x14ac:dyDescent="0.25">
      <c r="A571" s="16" t="s">
        <v>752</v>
      </c>
      <c r="B571" s="375" t="s">
        <v>1967</v>
      </c>
      <c r="C571" s="50">
        <v>1</v>
      </c>
      <c r="D571" s="42" t="s">
        <v>113</v>
      </c>
      <c r="E571" s="74" t="s">
        <v>8</v>
      </c>
      <c r="F571" s="393" t="s">
        <v>1737</v>
      </c>
    </row>
    <row r="572" spans="1:6" ht="17.649999999999999" customHeight="1" x14ac:dyDescent="0.25">
      <c r="A572" s="16" t="s">
        <v>751</v>
      </c>
      <c r="B572" s="375" t="s">
        <v>1969</v>
      </c>
      <c r="C572" s="50">
        <v>1</v>
      </c>
      <c r="D572" s="42" t="s">
        <v>117</v>
      </c>
      <c r="E572" s="74" t="s">
        <v>8</v>
      </c>
      <c r="F572" s="393" t="s">
        <v>1737</v>
      </c>
    </row>
    <row r="573" spans="1:6" ht="17.649999999999999" customHeight="1" x14ac:dyDescent="0.25">
      <c r="A573" s="16" t="s">
        <v>126</v>
      </c>
      <c r="B573" s="375" t="s">
        <v>1989</v>
      </c>
      <c r="C573" s="50">
        <v>1</v>
      </c>
      <c r="D573" s="42" t="s">
        <v>127</v>
      </c>
      <c r="E573" s="74" t="s">
        <v>8</v>
      </c>
      <c r="F573" s="393" t="s">
        <v>1737</v>
      </c>
    </row>
    <row r="574" spans="1:6" ht="17.649999999999999" customHeight="1" x14ac:dyDescent="0.25">
      <c r="A574" s="16" t="s">
        <v>632</v>
      </c>
      <c r="B574" s="375" t="s">
        <v>2002</v>
      </c>
      <c r="C574" s="50">
        <v>1</v>
      </c>
      <c r="D574" s="42" t="s">
        <v>633</v>
      </c>
      <c r="E574" s="74" t="s">
        <v>8</v>
      </c>
      <c r="F574" s="393" t="s">
        <v>1737</v>
      </c>
    </row>
    <row r="575" spans="1:6" ht="17.649999999999999" customHeight="1" x14ac:dyDescent="0.25">
      <c r="A575" s="16" t="s">
        <v>755</v>
      </c>
      <c r="B575" s="375" t="s">
        <v>1994</v>
      </c>
      <c r="C575" s="50">
        <v>1</v>
      </c>
      <c r="D575" s="42" t="s">
        <v>660</v>
      </c>
      <c r="E575" s="74" t="s">
        <v>8</v>
      </c>
      <c r="F575" s="393" t="s">
        <v>1737</v>
      </c>
    </row>
    <row r="576" spans="1:6" ht="17.649999999999999" customHeight="1" x14ac:dyDescent="0.25">
      <c r="A576" s="16" t="s">
        <v>693</v>
      </c>
      <c r="B576" s="373" t="s">
        <v>2006</v>
      </c>
      <c r="C576" s="50">
        <v>1</v>
      </c>
      <c r="D576" s="75" t="s">
        <v>662</v>
      </c>
      <c r="E576" s="74" t="s">
        <v>8</v>
      </c>
      <c r="F576" s="393" t="s">
        <v>1737</v>
      </c>
    </row>
    <row r="577" spans="1:6" ht="17.649999999999999" customHeight="1" x14ac:dyDescent="0.25">
      <c r="A577" s="16" t="s">
        <v>756</v>
      </c>
      <c r="B577" s="373" t="s">
        <v>2008</v>
      </c>
      <c r="C577" s="336">
        <v>1</v>
      </c>
      <c r="D577" s="353" t="s">
        <v>518</v>
      </c>
      <c r="E577" s="74" t="s">
        <v>8</v>
      </c>
      <c r="F577" s="393" t="s">
        <v>1737</v>
      </c>
    </row>
    <row r="578" spans="1:6" ht="17.649999999999999" customHeight="1" x14ac:dyDescent="0.25">
      <c r="A578" s="1" t="s">
        <v>77</v>
      </c>
      <c r="B578" s="373" t="s">
        <v>1936</v>
      </c>
      <c r="C578" s="32">
        <v>3</v>
      </c>
      <c r="D578" s="53" t="s">
        <v>78</v>
      </c>
      <c r="E578" s="112" t="s">
        <v>8</v>
      </c>
      <c r="F578" s="393" t="s">
        <v>1741</v>
      </c>
    </row>
    <row r="579" spans="1:6" ht="17.649999999999999" customHeight="1" x14ac:dyDescent="0.25">
      <c r="A579" s="24" t="s">
        <v>1233</v>
      </c>
      <c r="B579" s="376" t="s">
        <v>1940</v>
      </c>
      <c r="C579" s="55">
        <v>2</v>
      </c>
      <c r="D579" s="355" t="s">
        <v>84</v>
      </c>
      <c r="E579" s="74" t="s">
        <v>8</v>
      </c>
      <c r="F579" s="393" t="s">
        <v>1741</v>
      </c>
    </row>
    <row r="580" spans="1:6" ht="17.649999999999999" customHeight="1" x14ac:dyDescent="0.25">
      <c r="A580" s="24" t="s">
        <v>1234</v>
      </c>
      <c r="B580" s="376" t="s">
        <v>1942</v>
      </c>
      <c r="C580" s="55">
        <v>4</v>
      </c>
      <c r="D580" s="355" t="s">
        <v>1235</v>
      </c>
      <c r="E580" s="74" t="s">
        <v>8</v>
      </c>
      <c r="F580" s="393" t="s">
        <v>1741</v>
      </c>
    </row>
    <row r="581" spans="1:6" ht="17.649999999999999" customHeight="1" x14ac:dyDescent="0.25">
      <c r="A581" s="1" t="s">
        <v>1236</v>
      </c>
      <c r="B581" s="373" t="s">
        <v>1877</v>
      </c>
      <c r="C581" s="32">
        <v>6</v>
      </c>
      <c r="D581" s="53" t="s">
        <v>24</v>
      </c>
      <c r="E581" s="112" t="s">
        <v>8</v>
      </c>
      <c r="F581" s="393" t="s">
        <v>1741</v>
      </c>
    </row>
    <row r="582" spans="1:6" ht="17.649999999999999" customHeight="1" x14ac:dyDescent="0.25">
      <c r="A582" s="134" t="s">
        <v>549</v>
      </c>
      <c r="B582" s="373" t="s">
        <v>1943</v>
      </c>
      <c r="C582" s="329">
        <v>1</v>
      </c>
      <c r="D582" s="207" t="s">
        <v>550</v>
      </c>
      <c r="E582" s="112" t="s">
        <v>8</v>
      </c>
      <c r="F582" s="393" t="s">
        <v>1741</v>
      </c>
    </row>
    <row r="583" spans="1:6" ht="17.649999999999999" customHeight="1" x14ac:dyDescent="0.25">
      <c r="A583" s="9" t="s">
        <v>527</v>
      </c>
      <c r="B583" s="9" t="s">
        <v>1947</v>
      </c>
      <c r="C583" s="36">
        <v>1</v>
      </c>
      <c r="D583" s="131" t="s">
        <v>252</v>
      </c>
      <c r="E583" s="112" t="s">
        <v>8</v>
      </c>
      <c r="F583" s="393" t="s">
        <v>1741</v>
      </c>
    </row>
    <row r="584" spans="1:6" ht="17.649999999999999" customHeight="1" x14ac:dyDescent="0.25">
      <c r="A584" s="9" t="s">
        <v>920</v>
      </c>
      <c r="B584" s="194" t="s">
        <v>1960</v>
      </c>
      <c r="C584" s="36">
        <v>2</v>
      </c>
      <c r="D584" s="131" t="s">
        <v>88</v>
      </c>
      <c r="E584" s="112" t="s">
        <v>8</v>
      </c>
      <c r="F584" s="393" t="s">
        <v>1741</v>
      </c>
    </row>
    <row r="585" spans="1:6" ht="17.649999999999999" customHeight="1" x14ac:dyDescent="0.25">
      <c r="A585" s="9" t="s">
        <v>1239</v>
      </c>
      <c r="B585" s="9" t="s">
        <v>1968</v>
      </c>
      <c r="C585" s="36">
        <v>1</v>
      </c>
      <c r="D585" s="131" t="s">
        <v>111</v>
      </c>
      <c r="E585" s="112" t="s">
        <v>8</v>
      </c>
      <c r="F585" s="393" t="s">
        <v>1741</v>
      </c>
    </row>
    <row r="586" spans="1:6" ht="17.649999999999999" customHeight="1" x14ac:dyDescent="0.25">
      <c r="A586" s="88" t="s">
        <v>1237</v>
      </c>
      <c r="B586" s="88" t="s">
        <v>1967</v>
      </c>
      <c r="C586" s="68">
        <v>1</v>
      </c>
      <c r="D586" s="152" t="s">
        <v>113</v>
      </c>
      <c r="E586" s="74" t="s">
        <v>8</v>
      </c>
      <c r="F586" s="393" t="s">
        <v>1741</v>
      </c>
    </row>
    <row r="587" spans="1:6" ht="17.649999999999999" customHeight="1" x14ac:dyDescent="0.25">
      <c r="A587" s="9" t="s">
        <v>348</v>
      </c>
      <c r="B587" s="19" t="s">
        <v>1966</v>
      </c>
      <c r="C587" s="36">
        <v>3</v>
      </c>
      <c r="D587" s="131" t="s">
        <v>115</v>
      </c>
      <c r="E587" s="112" t="s">
        <v>8</v>
      </c>
      <c r="F587" s="393" t="s">
        <v>1741</v>
      </c>
    </row>
    <row r="588" spans="1:6" ht="17.649999999999999" customHeight="1" x14ac:dyDescent="0.25">
      <c r="A588" s="88" t="s">
        <v>1238</v>
      </c>
      <c r="B588" s="88" t="s">
        <v>1969</v>
      </c>
      <c r="C588" s="68">
        <v>1</v>
      </c>
      <c r="D588" s="152" t="s">
        <v>117</v>
      </c>
      <c r="E588" s="74" t="s">
        <v>8</v>
      </c>
      <c r="F588" s="393" t="s">
        <v>1741</v>
      </c>
    </row>
    <row r="589" spans="1:6" ht="17.649999999999999" customHeight="1" x14ac:dyDescent="0.25">
      <c r="A589" s="9" t="s">
        <v>1240</v>
      </c>
      <c r="B589" s="9" t="s">
        <v>1987</v>
      </c>
      <c r="C589" s="36">
        <v>1</v>
      </c>
      <c r="D589" s="131" t="s">
        <v>1241</v>
      </c>
      <c r="E589" s="112" t="s">
        <v>8</v>
      </c>
      <c r="F589" s="393" t="s">
        <v>1741</v>
      </c>
    </row>
    <row r="590" spans="1:6" ht="17.649999999999999" customHeight="1" x14ac:dyDescent="0.25">
      <c r="A590" s="9" t="s">
        <v>95</v>
      </c>
      <c r="B590" s="19" t="s">
        <v>2003</v>
      </c>
      <c r="C590" s="36">
        <v>1</v>
      </c>
      <c r="D590" s="131" t="s">
        <v>96</v>
      </c>
      <c r="E590" s="112" t="s">
        <v>8</v>
      </c>
      <c r="F590" s="393" t="s">
        <v>1741</v>
      </c>
    </row>
    <row r="591" spans="1:6" ht="17.649999999999999" customHeight="1" x14ac:dyDescent="0.25">
      <c r="A591" s="9" t="s">
        <v>1242</v>
      </c>
      <c r="B591" s="317" t="s">
        <v>1994</v>
      </c>
      <c r="C591" s="36">
        <v>1</v>
      </c>
      <c r="D591" s="131" t="s">
        <v>660</v>
      </c>
      <c r="E591" s="112" t="s">
        <v>8</v>
      </c>
      <c r="F591" s="393" t="s">
        <v>1741</v>
      </c>
    </row>
    <row r="592" spans="1:6" ht="17.649999999999999" customHeight="1" x14ac:dyDescent="0.25">
      <c r="A592" s="88" t="s">
        <v>929</v>
      </c>
      <c r="B592" s="19" t="s">
        <v>2004</v>
      </c>
      <c r="C592" s="68">
        <v>1</v>
      </c>
      <c r="D592" s="152" t="s">
        <v>862</v>
      </c>
      <c r="E592" s="74" t="s">
        <v>363</v>
      </c>
      <c r="F592" s="393" t="s">
        <v>1741</v>
      </c>
    </row>
    <row r="593" spans="1:6" ht="17.649999999999999" customHeight="1" x14ac:dyDescent="0.25">
      <c r="A593" s="88" t="s">
        <v>99</v>
      </c>
      <c r="B593" s="9" t="s">
        <v>2006</v>
      </c>
      <c r="C593" s="453">
        <v>1</v>
      </c>
      <c r="D593" s="152" t="s">
        <v>863</v>
      </c>
      <c r="E593" s="74" t="s">
        <v>363</v>
      </c>
      <c r="F593" s="393" t="s">
        <v>1741</v>
      </c>
    </row>
    <row r="594" spans="1:6" ht="17.649999999999999" customHeight="1" x14ac:dyDescent="0.25">
      <c r="A594" s="88" t="s">
        <v>519</v>
      </c>
      <c r="B594" s="9" t="s">
        <v>2007</v>
      </c>
      <c r="C594" s="68">
        <v>2</v>
      </c>
      <c r="D594" s="152" t="s">
        <v>864</v>
      </c>
      <c r="E594" s="74" t="s">
        <v>363</v>
      </c>
      <c r="F594" s="393" t="s">
        <v>1741</v>
      </c>
    </row>
    <row r="595" spans="1:6" ht="17.649999999999999" customHeight="1" x14ac:dyDescent="0.25">
      <c r="A595" s="88" t="s">
        <v>517</v>
      </c>
      <c r="B595" s="9" t="s">
        <v>2008</v>
      </c>
      <c r="C595" s="68">
        <v>2</v>
      </c>
      <c r="D595" s="152" t="s">
        <v>1243</v>
      </c>
      <c r="E595" s="74" t="s">
        <v>363</v>
      </c>
      <c r="F595" s="393" t="s">
        <v>1741</v>
      </c>
    </row>
    <row r="596" spans="1:6" ht="17.649999999999999" customHeight="1" x14ac:dyDescent="0.25">
      <c r="A596" s="88" t="s">
        <v>1244</v>
      </c>
      <c r="B596" s="88" t="s">
        <v>1998</v>
      </c>
      <c r="C596" s="68">
        <v>1</v>
      </c>
      <c r="D596" s="306" t="s">
        <v>1245</v>
      </c>
      <c r="E596" s="74" t="s">
        <v>363</v>
      </c>
      <c r="F596" s="393" t="s">
        <v>1741</v>
      </c>
    </row>
    <row r="597" spans="1:6" ht="17.649999999999999" customHeight="1" x14ac:dyDescent="0.25">
      <c r="A597" s="88" t="s">
        <v>1246</v>
      </c>
      <c r="B597" s="88" t="s">
        <v>1857</v>
      </c>
      <c r="C597" s="68">
        <v>1</v>
      </c>
      <c r="D597" s="152" t="s">
        <v>133</v>
      </c>
      <c r="E597" s="74" t="s">
        <v>8</v>
      </c>
      <c r="F597" s="393" t="s">
        <v>1741</v>
      </c>
    </row>
    <row r="598" spans="1:6" ht="17.649999999999999" customHeight="1" x14ac:dyDescent="0.25">
      <c r="A598" s="88" t="s">
        <v>1247</v>
      </c>
      <c r="B598" s="88" t="s">
        <v>1861</v>
      </c>
      <c r="C598" s="68">
        <v>2</v>
      </c>
      <c r="D598" s="152" t="s">
        <v>143</v>
      </c>
      <c r="E598" s="74" t="s">
        <v>8</v>
      </c>
      <c r="F598" s="393" t="s">
        <v>1741</v>
      </c>
    </row>
    <row r="599" spans="1:6" ht="17.649999999999999" customHeight="1" x14ac:dyDescent="0.25">
      <c r="A599" s="88" t="s">
        <v>1248</v>
      </c>
      <c r="B599" s="21" t="s">
        <v>1858</v>
      </c>
      <c r="C599" s="68">
        <v>2</v>
      </c>
      <c r="D599" s="152" t="s">
        <v>141</v>
      </c>
      <c r="E599" s="74" t="s">
        <v>8</v>
      </c>
      <c r="F599" s="393" t="s">
        <v>1741</v>
      </c>
    </row>
    <row r="600" spans="1:6" ht="17.649999999999999" customHeight="1" x14ac:dyDescent="0.25">
      <c r="A600" s="88" t="s">
        <v>1249</v>
      </c>
      <c r="B600" s="88"/>
      <c r="C600" s="68">
        <v>1</v>
      </c>
      <c r="D600" s="152" t="s">
        <v>1250</v>
      </c>
      <c r="E600" s="74" t="s">
        <v>10</v>
      </c>
      <c r="F600" s="393" t="s">
        <v>1741</v>
      </c>
    </row>
    <row r="601" spans="1:6" ht="17.649999999999999" customHeight="1" x14ac:dyDescent="0.25">
      <c r="A601" s="9" t="s">
        <v>822</v>
      </c>
      <c r="B601" s="9" t="s">
        <v>1790</v>
      </c>
      <c r="C601" s="36">
        <v>1</v>
      </c>
      <c r="D601" s="131">
        <v>2058</v>
      </c>
      <c r="E601" s="112" t="s">
        <v>4</v>
      </c>
      <c r="F601" s="393" t="s">
        <v>1699</v>
      </c>
    </row>
    <row r="602" spans="1:6" ht="17.649999999999999" customHeight="1" x14ac:dyDescent="0.25">
      <c r="A602" s="9" t="s">
        <v>823</v>
      </c>
      <c r="B602" s="9" t="s">
        <v>1791</v>
      </c>
      <c r="C602" s="36">
        <v>1</v>
      </c>
      <c r="D602" s="131">
        <v>2059</v>
      </c>
      <c r="E602" s="112" t="s">
        <v>4</v>
      </c>
      <c r="F602" s="393" t="s">
        <v>1699</v>
      </c>
    </row>
    <row r="603" spans="1:6" ht="17.649999999999999" customHeight="1" x14ac:dyDescent="0.25">
      <c r="A603" s="9" t="s">
        <v>824</v>
      </c>
      <c r="B603" s="9" t="s">
        <v>1792</v>
      </c>
      <c r="C603" s="36">
        <v>1</v>
      </c>
      <c r="D603" s="131">
        <v>2061</v>
      </c>
      <c r="E603" s="112" t="s">
        <v>4</v>
      </c>
      <c r="F603" s="393" t="s">
        <v>1699</v>
      </c>
    </row>
    <row r="604" spans="1:6" ht="17.649999999999999" customHeight="1" x14ac:dyDescent="0.25">
      <c r="A604" s="9" t="s">
        <v>825</v>
      </c>
      <c r="B604" s="9" t="s">
        <v>1793</v>
      </c>
      <c r="C604" s="36">
        <v>1</v>
      </c>
      <c r="D604" s="131">
        <v>2063</v>
      </c>
      <c r="E604" s="112" t="s">
        <v>4</v>
      </c>
      <c r="F604" s="393" t="s">
        <v>1699</v>
      </c>
    </row>
    <row r="605" spans="1:6" ht="17.649999999999999" customHeight="1" x14ac:dyDescent="0.25">
      <c r="A605" s="88" t="s">
        <v>831</v>
      </c>
      <c r="B605" s="88"/>
      <c r="C605" s="68">
        <v>1</v>
      </c>
      <c r="D605" s="152">
        <v>223100</v>
      </c>
      <c r="E605" s="74" t="s">
        <v>162</v>
      </c>
      <c r="F605" s="393" t="s">
        <v>1699</v>
      </c>
    </row>
    <row r="606" spans="1:6" ht="17.649999999999999" customHeight="1" x14ac:dyDescent="0.25">
      <c r="A606" s="9" t="s">
        <v>481</v>
      </c>
      <c r="B606" s="9"/>
      <c r="C606" s="36">
        <v>1</v>
      </c>
      <c r="D606" s="131">
        <v>662550</v>
      </c>
      <c r="E606" s="112" t="s">
        <v>501</v>
      </c>
      <c r="F606" s="393" t="s">
        <v>1699</v>
      </c>
    </row>
    <row r="607" spans="1:6" ht="17.649999999999999" customHeight="1" x14ac:dyDescent="0.25">
      <c r="A607" s="1" t="s">
        <v>826</v>
      </c>
      <c r="B607" s="373"/>
      <c r="C607" s="32">
        <v>1</v>
      </c>
      <c r="D607" s="131">
        <v>2195</v>
      </c>
      <c r="E607" s="112" t="s">
        <v>4</v>
      </c>
      <c r="F607" s="393" t="s">
        <v>1699</v>
      </c>
    </row>
    <row r="608" spans="1:6" ht="17.649999999999999" customHeight="1" x14ac:dyDescent="0.25">
      <c r="A608" s="1" t="s">
        <v>830</v>
      </c>
      <c r="B608" s="373"/>
      <c r="C608" s="32">
        <v>1</v>
      </c>
      <c r="D608" s="53">
        <v>4912</v>
      </c>
      <c r="E608" s="112" t="s">
        <v>4</v>
      </c>
      <c r="F608" s="393" t="s">
        <v>1699</v>
      </c>
    </row>
    <row r="609" spans="1:7" ht="17.649999999999999" customHeight="1" x14ac:dyDescent="0.25">
      <c r="A609" s="1" t="s">
        <v>832</v>
      </c>
      <c r="B609" s="373"/>
      <c r="C609" s="32">
        <v>1</v>
      </c>
      <c r="D609" s="53">
        <v>2556</v>
      </c>
      <c r="E609" s="112" t="s">
        <v>4</v>
      </c>
      <c r="F609" s="393" t="s">
        <v>1699</v>
      </c>
    </row>
    <row r="610" spans="1:7" ht="17.649999999999999" customHeight="1" x14ac:dyDescent="0.25">
      <c r="A610" s="1" t="s">
        <v>833</v>
      </c>
      <c r="B610" s="373"/>
      <c r="C610" s="32">
        <v>1</v>
      </c>
      <c r="D610" s="53">
        <v>2556</v>
      </c>
      <c r="E610" s="112" t="s">
        <v>4</v>
      </c>
      <c r="F610" s="393" t="s">
        <v>1699</v>
      </c>
    </row>
    <row r="611" spans="1:7" ht="17.649999999999999" customHeight="1" x14ac:dyDescent="0.25">
      <c r="A611" s="1" t="s">
        <v>834</v>
      </c>
      <c r="B611" s="373"/>
      <c r="C611" s="32">
        <v>1</v>
      </c>
      <c r="D611" s="53">
        <v>2556</v>
      </c>
      <c r="E611" s="112" t="s">
        <v>4</v>
      </c>
      <c r="F611" s="393" t="s">
        <v>1699</v>
      </c>
    </row>
    <row r="612" spans="1:7" ht="17.649999999999999" customHeight="1" x14ac:dyDescent="0.25">
      <c r="A612" s="1" t="s">
        <v>827</v>
      </c>
      <c r="B612" s="373"/>
      <c r="C612" s="32">
        <v>1</v>
      </c>
      <c r="D612" s="53">
        <v>2625</v>
      </c>
      <c r="E612" s="112" t="s">
        <v>4</v>
      </c>
      <c r="F612" s="393" t="s">
        <v>1699</v>
      </c>
    </row>
    <row r="613" spans="1:7" ht="17.649999999999999" customHeight="1" x14ac:dyDescent="0.25">
      <c r="A613" s="1" t="s">
        <v>828</v>
      </c>
      <c r="B613" s="373"/>
      <c r="C613" s="32">
        <v>1</v>
      </c>
      <c r="D613" s="53">
        <v>3462</v>
      </c>
      <c r="E613" s="112" t="s">
        <v>4</v>
      </c>
      <c r="F613" s="393" t="s">
        <v>1699</v>
      </c>
    </row>
    <row r="614" spans="1:7" ht="17.649999999999999" customHeight="1" x14ac:dyDescent="0.25">
      <c r="A614" s="1" t="s">
        <v>821</v>
      </c>
      <c r="B614" s="373"/>
      <c r="C614" s="32">
        <v>1</v>
      </c>
      <c r="D614" s="53">
        <v>1440</v>
      </c>
      <c r="E614" s="112" t="s">
        <v>4</v>
      </c>
      <c r="F614" s="393" t="s">
        <v>1699</v>
      </c>
    </row>
    <row r="615" spans="1:7" ht="17.649999999999999" customHeight="1" x14ac:dyDescent="0.25">
      <c r="A615" s="1" t="s">
        <v>829</v>
      </c>
      <c r="B615" s="373"/>
      <c r="C615" s="32">
        <v>1</v>
      </c>
      <c r="D615" s="53">
        <v>4871</v>
      </c>
      <c r="E615" s="112" t="s">
        <v>4</v>
      </c>
      <c r="F615" s="393" t="s">
        <v>1699</v>
      </c>
    </row>
    <row r="616" spans="1:7" ht="17.649999999999999" customHeight="1" x14ac:dyDescent="0.25">
      <c r="A616" s="1" t="s">
        <v>1398</v>
      </c>
      <c r="B616" s="373"/>
      <c r="C616" s="32">
        <v>1</v>
      </c>
      <c r="D616" s="215"/>
      <c r="E616" s="391"/>
      <c r="F616" s="393" t="s">
        <v>1713</v>
      </c>
    </row>
    <row r="617" spans="1:7" ht="17.649999999999999" customHeight="1" x14ac:dyDescent="0.25">
      <c r="A617" s="1" t="s">
        <v>1377</v>
      </c>
      <c r="B617" s="373" t="s">
        <v>1883</v>
      </c>
      <c r="C617" s="32">
        <v>6</v>
      </c>
      <c r="D617" s="352" t="s">
        <v>39</v>
      </c>
      <c r="E617" s="391" t="s">
        <v>8</v>
      </c>
      <c r="F617" s="393" t="s">
        <v>1713</v>
      </c>
      <c r="G617" t="s">
        <v>1884</v>
      </c>
    </row>
    <row r="618" spans="1:7" ht="17.649999999999999" customHeight="1" x14ac:dyDescent="0.25">
      <c r="A618" s="1" t="s">
        <v>1383</v>
      </c>
      <c r="B618" s="362" t="s">
        <v>1895</v>
      </c>
      <c r="C618" s="32">
        <v>8</v>
      </c>
      <c r="D618" s="215">
        <v>957</v>
      </c>
      <c r="E618" s="391" t="s">
        <v>4</v>
      </c>
      <c r="F618" s="393" t="s">
        <v>1713</v>
      </c>
    </row>
    <row r="619" spans="1:7" ht="17.649999999999999" customHeight="1" x14ac:dyDescent="0.25">
      <c r="A619" s="1" t="s">
        <v>1382</v>
      </c>
      <c r="B619" s="373" t="s">
        <v>1877</v>
      </c>
      <c r="C619" s="32">
        <v>10</v>
      </c>
      <c r="D619" s="352" t="s">
        <v>24</v>
      </c>
      <c r="E619" s="391" t="s">
        <v>8</v>
      </c>
      <c r="F619" s="393" t="s">
        <v>1713</v>
      </c>
    </row>
    <row r="620" spans="1:7" ht="17.649999999999999" customHeight="1" x14ac:dyDescent="0.25">
      <c r="A620" s="1" t="s">
        <v>1381</v>
      </c>
      <c r="B620" s="373" t="s">
        <v>1878</v>
      </c>
      <c r="C620" s="32">
        <v>6</v>
      </c>
      <c r="D620" s="352" t="s">
        <v>26</v>
      </c>
      <c r="E620" s="391" t="s">
        <v>8</v>
      </c>
      <c r="F620" s="393" t="s">
        <v>1713</v>
      </c>
    </row>
    <row r="621" spans="1:7" ht="17.649999999999999" customHeight="1" x14ac:dyDescent="0.25">
      <c r="A621" s="1" t="s">
        <v>1380</v>
      </c>
      <c r="B621" s="375" t="s">
        <v>1930</v>
      </c>
      <c r="C621" s="32">
        <v>10</v>
      </c>
      <c r="D621" s="352" t="s">
        <v>65</v>
      </c>
      <c r="E621" s="391" t="s">
        <v>8</v>
      </c>
      <c r="F621" s="393" t="s">
        <v>1713</v>
      </c>
    </row>
    <row r="622" spans="1:7" ht="17.649999999999999" customHeight="1" x14ac:dyDescent="0.25">
      <c r="A622" s="1" t="s">
        <v>1379</v>
      </c>
      <c r="B622" s="372" t="s">
        <v>1933</v>
      </c>
      <c r="C622" s="32">
        <v>4</v>
      </c>
      <c r="D622" s="352" t="s">
        <v>69</v>
      </c>
      <c r="E622" s="391" t="s">
        <v>8</v>
      </c>
      <c r="F622" s="393" t="s">
        <v>1713</v>
      </c>
    </row>
    <row r="623" spans="1:7" ht="17.649999999999999" customHeight="1" x14ac:dyDescent="0.25">
      <c r="A623" s="1" t="s">
        <v>1378</v>
      </c>
      <c r="B623" s="373" t="s">
        <v>1937</v>
      </c>
      <c r="C623" s="32">
        <v>4</v>
      </c>
      <c r="D623" s="215" t="s">
        <v>73</v>
      </c>
      <c r="E623" s="391" t="s">
        <v>8</v>
      </c>
      <c r="F623" s="393" t="s">
        <v>1713</v>
      </c>
    </row>
    <row r="624" spans="1:7" ht="17.649999999999999" customHeight="1" x14ac:dyDescent="0.25">
      <c r="A624" s="1" t="s">
        <v>1397</v>
      </c>
      <c r="B624" s="373" t="s">
        <v>1947</v>
      </c>
      <c r="C624" s="32">
        <v>1</v>
      </c>
      <c r="D624" s="215" t="s">
        <v>252</v>
      </c>
      <c r="E624" s="391" t="s">
        <v>8</v>
      </c>
      <c r="F624" s="393" t="s">
        <v>1713</v>
      </c>
    </row>
    <row r="625" spans="1:6" ht="17.649999999999999" customHeight="1" x14ac:dyDescent="0.25">
      <c r="A625" s="1" t="s">
        <v>1395</v>
      </c>
      <c r="B625" s="373"/>
      <c r="C625" s="32">
        <v>1</v>
      </c>
      <c r="D625" s="215" t="s">
        <v>1396</v>
      </c>
      <c r="E625" s="391" t="s">
        <v>363</v>
      </c>
      <c r="F625" s="393" t="s">
        <v>1713</v>
      </c>
    </row>
    <row r="626" spans="1:6" ht="17.649999999999999" customHeight="1" x14ac:dyDescent="0.25">
      <c r="A626" s="1" t="s">
        <v>1387</v>
      </c>
      <c r="B626" s="377" t="s">
        <v>1965</v>
      </c>
      <c r="C626" s="32">
        <v>2</v>
      </c>
      <c r="D626" s="215" t="s">
        <v>111</v>
      </c>
      <c r="E626" s="391" t="s">
        <v>8</v>
      </c>
      <c r="F626" s="393" t="s">
        <v>1713</v>
      </c>
    </row>
    <row r="627" spans="1:6" ht="17.649999999999999" customHeight="1" x14ac:dyDescent="0.25">
      <c r="A627" s="1" t="s">
        <v>1389</v>
      </c>
      <c r="B627" s="373" t="s">
        <v>1967</v>
      </c>
      <c r="C627" s="32">
        <v>2</v>
      </c>
      <c r="D627" s="215" t="s">
        <v>113</v>
      </c>
      <c r="E627" s="391" t="s">
        <v>8</v>
      </c>
      <c r="F627" s="393" t="s">
        <v>1713</v>
      </c>
    </row>
    <row r="628" spans="1:6" ht="17.649999999999999" customHeight="1" x14ac:dyDescent="0.25">
      <c r="A628" s="1" t="s">
        <v>1388</v>
      </c>
      <c r="B628" s="373" t="s">
        <v>1966</v>
      </c>
      <c r="C628" s="32">
        <v>1</v>
      </c>
      <c r="D628" s="215" t="s">
        <v>115</v>
      </c>
      <c r="E628" s="391" t="s">
        <v>8</v>
      </c>
      <c r="F628" s="393" t="s">
        <v>1713</v>
      </c>
    </row>
    <row r="629" spans="1:6" ht="17.649999999999999" customHeight="1" x14ac:dyDescent="0.25">
      <c r="A629" s="1" t="s">
        <v>1390</v>
      </c>
      <c r="B629" s="373" t="s">
        <v>1977</v>
      </c>
      <c r="C629" s="32">
        <v>2</v>
      </c>
      <c r="D629" s="215" t="s">
        <v>1391</v>
      </c>
      <c r="E629" s="391" t="s">
        <v>8</v>
      </c>
      <c r="F629" s="393" t="s">
        <v>1713</v>
      </c>
    </row>
    <row r="630" spans="1:6" ht="17.649999999999999" customHeight="1" x14ac:dyDescent="0.25">
      <c r="A630" s="1" t="s">
        <v>1392</v>
      </c>
      <c r="B630" s="373" t="s">
        <v>1978</v>
      </c>
      <c r="C630" s="32">
        <v>1</v>
      </c>
      <c r="D630" s="215" t="s">
        <v>627</v>
      </c>
      <c r="E630" s="391" t="s">
        <v>8</v>
      </c>
      <c r="F630" s="393" t="s">
        <v>1713</v>
      </c>
    </row>
    <row r="631" spans="1:6" ht="17.649999999999999" customHeight="1" x14ac:dyDescent="0.25">
      <c r="A631" s="1" t="s">
        <v>1393</v>
      </c>
      <c r="B631" s="373" t="s">
        <v>1979</v>
      </c>
      <c r="C631" s="32">
        <v>1</v>
      </c>
      <c r="D631" s="215" t="s">
        <v>1394</v>
      </c>
      <c r="E631" s="391" t="s">
        <v>8</v>
      </c>
      <c r="F631" s="393" t="s">
        <v>1713</v>
      </c>
    </row>
    <row r="632" spans="1:6" ht="17.649999999999999" customHeight="1" x14ac:dyDescent="0.25">
      <c r="A632" s="1" t="s">
        <v>1386</v>
      </c>
      <c r="B632" s="373" t="s">
        <v>2002</v>
      </c>
      <c r="C632" s="32">
        <v>1</v>
      </c>
      <c r="D632" s="352" t="s">
        <v>96</v>
      </c>
      <c r="E632" s="391" t="s">
        <v>8</v>
      </c>
      <c r="F632" s="393" t="s">
        <v>1713</v>
      </c>
    </row>
    <row r="633" spans="1:6" ht="17.649999999999999" customHeight="1" x14ac:dyDescent="0.25">
      <c r="A633" s="1" t="s">
        <v>1242</v>
      </c>
      <c r="B633" s="375" t="s">
        <v>1994</v>
      </c>
      <c r="C633" s="32">
        <v>1</v>
      </c>
      <c r="D633" s="352" t="s">
        <v>98</v>
      </c>
      <c r="E633" s="391" t="s">
        <v>8</v>
      </c>
      <c r="F633" s="393" t="s">
        <v>1713</v>
      </c>
    </row>
    <row r="634" spans="1:6" ht="17.649999999999999" customHeight="1" x14ac:dyDescent="0.25">
      <c r="A634" s="1" t="s">
        <v>1385</v>
      </c>
      <c r="B634" s="373" t="s">
        <v>2005</v>
      </c>
      <c r="C634" s="32">
        <v>1</v>
      </c>
      <c r="D634" s="352" t="s">
        <v>635</v>
      </c>
      <c r="E634" s="391" t="s">
        <v>8</v>
      </c>
      <c r="F634" s="393" t="s">
        <v>1713</v>
      </c>
    </row>
    <row r="635" spans="1:6" ht="17.649999999999999" customHeight="1" x14ac:dyDescent="0.25">
      <c r="A635" s="1" t="s">
        <v>1384</v>
      </c>
      <c r="B635" s="373" t="s">
        <v>2006</v>
      </c>
      <c r="C635" s="32">
        <v>1</v>
      </c>
      <c r="D635" s="352" t="s">
        <v>662</v>
      </c>
      <c r="E635" s="391" t="s">
        <v>8</v>
      </c>
      <c r="F635" s="393" t="s">
        <v>1713</v>
      </c>
    </row>
    <row r="636" spans="1:6" ht="17.649999999999999" customHeight="1" x14ac:dyDescent="0.25">
      <c r="A636" s="1" t="s">
        <v>104</v>
      </c>
      <c r="B636" s="373" t="s">
        <v>2007</v>
      </c>
      <c r="C636" s="32">
        <v>2</v>
      </c>
      <c r="D636" s="352" t="s">
        <v>520</v>
      </c>
      <c r="E636" s="391" t="s">
        <v>8</v>
      </c>
      <c r="F636" s="393" t="s">
        <v>1713</v>
      </c>
    </row>
    <row r="637" spans="1:6" ht="17.649999999999999" customHeight="1" x14ac:dyDescent="0.25">
      <c r="A637" s="1" t="s">
        <v>106</v>
      </c>
      <c r="B637" s="373" t="s">
        <v>2008</v>
      </c>
      <c r="C637" s="32">
        <v>1</v>
      </c>
      <c r="D637" s="352" t="s">
        <v>518</v>
      </c>
      <c r="E637" s="391" t="s">
        <v>8</v>
      </c>
      <c r="F637" s="393" t="s">
        <v>1713</v>
      </c>
    </row>
    <row r="638" spans="1:6" ht="17.649999999999999" customHeight="1" x14ac:dyDescent="0.25">
      <c r="A638" s="1" t="s">
        <v>481</v>
      </c>
      <c r="B638" s="373"/>
      <c r="C638" s="32">
        <v>1</v>
      </c>
      <c r="D638" s="53">
        <v>662290</v>
      </c>
      <c r="E638" s="112" t="s">
        <v>501</v>
      </c>
      <c r="F638" s="393" t="s">
        <v>1698</v>
      </c>
    </row>
    <row r="639" spans="1:6" ht="17.649999999999999" customHeight="1" x14ac:dyDescent="0.25">
      <c r="A639" s="1" t="s">
        <v>799</v>
      </c>
      <c r="B639" s="373"/>
      <c r="C639" s="32">
        <v>1</v>
      </c>
      <c r="D639" s="53" t="s">
        <v>800</v>
      </c>
      <c r="E639" s="112" t="s">
        <v>10</v>
      </c>
      <c r="F639" s="393" t="s">
        <v>1698</v>
      </c>
    </row>
    <row r="640" spans="1:6" ht="17.649999999999999" customHeight="1" x14ac:dyDescent="0.25">
      <c r="A640" s="1" t="s">
        <v>801</v>
      </c>
      <c r="B640" s="373" t="s">
        <v>2025</v>
      </c>
      <c r="C640" s="32">
        <v>1</v>
      </c>
      <c r="D640" s="53" t="s">
        <v>802</v>
      </c>
      <c r="E640" s="112" t="s">
        <v>10</v>
      </c>
      <c r="F640" s="393" t="s">
        <v>1698</v>
      </c>
    </row>
    <row r="641" spans="1:6" ht="17.649999999999999" customHeight="1" x14ac:dyDescent="0.25">
      <c r="A641" s="1" t="s">
        <v>803</v>
      </c>
      <c r="B641" s="373" t="s">
        <v>2026</v>
      </c>
      <c r="C641" s="32">
        <v>1</v>
      </c>
      <c r="D641" s="53" t="s">
        <v>804</v>
      </c>
      <c r="E641" s="112" t="s">
        <v>10</v>
      </c>
      <c r="F641" s="393" t="s">
        <v>1698</v>
      </c>
    </row>
    <row r="642" spans="1:6" ht="17.649999999999999" customHeight="1" x14ac:dyDescent="0.25">
      <c r="A642" s="1" t="s">
        <v>805</v>
      </c>
      <c r="B642" s="373"/>
      <c r="C642" s="32">
        <v>1</v>
      </c>
      <c r="D642" s="53" t="s">
        <v>806</v>
      </c>
      <c r="E642" s="112" t="s">
        <v>10</v>
      </c>
      <c r="F642" s="393" t="s">
        <v>1698</v>
      </c>
    </row>
    <row r="643" spans="1:6" ht="17.649999999999999" customHeight="1" x14ac:dyDescent="0.25">
      <c r="A643" s="66" t="s">
        <v>853</v>
      </c>
      <c r="B643" s="372" t="s">
        <v>1960</v>
      </c>
      <c r="C643" s="71">
        <v>2</v>
      </c>
      <c r="D643" s="75" t="s">
        <v>715</v>
      </c>
      <c r="E643" s="74" t="s">
        <v>10</v>
      </c>
      <c r="F643" s="393" t="s">
        <v>1738</v>
      </c>
    </row>
    <row r="644" spans="1:6" ht="17.649999999999999" customHeight="1" x14ac:dyDescent="0.25">
      <c r="A644" s="66" t="s">
        <v>854</v>
      </c>
      <c r="B644" s="372" t="s">
        <v>1961</v>
      </c>
      <c r="C644" s="71">
        <v>2</v>
      </c>
      <c r="D644" s="75" t="s">
        <v>90</v>
      </c>
      <c r="E644" s="74" t="s">
        <v>10</v>
      </c>
      <c r="F644" s="393" t="s">
        <v>1738</v>
      </c>
    </row>
    <row r="645" spans="1:6" ht="17.649999999999999" customHeight="1" x14ac:dyDescent="0.25">
      <c r="A645" s="66" t="s">
        <v>856</v>
      </c>
      <c r="B645" s="372" t="s">
        <v>1962</v>
      </c>
      <c r="C645" s="71">
        <v>1</v>
      </c>
      <c r="D645" s="75" t="s">
        <v>92</v>
      </c>
      <c r="E645" s="74" t="s">
        <v>10</v>
      </c>
      <c r="F645" s="393" t="s">
        <v>1738</v>
      </c>
    </row>
    <row r="646" spans="1:6" ht="17.649999999999999" customHeight="1" x14ac:dyDescent="0.25">
      <c r="A646" s="66" t="s">
        <v>93</v>
      </c>
      <c r="B646" s="377" t="s">
        <v>1963</v>
      </c>
      <c r="C646" s="71">
        <v>1</v>
      </c>
      <c r="D646" s="75" t="s">
        <v>94</v>
      </c>
      <c r="E646" s="74" t="s">
        <v>10</v>
      </c>
      <c r="F646" s="393" t="s">
        <v>1738</v>
      </c>
    </row>
    <row r="647" spans="1:6" ht="17.649999999999999" customHeight="1" x14ac:dyDescent="0.25">
      <c r="A647" s="66" t="s">
        <v>850</v>
      </c>
      <c r="B647" s="377" t="s">
        <v>1971</v>
      </c>
      <c r="C647" s="71">
        <v>1</v>
      </c>
      <c r="D647" s="75" t="s">
        <v>753</v>
      </c>
      <c r="E647" s="74" t="s">
        <v>10</v>
      </c>
      <c r="F647" s="393" t="s">
        <v>1738</v>
      </c>
    </row>
    <row r="648" spans="1:6" ht="17.649999999999999" customHeight="1" x14ac:dyDescent="0.25">
      <c r="A648" s="66" t="s">
        <v>851</v>
      </c>
      <c r="B648" s="377" t="s">
        <v>1972</v>
      </c>
      <c r="C648" s="71">
        <v>1</v>
      </c>
      <c r="D648" s="75" t="s">
        <v>852</v>
      </c>
      <c r="E648" s="74" t="s">
        <v>10</v>
      </c>
      <c r="F648" s="393" t="s">
        <v>1738</v>
      </c>
    </row>
    <row r="649" spans="1:6" ht="17.649999999999999" customHeight="1" x14ac:dyDescent="0.25">
      <c r="A649" s="66" t="s">
        <v>857</v>
      </c>
      <c r="B649" s="374" t="s">
        <v>1993</v>
      </c>
      <c r="C649" s="71">
        <v>2</v>
      </c>
      <c r="D649" s="75" t="s">
        <v>119</v>
      </c>
      <c r="E649" s="74" t="s">
        <v>10</v>
      </c>
      <c r="F649" s="393" t="s">
        <v>1738</v>
      </c>
    </row>
    <row r="650" spans="1:6" ht="17.649999999999999" customHeight="1" x14ac:dyDescent="0.25">
      <c r="A650" s="66" t="s">
        <v>120</v>
      </c>
      <c r="B650" s="374" t="s">
        <v>2000</v>
      </c>
      <c r="C650" s="71">
        <v>2</v>
      </c>
      <c r="D650" s="75" t="s">
        <v>121</v>
      </c>
      <c r="E650" s="74" t="s">
        <v>10</v>
      </c>
      <c r="F650" s="393" t="s">
        <v>1738</v>
      </c>
    </row>
    <row r="651" spans="1:6" ht="17.649999999999999" customHeight="1" x14ac:dyDescent="0.25">
      <c r="A651" s="66" t="s">
        <v>718</v>
      </c>
      <c r="B651" s="373" t="s">
        <v>2002</v>
      </c>
      <c r="C651" s="71">
        <v>1</v>
      </c>
      <c r="D651" s="344" t="s">
        <v>858</v>
      </c>
      <c r="E651" s="74" t="s">
        <v>10</v>
      </c>
      <c r="F651" s="393" t="s">
        <v>1738</v>
      </c>
    </row>
    <row r="652" spans="1:6" ht="17.649999999999999" customHeight="1" x14ac:dyDescent="0.25">
      <c r="A652" s="66" t="s">
        <v>859</v>
      </c>
      <c r="B652" s="375" t="s">
        <v>1994</v>
      </c>
      <c r="C652" s="71">
        <v>2</v>
      </c>
      <c r="D652" s="346" t="s">
        <v>860</v>
      </c>
      <c r="E652" s="74" t="s">
        <v>10</v>
      </c>
      <c r="F652" s="393" t="s">
        <v>1738</v>
      </c>
    </row>
    <row r="653" spans="1:6" ht="17.649999999999999" customHeight="1" x14ac:dyDescent="0.25">
      <c r="A653" s="66" t="s">
        <v>861</v>
      </c>
      <c r="B653" s="374" t="s">
        <v>2004</v>
      </c>
      <c r="C653" s="71">
        <v>2</v>
      </c>
      <c r="D653" s="75" t="s">
        <v>103</v>
      </c>
      <c r="E653" s="74" t="s">
        <v>10</v>
      </c>
      <c r="F653" s="393" t="s">
        <v>1738</v>
      </c>
    </row>
    <row r="654" spans="1:6" ht="17.649999999999999" customHeight="1" x14ac:dyDescent="0.25">
      <c r="A654" s="66" t="s">
        <v>99</v>
      </c>
      <c r="B654" s="373" t="s">
        <v>2006</v>
      </c>
      <c r="C654" s="71">
        <v>2</v>
      </c>
      <c r="D654" s="75" t="s">
        <v>100</v>
      </c>
      <c r="E654" s="74" t="s">
        <v>10</v>
      </c>
      <c r="F654" s="393" t="s">
        <v>1738</v>
      </c>
    </row>
    <row r="655" spans="1:6" ht="17.649999999999999" customHeight="1" x14ac:dyDescent="0.25">
      <c r="A655" s="66" t="s">
        <v>519</v>
      </c>
      <c r="B655" s="373" t="s">
        <v>2007</v>
      </c>
      <c r="C655" s="336">
        <v>1</v>
      </c>
      <c r="D655" s="353" t="s">
        <v>105</v>
      </c>
      <c r="E655" s="74" t="s">
        <v>10</v>
      </c>
      <c r="F655" s="393" t="s">
        <v>1738</v>
      </c>
    </row>
    <row r="656" spans="1:6" ht="17.649999999999999" customHeight="1" x14ac:dyDescent="0.25">
      <c r="A656" s="12" t="s">
        <v>1132</v>
      </c>
      <c r="B656" s="24" t="s">
        <v>1796</v>
      </c>
      <c r="C656" s="173">
        <v>1</v>
      </c>
      <c r="D656" s="345">
        <v>2049</v>
      </c>
      <c r="E656" s="205" t="s">
        <v>4</v>
      </c>
      <c r="F656" s="393" t="s">
        <v>1708</v>
      </c>
    </row>
    <row r="657" spans="1:7" ht="17.649999999999999" customHeight="1" x14ac:dyDescent="0.25">
      <c r="A657" s="3" t="s">
        <v>481</v>
      </c>
      <c r="B657" s="3"/>
      <c r="C657" s="150">
        <v>1</v>
      </c>
      <c r="D657" s="354">
        <v>662550</v>
      </c>
      <c r="E657" s="184" t="s">
        <v>501</v>
      </c>
      <c r="F657" s="393" t="s">
        <v>1708</v>
      </c>
    </row>
    <row r="658" spans="1:7" ht="17.649999999999999" customHeight="1" x14ac:dyDescent="0.25">
      <c r="A658" s="12" t="s">
        <v>1128</v>
      </c>
      <c r="B658" s="66" t="s">
        <v>1834</v>
      </c>
      <c r="C658" s="150">
        <v>1</v>
      </c>
      <c r="D658" s="345" t="s">
        <v>1129</v>
      </c>
      <c r="E658" s="205" t="s">
        <v>8</v>
      </c>
      <c r="F658" s="393" t="s">
        <v>1708</v>
      </c>
    </row>
    <row r="659" spans="1:7" ht="17.649999999999999" customHeight="1" x14ac:dyDescent="0.25">
      <c r="A659" s="12" t="s">
        <v>1130</v>
      </c>
      <c r="B659" s="12" t="s">
        <v>1835</v>
      </c>
      <c r="C659" s="150">
        <v>1</v>
      </c>
      <c r="D659" s="345" t="s">
        <v>1131</v>
      </c>
      <c r="E659" s="205" t="s">
        <v>8</v>
      </c>
      <c r="F659" s="393" t="s">
        <v>1708</v>
      </c>
    </row>
    <row r="660" spans="1:7" ht="17.649999999999999" customHeight="1" x14ac:dyDescent="0.25">
      <c r="A660" s="3" t="s">
        <v>1135</v>
      </c>
      <c r="B660" s="5" t="s">
        <v>1891</v>
      </c>
      <c r="C660" s="150">
        <v>1</v>
      </c>
      <c r="D660" s="345" t="s">
        <v>405</v>
      </c>
      <c r="E660" s="205" t="s">
        <v>8</v>
      </c>
      <c r="F660" s="393" t="s">
        <v>1708</v>
      </c>
    </row>
    <row r="661" spans="1:7" ht="17.649999999999999" customHeight="1" x14ac:dyDescent="0.25">
      <c r="A661" s="3" t="s">
        <v>1136</v>
      </c>
      <c r="B661" s="3" t="s">
        <v>1897</v>
      </c>
      <c r="C661" s="150">
        <v>1</v>
      </c>
      <c r="D661" s="345" t="s">
        <v>331</v>
      </c>
      <c r="E661" s="205" t="s">
        <v>8</v>
      </c>
      <c r="F661" s="393" t="s">
        <v>1708</v>
      </c>
    </row>
    <row r="662" spans="1:7" ht="17.649999999999999" customHeight="1" x14ac:dyDescent="0.25">
      <c r="A662" s="12" t="s">
        <v>1133</v>
      </c>
      <c r="B662" s="12" t="s">
        <v>1954</v>
      </c>
      <c r="C662" s="173">
        <v>1</v>
      </c>
      <c r="D662" s="345" t="s">
        <v>411</v>
      </c>
      <c r="E662" s="205" t="s">
        <v>8</v>
      </c>
      <c r="F662" s="393" t="s">
        <v>1708</v>
      </c>
    </row>
    <row r="663" spans="1:7" ht="17.649999999999999" customHeight="1" x14ac:dyDescent="0.25">
      <c r="A663" s="12" t="s">
        <v>1134</v>
      </c>
      <c r="B663" s="12" t="s">
        <v>1955</v>
      </c>
      <c r="C663" s="150">
        <v>1</v>
      </c>
      <c r="D663" s="345" t="s">
        <v>413</v>
      </c>
      <c r="E663" s="205" t="s">
        <v>8</v>
      </c>
      <c r="F663" s="393" t="s">
        <v>1708</v>
      </c>
    </row>
    <row r="664" spans="1:7" ht="17.649999999999999" customHeight="1" x14ac:dyDescent="0.25">
      <c r="A664" s="24" t="s">
        <v>908</v>
      </c>
      <c r="B664" s="427" t="s">
        <v>1760</v>
      </c>
      <c r="C664" s="59">
        <v>1</v>
      </c>
      <c r="D664" s="354" t="s">
        <v>909</v>
      </c>
      <c r="E664" s="184" t="s">
        <v>10</v>
      </c>
      <c r="F664" s="393" t="s">
        <v>1702</v>
      </c>
      <c r="G664" t="s">
        <v>1761</v>
      </c>
    </row>
    <row r="665" spans="1:7" ht="17.649999999999999" customHeight="1" x14ac:dyDescent="0.25">
      <c r="A665" s="24" t="s">
        <v>897</v>
      </c>
      <c r="B665" s="24" t="s">
        <v>2022</v>
      </c>
      <c r="C665" s="59">
        <v>1</v>
      </c>
      <c r="D665" s="354" t="s">
        <v>898</v>
      </c>
      <c r="E665" s="184" t="s">
        <v>10</v>
      </c>
      <c r="F665" s="393" t="s">
        <v>1702</v>
      </c>
    </row>
    <row r="666" spans="1:7" ht="17.649999999999999" customHeight="1" x14ac:dyDescent="0.25">
      <c r="A666" s="1" t="s">
        <v>155</v>
      </c>
      <c r="B666" s="1" t="s">
        <v>1898</v>
      </c>
      <c r="C666" s="39">
        <v>1</v>
      </c>
      <c r="D666" s="345" t="s">
        <v>899</v>
      </c>
      <c r="E666" s="205" t="s">
        <v>10</v>
      </c>
      <c r="F666" s="393" t="s">
        <v>1702</v>
      </c>
    </row>
    <row r="667" spans="1:7" ht="17.649999999999999" customHeight="1" x14ac:dyDescent="0.25">
      <c r="A667" s="1" t="s">
        <v>900</v>
      </c>
      <c r="B667" s="1"/>
      <c r="C667" s="39">
        <v>1</v>
      </c>
      <c r="D667" s="345" t="s">
        <v>901</v>
      </c>
      <c r="E667" s="205" t="s">
        <v>10</v>
      </c>
      <c r="F667" s="393" t="s">
        <v>1702</v>
      </c>
    </row>
    <row r="668" spans="1:7" ht="17.649999999999999" customHeight="1" x14ac:dyDescent="0.25">
      <c r="A668" s="1" t="s">
        <v>902</v>
      </c>
      <c r="B668" s="1" t="s">
        <v>1980</v>
      </c>
      <c r="C668" s="39">
        <v>1</v>
      </c>
      <c r="D668" s="345" t="s">
        <v>903</v>
      </c>
      <c r="E668" s="205" t="s">
        <v>10</v>
      </c>
      <c r="F668" s="393" t="s">
        <v>1702</v>
      </c>
    </row>
    <row r="669" spans="1:7" ht="17.649999999999999" customHeight="1" x14ac:dyDescent="0.25">
      <c r="A669" s="24" t="s">
        <v>904</v>
      </c>
      <c r="B669" s="24" t="s">
        <v>1981</v>
      </c>
      <c r="C669" s="59">
        <v>1</v>
      </c>
      <c r="D669" s="354" t="s">
        <v>905</v>
      </c>
      <c r="E669" s="184" t="s">
        <v>10</v>
      </c>
      <c r="F669" s="393" t="s">
        <v>1702</v>
      </c>
    </row>
    <row r="670" spans="1:7" ht="17.649999999999999" customHeight="1" x14ac:dyDescent="0.25">
      <c r="A670" s="24" t="s">
        <v>906</v>
      </c>
      <c r="B670" s="61" t="s">
        <v>1982</v>
      </c>
      <c r="C670" s="59">
        <v>1</v>
      </c>
      <c r="D670" s="354" t="s">
        <v>907</v>
      </c>
      <c r="E670" s="184" t="s">
        <v>10</v>
      </c>
      <c r="F670" s="393" t="s">
        <v>1702</v>
      </c>
    </row>
    <row r="671" spans="1:7" ht="17.649999999999999" customHeight="1" x14ac:dyDescent="0.25">
      <c r="A671" s="24" t="s">
        <v>910</v>
      </c>
      <c r="B671" s="24"/>
      <c r="C671" s="59">
        <v>1</v>
      </c>
      <c r="D671" s="354">
        <v>513200</v>
      </c>
      <c r="E671" s="184" t="s">
        <v>162</v>
      </c>
      <c r="F671" s="393" t="s">
        <v>1702</v>
      </c>
    </row>
    <row r="672" spans="1:7" ht="17.649999999999999" customHeight="1" x14ac:dyDescent="0.25">
      <c r="A672" s="24" t="s">
        <v>911</v>
      </c>
      <c r="B672" s="24" t="s">
        <v>1990</v>
      </c>
      <c r="C672" s="59">
        <v>1</v>
      </c>
      <c r="D672" s="354" t="s">
        <v>912</v>
      </c>
      <c r="E672" s="184" t="s">
        <v>10</v>
      </c>
      <c r="F672" s="393" t="s">
        <v>1702</v>
      </c>
    </row>
    <row r="673" spans="1:7" ht="17.649999999999999" customHeight="1" x14ac:dyDescent="0.25">
      <c r="A673" s="24" t="s">
        <v>913</v>
      </c>
      <c r="B673" s="12" t="s">
        <v>1999</v>
      </c>
      <c r="C673" s="342">
        <v>1</v>
      </c>
      <c r="D673" s="364" t="s">
        <v>914</v>
      </c>
      <c r="E673" s="367" t="s">
        <v>10</v>
      </c>
      <c r="F673" s="393" t="s">
        <v>1702</v>
      </c>
    </row>
    <row r="674" spans="1:7" ht="17.649999999999999" customHeight="1" x14ac:dyDescent="0.25">
      <c r="A674" s="1" t="s">
        <v>163</v>
      </c>
      <c r="B674" s="425" t="s">
        <v>1760</v>
      </c>
      <c r="C674" s="39">
        <v>1</v>
      </c>
      <c r="D674" s="345" t="s">
        <v>909</v>
      </c>
      <c r="E674" s="205" t="s">
        <v>10</v>
      </c>
      <c r="F674" s="393" t="s">
        <v>1739</v>
      </c>
      <c r="G674" t="s">
        <v>1761</v>
      </c>
    </row>
    <row r="675" spans="1:7" ht="17.649999999999999" customHeight="1" x14ac:dyDescent="0.25">
      <c r="A675" s="1" t="s">
        <v>918</v>
      </c>
      <c r="B675" s="1"/>
      <c r="C675" s="39">
        <v>1</v>
      </c>
      <c r="D675" s="345">
        <v>586040</v>
      </c>
      <c r="E675" s="205" t="s">
        <v>162</v>
      </c>
      <c r="F675" s="393" t="s">
        <v>1739</v>
      </c>
    </row>
    <row r="676" spans="1:7" ht="17.649999999999999" customHeight="1" x14ac:dyDescent="0.25">
      <c r="A676" s="1" t="s">
        <v>919</v>
      </c>
      <c r="B676" s="1"/>
      <c r="C676" s="39">
        <v>1</v>
      </c>
      <c r="D676" s="345">
        <v>586030</v>
      </c>
      <c r="E676" s="205" t="s">
        <v>162</v>
      </c>
      <c r="F676" s="393" t="s">
        <v>1739</v>
      </c>
    </row>
    <row r="677" spans="1:7" ht="17.649999999999999" customHeight="1" x14ac:dyDescent="0.25">
      <c r="A677" s="24" t="s">
        <v>164</v>
      </c>
      <c r="B677" s="24"/>
      <c r="C677" s="59">
        <v>2</v>
      </c>
      <c r="D677" s="354">
        <v>2000</v>
      </c>
      <c r="E677" s="184" t="s">
        <v>4</v>
      </c>
      <c r="F677" s="393" t="s">
        <v>1739</v>
      </c>
    </row>
    <row r="678" spans="1:7" ht="17.649999999999999" customHeight="1" x14ac:dyDescent="0.25">
      <c r="A678" s="24" t="s">
        <v>921</v>
      </c>
      <c r="B678" s="24" t="s">
        <v>1796</v>
      </c>
      <c r="C678" s="59">
        <v>1</v>
      </c>
      <c r="D678" s="358">
        <v>2049</v>
      </c>
      <c r="E678" s="184" t="s">
        <v>4</v>
      </c>
      <c r="F678" s="393" t="s">
        <v>1739</v>
      </c>
    </row>
    <row r="679" spans="1:7" ht="17.649999999999999" customHeight="1" x14ac:dyDescent="0.25">
      <c r="A679" s="300" t="s">
        <v>922</v>
      </c>
      <c r="B679" s="300" t="s">
        <v>1797</v>
      </c>
      <c r="C679" s="335">
        <v>1</v>
      </c>
      <c r="D679" s="361">
        <v>2050</v>
      </c>
      <c r="E679" s="370" t="s">
        <v>4</v>
      </c>
      <c r="F679" s="393" t="s">
        <v>1739</v>
      </c>
    </row>
    <row r="680" spans="1:7" ht="17.649999999999999" customHeight="1" x14ac:dyDescent="0.25">
      <c r="A680" s="1" t="s">
        <v>313</v>
      </c>
      <c r="B680" s="1"/>
      <c r="C680" s="39">
        <v>1</v>
      </c>
      <c r="D680" s="181">
        <v>662250</v>
      </c>
      <c r="E680" s="112" t="s">
        <v>875</v>
      </c>
      <c r="F680" s="393" t="s">
        <v>1739</v>
      </c>
    </row>
    <row r="681" spans="1:7" ht="17.649999999999999" customHeight="1" x14ac:dyDescent="0.25">
      <c r="A681" s="1" t="s">
        <v>925</v>
      </c>
      <c r="B681" s="1"/>
      <c r="C681" s="39">
        <v>1</v>
      </c>
      <c r="D681" s="345">
        <v>628712</v>
      </c>
      <c r="E681" s="112" t="s">
        <v>162</v>
      </c>
      <c r="F681" s="393" t="s">
        <v>1739</v>
      </c>
    </row>
    <row r="682" spans="1:7" ht="17.649999999999999" customHeight="1" x14ac:dyDescent="0.25">
      <c r="A682" s="24" t="s">
        <v>926</v>
      </c>
      <c r="B682" s="24"/>
      <c r="C682" s="59">
        <v>1</v>
      </c>
      <c r="D682" s="206">
        <v>628714</v>
      </c>
      <c r="E682" s="74" t="s">
        <v>162</v>
      </c>
      <c r="F682" s="393" t="s">
        <v>1739</v>
      </c>
    </row>
    <row r="683" spans="1:7" ht="17.649999999999999" customHeight="1" x14ac:dyDescent="0.25">
      <c r="A683" s="1" t="s">
        <v>157</v>
      </c>
      <c r="B683" s="1" t="s">
        <v>1825</v>
      </c>
      <c r="C683" s="39">
        <v>1</v>
      </c>
      <c r="D683" s="181" t="s">
        <v>917</v>
      </c>
      <c r="E683" s="112" t="s">
        <v>10</v>
      </c>
      <c r="F683" s="393" t="s">
        <v>1739</v>
      </c>
    </row>
    <row r="684" spans="1:7" ht="17.649999999999999" customHeight="1" x14ac:dyDescent="0.25">
      <c r="A684" s="24" t="s">
        <v>161</v>
      </c>
      <c r="B684" s="427" t="s">
        <v>2021</v>
      </c>
      <c r="C684" s="59">
        <v>1</v>
      </c>
      <c r="D684" s="206">
        <v>479100</v>
      </c>
      <c r="E684" s="74" t="s">
        <v>162</v>
      </c>
      <c r="F684" s="393" t="s">
        <v>1739</v>
      </c>
    </row>
    <row r="685" spans="1:7" ht="17.649999999999999" customHeight="1" x14ac:dyDescent="0.25">
      <c r="A685" s="24" t="s">
        <v>935</v>
      </c>
      <c r="B685" s="24"/>
      <c r="C685" s="59">
        <v>1</v>
      </c>
      <c r="D685" s="206">
        <v>488603</v>
      </c>
      <c r="E685" s="74" t="s">
        <v>162</v>
      </c>
      <c r="F685" s="393" t="s">
        <v>1739</v>
      </c>
    </row>
    <row r="686" spans="1:7" ht="17.649999999999999" customHeight="1" x14ac:dyDescent="0.25">
      <c r="A686" s="24" t="s">
        <v>936</v>
      </c>
      <c r="B686" s="24"/>
      <c r="C686" s="59">
        <v>1</v>
      </c>
      <c r="D686" s="354">
        <v>488004</v>
      </c>
      <c r="E686" s="74" t="s">
        <v>162</v>
      </c>
      <c r="F686" s="393" t="s">
        <v>1739</v>
      </c>
    </row>
    <row r="687" spans="1:7" ht="17.649999999999999" customHeight="1" x14ac:dyDescent="0.25">
      <c r="A687" s="24" t="s">
        <v>937</v>
      </c>
      <c r="B687" s="24"/>
      <c r="C687" s="59">
        <v>1</v>
      </c>
      <c r="D687" s="206">
        <v>488002</v>
      </c>
      <c r="E687" s="74" t="s">
        <v>162</v>
      </c>
      <c r="F687" s="393" t="s">
        <v>1739</v>
      </c>
    </row>
    <row r="688" spans="1:7" ht="17.649999999999999" customHeight="1" x14ac:dyDescent="0.25">
      <c r="A688" s="24" t="s">
        <v>933</v>
      </c>
      <c r="B688" s="24"/>
      <c r="C688" s="59">
        <v>1</v>
      </c>
      <c r="D688" s="206">
        <v>400500</v>
      </c>
      <c r="E688" s="74" t="s">
        <v>162</v>
      </c>
      <c r="F688" s="393" t="s">
        <v>1739</v>
      </c>
    </row>
    <row r="689" spans="1:6" ht="17.649999999999999" customHeight="1" x14ac:dyDescent="0.25">
      <c r="A689" s="24" t="s">
        <v>924</v>
      </c>
      <c r="B689" s="427" t="s">
        <v>2024</v>
      </c>
      <c r="C689" s="59">
        <v>1</v>
      </c>
      <c r="D689" s="206">
        <v>174200</v>
      </c>
      <c r="E689" s="74" t="s">
        <v>162</v>
      </c>
      <c r="F689" s="393" t="s">
        <v>1739</v>
      </c>
    </row>
    <row r="690" spans="1:6" ht="17.649999999999999" customHeight="1" x14ac:dyDescent="0.25">
      <c r="A690" s="24" t="s">
        <v>967</v>
      </c>
      <c r="B690" s="24"/>
      <c r="C690" s="342">
        <v>1</v>
      </c>
      <c r="D690" s="181">
        <v>673004</v>
      </c>
      <c r="E690" s="210" t="s">
        <v>162</v>
      </c>
      <c r="F690" s="393" t="s">
        <v>1739</v>
      </c>
    </row>
    <row r="691" spans="1:6" ht="17.649999999999999" customHeight="1" x14ac:dyDescent="0.25">
      <c r="A691" s="24" t="s">
        <v>968</v>
      </c>
      <c r="B691" s="24"/>
      <c r="C691" s="342">
        <v>1</v>
      </c>
      <c r="D691" s="181">
        <v>673004</v>
      </c>
      <c r="E691" s="210" t="s">
        <v>162</v>
      </c>
      <c r="F691" s="393" t="s">
        <v>1739</v>
      </c>
    </row>
    <row r="692" spans="1:6" ht="17.649999999999999" customHeight="1" x14ac:dyDescent="0.25">
      <c r="A692" s="1" t="s">
        <v>159</v>
      </c>
      <c r="B692" s="1" t="s">
        <v>1880</v>
      </c>
      <c r="C692" s="39">
        <v>1</v>
      </c>
      <c r="D692" s="181" t="s">
        <v>702</v>
      </c>
      <c r="E692" s="112" t="s">
        <v>10</v>
      </c>
      <c r="F692" s="393" t="s">
        <v>1739</v>
      </c>
    </row>
    <row r="693" spans="1:6" ht="17.649999999999999" customHeight="1" x14ac:dyDescent="0.25">
      <c r="A693" s="1" t="s">
        <v>703</v>
      </c>
      <c r="B693" s="1" t="s">
        <v>1754</v>
      </c>
      <c r="C693" s="39">
        <v>1</v>
      </c>
      <c r="D693" s="345" t="s">
        <v>31</v>
      </c>
      <c r="E693" s="112" t="s">
        <v>10</v>
      </c>
      <c r="F693" s="393" t="s">
        <v>1739</v>
      </c>
    </row>
    <row r="694" spans="1:6" ht="17.649999999999999" customHeight="1" x14ac:dyDescent="0.25">
      <c r="A694" s="1" t="s">
        <v>704</v>
      </c>
      <c r="B694" s="24" t="s">
        <v>1753</v>
      </c>
      <c r="C694" s="39">
        <v>1</v>
      </c>
      <c r="D694" s="345" t="s">
        <v>34</v>
      </c>
      <c r="E694" s="112" t="s">
        <v>10</v>
      </c>
      <c r="F694" s="393" t="s">
        <v>1739</v>
      </c>
    </row>
    <row r="695" spans="1:6" ht="17.649999999999999" customHeight="1" x14ac:dyDescent="0.25">
      <c r="A695" s="1" t="s">
        <v>965</v>
      </c>
      <c r="B695" s="1"/>
      <c r="C695" s="39">
        <v>1</v>
      </c>
      <c r="D695" s="345">
        <v>459036</v>
      </c>
      <c r="E695" s="112" t="s">
        <v>162</v>
      </c>
      <c r="F695" s="393" t="s">
        <v>1739</v>
      </c>
    </row>
    <row r="696" spans="1:6" ht="17.649999999999999" customHeight="1" x14ac:dyDescent="0.25">
      <c r="A696" s="1" t="s">
        <v>966</v>
      </c>
      <c r="B696" s="1"/>
      <c r="C696" s="39">
        <v>1</v>
      </c>
      <c r="D696" s="345">
        <v>459016</v>
      </c>
      <c r="E696" s="112" t="s">
        <v>162</v>
      </c>
      <c r="F696" s="393" t="s">
        <v>1739</v>
      </c>
    </row>
    <row r="697" spans="1:6" ht="17.649999999999999" customHeight="1" x14ac:dyDescent="0.25">
      <c r="A697" s="1" t="s">
        <v>306</v>
      </c>
      <c r="B697" s="3" t="s">
        <v>1896</v>
      </c>
      <c r="C697" s="39">
        <v>2</v>
      </c>
      <c r="D697" s="345">
        <v>971</v>
      </c>
      <c r="E697" s="112" t="s">
        <v>4</v>
      </c>
      <c r="F697" s="393" t="s">
        <v>1739</v>
      </c>
    </row>
    <row r="698" spans="1:6" ht="17.649999999999999" customHeight="1" x14ac:dyDescent="0.25">
      <c r="A698" s="1" t="s">
        <v>308</v>
      </c>
      <c r="B698" s="12" t="s">
        <v>1895</v>
      </c>
      <c r="C698" s="39">
        <v>2</v>
      </c>
      <c r="D698" s="345">
        <v>957</v>
      </c>
      <c r="E698" s="112" t="s">
        <v>4</v>
      </c>
      <c r="F698" s="393" t="s">
        <v>1739</v>
      </c>
    </row>
    <row r="699" spans="1:6" ht="17.649999999999999" customHeight="1" x14ac:dyDescent="0.25">
      <c r="A699" s="1" t="s">
        <v>155</v>
      </c>
      <c r="B699" s="1" t="s">
        <v>1898</v>
      </c>
      <c r="C699" s="39">
        <v>2</v>
      </c>
      <c r="D699" s="345" t="s">
        <v>156</v>
      </c>
      <c r="E699" s="112" t="s">
        <v>8</v>
      </c>
      <c r="F699" s="393" t="s">
        <v>1739</v>
      </c>
    </row>
    <row r="700" spans="1:6" ht="17.649999999999999" customHeight="1" x14ac:dyDescent="0.25">
      <c r="A700" s="69" t="s">
        <v>947</v>
      </c>
      <c r="B700" s="69"/>
      <c r="C700" s="443">
        <v>1</v>
      </c>
      <c r="D700" s="358" t="s">
        <v>948</v>
      </c>
      <c r="E700" s="311" t="s">
        <v>162</v>
      </c>
      <c r="F700" s="393" t="s">
        <v>1739</v>
      </c>
    </row>
    <row r="701" spans="1:6" ht="17.649999999999999" customHeight="1" x14ac:dyDescent="0.25">
      <c r="A701" s="264" t="s">
        <v>949</v>
      </c>
      <c r="B701" s="264"/>
      <c r="C701" s="268">
        <v>1</v>
      </c>
      <c r="D701" s="112" t="s">
        <v>950</v>
      </c>
      <c r="E701" s="112" t="s">
        <v>162</v>
      </c>
      <c r="F701" s="393" t="s">
        <v>1739</v>
      </c>
    </row>
    <row r="702" spans="1:6" ht="15" x14ac:dyDescent="0.25">
      <c r="A702" s="1" t="s">
        <v>951</v>
      </c>
      <c r="B702" s="1"/>
      <c r="C702" s="39">
        <v>1</v>
      </c>
      <c r="D702" s="181" t="s">
        <v>952</v>
      </c>
      <c r="E702" s="112" t="s">
        <v>162</v>
      </c>
      <c r="F702" s="393" t="s">
        <v>1739</v>
      </c>
    </row>
    <row r="703" spans="1:6" ht="15" x14ac:dyDescent="0.25">
      <c r="A703" s="1" t="s">
        <v>938</v>
      </c>
      <c r="B703" s="1"/>
      <c r="C703" s="39">
        <v>1</v>
      </c>
      <c r="D703" s="181" t="s">
        <v>334</v>
      </c>
      <c r="E703" s="112" t="s">
        <v>10</v>
      </c>
      <c r="F703" s="393" t="s">
        <v>1739</v>
      </c>
    </row>
    <row r="704" spans="1:6" ht="15" x14ac:dyDescent="0.25">
      <c r="A704" s="1" t="s">
        <v>944</v>
      </c>
      <c r="B704" s="1"/>
      <c r="C704" s="39">
        <v>1</v>
      </c>
      <c r="D704" s="181">
        <v>651020</v>
      </c>
      <c r="E704" s="112" t="s">
        <v>162</v>
      </c>
      <c r="F704" s="393" t="s">
        <v>1739</v>
      </c>
    </row>
    <row r="705" spans="1:6" ht="15" x14ac:dyDescent="0.25">
      <c r="A705" s="1" t="s">
        <v>945</v>
      </c>
      <c r="B705" s="1"/>
      <c r="C705" s="39">
        <v>1</v>
      </c>
      <c r="D705" s="181">
        <v>651010</v>
      </c>
      <c r="E705" s="112" t="s">
        <v>162</v>
      </c>
      <c r="F705" s="393" t="s">
        <v>1739</v>
      </c>
    </row>
    <row r="706" spans="1:6" ht="15" x14ac:dyDescent="0.25">
      <c r="A706" s="1" t="s">
        <v>960</v>
      </c>
      <c r="B706" s="1"/>
      <c r="C706" s="39">
        <v>1</v>
      </c>
      <c r="D706" s="181" t="s">
        <v>961</v>
      </c>
      <c r="E706" s="112" t="s">
        <v>162</v>
      </c>
      <c r="F706" s="393" t="s">
        <v>1739</v>
      </c>
    </row>
    <row r="707" spans="1:6" ht="15" x14ac:dyDescent="0.25">
      <c r="A707" s="1" t="s">
        <v>962</v>
      </c>
      <c r="B707" s="1"/>
      <c r="C707" s="39">
        <v>1</v>
      </c>
      <c r="D707" s="181" t="s">
        <v>963</v>
      </c>
      <c r="E707" s="112" t="s">
        <v>162</v>
      </c>
      <c r="F707" s="393" t="s">
        <v>1739</v>
      </c>
    </row>
    <row r="708" spans="1:6" ht="15" x14ac:dyDescent="0.25">
      <c r="A708" s="1" t="s">
        <v>953</v>
      </c>
      <c r="B708" s="1"/>
      <c r="C708" s="39">
        <v>1</v>
      </c>
      <c r="D708" s="181" t="s">
        <v>954</v>
      </c>
      <c r="E708" s="112" t="s">
        <v>162</v>
      </c>
      <c r="F708" s="393" t="s">
        <v>1739</v>
      </c>
    </row>
    <row r="709" spans="1:6" ht="15" x14ac:dyDescent="0.25">
      <c r="A709" s="24" t="s">
        <v>939</v>
      </c>
      <c r="B709" s="24"/>
      <c r="C709" s="59">
        <v>1</v>
      </c>
      <c r="D709" s="206">
        <v>455400</v>
      </c>
      <c r="E709" s="74" t="s">
        <v>162</v>
      </c>
      <c r="F709" s="393" t="s">
        <v>1739</v>
      </c>
    </row>
    <row r="710" spans="1:6" ht="15" x14ac:dyDescent="0.25">
      <c r="A710" s="24" t="s">
        <v>940</v>
      </c>
      <c r="B710" s="24"/>
      <c r="C710" s="59">
        <v>1</v>
      </c>
      <c r="D710" s="206">
        <v>428002</v>
      </c>
      <c r="E710" s="74" t="s">
        <v>162</v>
      </c>
      <c r="F710" s="393" t="s">
        <v>1739</v>
      </c>
    </row>
    <row r="711" spans="1:6" ht="15" x14ac:dyDescent="0.25">
      <c r="A711" s="1" t="s">
        <v>915</v>
      </c>
      <c r="B711" s="312" t="s">
        <v>1933</v>
      </c>
      <c r="C711" s="39">
        <v>2</v>
      </c>
      <c r="D711" s="181" t="s">
        <v>916</v>
      </c>
      <c r="E711" s="112" t="s">
        <v>10</v>
      </c>
      <c r="F711" s="393" t="s">
        <v>1739</v>
      </c>
    </row>
    <row r="712" spans="1:6" ht="15" x14ac:dyDescent="0.25">
      <c r="A712" s="315" t="s">
        <v>970</v>
      </c>
      <c r="B712" s="315"/>
      <c r="C712" s="342">
        <v>1</v>
      </c>
      <c r="D712" s="462" t="s">
        <v>971</v>
      </c>
      <c r="E712" s="210" t="s">
        <v>363</v>
      </c>
      <c r="F712" s="393" t="s">
        <v>1739</v>
      </c>
    </row>
    <row r="713" spans="1:6" ht="15" x14ac:dyDescent="0.25">
      <c r="A713" s="315" t="s">
        <v>972</v>
      </c>
      <c r="B713" s="315"/>
      <c r="C713" s="342">
        <v>1</v>
      </c>
      <c r="D713" s="462" t="s">
        <v>973</v>
      </c>
      <c r="E713" s="210" t="s">
        <v>363</v>
      </c>
      <c r="F713" s="393" t="s">
        <v>1739</v>
      </c>
    </row>
    <row r="714" spans="1:6" ht="15" x14ac:dyDescent="0.25">
      <c r="A714" s="315" t="s">
        <v>974</v>
      </c>
      <c r="B714" s="315"/>
      <c r="C714" s="342">
        <v>1</v>
      </c>
      <c r="D714" s="462" t="s">
        <v>975</v>
      </c>
      <c r="E714" s="210" t="s">
        <v>363</v>
      </c>
      <c r="F714" s="393" t="s">
        <v>1739</v>
      </c>
    </row>
    <row r="715" spans="1:6" ht="15" x14ac:dyDescent="0.25">
      <c r="A715" s="1" t="s">
        <v>955</v>
      </c>
      <c r="B715" s="1"/>
      <c r="C715" s="39">
        <v>1</v>
      </c>
      <c r="D715" s="181" t="s">
        <v>956</v>
      </c>
      <c r="E715" s="112" t="s">
        <v>162</v>
      </c>
      <c r="F715" s="393" t="s">
        <v>1739</v>
      </c>
    </row>
    <row r="716" spans="1:6" ht="15" x14ac:dyDescent="0.25">
      <c r="A716" s="24" t="s">
        <v>957</v>
      </c>
      <c r="B716" s="24"/>
      <c r="C716" s="59">
        <v>1</v>
      </c>
      <c r="D716" s="206" t="s">
        <v>958</v>
      </c>
      <c r="E716" s="74" t="s">
        <v>162</v>
      </c>
      <c r="F716" s="393" t="s">
        <v>1739</v>
      </c>
    </row>
    <row r="717" spans="1:6" ht="15" x14ac:dyDescent="0.25">
      <c r="A717" s="1" t="s">
        <v>964</v>
      </c>
      <c r="B717" s="1"/>
      <c r="C717" s="39">
        <v>1</v>
      </c>
      <c r="D717" s="181">
        <v>651060</v>
      </c>
      <c r="E717" s="112" t="s">
        <v>162</v>
      </c>
      <c r="F717" s="393" t="s">
        <v>1739</v>
      </c>
    </row>
    <row r="718" spans="1:6" ht="15" x14ac:dyDescent="0.25">
      <c r="A718" s="1" t="s">
        <v>959</v>
      </c>
      <c r="B718" s="1"/>
      <c r="C718" s="39">
        <v>1</v>
      </c>
      <c r="D718" s="181">
        <v>651055</v>
      </c>
      <c r="E718" s="112" t="s">
        <v>162</v>
      </c>
      <c r="F718" s="393" t="s">
        <v>1739</v>
      </c>
    </row>
    <row r="719" spans="1:6" ht="15" x14ac:dyDescent="0.25">
      <c r="A719" s="134" t="s">
        <v>946</v>
      </c>
      <c r="B719" s="1"/>
      <c r="C719" s="265">
        <v>1</v>
      </c>
      <c r="D719" s="363">
        <v>653005</v>
      </c>
      <c r="E719" s="112" t="s">
        <v>162</v>
      </c>
      <c r="F719" s="393" t="s">
        <v>1739</v>
      </c>
    </row>
    <row r="720" spans="1:6" ht="15" x14ac:dyDescent="0.25">
      <c r="A720" s="88" t="s">
        <v>942</v>
      </c>
      <c r="B720" s="24"/>
      <c r="C720" s="68">
        <v>1</v>
      </c>
      <c r="D720" s="245" t="s">
        <v>943</v>
      </c>
      <c r="E720" s="74" t="s">
        <v>10</v>
      </c>
      <c r="F720" s="393" t="s">
        <v>1739</v>
      </c>
    </row>
    <row r="721" spans="1:6" ht="15" x14ac:dyDescent="0.25">
      <c r="A721" s="9" t="s">
        <v>941</v>
      </c>
      <c r="B721" s="9"/>
      <c r="C721" s="36">
        <v>1</v>
      </c>
      <c r="D721" s="131">
        <v>455500</v>
      </c>
      <c r="E721" s="205" t="s">
        <v>162</v>
      </c>
      <c r="F721" s="393" t="s">
        <v>1739</v>
      </c>
    </row>
    <row r="722" spans="1:6" ht="15" x14ac:dyDescent="0.25">
      <c r="A722" s="9" t="s">
        <v>920</v>
      </c>
      <c r="B722" s="194" t="s">
        <v>1960</v>
      </c>
      <c r="C722" s="36">
        <v>1</v>
      </c>
      <c r="D722" s="131" t="s">
        <v>753</v>
      </c>
      <c r="E722" s="205" t="s">
        <v>10</v>
      </c>
      <c r="F722" s="393" t="s">
        <v>1739</v>
      </c>
    </row>
    <row r="723" spans="1:6" ht="15" x14ac:dyDescent="0.25">
      <c r="A723" s="9" t="s">
        <v>923</v>
      </c>
      <c r="B723" s="9"/>
      <c r="C723" s="36">
        <v>1</v>
      </c>
      <c r="D723" s="131">
        <v>629820</v>
      </c>
      <c r="E723" s="205" t="s">
        <v>162</v>
      </c>
      <c r="F723" s="393" t="s">
        <v>1739</v>
      </c>
    </row>
    <row r="724" spans="1:6" ht="15" x14ac:dyDescent="0.25">
      <c r="A724" s="88" t="s">
        <v>934</v>
      </c>
      <c r="B724" s="88"/>
      <c r="C724" s="68">
        <v>1</v>
      </c>
      <c r="D724" s="152">
        <v>513200</v>
      </c>
      <c r="E724" s="184" t="s">
        <v>162</v>
      </c>
      <c r="F724" s="393" t="s">
        <v>1739</v>
      </c>
    </row>
    <row r="725" spans="1:6" ht="15" x14ac:dyDescent="0.25">
      <c r="A725" s="88" t="s">
        <v>927</v>
      </c>
      <c r="B725" s="88" t="s">
        <v>1995</v>
      </c>
      <c r="C725" s="68">
        <v>1</v>
      </c>
      <c r="D725" s="152" t="s">
        <v>928</v>
      </c>
      <c r="E725" s="184" t="s">
        <v>10</v>
      </c>
      <c r="F725" s="393" t="s">
        <v>1739</v>
      </c>
    </row>
    <row r="726" spans="1:6" ht="15" x14ac:dyDescent="0.25">
      <c r="A726" s="88" t="s">
        <v>930</v>
      </c>
      <c r="B726" s="88"/>
      <c r="C726" s="68">
        <v>1</v>
      </c>
      <c r="D726" s="79" t="s">
        <v>914</v>
      </c>
      <c r="E726" s="184" t="s">
        <v>162</v>
      </c>
      <c r="F726" s="393" t="s">
        <v>1739</v>
      </c>
    </row>
    <row r="727" spans="1:6" ht="15" x14ac:dyDescent="0.25">
      <c r="A727" s="88" t="s">
        <v>931</v>
      </c>
      <c r="B727" s="88"/>
      <c r="C727" s="68">
        <v>1</v>
      </c>
      <c r="D727" s="152" t="s">
        <v>932</v>
      </c>
      <c r="E727" s="184" t="s">
        <v>162</v>
      </c>
      <c r="F727" s="393" t="s">
        <v>1739</v>
      </c>
    </row>
    <row r="728" spans="1:6" ht="15" x14ac:dyDescent="0.25">
      <c r="A728" s="88" t="s">
        <v>716</v>
      </c>
      <c r="B728" s="19" t="s">
        <v>1993</v>
      </c>
      <c r="C728" s="68">
        <v>1</v>
      </c>
      <c r="D728" s="152" t="s">
        <v>119</v>
      </c>
      <c r="E728" s="184" t="s">
        <v>10</v>
      </c>
      <c r="F728" s="393" t="s">
        <v>1739</v>
      </c>
    </row>
    <row r="729" spans="1:6" ht="15" x14ac:dyDescent="0.25">
      <c r="A729" s="88" t="s">
        <v>717</v>
      </c>
      <c r="B729" s="19" t="s">
        <v>2000</v>
      </c>
      <c r="C729" s="68">
        <v>1</v>
      </c>
      <c r="D729" s="152" t="s">
        <v>121</v>
      </c>
      <c r="E729" s="184" t="s">
        <v>10</v>
      </c>
      <c r="F729" s="393" t="s">
        <v>1739</v>
      </c>
    </row>
    <row r="730" spans="1:6" ht="15" x14ac:dyDescent="0.25">
      <c r="A730" s="88" t="s">
        <v>929</v>
      </c>
      <c r="B730" s="19" t="s">
        <v>2004</v>
      </c>
      <c r="C730" s="68">
        <v>1</v>
      </c>
      <c r="D730" s="246" t="s">
        <v>858</v>
      </c>
      <c r="E730" s="184" t="s">
        <v>10</v>
      </c>
      <c r="F730" s="393" t="s">
        <v>1739</v>
      </c>
    </row>
    <row r="731" spans="1:6" ht="15" x14ac:dyDescent="0.25">
      <c r="A731" s="88" t="s">
        <v>969</v>
      </c>
      <c r="B731" s="88"/>
      <c r="C731" s="73">
        <v>1</v>
      </c>
      <c r="D731" s="79">
        <v>449201</v>
      </c>
      <c r="E731" s="367" t="s">
        <v>162</v>
      </c>
      <c r="F731" s="393" t="s">
        <v>1739</v>
      </c>
    </row>
    <row r="732" spans="1:6" ht="15" x14ac:dyDescent="0.25">
      <c r="A732" s="21" t="s">
        <v>1269</v>
      </c>
      <c r="B732" s="21"/>
      <c r="C732" s="115">
        <v>1</v>
      </c>
      <c r="D732" s="131">
        <v>2047</v>
      </c>
      <c r="E732" s="205" t="s">
        <v>4</v>
      </c>
      <c r="F732" s="393" t="s">
        <v>1712</v>
      </c>
    </row>
    <row r="733" spans="1:6" ht="15" x14ac:dyDescent="0.25">
      <c r="A733" s="21" t="s">
        <v>1269</v>
      </c>
      <c r="B733" s="21"/>
      <c r="C733" s="115">
        <v>1</v>
      </c>
      <c r="D733" s="131">
        <v>2049</v>
      </c>
      <c r="E733" s="205" t="s">
        <v>4</v>
      </c>
      <c r="F733" s="393" t="s">
        <v>1712</v>
      </c>
    </row>
    <row r="734" spans="1:6" ht="15" x14ac:dyDescent="0.25">
      <c r="A734" s="21" t="s">
        <v>1269</v>
      </c>
      <c r="B734" s="21"/>
      <c r="C734" s="115">
        <v>1</v>
      </c>
      <c r="D734" s="131">
        <v>2050</v>
      </c>
      <c r="E734" s="205" t="s">
        <v>4</v>
      </c>
      <c r="F734" s="393" t="s">
        <v>1712</v>
      </c>
    </row>
    <row r="735" spans="1:6" ht="15" x14ac:dyDescent="0.25">
      <c r="A735" s="21" t="s">
        <v>1268</v>
      </c>
      <c r="B735" s="21"/>
      <c r="C735" s="115">
        <v>1</v>
      </c>
      <c r="D735" s="131">
        <v>1999</v>
      </c>
      <c r="E735" s="205" t="s">
        <v>4</v>
      </c>
      <c r="F735" s="393" t="s">
        <v>1712</v>
      </c>
    </row>
    <row r="736" spans="1:6" ht="15" x14ac:dyDescent="0.25">
      <c r="A736" s="21" t="s">
        <v>1268</v>
      </c>
      <c r="B736" s="21"/>
      <c r="C736" s="115">
        <v>1</v>
      </c>
      <c r="D736" s="131">
        <v>2000</v>
      </c>
      <c r="E736" s="205" t="s">
        <v>4</v>
      </c>
      <c r="F736" s="393" t="s">
        <v>1712</v>
      </c>
    </row>
    <row r="737" spans="1:6" ht="15" x14ac:dyDescent="0.25">
      <c r="A737" s="21" t="s">
        <v>1267</v>
      </c>
      <c r="B737" s="21"/>
      <c r="C737" s="115">
        <v>1</v>
      </c>
      <c r="D737" s="131">
        <v>2006</v>
      </c>
      <c r="E737" s="205" t="s">
        <v>4</v>
      </c>
      <c r="F737" s="393" t="s">
        <v>1712</v>
      </c>
    </row>
    <row r="738" spans="1:6" ht="15" x14ac:dyDescent="0.25">
      <c r="A738" s="21" t="s">
        <v>313</v>
      </c>
      <c r="B738" s="21"/>
      <c r="C738" s="115">
        <v>1</v>
      </c>
      <c r="D738" s="152">
        <v>662550</v>
      </c>
      <c r="E738" s="184" t="s">
        <v>501</v>
      </c>
      <c r="F738" s="393" t="s">
        <v>1712</v>
      </c>
    </row>
    <row r="739" spans="1:6" ht="15" x14ac:dyDescent="0.25">
      <c r="A739" s="21" t="s">
        <v>1275</v>
      </c>
      <c r="B739" s="21"/>
      <c r="C739" s="115">
        <v>1</v>
      </c>
      <c r="D739" s="131">
        <v>3430</v>
      </c>
      <c r="E739" s="205" t="s">
        <v>4</v>
      </c>
      <c r="F739" s="393" t="s">
        <v>1712</v>
      </c>
    </row>
    <row r="740" spans="1:6" ht="15" x14ac:dyDescent="0.25">
      <c r="A740" s="21" t="s">
        <v>1273</v>
      </c>
      <c r="B740" s="21"/>
      <c r="C740" s="115">
        <v>1</v>
      </c>
      <c r="D740" s="131">
        <v>2423</v>
      </c>
      <c r="E740" s="205" t="s">
        <v>4</v>
      </c>
      <c r="F740" s="393" t="s">
        <v>1712</v>
      </c>
    </row>
    <row r="741" spans="1:6" ht="15" x14ac:dyDescent="0.25">
      <c r="A741" s="21" t="s">
        <v>436</v>
      </c>
      <c r="B741" s="76" t="s">
        <v>1825</v>
      </c>
      <c r="C741" s="115">
        <v>1</v>
      </c>
      <c r="D741" s="131">
        <v>2438</v>
      </c>
      <c r="E741" s="205" t="s">
        <v>4</v>
      </c>
      <c r="F741" s="393" t="s">
        <v>1712</v>
      </c>
    </row>
    <row r="742" spans="1:6" ht="15" x14ac:dyDescent="0.25">
      <c r="A742" s="21" t="s">
        <v>1270</v>
      </c>
      <c r="B742" s="21"/>
      <c r="C742" s="115">
        <v>1</v>
      </c>
      <c r="D742" s="131" t="s">
        <v>170</v>
      </c>
      <c r="E742" s="205" t="s">
        <v>4</v>
      </c>
      <c r="F742" s="393" t="s">
        <v>1712</v>
      </c>
    </row>
    <row r="743" spans="1:6" ht="15" x14ac:dyDescent="0.25">
      <c r="A743" s="21" t="s">
        <v>1271</v>
      </c>
      <c r="B743" s="194" t="s">
        <v>1837</v>
      </c>
      <c r="C743" s="115">
        <v>1</v>
      </c>
      <c r="D743" s="131" t="s">
        <v>172</v>
      </c>
      <c r="E743" s="205" t="s">
        <v>4</v>
      </c>
      <c r="F743" s="393" t="s">
        <v>1712</v>
      </c>
    </row>
    <row r="744" spans="1:6" ht="15" x14ac:dyDescent="0.25">
      <c r="A744" s="21" t="s">
        <v>1272</v>
      </c>
      <c r="B744" s="194" t="s">
        <v>1838</v>
      </c>
      <c r="C744" s="115">
        <v>1</v>
      </c>
      <c r="D744" s="131" t="s">
        <v>174</v>
      </c>
      <c r="E744" s="205" t="s">
        <v>4</v>
      </c>
      <c r="F744" s="393" t="s">
        <v>1712</v>
      </c>
    </row>
    <row r="745" spans="1:6" ht="15" x14ac:dyDescent="0.25">
      <c r="A745" s="21" t="s">
        <v>1274</v>
      </c>
      <c r="B745" s="21"/>
      <c r="C745" s="115">
        <v>1</v>
      </c>
      <c r="D745" s="131">
        <v>3467</v>
      </c>
      <c r="E745" s="205" t="s">
        <v>4</v>
      </c>
      <c r="F745" s="393" t="s">
        <v>1712</v>
      </c>
    </row>
    <row r="746" spans="1:6" ht="15" x14ac:dyDescent="0.25">
      <c r="A746" s="21" t="s">
        <v>1276</v>
      </c>
      <c r="B746" s="432" t="s">
        <v>2024</v>
      </c>
      <c r="C746" s="115">
        <v>1</v>
      </c>
      <c r="D746" s="131">
        <v>2766</v>
      </c>
      <c r="E746" s="205" t="s">
        <v>4</v>
      </c>
      <c r="F746" s="393" t="s">
        <v>1712</v>
      </c>
    </row>
    <row r="747" spans="1:6" ht="15" x14ac:dyDescent="0.25">
      <c r="A747" s="21" t="s">
        <v>1282</v>
      </c>
      <c r="B747" s="21"/>
      <c r="C747" s="115">
        <v>1</v>
      </c>
      <c r="D747" s="131">
        <v>2893</v>
      </c>
      <c r="E747" s="205" t="s">
        <v>4</v>
      </c>
      <c r="F747" s="393" t="s">
        <v>1712</v>
      </c>
    </row>
    <row r="748" spans="1:6" ht="15" x14ac:dyDescent="0.25">
      <c r="A748" s="21" t="s">
        <v>1254</v>
      </c>
      <c r="B748" s="21" t="s">
        <v>1880</v>
      </c>
      <c r="C748" s="115">
        <v>1</v>
      </c>
      <c r="D748" s="131">
        <v>2835</v>
      </c>
      <c r="E748" s="205" t="s">
        <v>4</v>
      </c>
      <c r="F748" s="393" t="s">
        <v>1712</v>
      </c>
    </row>
    <row r="749" spans="1:6" ht="15" x14ac:dyDescent="0.25">
      <c r="A749" s="21" t="s">
        <v>1252</v>
      </c>
      <c r="B749" s="21" t="s">
        <v>1754</v>
      </c>
      <c r="C749" s="115">
        <v>1</v>
      </c>
      <c r="D749" s="131">
        <v>2834</v>
      </c>
      <c r="E749" s="205" t="s">
        <v>4</v>
      </c>
      <c r="F749" s="393" t="s">
        <v>1712</v>
      </c>
    </row>
    <row r="750" spans="1:6" ht="15" x14ac:dyDescent="0.25">
      <c r="A750" s="21" t="s">
        <v>1253</v>
      </c>
      <c r="B750" s="21" t="s">
        <v>1753</v>
      </c>
      <c r="C750" s="115">
        <v>1</v>
      </c>
      <c r="D750" s="131">
        <v>2833</v>
      </c>
      <c r="E750" s="205" t="s">
        <v>4</v>
      </c>
      <c r="F750" s="393" t="s">
        <v>1712</v>
      </c>
    </row>
    <row r="751" spans="1:6" ht="15" x14ac:dyDescent="0.25">
      <c r="A751" s="21" t="s">
        <v>1265</v>
      </c>
      <c r="B751" s="21" t="s">
        <v>1895</v>
      </c>
      <c r="C751" s="115">
        <v>4</v>
      </c>
      <c r="D751" s="131">
        <v>957</v>
      </c>
      <c r="E751" s="205" t="s">
        <v>4</v>
      </c>
      <c r="F751" s="393" t="s">
        <v>1712</v>
      </c>
    </row>
    <row r="752" spans="1:6" ht="15" x14ac:dyDescent="0.25">
      <c r="A752" s="21" t="s">
        <v>1251</v>
      </c>
      <c r="B752" s="21" t="s">
        <v>1897</v>
      </c>
      <c r="C752" s="115">
        <v>2</v>
      </c>
      <c r="D752" s="131">
        <v>2827</v>
      </c>
      <c r="E752" s="205" t="s">
        <v>4</v>
      </c>
      <c r="F752" s="393" t="s">
        <v>1712</v>
      </c>
    </row>
    <row r="753" spans="1:6" ht="15" x14ac:dyDescent="0.25">
      <c r="A753" s="21" t="s">
        <v>1285</v>
      </c>
      <c r="B753" s="21"/>
      <c r="C753" s="115">
        <v>1</v>
      </c>
      <c r="D753" s="131">
        <v>3220</v>
      </c>
      <c r="E753" s="205" t="s">
        <v>4</v>
      </c>
      <c r="F753" s="393" t="s">
        <v>1712</v>
      </c>
    </row>
    <row r="754" spans="1:6" ht="15" x14ac:dyDescent="0.25">
      <c r="A754" s="21" t="s">
        <v>1284</v>
      </c>
      <c r="B754" s="21"/>
      <c r="C754" s="115">
        <v>1</v>
      </c>
      <c r="D754" s="131">
        <v>3232</v>
      </c>
      <c r="E754" s="205" t="s">
        <v>4</v>
      </c>
      <c r="F754" s="393" t="s">
        <v>1712</v>
      </c>
    </row>
    <row r="755" spans="1:6" ht="15" x14ac:dyDescent="0.25">
      <c r="A755" s="21" t="s">
        <v>1289</v>
      </c>
      <c r="B755" s="21"/>
      <c r="C755" s="115">
        <v>1</v>
      </c>
      <c r="D755" s="131">
        <v>3059</v>
      </c>
      <c r="E755" s="205" t="s">
        <v>4</v>
      </c>
      <c r="F755" s="393" t="s">
        <v>1712</v>
      </c>
    </row>
    <row r="756" spans="1:6" ht="15" x14ac:dyDescent="0.25">
      <c r="A756" s="21" t="s">
        <v>1281</v>
      </c>
      <c r="B756" s="21"/>
      <c r="C756" s="115">
        <v>1</v>
      </c>
      <c r="D756" s="131">
        <v>3064</v>
      </c>
      <c r="E756" s="205" t="s">
        <v>4</v>
      </c>
      <c r="F756" s="393" t="s">
        <v>1712</v>
      </c>
    </row>
    <row r="757" spans="1:6" ht="15" x14ac:dyDescent="0.25">
      <c r="A757" s="21" t="s">
        <v>1280</v>
      </c>
      <c r="B757" s="383"/>
      <c r="C757" s="308">
        <v>1</v>
      </c>
      <c r="D757" s="299">
        <v>3065</v>
      </c>
      <c r="E757" s="205" t="s">
        <v>4</v>
      </c>
      <c r="F757" s="393" t="s">
        <v>1712</v>
      </c>
    </row>
    <row r="758" spans="1:6" ht="15" x14ac:dyDescent="0.25">
      <c r="A758" s="139" t="s">
        <v>1293</v>
      </c>
      <c r="B758" s="383"/>
      <c r="C758" s="274">
        <v>1</v>
      </c>
      <c r="D758" s="461">
        <v>3257</v>
      </c>
      <c r="E758" s="369" t="s">
        <v>4</v>
      </c>
      <c r="F758" s="393" t="s">
        <v>1712</v>
      </c>
    </row>
    <row r="759" spans="1:6" ht="15" x14ac:dyDescent="0.25">
      <c r="A759" s="12" t="s">
        <v>746</v>
      </c>
      <c r="B759" s="426" t="s">
        <v>1930</v>
      </c>
      <c r="C759" s="140">
        <v>1</v>
      </c>
      <c r="D759" s="131">
        <v>1317</v>
      </c>
      <c r="E759" s="112" t="s">
        <v>4</v>
      </c>
      <c r="F759" s="393" t="s">
        <v>1712</v>
      </c>
    </row>
    <row r="760" spans="1:6" ht="15" x14ac:dyDescent="0.25">
      <c r="A760" s="12" t="s">
        <v>1259</v>
      </c>
      <c r="B760" s="313" t="s">
        <v>1933</v>
      </c>
      <c r="C760" s="140">
        <v>1</v>
      </c>
      <c r="D760" s="131" t="s">
        <v>1260</v>
      </c>
      <c r="E760" s="112" t="s">
        <v>4</v>
      </c>
      <c r="F760" s="393" t="s">
        <v>1712</v>
      </c>
    </row>
    <row r="761" spans="1:6" ht="15" x14ac:dyDescent="0.25">
      <c r="A761" s="12" t="s">
        <v>1277</v>
      </c>
      <c r="B761" s="95"/>
      <c r="C761" s="140">
        <v>1</v>
      </c>
      <c r="D761" s="235">
        <v>3153</v>
      </c>
      <c r="E761" s="112" t="s">
        <v>4</v>
      </c>
      <c r="F761" s="393" t="s">
        <v>1712</v>
      </c>
    </row>
    <row r="762" spans="1:6" ht="15" x14ac:dyDescent="0.25">
      <c r="A762" s="12" t="s">
        <v>1290</v>
      </c>
      <c r="B762" s="95"/>
      <c r="C762" s="140">
        <v>1</v>
      </c>
      <c r="D762" s="131">
        <v>3263</v>
      </c>
      <c r="E762" s="112" t="s">
        <v>4</v>
      </c>
      <c r="F762" s="393" t="s">
        <v>1712</v>
      </c>
    </row>
    <row r="763" spans="1:6" ht="15" x14ac:dyDescent="0.25">
      <c r="A763" s="12" t="s">
        <v>1283</v>
      </c>
      <c r="B763" s="95"/>
      <c r="C763" s="140">
        <v>1</v>
      </c>
      <c r="D763" s="131">
        <v>3247</v>
      </c>
      <c r="E763" s="112" t="s">
        <v>4</v>
      </c>
      <c r="F763" s="393" t="s">
        <v>1712</v>
      </c>
    </row>
    <row r="764" spans="1:6" ht="15" x14ac:dyDescent="0.25">
      <c r="A764" s="12" t="s">
        <v>1291</v>
      </c>
      <c r="B764" s="95"/>
      <c r="C764" s="140">
        <v>1</v>
      </c>
      <c r="D764" s="235">
        <v>3261</v>
      </c>
      <c r="E764" s="112" t="s">
        <v>4</v>
      </c>
      <c r="F764" s="393" t="s">
        <v>1712</v>
      </c>
    </row>
    <row r="765" spans="1:6" ht="15" x14ac:dyDescent="0.25">
      <c r="A765" s="12" t="s">
        <v>1288</v>
      </c>
      <c r="B765" s="95"/>
      <c r="C765" s="140">
        <v>1</v>
      </c>
      <c r="D765" s="131">
        <v>3256</v>
      </c>
      <c r="E765" s="112" t="s">
        <v>4</v>
      </c>
      <c r="F765" s="393" t="s">
        <v>1712</v>
      </c>
    </row>
    <row r="766" spans="1:6" ht="15" x14ac:dyDescent="0.25">
      <c r="A766" s="12" t="s">
        <v>1287</v>
      </c>
      <c r="B766" s="95"/>
      <c r="C766" s="140">
        <v>1</v>
      </c>
      <c r="D766" s="131">
        <v>3254</v>
      </c>
      <c r="E766" s="112" t="s">
        <v>4</v>
      </c>
      <c r="F766" s="393" t="s">
        <v>1712</v>
      </c>
    </row>
    <row r="767" spans="1:6" ht="15" x14ac:dyDescent="0.25">
      <c r="A767" s="12" t="s">
        <v>1286</v>
      </c>
      <c r="B767" s="95"/>
      <c r="C767" s="140">
        <v>1</v>
      </c>
      <c r="D767" s="131">
        <v>3255</v>
      </c>
      <c r="E767" s="112" t="s">
        <v>4</v>
      </c>
      <c r="F767" s="393" t="s">
        <v>1712</v>
      </c>
    </row>
    <row r="768" spans="1:6" ht="15" x14ac:dyDescent="0.25">
      <c r="A768" s="12" t="s">
        <v>1257</v>
      </c>
      <c r="B768" s="95"/>
      <c r="C768" s="140">
        <v>1</v>
      </c>
      <c r="D768" s="131" t="s">
        <v>1258</v>
      </c>
      <c r="E768" s="112" t="s">
        <v>4</v>
      </c>
      <c r="F768" s="393" t="s">
        <v>1712</v>
      </c>
    </row>
    <row r="769" spans="1:6" ht="15" x14ac:dyDescent="0.25">
      <c r="A769" s="12" t="s">
        <v>1255</v>
      </c>
      <c r="B769" s="72" t="s">
        <v>1965</v>
      </c>
      <c r="C769" s="140">
        <v>1</v>
      </c>
      <c r="D769" s="131" t="s">
        <v>1256</v>
      </c>
      <c r="E769" s="112" t="s">
        <v>4</v>
      </c>
      <c r="F769" s="393" t="s">
        <v>1712</v>
      </c>
    </row>
    <row r="770" spans="1:6" ht="15" x14ac:dyDescent="0.25">
      <c r="A770" s="12" t="s">
        <v>1292</v>
      </c>
      <c r="B770" s="95"/>
      <c r="C770" s="140">
        <v>1</v>
      </c>
      <c r="D770" s="131">
        <v>3261</v>
      </c>
      <c r="E770" s="112" t="s">
        <v>4</v>
      </c>
      <c r="F770" s="393" t="s">
        <v>1712</v>
      </c>
    </row>
    <row r="771" spans="1:6" ht="15" x14ac:dyDescent="0.25">
      <c r="A771" s="272" t="s">
        <v>1266</v>
      </c>
      <c r="B771" s="321"/>
      <c r="C771" s="141">
        <v>1</v>
      </c>
      <c r="D771" s="299">
        <v>2906</v>
      </c>
      <c r="E771" s="371" t="s">
        <v>4</v>
      </c>
      <c r="F771" s="393" t="s">
        <v>1712</v>
      </c>
    </row>
    <row r="772" spans="1:6" ht="15" x14ac:dyDescent="0.25">
      <c r="A772" s="193" t="s">
        <v>1264</v>
      </c>
      <c r="B772" s="193"/>
      <c r="C772" s="274">
        <v>1</v>
      </c>
      <c r="D772" s="112">
        <v>3367</v>
      </c>
      <c r="E772" s="112" t="s">
        <v>4</v>
      </c>
      <c r="F772" s="393" t="s">
        <v>1712</v>
      </c>
    </row>
    <row r="773" spans="1:6" ht="15" x14ac:dyDescent="0.25">
      <c r="A773" s="12" t="s">
        <v>1279</v>
      </c>
      <c r="B773" s="362" t="s">
        <v>1999</v>
      </c>
      <c r="C773" s="130">
        <v>2</v>
      </c>
      <c r="D773" s="53">
        <v>3358</v>
      </c>
      <c r="E773" s="112" t="s">
        <v>4</v>
      </c>
      <c r="F773" s="393" t="s">
        <v>1712</v>
      </c>
    </row>
    <row r="774" spans="1:6" ht="15" x14ac:dyDescent="0.25">
      <c r="A774" s="12" t="s">
        <v>1026</v>
      </c>
      <c r="B774" s="374" t="s">
        <v>1993</v>
      </c>
      <c r="C774" s="130">
        <v>1</v>
      </c>
      <c r="D774" s="207">
        <v>3320</v>
      </c>
      <c r="E774" s="112" t="s">
        <v>4</v>
      </c>
      <c r="F774" s="393" t="s">
        <v>1712</v>
      </c>
    </row>
    <row r="775" spans="1:6" ht="15" x14ac:dyDescent="0.25">
      <c r="A775" s="12" t="s">
        <v>1027</v>
      </c>
      <c r="B775" s="384" t="s">
        <v>2000</v>
      </c>
      <c r="C775" s="328">
        <v>1</v>
      </c>
      <c r="D775" s="131">
        <v>3316</v>
      </c>
      <c r="E775" s="112" t="s">
        <v>4</v>
      </c>
      <c r="F775" s="393" t="s">
        <v>1712</v>
      </c>
    </row>
    <row r="776" spans="1:6" ht="15" x14ac:dyDescent="0.25">
      <c r="A776" s="12" t="s">
        <v>1261</v>
      </c>
      <c r="B776" s="384" t="s">
        <v>2003</v>
      </c>
      <c r="C776" s="328">
        <v>1</v>
      </c>
      <c r="D776" s="131">
        <v>3356</v>
      </c>
      <c r="E776" s="112" t="s">
        <v>4</v>
      </c>
      <c r="F776" s="393" t="s">
        <v>1712</v>
      </c>
    </row>
    <row r="777" spans="1:6" ht="15" x14ac:dyDescent="0.25">
      <c r="A777" s="12" t="s">
        <v>755</v>
      </c>
      <c r="B777" s="385" t="s">
        <v>1994</v>
      </c>
      <c r="C777" s="328">
        <v>1</v>
      </c>
      <c r="D777" s="131">
        <v>3354</v>
      </c>
      <c r="E777" s="112" t="s">
        <v>4</v>
      </c>
      <c r="F777" s="393" t="s">
        <v>1712</v>
      </c>
    </row>
    <row r="778" spans="1:6" ht="15" x14ac:dyDescent="0.25">
      <c r="A778" s="12" t="s">
        <v>1263</v>
      </c>
      <c r="B778" s="357" t="s">
        <v>2006</v>
      </c>
      <c r="C778" s="328">
        <v>1</v>
      </c>
      <c r="D778" s="131">
        <v>3322</v>
      </c>
      <c r="E778" s="112" t="s">
        <v>4</v>
      </c>
      <c r="F778" s="393" t="s">
        <v>1712</v>
      </c>
    </row>
    <row r="779" spans="1:6" ht="15" x14ac:dyDescent="0.25">
      <c r="A779" s="12" t="s">
        <v>1262</v>
      </c>
      <c r="B779" s="362" t="s">
        <v>2009</v>
      </c>
      <c r="C779" s="130">
        <v>1</v>
      </c>
      <c r="D779" s="205">
        <v>3322</v>
      </c>
      <c r="E779" s="112" t="s">
        <v>4</v>
      </c>
      <c r="F779" s="393" t="s">
        <v>1712</v>
      </c>
    </row>
    <row r="780" spans="1:6" ht="15" x14ac:dyDescent="0.25">
      <c r="A780" s="12" t="s">
        <v>1278</v>
      </c>
      <c r="B780" s="362"/>
      <c r="C780" s="130">
        <v>1</v>
      </c>
      <c r="D780" s="53">
        <v>3392</v>
      </c>
      <c r="E780" s="112" t="s">
        <v>4</v>
      </c>
      <c r="F780" s="393" t="s">
        <v>1712</v>
      </c>
    </row>
    <row r="781" spans="1:6" ht="15" x14ac:dyDescent="0.25">
      <c r="A781" s="66" t="s">
        <v>1501</v>
      </c>
      <c r="B781" s="376" t="s">
        <v>1767</v>
      </c>
      <c r="C781" s="71">
        <v>2</v>
      </c>
      <c r="D781" s="353" t="s">
        <v>12</v>
      </c>
      <c r="E781" s="210" t="s">
        <v>8</v>
      </c>
      <c r="F781" s="393" t="s">
        <v>1717</v>
      </c>
    </row>
    <row r="782" spans="1:6" ht="15" x14ac:dyDescent="0.25">
      <c r="A782" s="66" t="s">
        <v>1502</v>
      </c>
      <c r="B782" s="377" t="s">
        <v>1782</v>
      </c>
      <c r="C782" s="71">
        <v>2</v>
      </c>
      <c r="D782" s="353" t="s">
        <v>230</v>
      </c>
      <c r="E782" s="210" t="s">
        <v>8</v>
      </c>
      <c r="F782" s="393" t="s">
        <v>1717</v>
      </c>
    </row>
    <row r="783" spans="1:6" ht="27" x14ac:dyDescent="0.25">
      <c r="A783" s="66" t="s">
        <v>1503</v>
      </c>
      <c r="B783" s="372" t="s">
        <v>1758</v>
      </c>
      <c r="C783" s="71">
        <v>1</v>
      </c>
      <c r="D783" s="353" t="s">
        <v>232</v>
      </c>
      <c r="E783" s="210" t="s">
        <v>8</v>
      </c>
      <c r="F783" s="393" t="s">
        <v>1717</v>
      </c>
    </row>
    <row r="784" spans="1:6" ht="15" x14ac:dyDescent="0.25">
      <c r="A784" s="66" t="s">
        <v>1504</v>
      </c>
      <c r="B784" s="377" t="s">
        <v>1785</v>
      </c>
      <c r="C784" s="71">
        <v>1</v>
      </c>
      <c r="D784" s="353" t="s">
        <v>1505</v>
      </c>
      <c r="E784" s="210" t="s">
        <v>8</v>
      </c>
      <c r="F784" s="393" t="s">
        <v>1717</v>
      </c>
    </row>
    <row r="785" spans="1:7" ht="15" x14ac:dyDescent="0.25">
      <c r="A785" s="66" t="s">
        <v>1506</v>
      </c>
      <c r="B785" s="377"/>
      <c r="C785" s="71">
        <v>1</v>
      </c>
      <c r="D785" s="75">
        <v>460</v>
      </c>
      <c r="E785" s="74" t="s">
        <v>4</v>
      </c>
      <c r="F785" s="393" t="s">
        <v>1717</v>
      </c>
    </row>
    <row r="786" spans="1:7" ht="15" x14ac:dyDescent="0.25">
      <c r="A786" s="66" t="s">
        <v>1507</v>
      </c>
      <c r="B786" s="377" t="s">
        <v>1787</v>
      </c>
      <c r="C786" s="71">
        <v>1</v>
      </c>
      <c r="D786" s="75">
        <v>2045</v>
      </c>
      <c r="E786" s="74" t="s">
        <v>4</v>
      </c>
      <c r="F786" s="393" t="s">
        <v>1717</v>
      </c>
    </row>
    <row r="787" spans="1:7" ht="15" x14ac:dyDescent="0.25">
      <c r="A787" s="66" t="s">
        <v>1508</v>
      </c>
      <c r="B787" s="377" t="s">
        <v>1788</v>
      </c>
      <c r="C787" s="71">
        <v>1</v>
      </c>
      <c r="D787" s="75">
        <v>2049</v>
      </c>
      <c r="E787" s="74" t="s">
        <v>4</v>
      </c>
      <c r="F787" s="393" t="s">
        <v>1717</v>
      </c>
    </row>
    <row r="788" spans="1:7" ht="15" x14ac:dyDescent="0.25">
      <c r="A788" s="66" t="s">
        <v>1509</v>
      </c>
      <c r="B788" s="377" t="s">
        <v>1789</v>
      </c>
      <c r="C788" s="71">
        <v>2</v>
      </c>
      <c r="D788" s="75">
        <v>204307</v>
      </c>
      <c r="E788" s="74" t="s">
        <v>162</v>
      </c>
      <c r="F788" s="393" t="s">
        <v>1717</v>
      </c>
    </row>
    <row r="789" spans="1:7" ht="15" x14ac:dyDescent="0.25">
      <c r="A789" s="66" t="s">
        <v>823</v>
      </c>
      <c r="B789" s="373" t="s">
        <v>1791</v>
      </c>
      <c r="C789" s="71">
        <v>2</v>
      </c>
      <c r="D789" s="204">
        <v>204310</v>
      </c>
      <c r="E789" s="74" t="s">
        <v>162</v>
      </c>
      <c r="F789" s="393" t="s">
        <v>1717</v>
      </c>
    </row>
    <row r="790" spans="1:7" ht="15" x14ac:dyDescent="0.25">
      <c r="A790" s="66" t="s">
        <v>1510</v>
      </c>
      <c r="B790" s="380" t="s">
        <v>1794</v>
      </c>
      <c r="C790" s="175">
        <v>1</v>
      </c>
      <c r="D790" s="152">
        <v>204313</v>
      </c>
      <c r="E790" s="74" t="s">
        <v>162</v>
      </c>
      <c r="F790" s="393" t="s">
        <v>1717</v>
      </c>
    </row>
    <row r="791" spans="1:7" ht="15" x14ac:dyDescent="0.25">
      <c r="A791" s="66" t="s">
        <v>824</v>
      </c>
      <c r="B791" s="132" t="s">
        <v>1792</v>
      </c>
      <c r="C791" s="449">
        <v>1</v>
      </c>
      <c r="D791" s="152">
        <v>204315</v>
      </c>
      <c r="E791" s="74" t="s">
        <v>162</v>
      </c>
      <c r="F791" s="393" t="s">
        <v>1717</v>
      </c>
    </row>
    <row r="792" spans="1:7" ht="15" x14ac:dyDescent="0.25">
      <c r="A792" s="72" t="s">
        <v>825</v>
      </c>
      <c r="B792" s="132" t="s">
        <v>1793</v>
      </c>
      <c r="C792" s="87">
        <v>1</v>
      </c>
      <c r="D792" s="75">
        <v>204320</v>
      </c>
      <c r="E792" s="74" t="s">
        <v>162</v>
      </c>
      <c r="F792" s="393" t="s">
        <v>1717</v>
      </c>
    </row>
    <row r="793" spans="1:7" ht="15" x14ac:dyDescent="0.25">
      <c r="A793" s="14" t="s">
        <v>1511</v>
      </c>
      <c r="B793" s="433" t="s">
        <v>1799</v>
      </c>
      <c r="C793" s="46">
        <v>1</v>
      </c>
      <c r="D793" s="52" t="s">
        <v>1512</v>
      </c>
      <c r="E793" s="233" t="s">
        <v>162</v>
      </c>
      <c r="F793" s="393" t="s">
        <v>1717</v>
      </c>
      <c r="G793" t="s">
        <v>1800</v>
      </c>
    </row>
    <row r="794" spans="1:7" ht="15" x14ac:dyDescent="0.25">
      <c r="A794" s="3" t="s">
        <v>361</v>
      </c>
      <c r="B794" s="374"/>
      <c r="C794" s="45">
        <v>1</v>
      </c>
      <c r="D794" s="53">
        <v>662590</v>
      </c>
      <c r="E794" s="112" t="s">
        <v>362</v>
      </c>
      <c r="F794" s="393" t="s">
        <v>1717</v>
      </c>
    </row>
    <row r="795" spans="1:7" ht="15" x14ac:dyDescent="0.25">
      <c r="A795" s="66" t="s">
        <v>1513</v>
      </c>
      <c r="B795" s="377"/>
      <c r="C795" s="71">
        <v>1</v>
      </c>
      <c r="D795" s="75">
        <v>204200</v>
      </c>
      <c r="E795" s="74" t="s">
        <v>162</v>
      </c>
      <c r="F795" s="393" t="s">
        <v>1717</v>
      </c>
    </row>
    <row r="796" spans="1:7" ht="15" x14ac:dyDescent="0.25">
      <c r="A796" s="66" t="s">
        <v>157</v>
      </c>
      <c r="B796" s="377" t="s">
        <v>1825</v>
      </c>
      <c r="C796" s="71">
        <v>1</v>
      </c>
      <c r="D796" s="353" t="s">
        <v>158</v>
      </c>
      <c r="E796" s="210" t="s">
        <v>8</v>
      </c>
      <c r="F796" s="393" t="s">
        <v>1717</v>
      </c>
    </row>
    <row r="797" spans="1:7" ht="15" x14ac:dyDescent="0.25">
      <c r="A797" s="66" t="s">
        <v>1514</v>
      </c>
      <c r="B797" s="413" t="s">
        <v>1826</v>
      </c>
      <c r="C797" s="71">
        <v>1</v>
      </c>
      <c r="D797" s="176" t="s">
        <v>1515</v>
      </c>
      <c r="E797" s="210" t="s">
        <v>8</v>
      </c>
      <c r="F797" s="393" t="s">
        <v>1717</v>
      </c>
    </row>
    <row r="798" spans="1:7" ht="15" x14ac:dyDescent="0.25">
      <c r="A798" s="66" t="s">
        <v>1516</v>
      </c>
      <c r="B798" s="377"/>
      <c r="C798" s="175">
        <v>1</v>
      </c>
      <c r="D798" s="152" t="s">
        <v>1517</v>
      </c>
      <c r="E798" s="74" t="s">
        <v>10</v>
      </c>
      <c r="F798" s="393" t="s">
        <v>1717</v>
      </c>
    </row>
    <row r="799" spans="1:7" ht="15" x14ac:dyDescent="0.25">
      <c r="A799" s="66" t="s">
        <v>1518</v>
      </c>
      <c r="B799" s="377"/>
      <c r="C799" s="175">
        <v>1</v>
      </c>
      <c r="D799" s="152">
        <v>122003</v>
      </c>
      <c r="E799" s="74" t="s">
        <v>162</v>
      </c>
      <c r="F799" s="393" t="s">
        <v>1717</v>
      </c>
    </row>
    <row r="800" spans="1:7" ht="15" x14ac:dyDescent="0.25">
      <c r="A800" s="66" t="s">
        <v>1519</v>
      </c>
      <c r="B800" s="377"/>
      <c r="C800" s="175">
        <v>1</v>
      </c>
      <c r="D800" s="152">
        <v>122004</v>
      </c>
      <c r="E800" s="74" t="s">
        <v>162</v>
      </c>
      <c r="F800" s="393" t="s">
        <v>1717</v>
      </c>
    </row>
    <row r="801" spans="1:6" ht="15" x14ac:dyDescent="0.25">
      <c r="A801" s="66" t="s">
        <v>1520</v>
      </c>
      <c r="B801" s="377"/>
      <c r="C801" s="175">
        <v>1</v>
      </c>
      <c r="D801" s="152">
        <v>122005</v>
      </c>
      <c r="E801" s="74" t="s">
        <v>162</v>
      </c>
      <c r="F801" s="393" t="s">
        <v>1717</v>
      </c>
    </row>
    <row r="802" spans="1:6" ht="15" x14ac:dyDescent="0.25">
      <c r="A802" s="66" t="s">
        <v>1521</v>
      </c>
      <c r="B802" s="377"/>
      <c r="C802" s="175">
        <v>1</v>
      </c>
      <c r="D802" s="152">
        <v>122006</v>
      </c>
      <c r="E802" s="74" t="s">
        <v>162</v>
      </c>
      <c r="F802" s="393" t="s">
        <v>1717</v>
      </c>
    </row>
    <row r="803" spans="1:6" ht="15" x14ac:dyDescent="0.25">
      <c r="A803" s="66" t="s">
        <v>1522</v>
      </c>
      <c r="B803" s="377"/>
      <c r="C803" s="71">
        <v>1</v>
      </c>
      <c r="D803" s="75">
        <v>122007</v>
      </c>
      <c r="E803" s="74" t="s">
        <v>162</v>
      </c>
      <c r="F803" s="393" t="s">
        <v>1717</v>
      </c>
    </row>
    <row r="804" spans="1:6" ht="15" x14ac:dyDescent="0.25">
      <c r="A804" s="66" t="s">
        <v>1523</v>
      </c>
      <c r="B804" s="377" t="s">
        <v>1834</v>
      </c>
      <c r="C804" s="71">
        <v>1</v>
      </c>
      <c r="D804" s="75" t="s">
        <v>1129</v>
      </c>
      <c r="E804" s="74" t="s">
        <v>8</v>
      </c>
      <c r="F804" s="393" t="s">
        <v>1717</v>
      </c>
    </row>
    <row r="805" spans="1:6" ht="15" x14ac:dyDescent="0.25">
      <c r="A805" s="66" t="s">
        <v>703</v>
      </c>
      <c r="B805" s="377" t="s">
        <v>1754</v>
      </c>
      <c r="C805" s="71">
        <v>2</v>
      </c>
      <c r="D805" s="355" t="s">
        <v>601</v>
      </c>
      <c r="E805" s="74" t="s">
        <v>8</v>
      </c>
      <c r="F805" s="393" t="s">
        <v>1717</v>
      </c>
    </row>
    <row r="806" spans="1:6" ht="15" x14ac:dyDescent="0.25">
      <c r="A806" s="66" t="s">
        <v>704</v>
      </c>
      <c r="B806" s="376" t="s">
        <v>1753</v>
      </c>
      <c r="C806" s="71">
        <v>1</v>
      </c>
      <c r="D806" s="355" t="s">
        <v>33</v>
      </c>
      <c r="E806" s="74" t="s">
        <v>8</v>
      </c>
      <c r="F806" s="393" t="s">
        <v>1717</v>
      </c>
    </row>
    <row r="807" spans="1:6" ht="15" x14ac:dyDescent="0.25">
      <c r="A807" s="66" t="s">
        <v>705</v>
      </c>
      <c r="B807" s="375" t="s">
        <v>1881</v>
      </c>
      <c r="C807" s="71">
        <v>4</v>
      </c>
      <c r="D807" s="355" t="s">
        <v>36</v>
      </c>
      <c r="E807" s="74" t="s">
        <v>8</v>
      </c>
      <c r="F807" s="393" t="s">
        <v>1717</v>
      </c>
    </row>
    <row r="808" spans="1:6" ht="15" x14ac:dyDescent="0.25">
      <c r="A808" s="3" t="s">
        <v>306</v>
      </c>
      <c r="B808" s="374" t="s">
        <v>1896</v>
      </c>
      <c r="C808" s="45">
        <v>2</v>
      </c>
      <c r="D808" s="53">
        <v>971</v>
      </c>
      <c r="E808" s="112" t="s">
        <v>4</v>
      </c>
      <c r="F808" s="393" t="s">
        <v>1717</v>
      </c>
    </row>
    <row r="809" spans="1:6" ht="15" x14ac:dyDescent="0.25">
      <c r="A809" s="3" t="s">
        <v>308</v>
      </c>
      <c r="B809" s="362" t="s">
        <v>1895</v>
      </c>
      <c r="C809" s="45">
        <v>2</v>
      </c>
      <c r="D809" s="207">
        <v>957</v>
      </c>
      <c r="E809" s="112" t="s">
        <v>4</v>
      </c>
      <c r="F809" s="393" t="s">
        <v>1717</v>
      </c>
    </row>
    <row r="810" spans="1:6" ht="15" x14ac:dyDescent="0.25">
      <c r="A810" s="66" t="s">
        <v>1524</v>
      </c>
      <c r="B810" s="377"/>
      <c r="C810" s="175">
        <v>1</v>
      </c>
      <c r="D810" s="79" t="s">
        <v>160</v>
      </c>
      <c r="E810" s="74" t="s">
        <v>8</v>
      </c>
      <c r="F810" s="393" t="s">
        <v>1717</v>
      </c>
    </row>
    <row r="811" spans="1:6" ht="15" x14ac:dyDescent="0.25">
      <c r="A811" s="66" t="s">
        <v>1525</v>
      </c>
      <c r="B811" s="377"/>
      <c r="C811" s="175">
        <v>1</v>
      </c>
      <c r="D811" s="152">
        <v>222900</v>
      </c>
      <c r="E811" s="74" t="s">
        <v>162</v>
      </c>
      <c r="F811" s="393" t="s">
        <v>1717</v>
      </c>
    </row>
    <row r="812" spans="1:6" ht="15" x14ac:dyDescent="0.25">
      <c r="A812" s="66" t="s">
        <v>1526</v>
      </c>
      <c r="B812" s="377"/>
      <c r="C812" s="175">
        <v>1</v>
      </c>
      <c r="D812" s="152">
        <v>222800</v>
      </c>
      <c r="E812" s="74" t="s">
        <v>162</v>
      </c>
      <c r="F812" s="393" t="s">
        <v>1717</v>
      </c>
    </row>
    <row r="813" spans="1:6" ht="15" x14ac:dyDescent="0.25">
      <c r="A813" s="66" t="s">
        <v>1527</v>
      </c>
      <c r="B813" s="377"/>
      <c r="C813" s="175">
        <v>1</v>
      </c>
      <c r="D813" s="152">
        <v>221100</v>
      </c>
      <c r="E813" s="74" t="s">
        <v>162</v>
      </c>
      <c r="F813" s="393" t="s">
        <v>1717</v>
      </c>
    </row>
    <row r="814" spans="1:6" ht="15" x14ac:dyDescent="0.25">
      <c r="A814" s="66" t="s">
        <v>1528</v>
      </c>
      <c r="B814" s="377"/>
      <c r="C814" s="71">
        <v>1</v>
      </c>
      <c r="D814" s="75">
        <v>221105</v>
      </c>
      <c r="E814" s="74" t="s">
        <v>162</v>
      </c>
      <c r="F814" s="393" t="s">
        <v>1717</v>
      </c>
    </row>
    <row r="815" spans="1:6" ht="15" x14ac:dyDescent="0.25">
      <c r="A815" s="66" t="s">
        <v>846</v>
      </c>
      <c r="B815" s="375" t="s">
        <v>1930</v>
      </c>
      <c r="C815" s="71">
        <v>2</v>
      </c>
      <c r="D815" s="75" t="s">
        <v>65</v>
      </c>
      <c r="E815" s="74" t="s">
        <v>8</v>
      </c>
      <c r="F815" s="393" t="s">
        <v>1717</v>
      </c>
    </row>
    <row r="816" spans="1:6" ht="15" x14ac:dyDescent="0.25">
      <c r="A816" s="66" t="s">
        <v>915</v>
      </c>
      <c r="B816" s="372" t="s">
        <v>1933</v>
      </c>
      <c r="C816" s="71">
        <v>2</v>
      </c>
      <c r="D816" s="75" t="s">
        <v>69</v>
      </c>
      <c r="E816" s="74" t="s">
        <v>8</v>
      </c>
      <c r="F816" s="393" t="s">
        <v>1717</v>
      </c>
    </row>
    <row r="817" spans="1:6" ht="15" x14ac:dyDescent="0.25">
      <c r="A817" s="66" t="s">
        <v>708</v>
      </c>
      <c r="B817" s="377" t="s">
        <v>1877</v>
      </c>
      <c r="C817" s="71">
        <v>2</v>
      </c>
      <c r="D817" s="353" t="s">
        <v>24</v>
      </c>
      <c r="E817" s="74" t="s">
        <v>8</v>
      </c>
      <c r="F817" s="393" t="s">
        <v>1717</v>
      </c>
    </row>
    <row r="818" spans="1:6" ht="15" x14ac:dyDescent="0.25">
      <c r="A818" s="3" t="s">
        <v>1529</v>
      </c>
      <c r="B818" s="374"/>
      <c r="C818" s="45">
        <v>2</v>
      </c>
      <c r="D818" s="53" t="s">
        <v>1530</v>
      </c>
      <c r="E818" s="112" t="s">
        <v>10</v>
      </c>
      <c r="F818" s="393" t="s">
        <v>1717</v>
      </c>
    </row>
    <row r="819" spans="1:6" ht="15" x14ac:dyDescent="0.25">
      <c r="A819" s="3" t="s">
        <v>1531</v>
      </c>
      <c r="B819" s="374"/>
      <c r="C819" s="45">
        <v>2</v>
      </c>
      <c r="D819" s="207" t="s">
        <v>1532</v>
      </c>
      <c r="E819" s="112" t="s">
        <v>10</v>
      </c>
      <c r="F819" s="393" t="s">
        <v>1717</v>
      </c>
    </row>
    <row r="820" spans="1:6" ht="15" x14ac:dyDescent="0.25">
      <c r="A820" s="66" t="s">
        <v>1533</v>
      </c>
      <c r="B820" s="357" t="s">
        <v>1878</v>
      </c>
      <c r="C820" s="175">
        <v>2</v>
      </c>
      <c r="D820" s="79" t="s">
        <v>26</v>
      </c>
      <c r="E820" s="74" t="s">
        <v>8</v>
      </c>
      <c r="F820" s="393" t="s">
        <v>1717</v>
      </c>
    </row>
    <row r="821" spans="1:6" ht="15" x14ac:dyDescent="0.25">
      <c r="A821" s="319" t="s">
        <v>710</v>
      </c>
      <c r="B821" s="434" t="s">
        <v>1945</v>
      </c>
      <c r="C821" s="86">
        <v>1</v>
      </c>
      <c r="D821" s="353" t="s">
        <v>711</v>
      </c>
      <c r="E821" s="74" t="s">
        <v>8</v>
      </c>
      <c r="F821" s="393" t="s">
        <v>1717</v>
      </c>
    </row>
    <row r="822" spans="1:6" ht="15" x14ac:dyDescent="0.25">
      <c r="A822" s="323" t="s">
        <v>1534</v>
      </c>
      <c r="B822" s="416"/>
      <c r="C822" s="341">
        <v>1</v>
      </c>
      <c r="D822" s="231">
        <v>221450</v>
      </c>
      <c r="E822" s="233" t="s">
        <v>10</v>
      </c>
      <c r="F822" s="393" t="s">
        <v>1717</v>
      </c>
    </row>
    <row r="823" spans="1:6" ht="15" x14ac:dyDescent="0.25">
      <c r="A823" s="14" t="s">
        <v>1535</v>
      </c>
      <c r="B823" s="416"/>
      <c r="C823" s="46">
        <v>1</v>
      </c>
      <c r="D823" s="52">
        <v>221409</v>
      </c>
      <c r="E823" s="233" t="s">
        <v>10</v>
      </c>
      <c r="F823" s="393" t="s">
        <v>1717</v>
      </c>
    </row>
    <row r="824" spans="1:6" ht="15" x14ac:dyDescent="0.25">
      <c r="A824" s="66" t="s">
        <v>1536</v>
      </c>
      <c r="B824" s="377" t="s">
        <v>1965</v>
      </c>
      <c r="C824" s="71">
        <v>2</v>
      </c>
      <c r="D824" s="75" t="s">
        <v>111</v>
      </c>
      <c r="E824" s="74" t="s">
        <v>8</v>
      </c>
      <c r="F824" s="393" t="s">
        <v>1717</v>
      </c>
    </row>
    <row r="825" spans="1:6" ht="15" x14ac:dyDescent="0.25">
      <c r="A825" s="66" t="s">
        <v>1537</v>
      </c>
      <c r="B825" s="362" t="s">
        <v>1985</v>
      </c>
      <c r="C825" s="71">
        <v>1</v>
      </c>
      <c r="D825" s="75" t="s">
        <v>416</v>
      </c>
      <c r="E825" s="74" t="s">
        <v>8</v>
      </c>
      <c r="F825" s="393" t="s">
        <v>1717</v>
      </c>
    </row>
    <row r="826" spans="1:6" ht="15" x14ac:dyDescent="0.25">
      <c r="A826" s="14" t="s">
        <v>1538</v>
      </c>
      <c r="B826" s="428"/>
      <c r="C826" s="46">
        <v>2</v>
      </c>
      <c r="D826" s="52">
        <v>222600</v>
      </c>
      <c r="E826" s="233" t="s">
        <v>10</v>
      </c>
      <c r="F826" s="393" t="s">
        <v>1717</v>
      </c>
    </row>
    <row r="827" spans="1:6" ht="15" x14ac:dyDescent="0.25">
      <c r="A827" s="3" t="s">
        <v>1539</v>
      </c>
      <c r="B827" s="374" t="s">
        <v>1993</v>
      </c>
      <c r="C827" s="45">
        <v>1</v>
      </c>
      <c r="D827" s="53" t="s">
        <v>1540</v>
      </c>
      <c r="E827" s="112" t="s">
        <v>10</v>
      </c>
      <c r="F827" s="393" t="s">
        <v>1717</v>
      </c>
    </row>
    <row r="828" spans="1:6" ht="15" x14ac:dyDescent="0.25">
      <c r="A828" s="66" t="s">
        <v>1541</v>
      </c>
      <c r="B828" s="377" t="s">
        <v>1994</v>
      </c>
      <c r="C828" s="71">
        <v>1</v>
      </c>
      <c r="D828" s="353" t="s">
        <v>660</v>
      </c>
      <c r="E828" s="210" t="s">
        <v>8</v>
      </c>
      <c r="F828" s="393" t="s">
        <v>1717</v>
      </c>
    </row>
    <row r="829" spans="1:6" ht="15" x14ac:dyDescent="0.25">
      <c r="A829" s="3" t="s">
        <v>1542</v>
      </c>
      <c r="B829" s="374" t="s">
        <v>2000</v>
      </c>
      <c r="C829" s="45">
        <v>1</v>
      </c>
      <c r="D829" s="53" t="s">
        <v>1543</v>
      </c>
      <c r="E829" s="112" t="s">
        <v>10</v>
      </c>
      <c r="F829" s="393" t="s">
        <v>1717</v>
      </c>
    </row>
    <row r="830" spans="1:6" ht="15" x14ac:dyDescent="0.25">
      <c r="A830" s="3" t="s">
        <v>1544</v>
      </c>
      <c r="B830" s="374" t="s">
        <v>2004</v>
      </c>
      <c r="C830" s="45">
        <v>2</v>
      </c>
      <c r="D830" s="53" t="s">
        <v>101</v>
      </c>
      <c r="E830" s="112" t="s">
        <v>10</v>
      </c>
      <c r="F830" s="393" t="s">
        <v>1717</v>
      </c>
    </row>
    <row r="831" spans="1:6" ht="15" x14ac:dyDescent="0.25">
      <c r="A831" s="24" t="s">
        <v>1557</v>
      </c>
      <c r="B831" s="376"/>
      <c r="C831" s="55">
        <v>2</v>
      </c>
      <c r="D831" s="75" t="s">
        <v>1558</v>
      </c>
      <c r="E831" s="74" t="s">
        <v>10</v>
      </c>
      <c r="F831" s="393" t="s">
        <v>1744</v>
      </c>
    </row>
    <row r="832" spans="1:6" ht="15" x14ac:dyDescent="0.25">
      <c r="A832" s="1" t="s">
        <v>1561</v>
      </c>
      <c r="B832" s="376" t="s">
        <v>1767</v>
      </c>
      <c r="C832" s="32">
        <v>2</v>
      </c>
      <c r="D832" s="53" t="s">
        <v>12</v>
      </c>
      <c r="E832" s="112" t="s">
        <v>8</v>
      </c>
      <c r="F832" s="393" t="s">
        <v>1744</v>
      </c>
    </row>
    <row r="833" spans="1:7" ht="15" x14ac:dyDescent="0.25">
      <c r="A833" s="1" t="s">
        <v>1559</v>
      </c>
      <c r="B833" s="430" t="s">
        <v>1772</v>
      </c>
      <c r="C833" s="32">
        <v>2</v>
      </c>
      <c r="D833" s="53" t="s">
        <v>200</v>
      </c>
      <c r="E833" s="112" t="s">
        <v>8</v>
      </c>
      <c r="F833" s="393" t="s">
        <v>1744</v>
      </c>
      <c r="G833" t="s">
        <v>1775</v>
      </c>
    </row>
    <row r="834" spans="1:7" ht="15" x14ac:dyDescent="0.25">
      <c r="A834" s="1" t="s">
        <v>1560</v>
      </c>
      <c r="B834" s="373" t="s">
        <v>1780</v>
      </c>
      <c r="C834" s="32">
        <v>2</v>
      </c>
      <c r="D834" s="53" t="s">
        <v>18</v>
      </c>
      <c r="E834" s="112" t="s">
        <v>8</v>
      </c>
      <c r="F834" s="393" t="s">
        <v>1744</v>
      </c>
    </row>
    <row r="835" spans="1:7" ht="15" x14ac:dyDescent="0.25">
      <c r="A835" s="1" t="s">
        <v>1298</v>
      </c>
      <c r="B835" s="376" t="s">
        <v>1779</v>
      </c>
      <c r="C835" s="32">
        <v>2</v>
      </c>
      <c r="D835" s="53" t="s">
        <v>22</v>
      </c>
      <c r="E835" s="112" t="s">
        <v>8</v>
      </c>
      <c r="F835" s="393" t="s">
        <v>1744</v>
      </c>
    </row>
    <row r="836" spans="1:7" ht="15" x14ac:dyDescent="0.25">
      <c r="A836" s="1" t="s">
        <v>367</v>
      </c>
      <c r="B836" s="373" t="s">
        <v>1782</v>
      </c>
      <c r="C836" s="32">
        <v>2</v>
      </c>
      <c r="D836" s="53" t="s">
        <v>230</v>
      </c>
      <c r="E836" s="112" t="s">
        <v>8</v>
      </c>
      <c r="F836" s="393" t="s">
        <v>1744</v>
      </c>
    </row>
    <row r="837" spans="1:7" ht="15" x14ac:dyDescent="0.25">
      <c r="A837" s="1" t="s">
        <v>976</v>
      </c>
      <c r="B837" s="373"/>
      <c r="C837" s="32">
        <v>1</v>
      </c>
      <c r="D837" s="53" t="s">
        <v>307</v>
      </c>
      <c r="E837" s="112" t="s">
        <v>10</v>
      </c>
      <c r="F837" s="393" t="s">
        <v>1744</v>
      </c>
    </row>
    <row r="838" spans="1:7" ht="15" x14ac:dyDescent="0.25">
      <c r="A838" s="24" t="s">
        <v>436</v>
      </c>
      <c r="B838" s="377" t="s">
        <v>1825</v>
      </c>
      <c r="C838" s="55">
        <v>1</v>
      </c>
      <c r="D838" s="75" t="s">
        <v>1545</v>
      </c>
      <c r="E838" s="74" t="s">
        <v>10</v>
      </c>
      <c r="F838" s="393" t="s">
        <v>1744</v>
      </c>
    </row>
    <row r="839" spans="1:7" ht="15" x14ac:dyDescent="0.25">
      <c r="A839" s="1" t="s">
        <v>1562</v>
      </c>
      <c r="B839" s="373" t="s">
        <v>1871</v>
      </c>
      <c r="C839" s="32">
        <v>2</v>
      </c>
      <c r="D839" s="53" t="s">
        <v>226</v>
      </c>
      <c r="E839" s="112" t="s">
        <v>8</v>
      </c>
      <c r="F839" s="393" t="s">
        <v>1744</v>
      </c>
    </row>
    <row r="840" spans="1:7" ht="15" x14ac:dyDescent="0.25">
      <c r="A840" s="1" t="s">
        <v>839</v>
      </c>
      <c r="B840" s="373" t="s">
        <v>1872</v>
      </c>
      <c r="C840" s="32">
        <v>2</v>
      </c>
      <c r="D840" s="53" t="s">
        <v>1556</v>
      </c>
      <c r="E840" s="112" t="s">
        <v>8</v>
      </c>
      <c r="F840" s="393" t="s">
        <v>1744</v>
      </c>
    </row>
    <row r="841" spans="1:7" ht="15" x14ac:dyDescent="0.25">
      <c r="A841" s="1" t="s">
        <v>703</v>
      </c>
      <c r="B841" s="373" t="s">
        <v>1754</v>
      </c>
      <c r="C841" s="32">
        <v>2</v>
      </c>
      <c r="D841" s="53" t="s">
        <v>601</v>
      </c>
      <c r="E841" s="112" t="s">
        <v>8</v>
      </c>
      <c r="F841" s="393" t="s">
        <v>1744</v>
      </c>
    </row>
    <row r="842" spans="1:7" ht="15" x14ac:dyDescent="0.25">
      <c r="A842" s="1" t="s">
        <v>704</v>
      </c>
      <c r="B842" s="376" t="s">
        <v>1753</v>
      </c>
      <c r="C842" s="32">
        <v>2</v>
      </c>
      <c r="D842" s="53" t="s">
        <v>33</v>
      </c>
      <c r="E842" s="112" t="s">
        <v>8</v>
      </c>
      <c r="F842" s="393" t="s">
        <v>1744</v>
      </c>
    </row>
    <row r="843" spans="1:7" ht="15" x14ac:dyDescent="0.25">
      <c r="A843" s="1" t="s">
        <v>1563</v>
      </c>
      <c r="B843" s="375" t="s">
        <v>1881</v>
      </c>
      <c r="C843" s="32">
        <v>6</v>
      </c>
      <c r="D843" s="53" t="s">
        <v>36</v>
      </c>
      <c r="E843" s="112" t="s">
        <v>8</v>
      </c>
      <c r="F843" s="393" t="s">
        <v>1744</v>
      </c>
    </row>
    <row r="844" spans="1:7" ht="15" x14ac:dyDescent="0.25">
      <c r="A844" s="1" t="s">
        <v>42</v>
      </c>
      <c r="B844" s="373" t="s">
        <v>1885</v>
      </c>
      <c r="C844" s="32">
        <v>1</v>
      </c>
      <c r="D844" s="53" t="s">
        <v>43</v>
      </c>
      <c r="E844" s="112" t="s">
        <v>8</v>
      </c>
      <c r="F844" s="393" t="s">
        <v>1744</v>
      </c>
    </row>
    <row r="845" spans="1:7" ht="15" x14ac:dyDescent="0.25">
      <c r="A845" s="1" t="s">
        <v>44</v>
      </c>
      <c r="B845" s="362" t="s">
        <v>1886</v>
      </c>
      <c r="C845" s="32">
        <v>1</v>
      </c>
      <c r="D845" s="53" t="s">
        <v>45</v>
      </c>
      <c r="E845" s="112" t="s">
        <v>8</v>
      </c>
      <c r="F845" s="393" t="s">
        <v>1744</v>
      </c>
    </row>
    <row r="846" spans="1:7" ht="15" x14ac:dyDescent="0.25">
      <c r="A846" s="1" t="s">
        <v>1465</v>
      </c>
      <c r="B846" s="373" t="s">
        <v>1892</v>
      </c>
      <c r="C846" s="32">
        <v>4</v>
      </c>
      <c r="D846" s="53" t="s">
        <v>1466</v>
      </c>
      <c r="E846" s="112" t="s">
        <v>8</v>
      </c>
      <c r="F846" s="393" t="s">
        <v>1744</v>
      </c>
    </row>
    <row r="847" spans="1:7" ht="15" x14ac:dyDescent="0.25">
      <c r="A847" s="1" t="s">
        <v>1555</v>
      </c>
      <c r="B847" s="373" t="s">
        <v>1894</v>
      </c>
      <c r="C847" s="32">
        <v>8</v>
      </c>
      <c r="D847" s="53" t="s">
        <v>84</v>
      </c>
      <c r="E847" s="112" t="s">
        <v>8</v>
      </c>
      <c r="F847" s="393" t="s">
        <v>1744</v>
      </c>
    </row>
    <row r="848" spans="1:7" ht="15" x14ac:dyDescent="0.25">
      <c r="A848" s="1" t="s">
        <v>308</v>
      </c>
      <c r="B848" s="362" t="s">
        <v>1895</v>
      </c>
      <c r="C848" s="32">
        <v>6</v>
      </c>
      <c r="D848" s="53">
        <v>957</v>
      </c>
      <c r="E848" s="112" t="s">
        <v>4</v>
      </c>
      <c r="F848" s="393" t="s">
        <v>1744</v>
      </c>
    </row>
    <row r="849" spans="1:7" ht="15" x14ac:dyDescent="0.25">
      <c r="A849" s="1" t="s">
        <v>335</v>
      </c>
      <c r="B849" s="376" t="s">
        <v>1900</v>
      </c>
      <c r="C849" s="32">
        <v>1</v>
      </c>
      <c r="D849" s="53" t="s">
        <v>53</v>
      </c>
      <c r="E849" s="112" t="s">
        <v>8</v>
      </c>
      <c r="F849" s="393" t="s">
        <v>1744</v>
      </c>
    </row>
    <row r="850" spans="1:7" ht="15" x14ac:dyDescent="0.25">
      <c r="A850" s="24" t="s">
        <v>1569</v>
      </c>
      <c r="B850" s="376" t="s">
        <v>1909</v>
      </c>
      <c r="C850" s="55">
        <v>2</v>
      </c>
      <c r="D850" s="75" t="s">
        <v>1570</v>
      </c>
      <c r="E850" s="74" t="s">
        <v>8</v>
      </c>
      <c r="F850" s="393" t="s">
        <v>1744</v>
      </c>
      <c r="G850" t="s">
        <v>1766</v>
      </c>
    </row>
    <row r="851" spans="1:7" ht="15" x14ac:dyDescent="0.25">
      <c r="A851" s="24" t="s">
        <v>1568</v>
      </c>
      <c r="B851" s="376" t="s">
        <v>1908</v>
      </c>
      <c r="C851" s="55">
        <v>2</v>
      </c>
      <c r="D851" s="75" t="s">
        <v>611</v>
      </c>
      <c r="E851" s="74" t="s">
        <v>8</v>
      </c>
      <c r="F851" s="393" t="s">
        <v>1744</v>
      </c>
    </row>
    <row r="852" spans="1:7" ht="15" x14ac:dyDescent="0.25">
      <c r="A852" s="24" t="s">
        <v>1571</v>
      </c>
      <c r="B852" s="376"/>
      <c r="C852" s="55">
        <v>2</v>
      </c>
      <c r="D852" s="75" t="s">
        <v>260</v>
      </c>
      <c r="E852" s="74" t="s">
        <v>8</v>
      </c>
      <c r="F852" s="393" t="s">
        <v>1744</v>
      </c>
    </row>
    <row r="853" spans="1:7" ht="15" x14ac:dyDescent="0.25">
      <c r="A853" s="1" t="s">
        <v>56</v>
      </c>
      <c r="B853" s="333" t="s">
        <v>1911</v>
      </c>
      <c r="C853" s="32">
        <v>2</v>
      </c>
      <c r="D853" s="53" t="s">
        <v>57</v>
      </c>
      <c r="E853" s="112" t="s">
        <v>8</v>
      </c>
      <c r="F853" s="393" t="s">
        <v>1744</v>
      </c>
    </row>
    <row r="854" spans="1:7" ht="15" x14ac:dyDescent="0.25">
      <c r="A854" s="24" t="s">
        <v>1546</v>
      </c>
      <c r="B854" s="376" t="s">
        <v>1920</v>
      </c>
      <c r="C854" s="55">
        <v>4</v>
      </c>
      <c r="D854" s="75" t="s">
        <v>1547</v>
      </c>
      <c r="E854" s="74" t="s">
        <v>10</v>
      </c>
      <c r="F854" s="393" t="s">
        <v>1744</v>
      </c>
    </row>
    <row r="855" spans="1:7" ht="15" x14ac:dyDescent="0.25">
      <c r="A855" s="24" t="s">
        <v>1572</v>
      </c>
      <c r="B855" s="376" t="s">
        <v>1921</v>
      </c>
      <c r="C855" s="55">
        <v>3</v>
      </c>
      <c r="D855" s="75" t="s">
        <v>1573</v>
      </c>
      <c r="E855" s="74" t="s">
        <v>10</v>
      </c>
      <c r="F855" s="393" t="s">
        <v>1744</v>
      </c>
    </row>
    <row r="856" spans="1:7" ht="15" x14ac:dyDescent="0.25">
      <c r="A856" s="1" t="s">
        <v>846</v>
      </c>
      <c r="B856" s="375" t="s">
        <v>1930</v>
      </c>
      <c r="C856" s="32">
        <v>5</v>
      </c>
      <c r="D856" s="53" t="s">
        <v>65</v>
      </c>
      <c r="E856" s="112" t="s">
        <v>8</v>
      </c>
      <c r="F856" s="393" t="s">
        <v>1744</v>
      </c>
    </row>
    <row r="857" spans="1:7" ht="15" x14ac:dyDescent="0.25">
      <c r="A857" s="1" t="s">
        <v>338</v>
      </c>
      <c r="B857" s="375" t="s">
        <v>1931</v>
      </c>
      <c r="C857" s="32">
        <v>5</v>
      </c>
      <c r="D857" s="53" t="s">
        <v>66</v>
      </c>
      <c r="E857" s="112" t="s">
        <v>8</v>
      </c>
      <c r="F857" s="393" t="s">
        <v>1744</v>
      </c>
    </row>
    <row r="858" spans="1:7" ht="15" x14ac:dyDescent="0.25">
      <c r="A858" s="1" t="s">
        <v>72</v>
      </c>
      <c r="B858" s="373" t="s">
        <v>1937</v>
      </c>
      <c r="C858" s="32">
        <v>3</v>
      </c>
      <c r="D858" s="53" t="s">
        <v>73</v>
      </c>
      <c r="E858" s="112" t="s">
        <v>8</v>
      </c>
      <c r="F858" s="393" t="s">
        <v>1744</v>
      </c>
    </row>
    <row r="859" spans="1:7" ht="15" x14ac:dyDescent="0.25">
      <c r="A859" s="24" t="s">
        <v>1457</v>
      </c>
      <c r="B859" s="376" t="s">
        <v>1877</v>
      </c>
      <c r="C859" s="55">
        <v>5</v>
      </c>
      <c r="D859" s="75" t="s">
        <v>24</v>
      </c>
      <c r="E859" s="74" t="s">
        <v>8</v>
      </c>
      <c r="F859" s="393" t="s">
        <v>1744</v>
      </c>
    </row>
    <row r="860" spans="1:7" ht="15" x14ac:dyDescent="0.25">
      <c r="A860" s="1" t="s">
        <v>1554</v>
      </c>
      <c r="B860" s="373" t="s">
        <v>1877</v>
      </c>
      <c r="C860" s="32">
        <v>15</v>
      </c>
      <c r="D860" s="53" t="s">
        <v>649</v>
      </c>
      <c r="E860" s="112" t="s">
        <v>8</v>
      </c>
      <c r="F860" s="393" t="s">
        <v>1744</v>
      </c>
    </row>
    <row r="861" spans="1:7" ht="15" x14ac:dyDescent="0.25">
      <c r="A861" s="1" t="s">
        <v>1552</v>
      </c>
      <c r="B861" s="373" t="s">
        <v>1878</v>
      </c>
      <c r="C861" s="32">
        <v>6</v>
      </c>
      <c r="D861" s="53" t="s">
        <v>1553</v>
      </c>
      <c r="E861" s="112" t="s">
        <v>8</v>
      </c>
      <c r="F861" s="393" t="s">
        <v>1744</v>
      </c>
    </row>
    <row r="862" spans="1:7" ht="15" x14ac:dyDescent="0.25">
      <c r="A862" s="24" t="s">
        <v>1548</v>
      </c>
      <c r="B862" s="376" t="s">
        <v>1944</v>
      </c>
      <c r="C862" s="55">
        <v>1</v>
      </c>
      <c r="D862" s="75" t="s">
        <v>1549</v>
      </c>
      <c r="E862" s="74" t="s">
        <v>10</v>
      </c>
      <c r="F862" s="393" t="s">
        <v>1744</v>
      </c>
    </row>
    <row r="863" spans="1:7" ht="15" x14ac:dyDescent="0.25">
      <c r="A863" s="24" t="s">
        <v>1480</v>
      </c>
      <c r="B863" s="376"/>
      <c r="C863" s="55">
        <v>2</v>
      </c>
      <c r="D863" s="75" t="s">
        <v>28</v>
      </c>
      <c r="E863" s="74" t="s">
        <v>8</v>
      </c>
      <c r="F863" s="393" t="s">
        <v>1744</v>
      </c>
    </row>
    <row r="864" spans="1:7" ht="15" x14ac:dyDescent="0.25">
      <c r="A864" s="24" t="s">
        <v>1567</v>
      </c>
      <c r="B864" s="372" t="s">
        <v>1961</v>
      </c>
      <c r="C864" s="177">
        <v>2</v>
      </c>
      <c r="D864" s="75" t="s">
        <v>855</v>
      </c>
      <c r="E864" s="74" t="s">
        <v>363</v>
      </c>
      <c r="F864" s="393" t="s">
        <v>1744</v>
      </c>
    </row>
    <row r="865" spans="1:6" ht="15" x14ac:dyDescent="0.25">
      <c r="A865" s="178" t="s">
        <v>1575</v>
      </c>
      <c r="B865" s="376" t="s">
        <v>1978</v>
      </c>
      <c r="C865" s="442">
        <v>1</v>
      </c>
      <c r="D865" s="277" t="s">
        <v>627</v>
      </c>
      <c r="E865" s="74" t="s">
        <v>8</v>
      </c>
      <c r="F865" s="393" t="s">
        <v>1744</v>
      </c>
    </row>
    <row r="866" spans="1:6" ht="15" x14ac:dyDescent="0.25">
      <c r="A866" s="318" t="s">
        <v>1574</v>
      </c>
      <c r="B866" s="376" t="s">
        <v>1997</v>
      </c>
      <c r="C866" s="335">
        <v>1</v>
      </c>
      <c r="D866" s="245" t="s">
        <v>631</v>
      </c>
      <c r="E866" s="74" t="s">
        <v>8</v>
      </c>
      <c r="F866" s="393" t="s">
        <v>1744</v>
      </c>
    </row>
    <row r="867" spans="1:6" ht="15" x14ac:dyDescent="0.25">
      <c r="A867" s="9" t="s">
        <v>1566</v>
      </c>
      <c r="B867" s="374" t="s">
        <v>1993</v>
      </c>
      <c r="C867" s="36">
        <v>1</v>
      </c>
      <c r="D867" s="131" t="s">
        <v>665</v>
      </c>
      <c r="E867" s="112" t="s">
        <v>8</v>
      </c>
      <c r="F867" s="393" t="s">
        <v>1744</v>
      </c>
    </row>
    <row r="868" spans="1:6" ht="15" x14ac:dyDescent="0.25">
      <c r="A868" s="9" t="s">
        <v>1542</v>
      </c>
      <c r="B868" s="374" t="s">
        <v>2000</v>
      </c>
      <c r="C868" s="36">
        <v>1</v>
      </c>
      <c r="D868" s="131" t="s">
        <v>665</v>
      </c>
      <c r="E868" s="112" t="s">
        <v>8</v>
      </c>
      <c r="F868" s="393" t="s">
        <v>1744</v>
      </c>
    </row>
    <row r="869" spans="1:6" ht="15" x14ac:dyDescent="0.25">
      <c r="A869" s="88" t="s">
        <v>1550</v>
      </c>
      <c r="B869" s="376"/>
      <c r="C869" s="68">
        <v>1</v>
      </c>
      <c r="D869" s="152" t="s">
        <v>1551</v>
      </c>
      <c r="E869" s="74" t="s">
        <v>10</v>
      </c>
      <c r="F869" s="393" t="s">
        <v>1744</v>
      </c>
    </row>
    <row r="870" spans="1:6" ht="15" x14ac:dyDescent="0.25">
      <c r="A870" s="9" t="s">
        <v>1564</v>
      </c>
      <c r="B870" s="373" t="s">
        <v>2001</v>
      </c>
      <c r="C870" s="36">
        <v>1</v>
      </c>
      <c r="D870" s="131" t="s">
        <v>1565</v>
      </c>
      <c r="E870" s="112" t="s">
        <v>8</v>
      </c>
      <c r="F870" s="393" t="s">
        <v>1744</v>
      </c>
    </row>
    <row r="871" spans="1:6" ht="15" x14ac:dyDescent="0.25">
      <c r="A871" s="88" t="s">
        <v>349</v>
      </c>
      <c r="B871" s="19" t="s">
        <v>2003</v>
      </c>
      <c r="C871" s="68">
        <v>1</v>
      </c>
      <c r="D871" s="152" t="s">
        <v>96</v>
      </c>
      <c r="E871" s="74" t="s">
        <v>8</v>
      </c>
      <c r="F871" s="393" t="s">
        <v>1744</v>
      </c>
    </row>
    <row r="872" spans="1:6" ht="15" x14ac:dyDescent="0.25">
      <c r="A872" s="9" t="s">
        <v>1242</v>
      </c>
      <c r="B872" s="317" t="s">
        <v>1994</v>
      </c>
      <c r="C872" s="36">
        <v>1</v>
      </c>
      <c r="D872" s="131" t="s">
        <v>660</v>
      </c>
      <c r="E872" s="112" t="s">
        <v>8</v>
      </c>
      <c r="F872" s="393" t="s">
        <v>1744</v>
      </c>
    </row>
    <row r="873" spans="1:6" ht="15" x14ac:dyDescent="0.25">
      <c r="A873" s="9" t="s">
        <v>929</v>
      </c>
      <c r="B873" s="19" t="s">
        <v>2004</v>
      </c>
      <c r="C873" s="36">
        <v>1</v>
      </c>
      <c r="D873" s="131" t="s">
        <v>635</v>
      </c>
      <c r="E873" s="112" t="s">
        <v>8</v>
      </c>
      <c r="F873" s="393" t="s">
        <v>1744</v>
      </c>
    </row>
    <row r="874" spans="1:6" ht="15" x14ac:dyDescent="0.25">
      <c r="A874" s="9" t="s">
        <v>99</v>
      </c>
      <c r="B874" s="9" t="s">
        <v>2006</v>
      </c>
      <c r="C874" s="36">
        <v>1</v>
      </c>
      <c r="D874" s="131" t="s">
        <v>662</v>
      </c>
      <c r="E874" s="112" t="s">
        <v>8</v>
      </c>
      <c r="F874" s="393" t="s">
        <v>1744</v>
      </c>
    </row>
    <row r="875" spans="1:6" ht="15" x14ac:dyDescent="0.25">
      <c r="A875" s="21" t="s">
        <v>1494</v>
      </c>
      <c r="B875" s="21" t="s">
        <v>1755</v>
      </c>
      <c r="C875" s="115">
        <v>1</v>
      </c>
      <c r="D875" s="162" t="s">
        <v>1495</v>
      </c>
      <c r="E875" s="258" t="s">
        <v>8</v>
      </c>
      <c r="F875" s="393" t="s">
        <v>1716</v>
      </c>
    </row>
    <row r="876" spans="1:6" ht="15" x14ac:dyDescent="0.25">
      <c r="A876" s="21" t="s">
        <v>1435</v>
      </c>
      <c r="B876" s="21" t="s">
        <v>1756</v>
      </c>
      <c r="C876" s="115">
        <v>2</v>
      </c>
      <c r="D876" s="162" t="s">
        <v>14</v>
      </c>
      <c r="E876" s="258" t="s">
        <v>8</v>
      </c>
      <c r="F876" s="393" t="s">
        <v>1716</v>
      </c>
    </row>
    <row r="877" spans="1:6" ht="15" x14ac:dyDescent="0.25">
      <c r="A877" s="21" t="s">
        <v>1500</v>
      </c>
      <c r="B877" s="21" t="s">
        <v>1798</v>
      </c>
      <c r="C877" s="115">
        <v>1</v>
      </c>
      <c r="D877" s="162" t="s">
        <v>131</v>
      </c>
      <c r="E877" s="258" t="s">
        <v>8</v>
      </c>
      <c r="F877" s="393" t="s">
        <v>1716</v>
      </c>
    </row>
    <row r="878" spans="1:6" ht="15" x14ac:dyDescent="0.25">
      <c r="A878" s="21" t="s">
        <v>1449</v>
      </c>
      <c r="B878" s="21"/>
      <c r="C878" s="115">
        <v>1</v>
      </c>
      <c r="D878" s="162"/>
      <c r="E878" s="258"/>
      <c r="F878" s="393" t="s">
        <v>1716</v>
      </c>
    </row>
    <row r="879" spans="1:6" ht="15" x14ac:dyDescent="0.25">
      <c r="A879" s="21" t="s">
        <v>1499</v>
      </c>
      <c r="B879" s="21" t="s">
        <v>1830</v>
      </c>
      <c r="C879" s="115">
        <v>1</v>
      </c>
      <c r="D879" s="162" t="s">
        <v>1212</v>
      </c>
      <c r="E879" s="258" t="s">
        <v>8</v>
      </c>
      <c r="F879" s="393" t="s">
        <v>1716</v>
      </c>
    </row>
    <row r="880" spans="1:6" ht="15" x14ac:dyDescent="0.25">
      <c r="A880" s="21" t="s">
        <v>1497</v>
      </c>
      <c r="B880" s="21" t="s">
        <v>1833</v>
      </c>
      <c r="C880" s="115">
        <v>1</v>
      </c>
      <c r="D880" s="162" t="s">
        <v>1498</v>
      </c>
      <c r="E880" s="258" t="s">
        <v>8</v>
      </c>
      <c r="F880" s="393" t="s">
        <v>1716</v>
      </c>
    </row>
    <row r="881" spans="1:6" ht="15" x14ac:dyDescent="0.25">
      <c r="A881" s="21" t="s">
        <v>1485</v>
      </c>
      <c r="B881" s="21" t="s">
        <v>1894</v>
      </c>
      <c r="C881" s="115">
        <v>2</v>
      </c>
      <c r="D881" s="162" t="s">
        <v>84</v>
      </c>
      <c r="E881" s="258" t="s">
        <v>8</v>
      </c>
      <c r="F881" s="393" t="s">
        <v>1716</v>
      </c>
    </row>
    <row r="882" spans="1:6" ht="15" x14ac:dyDescent="0.25">
      <c r="A882" s="21" t="s">
        <v>1493</v>
      </c>
      <c r="B882" s="88" t="s">
        <v>1900</v>
      </c>
      <c r="C882" s="115">
        <v>1</v>
      </c>
      <c r="D882" s="162" t="s">
        <v>53</v>
      </c>
      <c r="E882" s="258" t="s">
        <v>8</v>
      </c>
      <c r="F882" s="393" t="s">
        <v>1716</v>
      </c>
    </row>
    <row r="883" spans="1:6" ht="15" x14ac:dyDescent="0.25">
      <c r="A883" s="21" t="s">
        <v>1486</v>
      </c>
      <c r="B883" s="88" t="s">
        <v>1900</v>
      </c>
      <c r="C883" s="115">
        <v>1</v>
      </c>
      <c r="D883" s="162" t="s">
        <v>53</v>
      </c>
      <c r="E883" s="258" t="s">
        <v>8</v>
      </c>
      <c r="F883" s="393" t="s">
        <v>1716</v>
      </c>
    </row>
    <row r="884" spans="1:6" ht="15" x14ac:dyDescent="0.25">
      <c r="A884" s="21" t="s">
        <v>1491</v>
      </c>
      <c r="B884" s="21"/>
      <c r="C884" s="115">
        <v>1</v>
      </c>
      <c r="D884" s="162" t="s">
        <v>1492</v>
      </c>
      <c r="E884" s="258" t="s">
        <v>8</v>
      </c>
      <c r="F884" s="393" t="s">
        <v>1716</v>
      </c>
    </row>
    <row r="885" spans="1:6" ht="15" x14ac:dyDescent="0.25">
      <c r="A885" s="21" t="s">
        <v>1487</v>
      </c>
      <c r="B885" s="21"/>
      <c r="C885" s="115">
        <v>1</v>
      </c>
      <c r="D885" s="162" t="s">
        <v>1488</v>
      </c>
      <c r="E885" s="258" t="s">
        <v>8</v>
      </c>
      <c r="F885" s="393" t="s">
        <v>1716</v>
      </c>
    </row>
    <row r="886" spans="1:6" ht="15" x14ac:dyDescent="0.25">
      <c r="A886" s="383" t="s">
        <v>1489</v>
      </c>
      <c r="B886" s="383"/>
      <c r="C886" s="308">
        <v>1</v>
      </c>
      <c r="D886" s="270" t="s">
        <v>1490</v>
      </c>
      <c r="E886" s="273" t="s">
        <v>8</v>
      </c>
      <c r="F886" s="393" t="s">
        <v>1716</v>
      </c>
    </row>
    <row r="887" spans="1:6" ht="15" x14ac:dyDescent="0.25">
      <c r="A887" s="193" t="s">
        <v>1496</v>
      </c>
      <c r="B887" s="322" t="s">
        <v>1859</v>
      </c>
      <c r="C887" s="274">
        <v>2</v>
      </c>
      <c r="D887" s="191" t="s">
        <v>135</v>
      </c>
      <c r="E887" s="258" t="s">
        <v>8</v>
      </c>
      <c r="F887" s="393" t="s">
        <v>1716</v>
      </c>
    </row>
    <row r="888" spans="1:6" ht="15" x14ac:dyDescent="0.25">
      <c r="A888" s="193" t="s">
        <v>1340</v>
      </c>
      <c r="B888" s="193" t="s">
        <v>1862</v>
      </c>
      <c r="C888" s="274">
        <v>1</v>
      </c>
      <c r="D888" s="191" t="s">
        <v>137</v>
      </c>
      <c r="E888" s="258" t="s">
        <v>8</v>
      </c>
      <c r="F888" s="393" t="s">
        <v>1716</v>
      </c>
    </row>
    <row r="889" spans="1:6" ht="15" x14ac:dyDescent="0.25">
      <c r="A889" s="264" t="s">
        <v>668</v>
      </c>
      <c r="B889" s="264" t="s">
        <v>1758</v>
      </c>
      <c r="C889" s="268">
        <v>2</v>
      </c>
      <c r="D889" s="112" t="s">
        <v>232</v>
      </c>
      <c r="E889" s="112" t="s">
        <v>8</v>
      </c>
      <c r="F889" s="393" t="s">
        <v>1691</v>
      </c>
    </row>
    <row r="890" spans="1:6" ht="15" x14ac:dyDescent="0.25">
      <c r="A890" s="300" t="s">
        <v>656</v>
      </c>
      <c r="B890" s="193" t="s">
        <v>1756</v>
      </c>
      <c r="C890" s="335">
        <v>2</v>
      </c>
      <c r="D890" s="74" t="s">
        <v>14</v>
      </c>
      <c r="E890" s="112" t="s">
        <v>8</v>
      </c>
      <c r="F890" s="393" t="s">
        <v>1691</v>
      </c>
    </row>
    <row r="891" spans="1:6" ht="15" x14ac:dyDescent="0.25">
      <c r="A891" s="300" t="s">
        <v>655</v>
      </c>
      <c r="B891" s="300" t="s">
        <v>1767</v>
      </c>
      <c r="C891" s="335">
        <v>2</v>
      </c>
      <c r="D891" s="74" t="s">
        <v>12</v>
      </c>
      <c r="E891" s="112" t="s">
        <v>8</v>
      </c>
      <c r="F891" s="393" t="s">
        <v>1691</v>
      </c>
    </row>
    <row r="892" spans="1:6" ht="15" x14ac:dyDescent="0.25">
      <c r="A892" s="264" t="s">
        <v>313</v>
      </c>
      <c r="B892" s="264"/>
      <c r="C892" s="268" t="s">
        <v>307</v>
      </c>
      <c r="D892" s="112">
        <v>662250</v>
      </c>
      <c r="E892" s="112" t="s">
        <v>501</v>
      </c>
      <c r="F892" s="393" t="s">
        <v>1691</v>
      </c>
    </row>
    <row r="893" spans="1:6" ht="15" x14ac:dyDescent="0.25">
      <c r="A893" s="402" t="s">
        <v>644</v>
      </c>
      <c r="B893" s="300" t="s">
        <v>1754</v>
      </c>
      <c r="C893" s="398">
        <v>2</v>
      </c>
      <c r="D893" s="74" t="s">
        <v>601</v>
      </c>
      <c r="E893" s="112" t="s">
        <v>8</v>
      </c>
      <c r="F893" s="393" t="s">
        <v>1691</v>
      </c>
    </row>
    <row r="894" spans="1:6" ht="15" x14ac:dyDescent="0.25">
      <c r="A894" s="318" t="s">
        <v>642</v>
      </c>
      <c r="B894" s="300" t="s">
        <v>1753</v>
      </c>
      <c r="C894" s="398">
        <v>2</v>
      </c>
      <c r="D894" s="74" t="s">
        <v>33</v>
      </c>
      <c r="E894" s="112" t="s">
        <v>8</v>
      </c>
      <c r="F894" s="393" t="s">
        <v>1691</v>
      </c>
    </row>
    <row r="895" spans="1:6" ht="15" x14ac:dyDescent="0.25">
      <c r="A895" s="318" t="s">
        <v>641</v>
      </c>
      <c r="B895" s="300" t="s">
        <v>1886</v>
      </c>
      <c r="C895" s="398">
        <v>2</v>
      </c>
      <c r="D895" s="74" t="s">
        <v>45</v>
      </c>
      <c r="E895" s="112" t="s">
        <v>8</v>
      </c>
      <c r="F895" s="393" t="s">
        <v>1691</v>
      </c>
    </row>
    <row r="896" spans="1:6" ht="15" x14ac:dyDescent="0.25">
      <c r="A896" s="309" t="s">
        <v>306</v>
      </c>
      <c r="B896" s="302" t="s">
        <v>1896</v>
      </c>
      <c r="C896" s="41">
        <v>6</v>
      </c>
      <c r="D896" s="112">
        <v>971</v>
      </c>
      <c r="E896" s="112" t="s">
        <v>4</v>
      </c>
      <c r="F896" s="393" t="s">
        <v>1691</v>
      </c>
    </row>
    <row r="897" spans="1:6" ht="15" x14ac:dyDescent="0.25">
      <c r="A897" s="318" t="s">
        <v>645</v>
      </c>
      <c r="B897" s="300" t="s">
        <v>1900</v>
      </c>
      <c r="C897" s="398">
        <v>1</v>
      </c>
      <c r="D897" s="74" t="s">
        <v>53</v>
      </c>
      <c r="E897" s="112" t="s">
        <v>8</v>
      </c>
      <c r="F897" s="393" t="s">
        <v>1691</v>
      </c>
    </row>
    <row r="898" spans="1:6" ht="15" x14ac:dyDescent="0.25">
      <c r="A898" s="318" t="s">
        <v>652</v>
      </c>
      <c r="B898" s="300" t="s">
        <v>1902</v>
      </c>
      <c r="C898" s="398">
        <v>7</v>
      </c>
      <c r="D898" s="74" t="s">
        <v>653</v>
      </c>
      <c r="E898" s="112" t="s">
        <v>8</v>
      </c>
      <c r="F898" s="393" t="s">
        <v>1691</v>
      </c>
    </row>
    <row r="899" spans="1:6" ht="15" x14ac:dyDescent="0.25">
      <c r="A899" s="318" t="s">
        <v>650</v>
      </c>
      <c r="B899" s="300" t="s">
        <v>1903</v>
      </c>
      <c r="C899" s="398">
        <v>7</v>
      </c>
      <c r="D899" s="74" t="s">
        <v>651</v>
      </c>
      <c r="E899" s="112" t="s">
        <v>8</v>
      </c>
      <c r="F899" s="393" t="s">
        <v>1691</v>
      </c>
    </row>
    <row r="900" spans="1:6" ht="15" x14ac:dyDescent="0.25">
      <c r="A900" s="318" t="s">
        <v>643</v>
      </c>
      <c r="B900" s="326" t="s">
        <v>1911</v>
      </c>
      <c r="C900" s="398">
        <v>2</v>
      </c>
      <c r="D900" s="74" t="s">
        <v>57</v>
      </c>
      <c r="E900" s="112" t="s">
        <v>8</v>
      </c>
      <c r="F900" s="393" t="s">
        <v>1691</v>
      </c>
    </row>
    <row r="901" spans="1:6" ht="15" x14ac:dyDescent="0.25">
      <c r="A901" s="318" t="s">
        <v>646</v>
      </c>
      <c r="B901" s="300" t="s">
        <v>1878</v>
      </c>
      <c r="C901" s="398">
        <v>5</v>
      </c>
      <c r="D901" s="74" t="s">
        <v>26</v>
      </c>
      <c r="E901" s="112" t="s">
        <v>8</v>
      </c>
      <c r="F901" s="393" t="s">
        <v>1691</v>
      </c>
    </row>
    <row r="902" spans="1:6" ht="15" x14ac:dyDescent="0.25">
      <c r="A902" s="318" t="s">
        <v>654</v>
      </c>
      <c r="B902" s="300" t="s">
        <v>1940</v>
      </c>
      <c r="C902" s="398">
        <v>2</v>
      </c>
      <c r="D902" s="74" t="s">
        <v>84</v>
      </c>
      <c r="E902" s="112" t="s">
        <v>8</v>
      </c>
      <c r="F902" s="393" t="s">
        <v>1691</v>
      </c>
    </row>
    <row r="903" spans="1:6" ht="15" x14ac:dyDescent="0.25">
      <c r="A903" s="318" t="s">
        <v>647</v>
      </c>
      <c r="B903" s="300" t="s">
        <v>1877</v>
      </c>
      <c r="C903" s="398">
        <v>10</v>
      </c>
      <c r="D903" s="74" t="s">
        <v>24</v>
      </c>
      <c r="E903" s="112" t="s">
        <v>8</v>
      </c>
      <c r="F903" s="393" t="s">
        <v>1691</v>
      </c>
    </row>
    <row r="904" spans="1:6" ht="15" x14ac:dyDescent="0.25">
      <c r="A904" s="318" t="s">
        <v>648</v>
      </c>
      <c r="B904" s="300" t="s">
        <v>1877</v>
      </c>
      <c r="C904" s="398">
        <v>11</v>
      </c>
      <c r="D904" s="74" t="s">
        <v>649</v>
      </c>
      <c r="E904" s="112" t="s">
        <v>8</v>
      </c>
      <c r="F904" s="393" t="s">
        <v>1691</v>
      </c>
    </row>
    <row r="905" spans="1:6" ht="15" x14ac:dyDescent="0.25">
      <c r="A905" s="318" t="s">
        <v>657</v>
      </c>
      <c r="B905" s="322" t="s">
        <v>1960</v>
      </c>
      <c r="C905" s="398">
        <v>2</v>
      </c>
      <c r="D905" s="74" t="s">
        <v>658</v>
      </c>
      <c r="E905" s="112" t="s">
        <v>8</v>
      </c>
      <c r="F905" s="393" t="s">
        <v>1691</v>
      </c>
    </row>
    <row r="906" spans="1:6" ht="15" x14ac:dyDescent="0.25">
      <c r="A906" s="318" t="s">
        <v>624</v>
      </c>
      <c r="B906" s="300" t="s">
        <v>1967</v>
      </c>
      <c r="C906" s="398">
        <v>2</v>
      </c>
      <c r="D906" s="74" t="s">
        <v>113</v>
      </c>
      <c r="E906" s="112" t="s">
        <v>8</v>
      </c>
      <c r="F906" s="393" t="s">
        <v>1691</v>
      </c>
    </row>
    <row r="907" spans="1:6" ht="15" x14ac:dyDescent="0.25">
      <c r="A907" s="309" t="s">
        <v>666</v>
      </c>
      <c r="B907" s="302" t="s">
        <v>1993</v>
      </c>
      <c r="C907" s="41">
        <v>1</v>
      </c>
      <c r="D907" s="112" t="s">
        <v>667</v>
      </c>
      <c r="E907" s="112" t="s">
        <v>8</v>
      </c>
      <c r="F907" s="393" t="s">
        <v>1691</v>
      </c>
    </row>
    <row r="908" spans="1:6" ht="15" x14ac:dyDescent="0.25">
      <c r="A908" s="309" t="s">
        <v>664</v>
      </c>
      <c r="B908" s="302" t="s">
        <v>2000</v>
      </c>
      <c r="C908" s="41">
        <v>1</v>
      </c>
      <c r="D908" s="112" t="s">
        <v>665</v>
      </c>
      <c r="E908" s="112" t="s">
        <v>8</v>
      </c>
      <c r="F908" s="393" t="s">
        <v>1691</v>
      </c>
    </row>
    <row r="909" spans="1:6" ht="15" x14ac:dyDescent="0.25">
      <c r="A909" s="318" t="s">
        <v>632</v>
      </c>
      <c r="B909" s="300" t="s">
        <v>2002</v>
      </c>
      <c r="C909" s="398">
        <v>1</v>
      </c>
      <c r="D909" s="74" t="s">
        <v>633</v>
      </c>
      <c r="E909" s="112" t="s">
        <v>8</v>
      </c>
      <c r="F909" s="393" t="s">
        <v>1691</v>
      </c>
    </row>
    <row r="910" spans="1:6" ht="15" x14ac:dyDescent="0.25">
      <c r="A910" s="318" t="s">
        <v>659</v>
      </c>
      <c r="B910" s="429" t="s">
        <v>1994</v>
      </c>
      <c r="C910" s="398">
        <v>1</v>
      </c>
      <c r="D910" s="74" t="s">
        <v>660</v>
      </c>
      <c r="E910" s="112" t="s">
        <v>8</v>
      </c>
      <c r="F910" s="393" t="s">
        <v>1691</v>
      </c>
    </row>
    <row r="911" spans="1:6" ht="15" x14ac:dyDescent="0.25">
      <c r="A911" s="318" t="s">
        <v>663</v>
      </c>
      <c r="B911" s="300" t="s">
        <v>2005</v>
      </c>
      <c r="C911" s="398">
        <v>1</v>
      </c>
      <c r="D911" s="74" t="s">
        <v>635</v>
      </c>
      <c r="E911" s="112" t="s">
        <v>8</v>
      </c>
      <c r="F911" s="393" t="s">
        <v>1691</v>
      </c>
    </row>
    <row r="912" spans="1:6" ht="15" x14ac:dyDescent="0.25">
      <c r="A912" s="318" t="s">
        <v>661</v>
      </c>
      <c r="B912" s="300" t="s">
        <v>2006</v>
      </c>
      <c r="C912" s="398">
        <v>1</v>
      </c>
      <c r="D912" s="74" t="s">
        <v>662</v>
      </c>
      <c r="E912" s="112" t="s">
        <v>8</v>
      </c>
      <c r="F912" s="393" t="s">
        <v>1691</v>
      </c>
    </row>
    <row r="913" spans="1:6" ht="15" x14ac:dyDescent="0.25">
      <c r="A913" s="318" t="s">
        <v>636</v>
      </c>
      <c r="B913" s="300" t="s">
        <v>2009</v>
      </c>
      <c r="C913" s="398">
        <v>1</v>
      </c>
      <c r="D913" s="74" t="s">
        <v>637</v>
      </c>
      <c r="E913" s="112" t="s">
        <v>8</v>
      </c>
      <c r="F913" s="393" t="s">
        <v>1691</v>
      </c>
    </row>
    <row r="914" spans="1:6" ht="15" x14ac:dyDescent="0.25">
      <c r="A914" s="403" t="s">
        <v>481</v>
      </c>
      <c r="B914" s="302"/>
      <c r="C914" s="438">
        <v>1</v>
      </c>
      <c r="D914" s="112">
        <v>662550</v>
      </c>
      <c r="E914" s="112" t="s">
        <v>501</v>
      </c>
      <c r="F914" s="393" t="s">
        <v>1705</v>
      </c>
    </row>
    <row r="915" spans="1:6" ht="15" x14ac:dyDescent="0.25">
      <c r="A915" s="403" t="s">
        <v>704</v>
      </c>
      <c r="B915" s="300" t="s">
        <v>1753</v>
      </c>
      <c r="C915" s="438">
        <v>1</v>
      </c>
      <c r="D915" s="112" t="s">
        <v>33</v>
      </c>
      <c r="E915" s="112" t="s">
        <v>8</v>
      </c>
      <c r="F915" s="393" t="s">
        <v>1705</v>
      </c>
    </row>
    <row r="916" spans="1:6" ht="15" x14ac:dyDescent="0.25">
      <c r="A916" s="403" t="s">
        <v>306</v>
      </c>
      <c r="B916" s="302" t="s">
        <v>1896</v>
      </c>
      <c r="C916" s="438">
        <v>2</v>
      </c>
      <c r="D916" s="112">
        <v>971</v>
      </c>
      <c r="E916" s="112" t="s">
        <v>4</v>
      </c>
      <c r="F916" s="393" t="s">
        <v>1705</v>
      </c>
    </row>
    <row r="917" spans="1:6" ht="15" x14ac:dyDescent="0.25">
      <c r="A917" s="403" t="s">
        <v>308</v>
      </c>
      <c r="B917" s="193" t="s">
        <v>1895</v>
      </c>
      <c r="C917" s="438">
        <v>2</v>
      </c>
      <c r="D917" s="112">
        <v>957</v>
      </c>
      <c r="E917" s="112" t="s">
        <v>4</v>
      </c>
      <c r="F917" s="393" t="s">
        <v>1705</v>
      </c>
    </row>
    <row r="918" spans="1:6" ht="15" x14ac:dyDescent="0.25">
      <c r="A918" s="403" t="s">
        <v>1028</v>
      </c>
      <c r="B918" s="302"/>
      <c r="C918" s="438">
        <v>1</v>
      </c>
      <c r="D918" s="112" t="s">
        <v>1029</v>
      </c>
      <c r="E918" s="112" t="s">
        <v>8</v>
      </c>
      <c r="F918" s="393" t="s">
        <v>1705</v>
      </c>
    </row>
    <row r="919" spans="1:6" ht="15" x14ac:dyDescent="0.25">
      <c r="A919" s="325" t="s">
        <v>1030</v>
      </c>
      <c r="B919" s="241"/>
      <c r="C919" s="440">
        <v>1</v>
      </c>
      <c r="D919" s="112" t="s">
        <v>1031</v>
      </c>
      <c r="E919" s="112" t="s">
        <v>8</v>
      </c>
      <c r="F919" s="393" t="s">
        <v>1705</v>
      </c>
    </row>
    <row r="920" spans="1:6" ht="15" x14ac:dyDescent="0.25">
      <c r="A920" s="403" t="s">
        <v>1032</v>
      </c>
      <c r="B920" s="302" t="s">
        <v>1939</v>
      </c>
      <c r="C920" s="438">
        <v>1</v>
      </c>
      <c r="D920" s="112" t="s">
        <v>1033</v>
      </c>
      <c r="E920" s="112" t="s">
        <v>8</v>
      </c>
      <c r="F920" s="393" t="s">
        <v>1705</v>
      </c>
    </row>
    <row r="921" spans="1:6" ht="15" x14ac:dyDescent="0.25">
      <c r="A921" s="403" t="s">
        <v>615</v>
      </c>
      <c r="B921" s="302" t="s">
        <v>1877</v>
      </c>
      <c r="C921" s="438">
        <v>2</v>
      </c>
      <c r="D921" s="112" t="s">
        <v>24</v>
      </c>
      <c r="E921" s="112" t="s">
        <v>8</v>
      </c>
      <c r="F921" s="393" t="s">
        <v>1705</v>
      </c>
    </row>
    <row r="922" spans="1:6" ht="15" x14ac:dyDescent="0.25">
      <c r="A922" s="403" t="s">
        <v>1034</v>
      </c>
      <c r="B922" s="264" t="s">
        <v>1878</v>
      </c>
      <c r="C922" s="438">
        <v>2</v>
      </c>
      <c r="D922" s="112" t="s">
        <v>26</v>
      </c>
      <c r="E922" s="112" t="s">
        <v>8</v>
      </c>
      <c r="F922" s="393" t="s">
        <v>1705</v>
      </c>
    </row>
    <row r="923" spans="1:6" ht="15" x14ac:dyDescent="0.25">
      <c r="A923" s="403" t="s">
        <v>1035</v>
      </c>
      <c r="B923" s="302" t="s">
        <v>1945</v>
      </c>
      <c r="C923" s="438">
        <v>1</v>
      </c>
      <c r="D923" s="112" t="s">
        <v>711</v>
      </c>
      <c r="E923" s="112" t="s">
        <v>8</v>
      </c>
      <c r="F923" s="393" t="s">
        <v>1705</v>
      </c>
    </row>
    <row r="924" spans="1:6" ht="15" x14ac:dyDescent="0.25">
      <c r="A924" s="403" t="s">
        <v>714</v>
      </c>
      <c r="B924" s="322" t="s">
        <v>1960</v>
      </c>
      <c r="C924" s="438">
        <v>1</v>
      </c>
      <c r="D924" s="112" t="s">
        <v>88</v>
      </c>
      <c r="E924" s="112" t="s">
        <v>8</v>
      </c>
      <c r="F924" s="393" t="s">
        <v>1705</v>
      </c>
    </row>
    <row r="925" spans="1:6" ht="15" x14ac:dyDescent="0.25">
      <c r="A925" s="403" t="s">
        <v>1026</v>
      </c>
      <c r="B925" s="302" t="s">
        <v>1993</v>
      </c>
      <c r="C925" s="438">
        <v>1</v>
      </c>
      <c r="D925" s="112" t="s">
        <v>667</v>
      </c>
      <c r="E925" s="112" t="s">
        <v>8</v>
      </c>
      <c r="F925" s="393" t="s">
        <v>1705</v>
      </c>
    </row>
    <row r="926" spans="1:6" ht="15" x14ac:dyDescent="0.25">
      <c r="A926" s="403" t="s">
        <v>1027</v>
      </c>
      <c r="B926" s="302" t="s">
        <v>2000</v>
      </c>
      <c r="C926" s="438">
        <v>1</v>
      </c>
      <c r="D926" s="112" t="s">
        <v>665</v>
      </c>
      <c r="E926" s="112" t="s">
        <v>8</v>
      </c>
      <c r="F926" s="393" t="s">
        <v>1705</v>
      </c>
    </row>
    <row r="927" spans="1:6" ht="15" x14ac:dyDescent="0.25">
      <c r="A927" s="403" t="s">
        <v>1036</v>
      </c>
      <c r="B927" s="264" t="s">
        <v>2006</v>
      </c>
      <c r="C927" s="450">
        <v>1</v>
      </c>
      <c r="D927" s="464" t="s">
        <v>662</v>
      </c>
      <c r="E927" s="112" t="s">
        <v>8</v>
      </c>
      <c r="F927" s="393" t="s">
        <v>1705</v>
      </c>
    </row>
    <row r="928" spans="1:6" ht="15" x14ac:dyDescent="0.25">
      <c r="A928" s="318" t="s">
        <v>1077</v>
      </c>
      <c r="B928" s="300" t="s">
        <v>1848</v>
      </c>
      <c r="C928" s="398">
        <v>1</v>
      </c>
      <c r="D928" s="350" t="s">
        <v>1078</v>
      </c>
      <c r="E928" s="74" t="s">
        <v>8</v>
      </c>
      <c r="F928" s="393" t="s">
        <v>1706</v>
      </c>
    </row>
    <row r="929" spans="1:6" ht="15" x14ac:dyDescent="0.25">
      <c r="A929" s="318" t="s">
        <v>1079</v>
      </c>
      <c r="B929" s="300" t="s">
        <v>1856</v>
      </c>
      <c r="C929" s="398">
        <v>1</v>
      </c>
      <c r="D929" s="350" t="s">
        <v>1080</v>
      </c>
      <c r="E929" s="74" t="s">
        <v>8</v>
      </c>
      <c r="F929" s="393" t="s">
        <v>1706</v>
      </c>
    </row>
    <row r="930" spans="1:6" ht="15" x14ac:dyDescent="0.25">
      <c r="A930" s="318" t="s">
        <v>1081</v>
      </c>
      <c r="B930" s="300" t="s">
        <v>1849</v>
      </c>
      <c r="C930" s="399">
        <v>1</v>
      </c>
      <c r="D930" s="350" t="s">
        <v>1082</v>
      </c>
      <c r="E930" s="74" t="s">
        <v>8</v>
      </c>
      <c r="F930" s="393" t="s">
        <v>1706</v>
      </c>
    </row>
    <row r="931" spans="1:6" ht="15" x14ac:dyDescent="0.25">
      <c r="A931" s="318" t="s">
        <v>1083</v>
      </c>
      <c r="B931" s="300" t="s">
        <v>1850</v>
      </c>
      <c r="C931" s="399">
        <v>1</v>
      </c>
      <c r="D931" s="350" t="s">
        <v>1084</v>
      </c>
      <c r="E931" s="74" t="s">
        <v>8</v>
      </c>
      <c r="F931" s="393" t="s">
        <v>1706</v>
      </c>
    </row>
    <row r="932" spans="1:6" ht="15" x14ac:dyDescent="0.25">
      <c r="A932" s="318" t="s">
        <v>1085</v>
      </c>
      <c r="B932" s="300" t="s">
        <v>1851</v>
      </c>
      <c r="C932" s="399">
        <v>1</v>
      </c>
      <c r="D932" s="350" t="s">
        <v>1086</v>
      </c>
      <c r="E932" s="74" t="s">
        <v>8</v>
      </c>
      <c r="F932" s="393" t="s">
        <v>1706</v>
      </c>
    </row>
    <row r="933" spans="1:6" ht="15" x14ac:dyDescent="0.25">
      <c r="A933" s="318" t="s">
        <v>1087</v>
      </c>
      <c r="B933" s="300" t="s">
        <v>1852</v>
      </c>
      <c r="C933" s="399">
        <v>1</v>
      </c>
      <c r="D933" s="350" t="s">
        <v>1088</v>
      </c>
      <c r="E933" s="74" t="s">
        <v>8</v>
      </c>
      <c r="F933" s="393" t="s">
        <v>1706</v>
      </c>
    </row>
    <row r="934" spans="1:6" ht="15" x14ac:dyDescent="0.25">
      <c r="A934" s="318" t="s">
        <v>1089</v>
      </c>
      <c r="B934" s="300" t="s">
        <v>1853</v>
      </c>
      <c r="C934" s="399">
        <v>1</v>
      </c>
      <c r="D934" s="350" t="s">
        <v>1090</v>
      </c>
      <c r="E934" s="74" t="s">
        <v>8</v>
      </c>
      <c r="F934" s="393" t="s">
        <v>1706</v>
      </c>
    </row>
    <row r="935" spans="1:6" ht="15" x14ac:dyDescent="0.25">
      <c r="A935" s="318" t="s">
        <v>1091</v>
      </c>
      <c r="B935" s="300" t="s">
        <v>1854</v>
      </c>
      <c r="C935" s="399">
        <v>1</v>
      </c>
      <c r="D935" s="350" t="s">
        <v>1092</v>
      </c>
      <c r="E935" s="74" t="s">
        <v>8</v>
      </c>
      <c r="F935" s="393" t="s">
        <v>1706</v>
      </c>
    </row>
    <row r="936" spans="1:6" ht="15" x14ac:dyDescent="0.25">
      <c r="A936" s="318" t="s">
        <v>1093</v>
      </c>
      <c r="B936" s="300" t="s">
        <v>1855</v>
      </c>
      <c r="C936" s="399">
        <v>1</v>
      </c>
      <c r="D936" s="350" t="s">
        <v>1094</v>
      </c>
      <c r="E936" s="74" t="s">
        <v>8</v>
      </c>
      <c r="F936" s="393" t="s">
        <v>1706</v>
      </c>
    </row>
    <row r="937" spans="1:6" ht="15" x14ac:dyDescent="0.25">
      <c r="A937" s="318" t="s">
        <v>481</v>
      </c>
      <c r="B937" s="300"/>
      <c r="C937" s="399">
        <v>1</v>
      </c>
      <c r="D937" s="74">
        <v>662550</v>
      </c>
      <c r="E937" s="74" t="s">
        <v>501</v>
      </c>
      <c r="F937" s="393" t="s">
        <v>1740</v>
      </c>
    </row>
    <row r="938" spans="1:6" ht="15" x14ac:dyDescent="0.25">
      <c r="A938" s="318" t="s">
        <v>1095</v>
      </c>
      <c r="B938" s="300" t="s">
        <v>1840</v>
      </c>
      <c r="C938" s="399">
        <v>1</v>
      </c>
      <c r="D938" s="350" t="s">
        <v>1096</v>
      </c>
      <c r="E938" s="74" t="s">
        <v>8</v>
      </c>
      <c r="F938" s="393" t="s">
        <v>1740</v>
      </c>
    </row>
    <row r="939" spans="1:6" ht="15" x14ac:dyDescent="0.25">
      <c r="A939" s="318" t="s">
        <v>1097</v>
      </c>
      <c r="B939" s="300" t="s">
        <v>1841</v>
      </c>
      <c r="C939" s="399">
        <v>1</v>
      </c>
      <c r="D939" s="350" t="s">
        <v>1098</v>
      </c>
      <c r="E939" s="74" t="s">
        <v>8</v>
      </c>
      <c r="F939" s="393" t="s">
        <v>1740</v>
      </c>
    </row>
    <row r="940" spans="1:6" ht="15" x14ac:dyDescent="0.25">
      <c r="A940" s="318" t="s">
        <v>1099</v>
      </c>
      <c r="B940" s="300" t="s">
        <v>1842</v>
      </c>
      <c r="C940" s="399">
        <v>1</v>
      </c>
      <c r="D940" s="350" t="s">
        <v>1100</v>
      </c>
      <c r="E940" s="74" t="s">
        <v>8</v>
      </c>
      <c r="F940" s="393" t="s">
        <v>1740</v>
      </c>
    </row>
    <row r="941" spans="1:6" ht="15" x14ac:dyDescent="0.25">
      <c r="A941" s="318" t="s">
        <v>1101</v>
      </c>
      <c r="B941" s="300" t="s">
        <v>1843</v>
      </c>
      <c r="C941" s="399">
        <v>1</v>
      </c>
      <c r="D941" s="350" t="s">
        <v>1102</v>
      </c>
      <c r="E941" s="74" t="s">
        <v>8</v>
      </c>
      <c r="F941" s="393" t="s">
        <v>1740</v>
      </c>
    </row>
    <row r="942" spans="1:6" ht="15" x14ac:dyDescent="0.25">
      <c r="A942" s="318" t="s">
        <v>1103</v>
      </c>
      <c r="B942" s="300" t="s">
        <v>1844</v>
      </c>
      <c r="C942" s="399">
        <v>1</v>
      </c>
      <c r="D942" s="350" t="s">
        <v>1104</v>
      </c>
      <c r="E942" s="74" t="s">
        <v>8</v>
      </c>
      <c r="F942" s="393" t="s">
        <v>1740</v>
      </c>
    </row>
    <row r="943" spans="1:6" ht="15" x14ac:dyDescent="0.25">
      <c r="A943" s="318" t="s">
        <v>1105</v>
      </c>
      <c r="B943" s="300" t="s">
        <v>1845</v>
      </c>
      <c r="C943" s="399">
        <v>1</v>
      </c>
      <c r="D943" s="350" t="s">
        <v>1106</v>
      </c>
      <c r="E943" s="74" t="s">
        <v>8</v>
      </c>
      <c r="F943" s="393" t="s">
        <v>1740</v>
      </c>
    </row>
    <row r="944" spans="1:6" ht="15" x14ac:dyDescent="0.25">
      <c r="A944" s="318" t="s">
        <v>1107</v>
      </c>
      <c r="B944" s="300" t="s">
        <v>1846</v>
      </c>
      <c r="C944" s="399">
        <v>1</v>
      </c>
      <c r="D944" s="350" t="s">
        <v>1108</v>
      </c>
      <c r="E944" s="74" t="s">
        <v>8</v>
      </c>
      <c r="F944" s="393" t="s">
        <v>1740</v>
      </c>
    </row>
    <row r="945" spans="1:6" ht="15" x14ac:dyDescent="0.25">
      <c r="A945" s="88" t="s">
        <v>1109</v>
      </c>
      <c r="B945" s="402" t="s">
        <v>1847</v>
      </c>
      <c r="C945" s="67">
        <v>1</v>
      </c>
      <c r="D945" s="350" t="s">
        <v>1110</v>
      </c>
      <c r="E945" s="74" t="s">
        <v>8</v>
      </c>
      <c r="F945" s="393" t="s">
        <v>1740</v>
      </c>
    </row>
  </sheetData>
  <autoFilter ref="A2:G2" xr:uid="{0BB72C9C-36E7-47DE-86C3-BF0C4DB6136B}"/>
  <sortState xmlns:xlrd2="http://schemas.microsoft.com/office/spreadsheetml/2017/richdata2" ref="A2:G945">
    <sortCondition ref="F2:F945"/>
  </sortState>
  <phoneticPr fontId="3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6AB4-D2F9-445F-B928-B88943BB37F4}">
  <sheetPr codeName="Planilha2">
    <tabColor rgb="FF92D050"/>
  </sheetPr>
  <dimension ref="A1:H156"/>
  <sheetViews>
    <sheetView workbookViewId="0">
      <pane ySplit="1" topLeftCell="A134" activePane="bottomLeft" state="frozen"/>
      <selection activeCell="A53" sqref="A53"/>
      <selection pane="bottomLeft" activeCell="A158" sqref="A158"/>
    </sheetView>
  </sheetViews>
  <sheetFormatPr defaultColWidth="8.85546875" defaultRowHeight="15" x14ac:dyDescent="0.25"/>
  <cols>
    <col min="1" max="1" width="51.5703125" style="28" bestFit="1" customWidth="1"/>
    <col min="2" max="2" width="15.42578125" style="29" customWidth="1"/>
    <col min="3" max="3" width="16.42578125" style="43" customWidth="1"/>
    <col min="4" max="4" width="30.42578125" style="29" customWidth="1"/>
    <col min="5" max="5" width="16.28515625" style="43" customWidth="1"/>
    <col min="6" max="6" width="15" style="43" customWidth="1"/>
    <col min="7" max="7" width="12.42578125" style="43" customWidth="1"/>
    <col min="8" max="8" width="16.7109375" style="565" bestFit="1" customWidth="1"/>
    <col min="9" max="9" width="8.5703125" customWidth="1"/>
  </cols>
  <sheetData>
    <row r="1" spans="1:8" ht="15.75" x14ac:dyDescent="0.25">
      <c r="A1" s="217" t="s">
        <v>0</v>
      </c>
      <c r="B1" s="218" t="s">
        <v>1</v>
      </c>
      <c r="C1" s="543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558" t="s">
        <v>1727</v>
      </c>
    </row>
    <row r="2" spans="1:8" x14ac:dyDescent="0.25">
      <c r="A2" s="194" t="s">
        <v>175</v>
      </c>
      <c r="B2" s="195">
        <v>3</v>
      </c>
      <c r="C2" s="209" t="s">
        <v>176</v>
      </c>
      <c r="D2" s="295" t="s">
        <v>8</v>
      </c>
      <c r="E2" s="228"/>
      <c r="F2" s="23" t="s">
        <v>1749</v>
      </c>
      <c r="G2" s="228"/>
      <c r="H2" s="559"/>
    </row>
    <row r="3" spans="1:8" x14ac:dyDescent="0.25">
      <c r="A3" s="194" t="s">
        <v>195</v>
      </c>
      <c r="B3" s="195">
        <v>2</v>
      </c>
      <c r="C3" s="209" t="s">
        <v>196</v>
      </c>
      <c r="D3" s="295" t="s">
        <v>8</v>
      </c>
      <c r="E3" s="228"/>
      <c r="F3" s="546" t="s">
        <v>1759</v>
      </c>
      <c r="G3" s="228"/>
      <c r="H3" s="559"/>
    </row>
    <row r="4" spans="1:8" x14ac:dyDescent="0.25">
      <c r="A4" s="194" t="s">
        <v>163</v>
      </c>
      <c r="B4" s="197">
        <v>3</v>
      </c>
      <c r="C4" s="209">
        <v>2997</v>
      </c>
      <c r="D4" s="295" t="s">
        <v>4</v>
      </c>
      <c r="E4" s="228"/>
      <c r="F4" s="547" t="s">
        <v>1760</v>
      </c>
      <c r="G4" s="228"/>
      <c r="H4" s="559"/>
    </row>
    <row r="5" spans="1:8" x14ac:dyDescent="0.25">
      <c r="A5" s="194" t="s">
        <v>189</v>
      </c>
      <c r="B5" s="197">
        <v>6</v>
      </c>
      <c r="C5" s="209" t="s">
        <v>190</v>
      </c>
      <c r="D5" s="295" t="s">
        <v>8</v>
      </c>
      <c r="E5" s="228"/>
      <c r="F5" s="546" t="s">
        <v>1764</v>
      </c>
      <c r="G5" s="228"/>
      <c r="H5" s="559"/>
    </row>
    <row r="6" spans="1:8" x14ac:dyDescent="0.25">
      <c r="A6" s="194" t="s">
        <v>191</v>
      </c>
      <c r="B6" s="195">
        <v>7</v>
      </c>
      <c r="C6" s="209" t="s">
        <v>192</v>
      </c>
      <c r="D6" s="295" t="s">
        <v>8</v>
      </c>
      <c r="E6" s="228"/>
      <c r="F6" s="546" t="s">
        <v>1765</v>
      </c>
      <c r="G6" s="228"/>
      <c r="H6" s="559"/>
    </row>
    <row r="7" spans="1:8" x14ac:dyDescent="0.25">
      <c r="A7" s="194" t="s">
        <v>11</v>
      </c>
      <c r="B7" s="197">
        <v>10</v>
      </c>
      <c r="C7" s="209" t="s">
        <v>12</v>
      </c>
      <c r="D7" s="295" t="s">
        <v>8</v>
      </c>
      <c r="E7" s="228"/>
      <c r="F7" s="68" t="s">
        <v>1767</v>
      </c>
      <c r="G7" s="228"/>
      <c r="H7" s="559"/>
    </row>
    <row r="8" spans="1:8" x14ac:dyDescent="0.25">
      <c r="A8" s="194" t="s">
        <v>13</v>
      </c>
      <c r="B8" s="195">
        <v>10</v>
      </c>
      <c r="C8" s="209" t="s">
        <v>14</v>
      </c>
      <c r="D8" s="295" t="s">
        <v>8</v>
      </c>
      <c r="E8" s="228"/>
      <c r="F8" s="115" t="s">
        <v>1756</v>
      </c>
      <c r="G8" s="228"/>
      <c r="H8" s="559"/>
    </row>
    <row r="9" spans="1:8" x14ac:dyDescent="0.25">
      <c r="A9" s="194" t="s">
        <v>15</v>
      </c>
      <c r="B9" s="197">
        <v>5</v>
      </c>
      <c r="C9" s="209" t="s">
        <v>16</v>
      </c>
      <c r="D9" s="295" t="s">
        <v>8</v>
      </c>
      <c r="E9" s="228"/>
      <c r="F9" s="546" t="s">
        <v>1769</v>
      </c>
      <c r="G9" s="228"/>
      <c r="H9" s="559"/>
    </row>
    <row r="10" spans="1:8" x14ac:dyDescent="0.25">
      <c r="A10" s="194" t="s">
        <v>6</v>
      </c>
      <c r="B10" s="195">
        <v>5</v>
      </c>
      <c r="C10" s="209" t="s">
        <v>7</v>
      </c>
      <c r="D10" s="295" t="s">
        <v>8</v>
      </c>
      <c r="E10" s="228"/>
      <c r="F10" s="38" t="s">
        <v>1768</v>
      </c>
      <c r="G10" s="228"/>
      <c r="H10" s="559"/>
    </row>
    <row r="11" spans="1:8" x14ac:dyDescent="0.25">
      <c r="A11" s="396" t="s">
        <v>253</v>
      </c>
      <c r="B11" s="195">
        <v>1</v>
      </c>
      <c r="C11" s="544" t="s">
        <v>254</v>
      </c>
      <c r="D11" s="295" t="s">
        <v>8</v>
      </c>
      <c r="E11" s="540" t="s">
        <v>2161</v>
      </c>
      <c r="F11" s="547" t="s">
        <v>2160</v>
      </c>
      <c r="G11" s="540"/>
      <c r="H11" s="559"/>
    </row>
    <row r="12" spans="1:8" x14ac:dyDescent="0.25">
      <c r="A12" s="194" t="s">
        <v>255</v>
      </c>
      <c r="B12" s="197">
        <v>4</v>
      </c>
      <c r="C12" s="209" t="s">
        <v>256</v>
      </c>
      <c r="D12" s="295" t="s">
        <v>8</v>
      </c>
      <c r="E12" s="228"/>
      <c r="F12" s="546" t="s">
        <v>1770</v>
      </c>
      <c r="G12" s="228"/>
      <c r="H12" s="559"/>
    </row>
    <row r="13" spans="1:8" x14ac:dyDescent="0.25">
      <c r="A13" s="194" t="s">
        <v>197</v>
      </c>
      <c r="B13" s="197">
        <v>1</v>
      </c>
      <c r="C13" s="209" t="s">
        <v>198</v>
      </c>
      <c r="D13" s="295" t="s">
        <v>8</v>
      </c>
      <c r="E13" s="228"/>
      <c r="F13" s="546">
        <v>10425</v>
      </c>
      <c r="G13" s="228" t="s">
        <v>2173</v>
      </c>
      <c r="H13" s="559">
        <v>474</v>
      </c>
    </row>
    <row r="14" spans="1:8" x14ac:dyDescent="0.25">
      <c r="A14" s="194" t="s">
        <v>199</v>
      </c>
      <c r="B14" s="195">
        <v>5</v>
      </c>
      <c r="C14" s="209" t="s">
        <v>200</v>
      </c>
      <c r="D14" s="295" t="s">
        <v>8</v>
      </c>
      <c r="E14" s="228"/>
      <c r="F14" s="546" t="s">
        <v>1772</v>
      </c>
      <c r="G14" s="228"/>
      <c r="H14" s="559"/>
    </row>
    <row r="15" spans="1:8" x14ac:dyDescent="0.25">
      <c r="A15" s="194" t="s">
        <v>201</v>
      </c>
      <c r="B15" s="197">
        <v>3</v>
      </c>
      <c r="C15" s="209" t="s">
        <v>202</v>
      </c>
      <c r="D15" s="295" t="s">
        <v>8</v>
      </c>
      <c r="E15" s="228"/>
      <c r="F15" s="546" t="s">
        <v>1773</v>
      </c>
      <c r="G15" s="228"/>
      <c r="H15" s="559"/>
    </row>
    <row r="16" spans="1:8" x14ac:dyDescent="0.25">
      <c r="A16" s="194" t="s">
        <v>203</v>
      </c>
      <c r="B16" s="195">
        <v>3</v>
      </c>
      <c r="C16" s="209" t="s">
        <v>204</v>
      </c>
      <c r="D16" s="212" t="s">
        <v>8</v>
      </c>
      <c r="E16" s="228"/>
      <c r="F16" s="546" t="s">
        <v>1774</v>
      </c>
      <c r="G16" s="228"/>
      <c r="H16" s="559"/>
    </row>
    <row r="17" spans="1:8" x14ac:dyDescent="0.25">
      <c r="A17" s="194" t="s">
        <v>17</v>
      </c>
      <c r="B17" s="195">
        <v>3</v>
      </c>
      <c r="C17" s="209" t="s">
        <v>18</v>
      </c>
      <c r="D17" s="295" t="s">
        <v>8</v>
      </c>
      <c r="E17" s="228"/>
      <c r="F17" s="546" t="s">
        <v>1780</v>
      </c>
      <c r="G17" s="228"/>
      <c r="H17" s="559"/>
    </row>
    <row r="18" spans="1:8" x14ac:dyDescent="0.25">
      <c r="A18" s="194" t="s">
        <v>19</v>
      </c>
      <c r="B18" s="197">
        <v>3</v>
      </c>
      <c r="C18" s="209" t="s">
        <v>20</v>
      </c>
      <c r="D18" s="295" t="s">
        <v>8</v>
      </c>
      <c r="E18" s="228"/>
      <c r="F18" s="546" t="s">
        <v>1781</v>
      </c>
      <c r="G18" s="228"/>
      <c r="H18" s="559"/>
    </row>
    <row r="19" spans="1:8" x14ac:dyDescent="0.25">
      <c r="A19" s="194" t="s">
        <v>21</v>
      </c>
      <c r="B19" s="195">
        <v>3</v>
      </c>
      <c r="C19" s="209" t="s">
        <v>22</v>
      </c>
      <c r="D19" s="295" t="s">
        <v>8</v>
      </c>
      <c r="E19" s="228"/>
      <c r="F19" s="68" t="s">
        <v>1779</v>
      </c>
      <c r="G19" s="228"/>
      <c r="H19" s="559"/>
    </row>
    <row r="20" spans="1:8" x14ac:dyDescent="0.25">
      <c r="A20" s="194" t="s">
        <v>231</v>
      </c>
      <c r="B20" s="197">
        <v>4</v>
      </c>
      <c r="C20" s="209" t="s">
        <v>232</v>
      </c>
      <c r="D20" s="295" t="s">
        <v>8</v>
      </c>
      <c r="E20" s="228"/>
      <c r="F20" s="546" t="s">
        <v>1758</v>
      </c>
      <c r="G20" s="228"/>
      <c r="H20" s="559"/>
    </row>
    <row r="21" spans="1:8" x14ac:dyDescent="0.25">
      <c r="A21" s="194" t="s">
        <v>233</v>
      </c>
      <c r="B21" s="195">
        <v>4</v>
      </c>
      <c r="C21" s="209" t="s">
        <v>234</v>
      </c>
      <c r="D21" s="295" t="s">
        <v>8</v>
      </c>
      <c r="E21" s="228"/>
      <c r="F21" s="546" t="s">
        <v>1783</v>
      </c>
      <c r="G21" s="228"/>
      <c r="H21" s="559"/>
    </row>
    <row r="22" spans="1:8" x14ac:dyDescent="0.25">
      <c r="A22" s="508" t="s">
        <v>297</v>
      </c>
      <c r="B22" s="223">
        <v>2</v>
      </c>
      <c r="C22" s="79" t="s">
        <v>298</v>
      </c>
      <c r="D22" s="474" t="s">
        <v>299</v>
      </c>
      <c r="E22" s="228"/>
      <c r="F22" s="222" t="s">
        <v>2150</v>
      </c>
      <c r="G22" s="228"/>
      <c r="H22" s="559"/>
    </row>
    <row r="23" spans="1:8" x14ac:dyDescent="0.25">
      <c r="A23" s="508" t="s">
        <v>302</v>
      </c>
      <c r="B23" s="223">
        <v>2</v>
      </c>
      <c r="C23" s="79" t="s">
        <v>303</v>
      </c>
      <c r="D23" s="474" t="s">
        <v>299</v>
      </c>
      <c r="E23" s="228"/>
      <c r="F23" s="222" t="s">
        <v>2150</v>
      </c>
      <c r="G23" s="228"/>
      <c r="H23" s="559"/>
    </row>
    <row r="24" spans="1:8" x14ac:dyDescent="0.25">
      <c r="A24" s="156" t="s">
        <v>293</v>
      </c>
      <c r="B24" s="222">
        <v>6</v>
      </c>
      <c r="C24" s="89" t="s">
        <v>294</v>
      </c>
      <c r="D24" s="476" t="s">
        <v>146</v>
      </c>
      <c r="E24" s="228"/>
      <c r="F24" s="566" t="s">
        <v>2174</v>
      </c>
      <c r="G24" s="228"/>
      <c r="H24" s="559"/>
    </row>
    <row r="25" spans="1:8" x14ac:dyDescent="0.25">
      <c r="A25" s="156"/>
      <c r="B25" s="222"/>
      <c r="C25" s="89"/>
      <c r="D25" s="476"/>
      <c r="E25" s="228"/>
      <c r="F25" s="566" t="s">
        <v>2175</v>
      </c>
      <c r="G25" s="228"/>
      <c r="H25" s="559"/>
    </row>
    <row r="26" spans="1:8" x14ac:dyDescent="0.25">
      <c r="A26" s="156"/>
      <c r="B26" s="222"/>
      <c r="C26" s="89"/>
      <c r="D26" s="476"/>
      <c r="E26" s="228"/>
      <c r="F26" s="566" t="s">
        <v>2176</v>
      </c>
      <c r="G26" s="228"/>
      <c r="H26" s="559"/>
    </row>
    <row r="27" spans="1:8" x14ac:dyDescent="0.25">
      <c r="A27" s="194" t="s">
        <v>164</v>
      </c>
      <c r="B27" s="195">
        <v>10</v>
      </c>
      <c r="C27" s="209"/>
      <c r="D27" s="295" t="s">
        <v>4</v>
      </c>
      <c r="E27" s="540" t="s">
        <v>2056</v>
      </c>
      <c r="F27" s="546" t="s">
        <v>2152</v>
      </c>
      <c r="G27" s="228" t="s">
        <v>2151</v>
      </c>
      <c r="H27" s="559">
        <v>160</v>
      </c>
    </row>
    <row r="28" spans="1:8" x14ac:dyDescent="0.25">
      <c r="A28" s="194" t="s">
        <v>151</v>
      </c>
      <c r="B28" s="197">
        <v>8</v>
      </c>
      <c r="C28" s="209">
        <v>2045</v>
      </c>
      <c r="D28" s="295" t="s">
        <v>4</v>
      </c>
      <c r="E28" s="228"/>
      <c r="F28" s="87" t="s">
        <v>1787</v>
      </c>
      <c r="G28" s="228"/>
      <c r="H28" s="559"/>
    </row>
    <row r="29" spans="1:8" x14ac:dyDescent="0.25">
      <c r="A29" s="194" t="s">
        <v>152</v>
      </c>
      <c r="B29" s="195">
        <v>8</v>
      </c>
      <c r="C29" s="209">
        <v>2047</v>
      </c>
      <c r="D29" s="295" t="s">
        <v>4</v>
      </c>
      <c r="E29" s="228"/>
      <c r="F29" s="546" t="s">
        <v>1795</v>
      </c>
      <c r="G29" s="228"/>
      <c r="H29" s="559"/>
    </row>
    <row r="30" spans="1:8" x14ac:dyDescent="0.25">
      <c r="A30" s="194" t="s">
        <v>153</v>
      </c>
      <c r="B30" s="197">
        <v>8</v>
      </c>
      <c r="C30" s="209">
        <v>2049</v>
      </c>
      <c r="D30" s="295" t="s">
        <v>4</v>
      </c>
      <c r="E30" s="228"/>
      <c r="F30" s="68" t="s">
        <v>1796</v>
      </c>
      <c r="G30" s="228"/>
      <c r="H30" s="559"/>
    </row>
    <row r="31" spans="1:8" x14ac:dyDescent="0.25">
      <c r="A31" s="194" t="s">
        <v>154</v>
      </c>
      <c r="B31" s="195">
        <v>6</v>
      </c>
      <c r="C31" s="209">
        <v>2050</v>
      </c>
      <c r="D31" s="295" t="s">
        <v>4</v>
      </c>
      <c r="E31" s="228"/>
      <c r="F31" s="68" t="s">
        <v>1797</v>
      </c>
      <c r="G31" s="228"/>
      <c r="H31" s="559"/>
    </row>
    <row r="32" spans="1:8" x14ac:dyDescent="0.25">
      <c r="A32" s="194" t="s">
        <v>130</v>
      </c>
      <c r="B32" s="197">
        <v>5</v>
      </c>
      <c r="C32" s="209" t="s">
        <v>131</v>
      </c>
      <c r="D32" s="295" t="s">
        <v>8</v>
      </c>
      <c r="E32" s="228"/>
      <c r="F32" s="115" t="s">
        <v>1798</v>
      </c>
      <c r="G32" s="228"/>
      <c r="H32" s="559"/>
    </row>
    <row r="33" spans="1:8" x14ac:dyDescent="0.25">
      <c r="A33" s="396" t="s">
        <v>215</v>
      </c>
      <c r="B33" s="197">
        <v>10</v>
      </c>
      <c r="C33" s="544"/>
      <c r="D33" s="295" t="s">
        <v>216</v>
      </c>
      <c r="E33" s="540" t="s">
        <v>2166</v>
      </c>
      <c r="F33" s="546" t="s">
        <v>2167</v>
      </c>
      <c r="G33" s="540" t="s">
        <v>2164</v>
      </c>
      <c r="H33" s="560">
        <v>2376.34</v>
      </c>
    </row>
    <row r="34" spans="1:8" x14ac:dyDescent="0.25">
      <c r="A34" s="396" t="s">
        <v>275</v>
      </c>
      <c r="B34" s="195">
        <v>2</v>
      </c>
      <c r="C34" s="544" t="s">
        <v>276</v>
      </c>
      <c r="D34" s="212" t="s">
        <v>10</v>
      </c>
      <c r="E34" s="540" t="s">
        <v>2162</v>
      </c>
      <c r="F34" s="546" t="s">
        <v>2163</v>
      </c>
      <c r="G34" s="540" t="s">
        <v>2164</v>
      </c>
      <c r="H34" s="560">
        <v>2376.34</v>
      </c>
    </row>
    <row r="35" spans="1:8" x14ac:dyDescent="0.25">
      <c r="A35" s="396" t="s">
        <v>285</v>
      </c>
      <c r="B35" s="197">
        <v>2</v>
      </c>
      <c r="C35" s="209" t="s">
        <v>286</v>
      </c>
      <c r="D35" s="212" t="s">
        <v>287</v>
      </c>
      <c r="E35" s="228"/>
      <c r="F35" s="546" t="s">
        <v>2153</v>
      </c>
      <c r="G35" s="228"/>
      <c r="H35" s="559"/>
    </row>
    <row r="36" spans="1:8" x14ac:dyDescent="0.25">
      <c r="A36" s="396" t="s">
        <v>221</v>
      </c>
      <c r="B36" s="195">
        <v>5</v>
      </c>
      <c r="C36" s="209" t="s">
        <v>222</v>
      </c>
      <c r="D36" s="295" t="s">
        <v>216</v>
      </c>
      <c r="E36" s="228"/>
      <c r="F36" s="546" t="s">
        <v>2153</v>
      </c>
      <c r="G36" s="228"/>
      <c r="H36" s="559"/>
    </row>
    <row r="37" spans="1:8" x14ac:dyDescent="0.25">
      <c r="A37" s="194" t="s">
        <v>185</v>
      </c>
      <c r="B37" s="197">
        <v>4</v>
      </c>
      <c r="C37" s="209" t="s">
        <v>186</v>
      </c>
      <c r="D37" s="295" t="s">
        <v>146</v>
      </c>
      <c r="E37" s="228"/>
      <c r="F37" s="546" t="s">
        <v>2013</v>
      </c>
      <c r="G37" s="228"/>
      <c r="H37" s="559"/>
    </row>
    <row r="38" spans="1:8" x14ac:dyDescent="0.25">
      <c r="A38" s="396" t="s">
        <v>290</v>
      </c>
      <c r="B38" s="197">
        <v>1</v>
      </c>
      <c r="C38" s="544" t="s">
        <v>291</v>
      </c>
      <c r="D38" s="212" t="s">
        <v>292</v>
      </c>
      <c r="E38" s="540"/>
      <c r="F38" s="546" t="s">
        <v>2153</v>
      </c>
      <c r="G38" s="540"/>
      <c r="H38" s="559"/>
    </row>
    <row r="39" spans="1:8" x14ac:dyDescent="0.25">
      <c r="A39" s="396" t="s">
        <v>288</v>
      </c>
      <c r="B39" s="195">
        <v>2</v>
      </c>
      <c r="C39" s="209" t="s">
        <v>289</v>
      </c>
      <c r="D39" s="212" t="s">
        <v>287</v>
      </c>
      <c r="E39" s="228"/>
      <c r="F39" s="546" t="s">
        <v>2153</v>
      </c>
      <c r="G39" s="228"/>
      <c r="H39" s="559"/>
    </row>
    <row r="40" spans="1:8" x14ac:dyDescent="0.25">
      <c r="A40" s="396" t="s">
        <v>277</v>
      </c>
      <c r="B40" s="197">
        <v>2</v>
      </c>
      <c r="C40" s="209" t="s">
        <v>278</v>
      </c>
      <c r="D40" s="212" t="s">
        <v>10</v>
      </c>
      <c r="E40" s="228"/>
      <c r="F40" s="546" t="s">
        <v>2165</v>
      </c>
      <c r="G40" s="228" t="s">
        <v>2164</v>
      </c>
      <c r="H40" s="561">
        <v>475.4</v>
      </c>
    </row>
    <row r="41" spans="1:8" x14ac:dyDescent="0.25">
      <c r="A41" s="194" t="s">
        <v>181</v>
      </c>
      <c r="B41" s="197">
        <v>4</v>
      </c>
      <c r="C41" s="209" t="s">
        <v>182</v>
      </c>
      <c r="D41" s="295" t="s">
        <v>8</v>
      </c>
      <c r="E41" s="228"/>
      <c r="F41" s="546" t="s">
        <v>2017</v>
      </c>
      <c r="G41" s="228"/>
      <c r="H41" s="559"/>
    </row>
    <row r="42" spans="1:8" x14ac:dyDescent="0.25">
      <c r="A42" s="396" t="s">
        <v>183</v>
      </c>
      <c r="B42" s="195">
        <v>6</v>
      </c>
      <c r="C42" s="544" t="s">
        <v>184</v>
      </c>
      <c r="D42" s="295" t="s">
        <v>146</v>
      </c>
      <c r="E42" s="540"/>
      <c r="F42" s="546">
        <v>99</v>
      </c>
      <c r="G42" s="540" t="s">
        <v>146</v>
      </c>
      <c r="H42" s="559">
        <v>189</v>
      </c>
    </row>
    <row r="43" spans="1:8" x14ac:dyDescent="0.25">
      <c r="A43" s="194" t="s">
        <v>213</v>
      </c>
      <c r="B43" s="197">
        <v>40</v>
      </c>
      <c r="C43" s="209"/>
      <c r="D43" s="295" t="s">
        <v>206</v>
      </c>
      <c r="E43" s="228"/>
      <c r="F43" s="546" t="s">
        <v>2047</v>
      </c>
      <c r="G43" s="228"/>
      <c r="H43" s="559"/>
    </row>
    <row r="44" spans="1:8" x14ac:dyDescent="0.25">
      <c r="A44" s="194" t="s">
        <v>214</v>
      </c>
      <c r="B44" s="195">
        <v>30</v>
      </c>
      <c r="C44" s="209"/>
      <c r="D44" s="295" t="s">
        <v>206</v>
      </c>
      <c r="E44" s="228"/>
      <c r="F44" s="546" t="s">
        <v>2048</v>
      </c>
      <c r="G44" s="228"/>
      <c r="H44" s="559"/>
    </row>
    <row r="45" spans="1:8" x14ac:dyDescent="0.25">
      <c r="A45" s="201" t="s">
        <v>279</v>
      </c>
      <c r="B45" s="195">
        <v>2</v>
      </c>
      <c r="C45" s="209" t="s">
        <v>280</v>
      </c>
      <c r="D45" s="212" t="s">
        <v>8</v>
      </c>
      <c r="E45" s="228"/>
      <c r="F45" s="546" t="s">
        <v>1817</v>
      </c>
      <c r="G45" s="228"/>
      <c r="H45" s="559"/>
    </row>
    <row r="46" spans="1:8" x14ac:dyDescent="0.25">
      <c r="A46" s="201" t="s">
        <v>281</v>
      </c>
      <c r="B46" s="197">
        <v>2</v>
      </c>
      <c r="C46" s="209" t="s">
        <v>282</v>
      </c>
      <c r="D46" s="212" t="s">
        <v>8</v>
      </c>
      <c r="E46" s="228"/>
      <c r="F46" s="546" t="s">
        <v>1818</v>
      </c>
      <c r="G46" s="228"/>
      <c r="H46" s="559"/>
    </row>
    <row r="47" spans="1:8" x14ac:dyDescent="0.25">
      <c r="A47" s="201" t="s">
        <v>283</v>
      </c>
      <c r="B47" s="195">
        <v>2</v>
      </c>
      <c r="C47" s="209" t="s">
        <v>284</v>
      </c>
      <c r="D47" s="212" t="s">
        <v>8</v>
      </c>
      <c r="E47" s="228"/>
      <c r="F47" s="546" t="s">
        <v>1819</v>
      </c>
      <c r="G47" s="228"/>
      <c r="H47" s="559"/>
    </row>
    <row r="48" spans="1:8" x14ac:dyDescent="0.25">
      <c r="A48" s="194" t="s">
        <v>237</v>
      </c>
      <c r="B48" s="195">
        <v>4</v>
      </c>
      <c r="C48" s="209" t="s">
        <v>238</v>
      </c>
      <c r="D48" s="295" t="s">
        <v>8</v>
      </c>
      <c r="E48" s="228"/>
      <c r="F48" s="546" t="s">
        <v>1821</v>
      </c>
      <c r="G48" s="228"/>
      <c r="H48" s="559"/>
    </row>
    <row r="49" spans="1:8" x14ac:dyDescent="0.25">
      <c r="A49" s="194" t="s">
        <v>235</v>
      </c>
      <c r="B49" s="197">
        <v>4</v>
      </c>
      <c r="C49" s="209" t="s">
        <v>236</v>
      </c>
      <c r="D49" s="295" t="s">
        <v>8</v>
      </c>
      <c r="E49" s="228"/>
      <c r="F49" s="546" t="s">
        <v>1822</v>
      </c>
      <c r="G49" s="228"/>
      <c r="H49" s="559"/>
    </row>
    <row r="50" spans="1:8" x14ac:dyDescent="0.25">
      <c r="A50" s="194" t="s">
        <v>239</v>
      </c>
      <c r="B50" s="197">
        <v>4</v>
      </c>
      <c r="C50" s="209" t="s">
        <v>240</v>
      </c>
      <c r="D50" s="295" t="s">
        <v>8</v>
      </c>
      <c r="E50" s="228"/>
      <c r="F50" s="546" t="s">
        <v>1823</v>
      </c>
      <c r="G50" s="228"/>
      <c r="H50" s="559"/>
    </row>
    <row r="51" spans="1:8" x14ac:dyDescent="0.25">
      <c r="A51" s="194" t="s">
        <v>241</v>
      </c>
      <c r="B51" s="195">
        <v>4</v>
      </c>
      <c r="C51" s="209" t="s">
        <v>242</v>
      </c>
      <c r="D51" s="295" t="s">
        <v>8</v>
      </c>
      <c r="E51" s="228"/>
      <c r="F51" s="546" t="s">
        <v>1824</v>
      </c>
      <c r="G51" s="228"/>
      <c r="H51" s="559"/>
    </row>
    <row r="52" spans="1:8" x14ac:dyDescent="0.25">
      <c r="A52" s="194" t="s">
        <v>157</v>
      </c>
      <c r="B52" s="195">
        <v>8</v>
      </c>
      <c r="C52" s="209" t="s">
        <v>158</v>
      </c>
      <c r="D52" s="295" t="s">
        <v>8</v>
      </c>
      <c r="E52" s="228"/>
      <c r="F52" s="546" t="s">
        <v>1825</v>
      </c>
      <c r="G52" s="228"/>
      <c r="H52" s="559"/>
    </row>
    <row r="53" spans="1:8" x14ac:dyDescent="0.25">
      <c r="A53" s="194" t="s">
        <v>161</v>
      </c>
      <c r="B53" s="195">
        <v>3</v>
      </c>
      <c r="C53" s="209">
        <v>479100</v>
      </c>
      <c r="D53" s="295" t="s">
        <v>162</v>
      </c>
      <c r="E53" s="228"/>
      <c r="F53" s="547" t="s">
        <v>2021</v>
      </c>
      <c r="G53" s="228"/>
      <c r="H53" s="559"/>
    </row>
    <row r="54" spans="1:8" x14ac:dyDescent="0.25">
      <c r="A54" s="194" t="s">
        <v>122</v>
      </c>
      <c r="B54" s="197">
        <v>5</v>
      </c>
      <c r="C54" s="209" t="s">
        <v>123</v>
      </c>
      <c r="D54" s="295" t="s">
        <v>8</v>
      </c>
      <c r="E54" s="228"/>
      <c r="F54" s="546" t="s">
        <v>1828</v>
      </c>
      <c r="G54" s="228"/>
      <c r="H54" s="559"/>
    </row>
    <row r="55" spans="1:8" x14ac:dyDescent="0.25">
      <c r="A55" s="194" t="s">
        <v>124</v>
      </c>
      <c r="B55" s="195">
        <v>5</v>
      </c>
      <c r="C55" s="209" t="s">
        <v>125</v>
      </c>
      <c r="D55" s="295" t="s">
        <v>8</v>
      </c>
      <c r="E55" s="228"/>
      <c r="F55" s="546" t="s">
        <v>1831</v>
      </c>
      <c r="G55" s="228"/>
      <c r="H55" s="559"/>
    </row>
    <row r="56" spans="1:8" x14ac:dyDescent="0.25">
      <c r="A56" s="194" t="s">
        <v>169</v>
      </c>
      <c r="B56" s="197">
        <v>4</v>
      </c>
      <c r="C56" s="209" t="s">
        <v>170</v>
      </c>
      <c r="D56" s="295" t="s">
        <v>4</v>
      </c>
      <c r="E56" s="228"/>
      <c r="F56" s="546" t="s">
        <v>1836</v>
      </c>
      <c r="G56" s="228"/>
      <c r="H56" s="559"/>
    </row>
    <row r="57" spans="1:8" x14ac:dyDescent="0.25">
      <c r="A57" s="194" t="s">
        <v>171</v>
      </c>
      <c r="B57" s="195">
        <v>4</v>
      </c>
      <c r="C57" s="209" t="s">
        <v>172</v>
      </c>
      <c r="D57" s="295" t="s">
        <v>4</v>
      </c>
      <c r="E57" s="228"/>
      <c r="F57" s="546" t="s">
        <v>1837</v>
      </c>
      <c r="G57" s="228"/>
      <c r="H57" s="559"/>
    </row>
    <row r="58" spans="1:8" x14ac:dyDescent="0.25">
      <c r="A58" s="194" t="s">
        <v>173</v>
      </c>
      <c r="B58" s="197">
        <v>4</v>
      </c>
      <c r="C58" s="209" t="s">
        <v>174</v>
      </c>
      <c r="D58" s="295" t="s">
        <v>4</v>
      </c>
      <c r="E58" s="228"/>
      <c r="F58" s="546" t="s">
        <v>1838</v>
      </c>
      <c r="G58" s="228"/>
      <c r="H58" s="559"/>
    </row>
    <row r="59" spans="1:8" x14ac:dyDescent="0.25">
      <c r="A59" s="396" t="s">
        <v>179</v>
      </c>
      <c r="B59" s="195">
        <v>15</v>
      </c>
      <c r="C59" s="209" t="s">
        <v>180</v>
      </c>
      <c r="D59" s="295" t="s">
        <v>162</v>
      </c>
      <c r="E59" s="228"/>
      <c r="F59" s="546" t="s">
        <v>2153</v>
      </c>
      <c r="G59" s="228"/>
      <c r="H59" s="559"/>
    </row>
    <row r="60" spans="1:8" x14ac:dyDescent="0.25">
      <c r="A60" s="396" t="s">
        <v>177</v>
      </c>
      <c r="B60" s="197">
        <v>4</v>
      </c>
      <c r="C60" s="209" t="s">
        <v>178</v>
      </c>
      <c r="D60" s="295" t="s">
        <v>162</v>
      </c>
      <c r="E60" s="228"/>
      <c r="F60" s="546" t="s">
        <v>2153</v>
      </c>
      <c r="G60" s="228"/>
      <c r="H60" s="559"/>
    </row>
    <row r="61" spans="1:8" x14ac:dyDescent="0.25">
      <c r="A61" s="194" t="s">
        <v>225</v>
      </c>
      <c r="B61" s="195">
        <v>10</v>
      </c>
      <c r="C61" s="209" t="s">
        <v>226</v>
      </c>
      <c r="D61" s="295" t="s">
        <v>8</v>
      </c>
      <c r="E61" s="228"/>
      <c r="F61" s="546" t="s">
        <v>1871</v>
      </c>
      <c r="G61" s="228"/>
      <c r="H61" s="559"/>
    </row>
    <row r="62" spans="1:8" x14ac:dyDescent="0.25">
      <c r="A62" s="194" t="s">
        <v>223</v>
      </c>
      <c r="B62" s="197">
        <v>10</v>
      </c>
      <c r="C62" s="209" t="s">
        <v>224</v>
      </c>
      <c r="D62" s="295" t="s">
        <v>8</v>
      </c>
      <c r="E62" s="228"/>
      <c r="F62" s="546" t="s">
        <v>1872</v>
      </c>
      <c r="G62" s="228"/>
      <c r="H62" s="559"/>
    </row>
    <row r="63" spans="1:8" x14ac:dyDescent="0.25">
      <c r="A63" s="513" t="s">
        <v>207</v>
      </c>
      <c r="B63" s="220">
        <v>2</v>
      </c>
      <c r="C63" s="293"/>
      <c r="D63" s="296" t="s">
        <v>208</v>
      </c>
      <c r="E63" s="228"/>
      <c r="F63" s="546" t="s">
        <v>2153</v>
      </c>
      <c r="G63" s="228"/>
      <c r="H63" s="559"/>
    </row>
    <row r="64" spans="1:8" x14ac:dyDescent="0.25">
      <c r="A64" s="201" t="s">
        <v>249</v>
      </c>
      <c r="B64" s="195">
        <v>4</v>
      </c>
      <c r="C64" s="209" t="s">
        <v>250</v>
      </c>
      <c r="D64" s="295" t="s">
        <v>10</v>
      </c>
      <c r="E64" s="228"/>
      <c r="F64" s="546" t="s">
        <v>1876</v>
      </c>
      <c r="G64" s="228"/>
      <c r="H64" s="559"/>
    </row>
    <row r="65" spans="1:8" x14ac:dyDescent="0.25">
      <c r="A65" s="194" t="s">
        <v>209</v>
      </c>
      <c r="B65" s="197">
        <v>15</v>
      </c>
      <c r="C65" s="209"/>
      <c r="D65" s="295" t="s">
        <v>206</v>
      </c>
      <c r="E65" s="228"/>
      <c r="F65" s="546" t="s">
        <v>2049</v>
      </c>
      <c r="G65" s="228"/>
      <c r="H65" s="559"/>
    </row>
    <row r="66" spans="1:8" x14ac:dyDescent="0.25">
      <c r="A66" s="508" t="s">
        <v>300</v>
      </c>
      <c r="B66" s="223">
        <v>2</v>
      </c>
      <c r="C66" s="79" t="s">
        <v>301</v>
      </c>
      <c r="D66" s="474" t="s">
        <v>299</v>
      </c>
      <c r="E66" s="228"/>
      <c r="F66" s="222" t="s">
        <v>2153</v>
      </c>
      <c r="G66" s="228"/>
      <c r="H66" s="559"/>
    </row>
    <row r="67" spans="1:8" x14ac:dyDescent="0.25">
      <c r="A67" s="194" t="s">
        <v>168</v>
      </c>
      <c r="B67" s="195">
        <v>4</v>
      </c>
      <c r="C67" s="209" t="s">
        <v>167</v>
      </c>
      <c r="D67" s="295" t="s">
        <v>8</v>
      </c>
      <c r="E67" s="228"/>
      <c r="F67" s="546" t="s">
        <v>2023</v>
      </c>
      <c r="G67" s="228"/>
      <c r="H67" s="559"/>
    </row>
    <row r="68" spans="1:8" x14ac:dyDescent="0.25">
      <c r="A68" s="194" t="s">
        <v>165</v>
      </c>
      <c r="B68" s="197">
        <v>4</v>
      </c>
      <c r="C68" s="209" t="s">
        <v>166</v>
      </c>
      <c r="D68" s="295" t="s">
        <v>8</v>
      </c>
      <c r="E68" s="228"/>
      <c r="F68" s="546" t="s">
        <v>2022</v>
      </c>
      <c r="G68" s="228"/>
      <c r="H68" s="559"/>
    </row>
    <row r="69" spans="1:8" x14ac:dyDescent="0.25">
      <c r="A69" s="513" t="s">
        <v>219</v>
      </c>
      <c r="B69" s="221">
        <v>2</v>
      </c>
      <c r="C69" s="545"/>
      <c r="D69" s="296" t="s">
        <v>220</v>
      </c>
      <c r="E69" s="540"/>
      <c r="F69" s="546" t="s">
        <v>2081</v>
      </c>
      <c r="G69" s="540"/>
      <c r="H69" s="559"/>
    </row>
    <row r="70" spans="1:8" x14ac:dyDescent="0.25">
      <c r="A70" s="194" t="s">
        <v>23</v>
      </c>
      <c r="B70" s="197">
        <v>20</v>
      </c>
      <c r="C70" s="209" t="s">
        <v>24</v>
      </c>
      <c r="D70" s="295" t="s">
        <v>8</v>
      </c>
      <c r="E70" s="228"/>
      <c r="F70" s="546" t="s">
        <v>1877</v>
      </c>
      <c r="G70" s="228"/>
      <c r="H70" s="559"/>
    </row>
    <row r="71" spans="1:8" x14ac:dyDescent="0.25">
      <c r="A71" s="194" t="s">
        <v>25</v>
      </c>
      <c r="B71" s="195">
        <v>20</v>
      </c>
      <c r="C71" s="209" t="s">
        <v>26</v>
      </c>
      <c r="D71" s="295" t="s">
        <v>8</v>
      </c>
      <c r="E71" s="228"/>
      <c r="F71" s="546" t="s">
        <v>1878</v>
      </c>
      <c r="G71" s="228"/>
      <c r="H71" s="559"/>
    </row>
    <row r="72" spans="1:8" x14ac:dyDescent="0.25">
      <c r="A72" s="194" t="s">
        <v>27</v>
      </c>
      <c r="B72" s="197">
        <v>6</v>
      </c>
      <c r="C72" s="209" t="s">
        <v>28</v>
      </c>
      <c r="D72" s="295" t="s">
        <v>8</v>
      </c>
      <c r="E72" s="228"/>
      <c r="F72" s="546" t="s">
        <v>1879</v>
      </c>
      <c r="G72" s="228"/>
      <c r="H72" s="559"/>
    </row>
    <row r="73" spans="1:8" x14ac:dyDescent="0.25">
      <c r="A73" s="194" t="s">
        <v>159</v>
      </c>
      <c r="B73" s="197">
        <v>10</v>
      </c>
      <c r="C73" s="209" t="s">
        <v>160</v>
      </c>
      <c r="D73" s="295" t="s">
        <v>8</v>
      </c>
      <c r="E73" s="228"/>
      <c r="F73" s="546" t="s">
        <v>1880</v>
      </c>
      <c r="G73" s="228"/>
      <c r="H73" s="559"/>
    </row>
    <row r="74" spans="1:8" x14ac:dyDescent="0.25">
      <c r="A74" s="194" t="s">
        <v>29</v>
      </c>
      <c r="B74" s="195">
        <v>15</v>
      </c>
      <c r="C74" s="209" t="s">
        <v>30</v>
      </c>
      <c r="D74" s="295" t="s">
        <v>8</v>
      </c>
      <c r="E74" s="228"/>
      <c r="F74" s="546" t="s">
        <v>1754</v>
      </c>
      <c r="G74" s="228"/>
      <c r="H74" s="559"/>
    </row>
    <row r="75" spans="1:8" x14ac:dyDescent="0.25">
      <c r="A75" s="194" t="s">
        <v>32</v>
      </c>
      <c r="B75" s="197">
        <v>10</v>
      </c>
      <c r="C75" s="209" t="s">
        <v>33</v>
      </c>
      <c r="D75" s="295" t="s">
        <v>8</v>
      </c>
      <c r="E75" s="228"/>
      <c r="F75" s="546" t="s">
        <v>1753</v>
      </c>
      <c r="G75" s="228"/>
      <c r="H75" s="559"/>
    </row>
    <row r="76" spans="1:8" x14ac:dyDescent="0.25">
      <c r="A76" s="194" t="s">
        <v>35</v>
      </c>
      <c r="B76" s="195">
        <v>15</v>
      </c>
      <c r="C76" s="209" t="s">
        <v>36</v>
      </c>
      <c r="D76" s="295" t="s">
        <v>8</v>
      </c>
      <c r="E76" s="228"/>
      <c r="F76" s="548" t="s">
        <v>1881</v>
      </c>
      <c r="G76" s="228"/>
      <c r="H76" s="559"/>
    </row>
    <row r="77" spans="1:8" x14ac:dyDescent="0.25">
      <c r="A77" s="194" t="s">
        <v>38</v>
      </c>
      <c r="B77" s="197">
        <v>15</v>
      </c>
      <c r="C77" s="209" t="s">
        <v>39</v>
      </c>
      <c r="D77" s="295" t="s">
        <v>8</v>
      </c>
      <c r="E77" s="228"/>
      <c r="F77" s="36" t="s">
        <v>1883</v>
      </c>
      <c r="G77" s="228"/>
      <c r="H77" s="559"/>
    </row>
    <row r="78" spans="1:8" x14ac:dyDescent="0.25">
      <c r="A78" s="199" t="s">
        <v>40</v>
      </c>
      <c r="B78" s="220">
        <v>6</v>
      </c>
      <c r="C78" s="293" t="s">
        <v>41</v>
      </c>
      <c r="D78" s="296" t="s">
        <v>8</v>
      </c>
      <c r="E78" s="228"/>
      <c r="F78" s="546" t="s">
        <v>1882</v>
      </c>
      <c r="G78" s="228"/>
      <c r="H78" s="559"/>
    </row>
    <row r="79" spans="1:8" x14ac:dyDescent="0.25">
      <c r="A79" s="194" t="s">
        <v>42</v>
      </c>
      <c r="B79" s="197">
        <v>10</v>
      </c>
      <c r="C79" s="209" t="s">
        <v>43</v>
      </c>
      <c r="D79" s="295" t="s">
        <v>8</v>
      </c>
      <c r="E79" s="228"/>
      <c r="F79" s="546" t="s">
        <v>1885</v>
      </c>
      <c r="G79" s="228"/>
      <c r="H79" s="559"/>
    </row>
    <row r="80" spans="1:8" x14ac:dyDescent="0.25">
      <c r="A80" s="194" t="s">
        <v>44</v>
      </c>
      <c r="B80" s="195">
        <v>10</v>
      </c>
      <c r="C80" s="209" t="s">
        <v>45</v>
      </c>
      <c r="D80" s="295" t="s">
        <v>8</v>
      </c>
      <c r="E80" s="228"/>
      <c r="F80" s="546" t="s">
        <v>1886</v>
      </c>
      <c r="G80" s="228"/>
      <c r="H80" s="559"/>
    </row>
    <row r="81" spans="1:8" x14ac:dyDescent="0.25">
      <c r="A81" s="194" t="s">
        <v>46</v>
      </c>
      <c r="B81" s="197">
        <v>8</v>
      </c>
      <c r="C81" s="209" t="s">
        <v>47</v>
      </c>
      <c r="D81" s="295" t="s">
        <v>8</v>
      </c>
      <c r="E81" s="228"/>
      <c r="F81" s="546" t="s">
        <v>1889</v>
      </c>
      <c r="G81" s="228"/>
      <c r="H81" s="559"/>
    </row>
    <row r="82" spans="1:8" x14ac:dyDescent="0.25">
      <c r="A82" s="194" t="s">
        <v>48</v>
      </c>
      <c r="B82" s="195">
        <v>5</v>
      </c>
      <c r="C82" s="209" t="s">
        <v>49</v>
      </c>
      <c r="D82" s="295" t="s">
        <v>8</v>
      </c>
      <c r="E82" s="228"/>
      <c r="F82" s="546" t="s">
        <v>1888</v>
      </c>
      <c r="G82" s="228"/>
      <c r="H82" s="559"/>
    </row>
    <row r="83" spans="1:8" x14ac:dyDescent="0.25">
      <c r="A83" s="194" t="s">
        <v>50</v>
      </c>
      <c r="B83" s="197">
        <v>3</v>
      </c>
      <c r="C83" s="209" t="s">
        <v>51</v>
      </c>
      <c r="D83" s="295" t="s">
        <v>8</v>
      </c>
      <c r="E83" s="228"/>
      <c r="F83" s="546" t="s">
        <v>1890</v>
      </c>
      <c r="G83" s="228"/>
      <c r="H83" s="559"/>
    </row>
    <row r="84" spans="1:8" x14ac:dyDescent="0.25">
      <c r="A84" s="194" t="s">
        <v>3</v>
      </c>
      <c r="B84" s="195">
        <v>50</v>
      </c>
      <c r="C84" s="292">
        <v>971</v>
      </c>
      <c r="D84" s="295" t="s">
        <v>4</v>
      </c>
      <c r="E84" s="228"/>
      <c r="F84" s="113" t="s">
        <v>1896</v>
      </c>
      <c r="G84" s="228"/>
      <c r="H84" s="559"/>
    </row>
    <row r="85" spans="1:8" x14ac:dyDescent="0.25">
      <c r="A85" s="194" t="s">
        <v>5</v>
      </c>
      <c r="B85" s="197">
        <v>30</v>
      </c>
      <c r="C85" s="209">
        <v>957</v>
      </c>
      <c r="D85" s="295" t="s">
        <v>4</v>
      </c>
      <c r="E85" s="228"/>
      <c r="F85" s="115" t="s">
        <v>1895</v>
      </c>
      <c r="G85" s="228"/>
      <c r="H85" s="559"/>
    </row>
    <row r="86" spans="1:8" x14ac:dyDescent="0.25">
      <c r="A86" s="194" t="s">
        <v>155</v>
      </c>
      <c r="B86" s="197">
        <v>5</v>
      </c>
      <c r="C86" s="209" t="s">
        <v>156</v>
      </c>
      <c r="D86" s="295" t="s">
        <v>8</v>
      </c>
      <c r="E86" s="228"/>
      <c r="F86" s="546" t="s">
        <v>1898</v>
      </c>
      <c r="G86" s="228"/>
      <c r="H86" s="559"/>
    </row>
    <row r="87" spans="1:8" x14ac:dyDescent="0.25">
      <c r="A87" s="194" t="s">
        <v>52</v>
      </c>
      <c r="B87" s="195">
        <v>10</v>
      </c>
      <c r="C87" s="209" t="s">
        <v>53</v>
      </c>
      <c r="D87" s="295" t="s">
        <v>8</v>
      </c>
      <c r="E87" s="228"/>
      <c r="F87" s="546" t="s">
        <v>1900</v>
      </c>
      <c r="G87" s="228"/>
      <c r="H87" s="559"/>
    </row>
    <row r="88" spans="1:8" x14ac:dyDescent="0.25">
      <c r="A88" s="199" t="s">
        <v>257</v>
      </c>
      <c r="B88" s="220">
        <v>4</v>
      </c>
      <c r="C88" s="293" t="s">
        <v>258</v>
      </c>
      <c r="D88" s="296" t="s">
        <v>8</v>
      </c>
      <c r="E88" s="228"/>
      <c r="F88" s="43" t="s">
        <v>2052</v>
      </c>
      <c r="G88" s="228"/>
      <c r="H88" s="559"/>
    </row>
    <row r="89" spans="1:8" x14ac:dyDescent="0.25">
      <c r="A89" s="199" t="s">
        <v>257</v>
      </c>
      <c r="B89" s="221">
        <v>4</v>
      </c>
      <c r="C89" s="293" t="s">
        <v>263</v>
      </c>
      <c r="D89" s="296" t="s">
        <v>8</v>
      </c>
      <c r="E89" s="228"/>
      <c r="F89" s="43" t="s">
        <v>2052</v>
      </c>
      <c r="G89" s="228"/>
      <c r="H89" s="559"/>
    </row>
    <row r="90" spans="1:8" x14ac:dyDescent="0.25">
      <c r="A90" s="194" t="s">
        <v>259</v>
      </c>
      <c r="B90" s="197">
        <v>4</v>
      </c>
      <c r="C90" s="209" t="s">
        <v>260</v>
      </c>
      <c r="D90" s="295" t="s">
        <v>8</v>
      </c>
      <c r="E90" s="228"/>
      <c r="F90" s="546" t="s">
        <v>2050</v>
      </c>
      <c r="G90" s="228"/>
      <c r="H90" s="559"/>
    </row>
    <row r="91" spans="1:8" x14ac:dyDescent="0.25">
      <c r="A91" s="194" t="s">
        <v>259</v>
      </c>
      <c r="B91" s="195">
        <v>4</v>
      </c>
      <c r="C91" s="209" t="s">
        <v>264</v>
      </c>
      <c r="D91" s="295" t="s">
        <v>8</v>
      </c>
      <c r="E91" s="228"/>
      <c r="F91" s="546" t="s">
        <v>2050</v>
      </c>
      <c r="G91" s="228"/>
      <c r="H91" s="559"/>
    </row>
    <row r="92" spans="1:8" x14ac:dyDescent="0.25">
      <c r="A92" s="194" t="s">
        <v>261</v>
      </c>
      <c r="B92" s="195">
        <v>2</v>
      </c>
      <c r="C92" s="209" t="s">
        <v>262</v>
      </c>
      <c r="D92" s="295" t="s">
        <v>8</v>
      </c>
      <c r="E92" s="228"/>
      <c r="F92" s="546" t="s">
        <v>2051</v>
      </c>
      <c r="G92" s="228"/>
      <c r="H92" s="559"/>
    </row>
    <row r="93" spans="1:8" x14ac:dyDescent="0.25">
      <c r="A93" s="201" t="s">
        <v>261</v>
      </c>
      <c r="B93" s="197">
        <v>2</v>
      </c>
      <c r="C93" s="209" t="s">
        <v>265</v>
      </c>
      <c r="D93" s="295" t="s">
        <v>8</v>
      </c>
      <c r="E93" s="228"/>
      <c r="F93" s="546" t="s">
        <v>2051</v>
      </c>
      <c r="G93" s="228"/>
      <c r="H93" s="559"/>
    </row>
    <row r="94" spans="1:8" x14ac:dyDescent="0.25">
      <c r="A94" s="194" t="s">
        <v>54</v>
      </c>
      <c r="B94" s="197">
        <v>10</v>
      </c>
      <c r="C94" s="209" t="s">
        <v>55</v>
      </c>
      <c r="D94" s="295" t="s">
        <v>8</v>
      </c>
      <c r="E94" s="228"/>
      <c r="F94" s="441" t="s">
        <v>1910</v>
      </c>
      <c r="G94" s="228"/>
      <c r="H94" s="559"/>
    </row>
    <row r="95" spans="1:8" x14ac:dyDescent="0.25">
      <c r="A95" s="194" t="s">
        <v>56</v>
      </c>
      <c r="B95" s="195">
        <v>10</v>
      </c>
      <c r="C95" s="209" t="s">
        <v>57</v>
      </c>
      <c r="D95" s="295" t="s">
        <v>8</v>
      </c>
      <c r="E95" s="228"/>
      <c r="F95" s="441" t="s">
        <v>1911</v>
      </c>
      <c r="G95" s="228"/>
      <c r="H95" s="559"/>
    </row>
    <row r="96" spans="1:8" x14ac:dyDescent="0.25">
      <c r="A96" s="194" t="s">
        <v>58</v>
      </c>
      <c r="B96" s="197">
        <v>8</v>
      </c>
      <c r="C96" s="209" t="s">
        <v>59</v>
      </c>
      <c r="D96" s="295" t="s">
        <v>8</v>
      </c>
      <c r="E96" s="228"/>
      <c r="F96" s="546" t="s">
        <v>1915</v>
      </c>
      <c r="G96" s="228"/>
      <c r="H96" s="559"/>
    </row>
    <row r="97" spans="1:8" x14ac:dyDescent="0.25">
      <c r="A97" s="194" t="s">
        <v>60</v>
      </c>
      <c r="B97" s="195">
        <v>4</v>
      </c>
      <c r="C97" s="209" t="s">
        <v>61</v>
      </c>
      <c r="D97" s="295" t="s">
        <v>8</v>
      </c>
      <c r="E97" s="228"/>
      <c r="F97" s="546" t="s">
        <v>1912</v>
      </c>
      <c r="G97" s="228"/>
      <c r="H97" s="559"/>
    </row>
    <row r="98" spans="1:8" x14ac:dyDescent="0.25">
      <c r="A98" s="194" t="s">
        <v>62</v>
      </c>
      <c r="B98" s="197">
        <v>3</v>
      </c>
      <c r="C98" s="209" t="s">
        <v>63</v>
      </c>
      <c r="D98" s="295" t="s">
        <v>8</v>
      </c>
      <c r="E98" s="228"/>
      <c r="F98" s="546" t="s">
        <v>1913</v>
      </c>
      <c r="G98" s="228"/>
      <c r="H98" s="559"/>
    </row>
    <row r="99" spans="1:8" x14ac:dyDescent="0.25">
      <c r="A99" s="194" t="s">
        <v>108</v>
      </c>
      <c r="B99" s="195">
        <v>6</v>
      </c>
      <c r="C99" s="209" t="s">
        <v>109</v>
      </c>
      <c r="D99" s="295" t="s">
        <v>10</v>
      </c>
      <c r="E99" s="228"/>
      <c r="F99" s="546" t="s">
        <v>1924</v>
      </c>
      <c r="G99" s="228"/>
      <c r="H99" s="559"/>
    </row>
    <row r="100" spans="1:8" x14ac:dyDescent="0.25">
      <c r="A100" s="194" t="s">
        <v>64</v>
      </c>
      <c r="B100" s="195">
        <v>20</v>
      </c>
      <c r="C100" s="209" t="s">
        <v>65</v>
      </c>
      <c r="D100" s="295" t="s">
        <v>8</v>
      </c>
      <c r="E100" s="228"/>
      <c r="F100" s="548" t="s">
        <v>1930</v>
      </c>
      <c r="G100" s="228"/>
      <c r="H100" s="559"/>
    </row>
    <row r="101" spans="1:8" x14ac:dyDescent="0.25">
      <c r="A101" s="194" t="s">
        <v>64</v>
      </c>
      <c r="B101" s="197">
        <v>20</v>
      </c>
      <c r="C101" s="209" t="s">
        <v>66</v>
      </c>
      <c r="D101" s="295" t="s">
        <v>8</v>
      </c>
      <c r="E101" s="228"/>
      <c r="F101" s="548" t="s">
        <v>1931</v>
      </c>
      <c r="G101" s="228"/>
      <c r="H101" s="559"/>
    </row>
    <row r="102" spans="1:8" x14ac:dyDescent="0.25">
      <c r="A102" s="194" t="s">
        <v>67</v>
      </c>
      <c r="B102" s="195">
        <v>10</v>
      </c>
      <c r="C102" s="209" t="s">
        <v>68</v>
      </c>
      <c r="D102" s="295" t="s">
        <v>8</v>
      </c>
      <c r="E102" s="228"/>
      <c r="F102" s="546" t="s">
        <v>1932</v>
      </c>
      <c r="G102" s="228"/>
      <c r="H102" s="559"/>
    </row>
    <row r="103" spans="1:8" x14ac:dyDescent="0.25">
      <c r="A103" s="194" t="s">
        <v>67</v>
      </c>
      <c r="B103" s="197">
        <v>10</v>
      </c>
      <c r="C103" s="209" t="s">
        <v>69</v>
      </c>
      <c r="D103" s="295" t="s">
        <v>8</v>
      </c>
      <c r="E103" s="228"/>
      <c r="F103" s="546" t="s">
        <v>1933</v>
      </c>
      <c r="G103" s="228"/>
      <c r="H103" s="559"/>
    </row>
    <row r="104" spans="1:8" x14ac:dyDescent="0.25">
      <c r="A104" s="194" t="s">
        <v>70</v>
      </c>
      <c r="B104" s="195">
        <v>10</v>
      </c>
      <c r="C104" s="209" t="s">
        <v>71</v>
      </c>
      <c r="D104" s="295" t="s">
        <v>8</v>
      </c>
      <c r="E104" s="228"/>
      <c r="F104" s="546" t="s">
        <v>1935</v>
      </c>
      <c r="G104" s="228"/>
      <c r="H104" s="559"/>
    </row>
    <row r="105" spans="1:8" x14ac:dyDescent="0.25">
      <c r="A105" s="202" t="s">
        <v>75</v>
      </c>
      <c r="B105" s="473">
        <v>10</v>
      </c>
      <c r="C105" s="294" t="s">
        <v>76</v>
      </c>
      <c r="D105" s="295" t="s">
        <v>8</v>
      </c>
      <c r="E105" s="228"/>
      <c r="F105" s="546" t="s">
        <v>1938</v>
      </c>
      <c r="G105" s="228"/>
      <c r="H105" s="559"/>
    </row>
    <row r="106" spans="1:8" x14ac:dyDescent="0.25">
      <c r="A106" s="194" t="s">
        <v>72</v>
      </c>
      <c r="B106" s="197">
        <v>20</v>
      </c>
      <c r="C106" s="209" t="s">
        <v>73</v>
      </c>
      <c r="D106" s="295" t="s">
        <v>8</v>
      </c>
      <c r="E106" s="228"/>
      <c r="F106" s="36" t="s">
        <v>1937</v>
      </c>
      <c r="G106" s="228"/>
      <c r="H106" s="559"/>
    </row>
    <row r="107" spans="1:8" x14ac:dyDescent="0.25">
      <c r="A107" s="194" t="s">
        <v>77</v>
      </c>
      <c r="B107" s="197">
        <v>15</v>
      </c>
      <c r="C107" s="209" t="s">
        <v>78</v>
      </c>
      <c r="D107" s="295" t="s">
        <v>8</v>
      </c>
      <c r="E107" s="228"/>
      <c r="F107" s="36" t="s">
        <v>1936</v>
      </c>
      <c r="G107" s="228"/>
      <c r="H107" s="559"/>
    </row>
    <row r="108" spans="1:8" x14ac:dyDescent="0.25">
      <c r="A108" s="201" t="s">
        <v>266</v>
      </c>
      <c r="B108" s="195">
        <v>2</v>
      </c>
      <c r="C108" s="198" t="s">
        <v>267</v>
      </c>
      <c r="D108" s="475" t="s">
        <v>8</v>
      </c>
      <c r="E108" s="211"/>
      <c r="F108" s="546" t="s">
        <v>2053</v>
      </c>
      <c r="G108" s="211"/>
      <c r="H108" s="562"/>
    </row>
    <row r="109" spans="1:8" x14ac:dyDescent="0.25">
      <c r="A109" s="201" t="s">
        <v>268</v>
      </c>
      <c r="B109" s="197">
        <v>2</v>
      </c>
      <c r="C109" s="198" t="s">
        <v>269</v>
      </c>
      <c r="D109" s="196" t="s">
        <v>8</v>
      </c>
      <c r="E109" s="15"/>
      <c r="F109" s="546" t="s">
        <v>2054</v>
      </c>
      <c r="G109" s="15"/>
      <c r="H109" s="563"/>
    </row>
    <row r="110" spans="1:8" x14ac:dyDescent="0.25">
      <c r="A110" s="194" t="s">
        <v>85</v>
      </c>
      <c r="B110" s="197">
        <v>8</v>
      </c>
      <c r="C110" s="198" t="s">
        <v>86</v>
      </c>
      <c r="D110" s="196" t="s">
        <v>8</v>
      </c>
      <c r="E110" s="15"/>
      <c r="F110" s="546" t="s">
        <v>1893</v>
      </c>
      <c r="G110" s="15"/>
      <c r="H110" s="563"/>
    </row>
    <row r="111" spans="1:8" x14ac:dyDescent="0.25">
      <c r="A111" s="194" t="s">
        <v>83</v>
      </c>
      <c r="B111" s="195">
        <v>8</v>
      </c>
      <c r="C111" s="198" t="s">
        <v>84</v>
      </c>
      <c r="D111" s="196" t="s">
        <v>8</v>
      </c>
      <c r="E111" s="15"/>
      <c r="F111" s="546" t="s">
        <v>1894</v>
      </c>
      <c r="G111" s="15"/>
      <c r="H111" s="563"/>
    </row>
    <row r="112" spans="1:8" x14ac:dyDescent="0.25">
      <c r="A112" s="194" t="s">
        <v>81</v>
      </c>
      <c r="B112" s="197">
        <v>10</v>
      </c>
      <c r="C112" s="198" t="s">
        <v>82</v>
      </c>
      <c r="D112" s="196" t="s">
        <v>8</v>
      </c>
      <c r="E112" s="15"/>
      <c r="F112" s="68" t="s">
        <v>1940</v>
      </c>
      <c r="G112" s="15"/>
      <c r="H112" s="563"/>
    </row>
    <row r="113" spans="1:8" x14ac:dyDescent="0.25">
      <c r="A113" s="194" t="s">
        <v>79</v>
      </c>
      <c r="B113" s="195">
        <v>10</v>
      </c>
      <c r="C113" s="198" t="s">
        <v>80</v>
      </c>
      <c r="D113" s="196" t="s">
        <v>8</v>
      </c>
      <c r="E113" s="15"/>
      <c r="F113" s="549" t="s">
        <v>1941</v>
      </c>
      <c r="G113" s="507"/>
      <c r="H113" s="564"/>
    </row>
    <row r="114" spans="1:8" x14ac:dyDescent="0.25">
      <c r="A114" s="508" t="s">
        <v>295</v>
      </c>
      <c r="B114" s="223">
        <v>2</v>
      </c>
      <c r="C114" s="78" t="s">
        <v>296</v>
      </c>
      <c r="D114" s="189" t="s">
        <v>146</v>
      </c>
      <c r="E114" s="110"/>
      <c r="F114" s="540" t="s">
        <v>2055</v>
      </c>
      <c r="G114" s="228" t="s">
        <v>2056</v>
      </c>
      <c r="H114" s="559">
        <v>460</v>
      </c>
    </row>
    <row r="115" spans="1:8" x14ac:dyDescent="0.25">
      <c r="A115" s="194" t="s">
        <v>187</v>
      </c>
      <c r="B115" s="195">
        <v>10</v>
      </c>
      <c r="C115" s="198" t="s">
        <v>188</v>
      </c>
      <c r="D115" s="196" t="s">
        <v>10</v>
      </c>
      <c r="E115" s="15"/>
      <c r="F115" s="550" t="s">
        <v>1904</v>
      </c>
      <c r="G115" s="211"/>
      <c r="H115" s="562"/>
    </row>
    <row r="116" spans="1:8" x14ac:dyDescent="0.25">
      <c r="A116" s="194" t="s">
        <v>247</v>
      </c>
      <c r="B116" s="197">
        <v>6</v>
      </c>
      <c r="C116" s="198" t="s">
        <v>248</v>
      </c>
      <c r="D116" s="196" t="s">
        <v>8</v>
      </c>
      <c r="E116" s="15"/>
      <c r="F116" s="546" t="s">
        <v>1958</v>
      </c>
      <c r="G116" s="15"/>
      <c r="H116" s="563"/>
    </row>
    <row r="117" spans="1:8" x14ac:dyDescent="0.25">
      <c r="A117" s="396" t="s">
        <v>205</v>
      </c>
      <c r="B117" s="197">
        <v>20</v>
      </c>
      <c r="C117" s="198"/>
      <c r="D117" s="196" t="s">
        <v>206</v>
      </c>
      <c r="E117" s="15"/>
      <c r="F117" s="546" t="s">
        <v>2153</v>
      </c>
      <c r="G117" s="15"/>
      <c r="H117" s="563"/>
    </row>
    <row r="118" spans="1:8" x14ac:dyDescent="0.25">
      <c r="A118" s="194" t="s">
        <v>87</v>
      </c>
      <c r="B118" s="195">
        <v>15</v>
      </c>
      <c r="C118" s="198" t="s">
        <v>88</v>
      </c>
      <c r="D118" s="196" t="s">
        <v>8</v>
      </c>
      <c r="E118" s="15"/>
      <c r="F118" s="546" t="s">
        <v>1960</v>
      </c>
      <c r="G118" s="15"/>
      <c r="H118" s="563"/>
    </row>
    <row r="119" spans="1:8" x14ac:dyDescent="0.25">
      <c r="A119" s="194" t="s">
        <v>89</v>
      </c>
      <c r="B119" s="197">
        <v>15</v>
      </c>
      <c r="C119" s="198" t="s">
        <v>90</v>
      </c>
      <c r="D119" s="196" t="s">
        <v>10</v>
      </c>
      <c r="E119" s="15"/>
      <c r="F119" s="546" t="s">
        <v>1961</v>
      </c>
      <c r="G119" s="15"/>
      <c r="H119" s="563"/>
    </row>
    <row r="120" spans="1:8" x14ac:dyDescent="0.25">
      <c r="A120" s="194" t="s">
        <v>91</v>
      </c>
      <c r="B120" s="195">
        <v>10</v>
      </c>
      <c r="C120" s="198" t="s">
        <v>92</v>
      </c>
      <c r="D120" s="196" t="s">
        <v>10</v>
      </c>
      <c r="E120" s="15"/>
      <c r="F120" s="546" t="s">
        <v>1962</v>
      </c>
      <c r="G120" s="15"/>
      <c r="H120" s="563"/>
    </row>
    <row r="121" spans="1:8" x14ac:dyDescent="0.25">
      <c r="A121" s="194" t="s">
        <v>93</v>
      </c>
      <c r="B121" s="197">
        <v>10</v>
      </c>
      <c r="C121" s="198" t="s">
        <v>94</v>
      </c>
      <c r="D121" s="196" t="s">
        <v>10</v>
      </c>
      <c r="E121" s="15"/>
      <c r="F121" s="546" t="s">
        <v>1963</v>
      </c>
      <c r="G121" s="15"/>
      <c r="H121" s="563"/>
    </row>
    <row r="122" spans="1:8" x14ac:dyDescent="0.25">
      <c r="A122" s="396" t="s">
        <v>270</v>
      </c>
      <c r="B122" s="195">
        <v>2</v>
      </c>
      <c r="C122" s="198" t="s">
        <v>271</v>
      </c>
      <c r="D122" s="198" t="s">
        <v>272</v>
      </c>
      <c r="E122" s="15"/>
      <c r="F122" s="546" t="s">
        <v>2153</v>
      </c>
      <c r="G122" s="15"/>
      <c r="H122" s="563"/>
    </row>
    <row r="123" spans="1:8" x14ac:dyDescent="0.25">
      <c r="A123" s="396" t="s">
        <v>273</v>
      </c>
      <c r="B123" s="197">
        <v>2</v>
      </c>
      <c r="C123" s="198" t="s">
        <v>274</v>
      </c>
      <c r="D123" s="198" t="s">
        <v>272</v>
      </c>
      <c r="E123" s="15"/>
      <c r="F123" s="546" t="s">
        <v>2153</v>
      </c>
      <c r="G123" s="15"/>
      <c r="H123" s="563"/>
    </row>
    <row r="124" spans="1:8" x14ac:dyDescent="0.25">
      <c r="A124" s="194" t="s">
        <v>110</v>
      </c>
      <c r="B124" s="197">
        <v>15</v>
      </c>
      <c r="C124" s="198" t="s">
        <v>111</v>
      </c>
      <c r="D124" s="196" t="s">
        <v>8</v>
      </c>
      <c r="E124" s="15"/>
      <c r="F124" s="546" t="s">
        <v>1970</v>
      </c>
      <c r="G124" s="15"/>
      <c r="H124" s="563"/>
    </row>
    <row r="125" spans="1:8" x14ac:dyDescent="0.25">
      <c r="A125" s="194" t="s">
        <v>112</v>
      </c>
      <c r="B125" s="195">
        <v>15</v>
      </c>
      <c r="C125" s="198" t="s">
        <v>113</v>
      </c>
      <c r="D125" s="196" t="s">
        <v>8</v>
      </c>
      <c r="E125" s="15"/>
      <c r="F125" s="546" t="s">
        <v>1972</v>
      </c>
      <c r="G125" s="15"/>
      <c r="H125" s="563"/>
    </row>
    <row r="126" spans="1:8" x14ac:dyDescent="0.25">
      <c r="A126" s="194" t="s">
        <v>114</v>
      </c>
      <c r="B126" s="197">
        <v>10</v>
      </c>
      <c r="C126" s="198" t="s">
        <v>115</v>
      </c>
      <c r="D126" s="196" t="s">
        <v>8</v>
      </c>
      <c r="E126" s="15"/>
      <c r="F126" s="546" t="s">
        <v>1973</v>
      </c>
      <c r="G126" s="15"/>
      <c r="H126" s="563"/>
    </row>
    <row r="127" spans="1:8" x14ac:dyDescent="0.25">
      <c r="A127" s="194" t="s">
        <v>116</v>
      </c>
      <c r="B127" s="195">
        <v>3</v>
      </c>
      <c r="C127" s="198" t="s">
        <v>117</v>
      </c>
      <c r="D127" s="196" t="s">
        <v>8</v>
      </c>
      <c r="E127" s="15"/>
      <c r="F127" s="546" t="s">
        <v>1974</v>
      </c>
      <c r="G127" s="15"/>
      <c r="H127" s="563"/>
    </row>
    <row r="128" spans="1:8" x14ac:dyDescent="0.25">
      <c r="A128" s="194" t="s">
        <v>251</v>
      </c>
      <c r="B128" s="197">
        <v>6</v>
      </c>
      <c r="C128" s="198" t="s">
        <v>252</v>
      </c>
      <c r="D128" s="196" t="s">
        <v>8</v>
      </c>
      <c r="E128" s="15"/>
      <c r="F128" s="549" t="s">
        <v>1947</v>
      </c>
      <c r="G128" s="15"/>
      <c r="H128" s="563"/>
    </row>
    <row r="129" spans="1:8" x14ac:dyDescent="0.25">
      <c r="A129" s="513" t="s">
        <v>217</v>
      </c>
      <c r="B129" s="220">
        <v>2</v>
      </c>
      <c r="C129" s="200"/>
      <c r="D129" s="219" t="s">
        <v>218</v>
      </c>
      <c r="E129" s="15"/>
      <c r="F129" s="551" t="s">
        <v>2153</v>
      </c>
      <c r="G129" s="15"/>
      <c r="H129" s="563"/>
    </row>
    <row r="130" spans="1:8" x14ac:dyDescent="0.25">
      <c r="A130" s="513" t="s">
        <v>212</v>
      </c>
      <c r="B130" s="220">
        <v>3</v>
      </c>
      <c r="C130" s="200"/>
      <c r="D130" s="219"/>
      <c r="E130" s="15"/>
      <c r="F130" s="551" t="s">
        <v>2153</v>
      </c>
      <c r="G130" s="15"/>
      <c r="H130" s="563"/>
    </row>
    <row r="131" spans="1:8" x14ac:dyDescent="0.25">
      <c r="A131" s="513" t="s">
        <v>211</v>
      </c>
      <c r="B131" s="221">
        <v>6</v>
      </c>
      <c r="C131" s="200"/>
      <c r="D131" s="219"/>
      <c r="E131" s="15"/>
      <c r="F131" s="551" t="s">
        <v>2153</v>
      </c>
      <c r="G131" s="15"/>
      <c r="H131" s="563"/>
    </row>
    <row r="132" spans="1:8" x14ac:dyDescent="0.25">
      <c r="A132" s="513" t="s">
        <v>210</v>
      </c>
      <c r="B132" s="220">
        <v>3</v>
      </c>
      <c r="C132" s="200"/>
      <c r="D132" s="219"/>
      <c r="E132" s="15"/>
      <c r="F132" s="551" t="s">
        <v>2153</v>
      </c>
      <c r="G132" s="15"/>
      <c r="H132" s="563"/>
    </row>
    <row r="133" spans="1:8" x14ac:dyDescent="0.25">
      <c r="A133" s="194" t="s">
        <v>193</v>
      </c>
      <c r="B133" s="197">
        <v>15</v>
      </c>
      <c r="C133" s="198" t="s">
        <v>194</v>
      </c>
      <c r="D133" s="196" t="s">
        <v>146</v>
      </c>
      <c r="E133" s="15"/>
      <c r="F133" s="540" t="s">
        <v>2057</v>
      </c>
      <c r="G133" s="15"/>
      <c r="H133" s="563"/>
    </row>
    <row r="134" spans="1:8" x14ac:dyDescent="0.25">
      <c r="A134" s="194" t="s">
        <v>229</v>
      </c>
      <c r="B134" s="195">
        <v>15</v>
      </c>
      <c r="C134" s="198" t="s">
        <v>230</v>
      </c>
      <c r="D134" s="196" t="s">
        <v>8</v>
      </c>
      <c r="E134" s="15"/>
      <c r="F134" s="552" t="s">
        <v>1988</v>
      </c>
      <c r="G134" s="15"/>
      <c r="H134" s="563"/>
    </row>
    <row r="135" spans="1:8" x14ac:dyDescent="0.25">
      <c r="A135" s="194" t="s">
        <v>227</v>
      </c>
      <c r="B135" s="197">
        <v>6</v>
      </c>
      <c r="C135" s="198" t="s">
        <v>228</v>
      </c>
      <c r="D135" s="196" t="s">
        <v>8</v>
      </c>
      <c r="E135" s="15"/>
      <c r="F135" s="552" t="s">
        <v>1782</v>
      </c>
      <c r="G135" s="15"/>
      <c r="H135" s="563"/>
    </row>
    <row r="136" spans="1:8" x14ac:dyDescent="0.25">
      <c r="A136" s="396" t="s">
        <v>128</v>
      </c>
      <c r="B136" s="195">
        <v>5</v>
      </c>
      <c r="C136" s="198" t="s">
        <v>129</v>
      </c>
      <c r="D136" s="196" t="s">
        <v>8</v>
      </c>
      <c r="E136" s="15"/>
      <c r="F136" s="552" t="s">
        <v>2154</v>
      </c>
      <c r="G136" s="15" t="s">
        <v>2155</v>
      </c>
      <c r="H136" s="563">
        <v>125</v>
      </c>
    </row>
    <row r="137" spans="1:8" x14ac:dyDescent="0.25">
      <c r="A137" s="194" t="s">
        <v>126</v>
      </c>
      <c r="B137" s="197">
        <v>5</v>
      </c>
      <c r="C137" s="198" t="s">
        <v>127</v>
      </c>
      <c r="D137" s="196" t="s">
        <v>8</v>
      </c>
      <c r="E137" s="15"/>
      <c r="F137" s="552" t="s">
        <v>1989</v>
      </c>
      <c r="G137" s="15"/>
      <c r="H137" s="563"/>
    </row>
    <row r="138" spans="1:8" x14ac:dyDescent="0.25">
      <c r="A138" s="194" t="s">
        <v>118</v>
      </c>
      <c r="B138" s="197">
        <v>15</v>
      </c>
      <c r="C138" s="198" t="s">
        <v>119</v>
      </c>
      <c r="D138" s="196" t="s">
        <v>10</v>
      </c>
      <c r="E138" s="15"/>
      <c r="F138" s="45" t="s">
        <v>1993</v>
      </c>
      <c r="G138" s="15"/>
      <c r="H138" s="563"/>
    </row>
    <row r="139" spans="1:8" x14ac:dyDescent="0.25">
      <c r="A139" s="194" t="s">
        <v>120</v>
      </c>
      <c r="B139" s="195">
        <v>10</v>
      </c>
      <c r="C139" s="198" t="s">
        <v>121</v>
      </c>
      <c r="D139" s="196" t="s">
        <v>10</v>
      </c>
      <c r="E139" s="110"/>
      <c r="F139" s="303" t="s">
        <v>2000</v>
      </c>
      <c r="G139" s="542"/>
      <c r="H139" s="563"/>
    </row>
    <row r="140" spans="1:8" x14ac:dyDescent="0.25">
      <c r="A140" s="194" t="s">
        <v>95</v>
      </c>
      <c r="B140" s="195">
        <v>10</v>
      </c>
      <c r="C140" s="198" t="s">
        <v>96</v>
      </c>
      <c r="D140" s="196" t="s">
        <v>8</v>
      </c>
      <c r="E140" s="110"/>
      <c r="F140" s="303" t="s">
        <v>2003</v>
      </c>
      <c r="G140" s="542"/>
      <c r="H140" s="563"/>
    </row>
    <row r="141" spans="1:8" x14ac:dyDescent="0.25">
      <c r="A141" s="194" t="s">
        <v>97</v>
      </c>
      <c r="B141" s="197">
        <v>15</v>
      </c>
      <c r="C141" s="198" t="s">
        <v>98</v>
      </c>
      <c r="D141" s="196" t="s">
        <v>8</v>
      </c>
      <c r="E141" s="15"/>
      <c r="F141" s="50" t="s">
        <v>1995</v>
      </c>
      <c r="G141" s="15"/>
      <c r="H141" s="563"/>
    </row>
    <row r="142" spans="1:8" x14ac:dyDescent="0.25">
      <c r="A142" s="194" t="s">
        <v>102</v>
      </c>
      <c r="B142" s="197">
        <v>10</v>
      </c>
      <c r="C142" s="198" t="s">
        <v>103</v>
      </c>
      <c r="D142" s="196" t="s">
        <v>10</v>
      </c>
      <c r="E142" s="15"/>
      <c r="F142" s="552" t="s">
        <v>2004</v>
      </c>
      <c r="G142" s="15"/>
      <c r="H142" s="563"/>
    </row>
    <row r="143" spans="1:8" x14ac:dyDescent="0.25">
      <c r="A143" s="199" t="s">
        <v>104</v>
      </c>
      <c r="B143" s="220">
        <v>10</v>
      </c>
      <c r="C143" s="200" t="s">
        <v>105</v>
      </c>
      <c r="D143" s="219" t="s">
        <v>10</v>
      </c>
      <c r="E143" s="15"/>
      <c r="F143" s="552" t="s">
        <v>2007</v>
      </c>
      <c r="G143" s="15"/>
      <c r="H143" s="563"/>
    </row>
    <row r="144" spans="1:8" x14ac:dyDescent="0.25">
      <c r="A144" s="199" t="s">
        <v>106</v>
      </c>
      <c r="B144" s="221">
        <v>5</v>
      </c>
      <c r="C144" s="200" t="s">
        <v>107</v>
      </c>
      <c r="D144" s="219" t="s">
        <v>10</v>
      </c>
      <c r="E144" s="15"/>
      <c r="F144" s="552" t="s">
        <v>2008</v>
      </c>
      <c r="G144" s="15"/>
      <c r="H144" s="563"/>
    </row>
    <row r="145" spans="1:8" x14ac:dyDescent="0.25">
      <c r="A145" s="194" t="s">
        <v>99</v>
      </c>
      <c r="B145" s="195">
        <v>15</v>
      </c>
      <c r="C145" s="198" t="s">
        <v>100</v>
      </c>
      <c r="D145" s="196" t="s">
        <v>10</v>
      </c>
      <c r="E145" s="15"/>
      <c r="F145" s="32" t="s">
        <v>2006</v>
      </c>
      <c r="G145" s="15"/>
      <c r="H145" s="563"/>
    </row>
    <row r="146" spans="1:8" x14ac:dyDescent="0.25">
      <c r="A146" s="396" t="s">
        <v>245</v>
      </c>
      <c r="B146" s="195">
        <v>1</v>
      </c>
      <c r="C146" s="198" t="s">
        <v>246</v>
      </c>
      <c r="D146" s="196" t="s">
        <v>8</v>
      </c>
      <c r="E146" s="15"/>
      <c r="F146" s="552" t="s">
        <v>2058</v>
      </c>
      <c r="G146" s="15"/>
      <c r="H146" s="563"/>
    </row>
    <row r="147" spans="1:8" x14ac:dyDescent="0.25">
      <c r="A147" s="194" t="s">
        <v>243</v>
      </c>
      <c r="B147" s="197">
        <v>1</v>
      </c>
      <c r="C147" s="198" t="s">
        <v>244</v>
      </c>
      <c r="D147" s="196" t="s">
        <v>8</v>
      </c>
      <c r="E147" s="15"/>
      <c r="F147" s="552" t="s">
        <v>2159</v>
      </c>
      <c r="G147" s="15"/>
      <c r="H147" s="563"/>
    </row>
    <row r="148" spans="1:8" x14ac:dyDescent="0.25">
      <c r="A148" s="194" t="s">
        <v>132</v>
      </c>
      <c r="B148" s="195">
        <v>6</v>
      </c>
      <c r="C148" s="198" t="s">
        <v>133</v>
      </c>
      <c r="D148" s="196" t="s">
        <v>8</v>
      </c>
      <c r="E148" s="15"/>
      <c r="F148" s="55" t="s">
        <v>1857</v>
      </c>
      <c r="G148" s="15"/>
      <c r="H148" s="563"/>
    </row>
    <row r="149" spans="1:8" x14ac:dyDescent="0.25">
      <c r="A149" s="194" t="s">
        <v>134</v>
      </c>
      <c r="B149" s="197">
        <v>4</v>
      </c>
      <c r="C149" s="198" t="s">
        <v>135</v>
      </c>
      <c r="D149" s="196" t="s">
        <v>8</v>
      </c>
      <c r="E149" s="15"/>
      <c r="F149" s="552" t="s">
        <v>1859</v>
      </c>
      <c r="G149" s="15"/>
      <c r="H149" s="563"/>
    </row>
    <row r="150" spans="1:8" x14ac:dyDescent="0.25">
      <c r="A150" s="194" t="s">
        <v>138</v>
      </c>
      <c r="B150" s="197">
        <v>2</v>
      </c>
      <c r="C150" s="198" t="s">
        <v>139</v>
      </c>
      <c r="D150" s="196" t="s">
        <v>8</v>
      </c>
      <c r="E150" s="15"/>
      <c r="F150" s="552" t="s">
        <v>1860</v>
      </c>
      <c r="G150" s="15"/>
      <c r="H150" s="563"/>
    </row>
    <row r="151" spans="1:8" x14ac:dyDescent="0.25">
      <c r="A151" s="396" t="s">
        <v>149</v>
      </c>
      <c r="B151" s="195">
        <v>4</v>
      </c>
      <c r="C151" s="198" t="s">
        <v>150</v>
      </c>
      <c r="D151" s="196" t="s">
        <v>146</v>
      </c>
      <c r="E151" s="15"/>
      <c r="F151" s="552" t="s">
        <v>2156</v>
      </c>
      <c r="G151" s="15" t="s">
        <v>2056</v>
      </c>
      <c r="H151" s="563">
        <v>440</v>
      </c>
    </row>
    <row r="152" spans="1:8" x14ac:dyDescent="0.25">
      <c r="A152" s="194" t="s">
        <v>142</v>
      </c>
      <c r="B152" s="197">
        <v>6</v>
      </c>
      <c r="C152" s="198" t="s">
        <v>143</v>
      </c>
      <c r="D152" s="196" t="s">
        <v>8</v>
      </c>
      <c r="E152" s="15"/>
      <c r="F152" s="55" t="s">
        <v>1861</v>
      </c>
      <c r="G152" s="15"/>
      <c r="H152" s="563"/>
    </row>
    <row r="153" spans="1:8" x14ac:dyDescent="0.25">
      <c r="A153" s="396" t="s">
        <v>147</v>
      </c>
      <c r="B153" s="197">
        <v>4</v>
      </c>
      <c r="C153" s="198" t="s">
        <v>148</v>
      </c>
      <c r="D153" s="196" t="s">
        <v>146</v>
      </c>
      <c r="E153" s="15"/>
      <c r="F153" s="552" t="s">
        <v>2158</v>
      </c>
      <c r="G153" s="15" t="s">
        <v>2056</v>
      </c>
      <c r="H153" s="563">
        <v>460</v>
      </c>
    </row>
    <row r="154" spans="1:8" x14ac:dyDescent="0.25">
      <c r="A154" s="396" t="s">
        <v>144</v>
      </c>
      <c r="B154" s="195">
        <v>4</v>
      </c>
      <c r="C154" s="198" t="s">
        <v>145</v>
      </c>
      <c r="D154" s="196" t="s">
        <v>146</v>
      </c>
      <c r="E154" s="15"/>
      <c r="F154" s="552" t="s">
        <v>2157</v>
      </c>
      <c r="G154" s="15" t="s">
        <v>2056</v>
      </c>
      <c r="H154" s="563">
        <v>490</v>
      </c>
    </row>
    <row r="155" spans="1:8" x14ac:dyDescent="0.25">
      <c r="A155" s="194" t="s">
        <v>140</v>
      </c>
      <c r="B155" s="195">
        <v>6</v>
      </c>
      <c r="C155" s="198" t="s">
        <v>141</v>
      </c>
      <c r="D155" s="196" t="s">
        <v>8</v>
      </c>
      <c r="E155" s="110"/>
      <c r="F155" s="274" t="s">
        <v>1858</v>
      </c>
      <c r="G155" s="542"/>
      <c r="H155" s="563"/>
    </row>
    <row r="156" spans="1:8" x14ac:dyDescent="0.25">
      <c r="A156" s="194" t="s">
        <v>136</v>
      </c>
      <c r="B156" s="195">
        <v>4</v>
      </c>
      <c r="C156" s="198" t="s">
        <v>137</v>
      </c>
      <c r="D156" s="196" t="s">
        <v>8</v>
      </c>
      <c r="E156" s="110"/>
      <c r="F156" s="274" t="s">
        <v>1862</v>
      </c>
      <c r="G156" s="542"/>
      <c r="H156" s="563"/>
    </row>
  </sheetData>
  <autoFilter ref="A1:H156" xr:uid="{264A6AB4-D2F9-445F-B928-B88943BB37F4}"/>
  <sortState xmlns:xlrd2="http://schemas.microsoft.com/office/spreadsheetml/2017/richdata2" ref="A2:D156">
    <sortCondition ref="A1:A156"/>
  </sortState>
  <conditionalFormatting sqref="F13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>
    <tabColor rgb="FF92D050"/>
  </sheetPr>
  <dimension ref="A1:I32"/>
  <sheetViews>
    <sheetView workbookViewId="0">
      <pane ySplit="1" topLeftCell="A17" activePane="bottomLeft" state="frozen"/>
      <selection activeCell="A53" sqref="A53"/>
      <selection pane="bottomLeft" activeCell="F4" sqref="F4"/>
    </sheetView>
  </sheetViews>
  <sheetFormatPr defaultRowHeight="15" x14ac:dyDescent="0.25"/>
  <cols>
    <col min="1" max="1" width="46.42578125" customWidth="1"/>
    <col min="2" max="2" width="13.5703125" customWidth="1"/>
    <col min="3" max="3" width="15.42578125" bestFit="1" customWidth="1"/>
    <col min="4" max="4" width="20.5703125" customWidth="1"/>
    <col min="5" max="5" width="12.140625" style="43" bestFit="1" customWidth="1"/>
    <col min="6" max="6" width="12.5703125" customWidth="1"/>
  </cols>
  <sheetData>
    <row r="1" spans="1:9" ht="31.5" x14ac:dyDescent="0.25">
      <c r="A1" s="107" t="s">
        <v>0</v>
      </c>
      <c r="B1" s="107" t="s">
        <v>305</v>
      </c>
      <c r="C1" s="100" t="s">
        <v>2</v>
      </c>
      <c r="D1" s="224" t="s">
        <v>1723</v>
      </c>
      <c r="E1" s="225" t="s">
        <v>1725</v>
      </c>
      <c r="F1" s="225" t="s">
        <v>1726</v>
      </c>
      <c r="G1" s="225" t="s">
        <v>1724</v>
      </c>
      <c r="H1" s="225" t="s">
        <v>1727</v>
      </c>
    </row>
    <row r="2" spans="1:9" x14ac:dyDescent="0.25">
      <c r="A2" s="19" t="s">
        <v>309</v>
      </c>
      <c r="B2" s="36">
        <v>1</v>
      </c>
      <c r="C2" s="57" t="s">
        <v>310</v>
      </c>
      <c r="D2" s="57" t="s">
        <v>8</v>
      </c>
      <c r="E2" s="23"/>
      <c r="F2" s="15" t="s">
        <v>1749</v>
      </c>
      <c r="G2" s="15"/>
      <c r="H2" s="15"/>
    </row>
    <row r="3" spans="1:9" x14ac:dyDescent="0.25">
      <c r="A3" s="19" t="s">
        <v>312</v>
      </c>
      <c r="B3" s="36">
        <v>1</v>
      </c>
      <c r="C3" s="57">
        <v>744600</v>
      </c>
      <c r="D3" s="57" t="s">
        <v>162</v>
      </c>
      <c r="E3" s="23"/>
      <c r="F3" s="19" t="s">
        <v>1752</v>
      </c>
      <c r="G3" s="15"/>
      <c r="H3" s="15"/>
    </row>
    <row r="4" spans="1:9" x14ac:dyDescent="0.25">
      <c r="A4" s="509" t="s">
        <v>311</v>
      </c>
      <c r="B4" s="37">
        <v>1</v>
      </c>
      <c r="C4" s="57">
        <v>752200</v>
      </c>
      <c r="D4" s="57" t="s">
        <v>162</v>
      </c>
      <c r="E4" s="23" t="s">
        <v>2056</v>
      </c>
      <c r="F4" s="570" t="s">
        <v>2179</v>
      </c>
      <c r="G4" s="15"/>
      <c r="H4" s="569">
        <v>160</v>
      </c>
    </row>
    <row r="5" spans="1:9" x14ac:dyDescent="0.25">
      <c r="A5" s="509" t="s">
        <v>313</v>
      </c>
      <c r="B5" s="36">
        <v>1</v>
      </c>
      <c r="C5" s="57">
        <v>662250</v>
      </c>
      <c r="D5" s="57" t="s">
        <v>314</v>
      </c>
      <c r="E5" s="23"/>
      <c r="F5" s="19"/>
      <c r="G5" s="15"/>
      <c r="H5" s="15"/>
    </row>
    <row r="6" spans="1:9" x14ac:dyDescent="0.25">
      <c r="A6" s="19" t="s">
        <v>315</v>
      </c>
      <c r="B6" s="36">
        <v>1</v>
      </c>
      <c r="C6" s="57" t="s">
        <v>316</v>
      </c>
      <c r="D6" s="57" t="s">
        <v>8</v>
      </c>
      <c r="E6" s="23"/>
      <c r="F6" s="19" t="s">
        <v>2059</v>
      </c>
      <c r="G6" s="15"/>
      <c r="H6" s="15"/>
    </row>
    <row r="7" spans="1:9" x14ac:dyDescent="0.25">
      <c r="A7" s="19" t="s">
        <v>317</v>
      </c>
      <c r="B7" s="36">
        <v>1</v>
      </c>
      <c r="C7" s="57" t="s">
        <v>318</v>
      </c>
      <c r="D7" s="57" t="s">
        <v>8</v>
      </c>
      <c r="E7" s="23"/>
      <c r="F7" s="19" t="s">
        <v>2060</v>
      </c>
      <c r="G7" s="15"/>
      <c r="H7" s="15"/>
    </row>
    <row r="8" spans="1:9" x14ac:dyDescent="0.25">
      <c r="A8" s="19" t="s">
        <v>319</v>
      </c>
      <c r="B8" s="36">
        <v>1</v>
      </c>
      <c r="C8" s="57" t="s">
        <v>320</v>
      </c>
      <c r="D8" s="57" t="s">
        <v>8</v>
      </c>
      <c r="E8" s="23"/>
      <c r="F8" s="19" t="s">
        <v>2061</v>
      </c>
      <c r="G8" s="15"/>
      <c r="H8" s="15"/>
    </row>
    <row r="9" spans="1:9" x14ac:dyDescent="0.25">
      <c r="A9" s="19" t="s">
        <v>323</v>
      </c>
      <c r="B9" s="36">
        <v>1</v>
      </c>
      <c r="C9" s="57" t="s">
        <v>324</v>
      </c>
      <c r="D9" s="57" t="s">
        <v>8</v>
      </c>
      <c r="E9" s="23"/>
      <c r="F9" s="19" t="s">
        <v>2062</v>
      </c>
      <c r="G9" s="15"/>
      <c r="H9" s="15"/>
      <c r="I9" t="s">
        <v>2063</v>
      </c>
    </row>
    <row r="10" spans="1:9" x14ac:dyDescent="0.25">
      <c r="A10" s="19" t="s">
        <v>321</v>
      </c>
      <c r="B10" s="36">
        <v>1</v>
      </c>
      <c r="C10" s="57" t="s">
        <v>322</v>
      </c>
      <c r="D10" s="57" t="s">
        <v>8</v>
      </c>
      <c r="E10" s="23"/>
      <c r="F10" s="19" t="s">
        <v>1827</v>
      </c>
      <c r="G10" s="15"/>
      <c r="H10" s="15"/>
    </row>
    <row r="11" spans="1:9" x14ac:dyDescent="0.25">
      <c r="A11" s="509" t="s">
        <v>325</v>
      </c>
      <c r="B11" s="36">
        <v>1</v>
      </c>
      <c r="C11" s="57" t="s">
        <v>326</v>
      </c>
      <c r="D11" s="57" t="s">
        <v>162</v>
      </c>
      <c r="E11" s="23"/>
      <c r="F11" s="19" t="s">
        <v>2180</v>
      </c>
      <c r="G11" s="15"/>
      <c r="H11" s="15"/>
    </row>
    <row r="12" spans="1:9" x14ac:dyDescent="0.25">
      <c r="A12" s="509" t="s">
        <v>327</v>
      </c>
      <c r="B12" s="36">
        <v>1</v>
      </c>
      <c r="C12" s="57">
        <v>744401</v>
      </c>
      <c r="D12" s="57" t="s">
        <v>162</v>
      </c>
      <c r="E12" s="23"/>
      <c r="F12" s="19" t="s">
        <v>1752</v>
      </c>
      <c r="G12" s="15"/>
      <c r="H12" s="15"/>
    </row>
    <row r="13" spans="1:9" ht="27" x14ac:dyDescent="0.25">
      <c r="A13" s="509" t="s">
        <v>328</v>
      </c>
      <c r="B13" s="36">
        <v>1</v>
      </c>
      <c r="C13" s="57">
        <v>744402</v>
      </c>
      <c r="D13" s="57" t="s">
        <v>162</v>
      </c>
      <c r="E13" s="23"/>
      <c r="F13" s="19" t="s">
        <v>2181</v>
      </c>
      <c r="G13" s="15"/>
      <c r="H13" s="15"/>
    </row>
    <row r="14" spans="1:9" ht="27" x14ac:dyDescent="0.25">
      <c r="A14" s="509" t="s">
        <v>329</v>
      </c>
      <c r="B14" s="36">
        <v>1</v>
      </c>
      <c r="C14" s="57">
        <v>744403</v>
      </c>
      <c r="D14" s="57" t="s">
        <v>162</v>
      </c>
      <c r="E14" s="23"/>
      <c r="F14" s="19" t="s">
        <v>2181</v>
      </c>
      <c r="G14" s="15"/>
      <c r="H14" s="15"/>
    </row>
    <row r="15" spans="1:9" x14ac:dyDescent="0.25">
      <c r="A15" s="19" t="s">
        <v>38</v>
      </c>
      <c r="B15" s="36">
        <v>2</v>
      </c>
      <c r="C15" s="57" t="s">
        <v>39</v>
      </c>
      <c r="D15" s="57" t="s">
        <v>8</v>
      </c>
      <c r="E15" s="23"/>
      <c r="F15" s="9" t="s">
        <v>1883</v>
      </c>
      <c r="G15" s="15"/>
      <c r="H15" s="15"/>
    </row>
    <row r="16" spans="1:9" x14ac:dyDescent="0.25">
      <c r="A16" s="19" t="s">
        <v>46</v>
      </c>
      <c r="B16" s="36">
        <v>1</v>
      </c>
      <c r="C16" s="57" t="s">
        <v>47</v>
      </c>
      <c r="D16" s="57" t="s">
        <v>8</v>
      </c>
      <c r="E16" s="23"/>
      <c r="F16" s="194" t="s">
        <v>1889</v>
      </c>
      <c r="G16" s="15"/>
      <c r="H16" s="15"/>
    </row>
    <row r="17" spans="1:8" x14ac:dyDescent="0.25">
      <c r="A17" s="19" t="s">
        <v>306</v>
      </c>
      <c r="B17" s="36">
        <v>2</v>
      </c>
      <c r="C17" s="57">
        <v>971</v>
      </c>
      <c r="D17" s="57" t="s">
        <v>4</v>
      </c>
      <c r="E17" s="23"/>
      <c r="F17" s="19" t="s">
        <v>1896</v>
      </c>
      <c r="G17" s="15"/>
      <c r="H17" s="15"/>
    </row>
    <row r="18" spans="1:8" ht="19.5" customHeight="1" x14ac:dyDescent="0.25">
      <c r="A18" s="19" t="s">
        <v>308</v>
      </c>
      <c r="B18" s="36">
        <v>2</v>
      </c>
      <c r="C18" s="57">
        <v>957</v>
      </c>
      <c r="D18" s="57" t="s">
        <v>4</v>
      </c>
      <c r="E18" s="23"/>
      <c r="F18" s="21" t="s">
        <v>1895</v>
      </c>
      <c r="G18" s="15"/>
      <c r="H18" s="15"/>
    </row>
    <row r="19" spans="1:8" x14ac:dyDescent="0.25">
      <c r="A19" s="19" t="s">
        <v>330</v>
      </c>
      <c r="B19" s="36">
        <v>1</v>
      </c>
      <c r="C19" s="57" t="s">
        <v>331</v>
      </c>
      <c r="D19" s="57" t="s">
        <v>8</v>
      </c>
      <c r="E19" s="23"/>
      <c r="F19" s="19" t="s">
        <v>1897</v>
      </c>
      <c r="G19" s="15"/>
      <c r="H19" s="15"/>
    </row>
    <row r="20" spans="1:8" x14ac:dyDescent="0.25">
      <c r="A20" s="19" t="s">
        <v>332</v>
      </c>
      <c r="B20" s="36">
        <v>1</v>
      </c>
      <c r="C20" s="57" t="s">
        <v>333</v>
      </c>
      <c r="D20" s="57" t="s">
        <v>8</v>
      </c>
      <c r="E20" s="23"/>
      <c r="F20" s="19" t="s">
        <v>1899</v>
      </c>
      <c r="G20" s="15"/>
      <c r="H20" s="15"/>
    </row>
    <row r="21" spans="1:8" x14ac:dyDescent="0.25">
      <c r="A21" s="19" t="s">
        <v>335</v>
      </c>
      <c r="B21" s="36">
        <v>1</v>
      </c>
      <c r="C21" s="57" t="s">
        <v>53</v>
      </c>
      <c r="D21" s="57" t="s">
        <v>8</v>
      </c>
      <c r="E21" s="23"/>
      <c r="F21" s="88" t="s">
        <v>1900</v>
      </c>
      <c r="G21" s="15"/>
      <c r="H21" s="15"/>
    </row>
    <row r="22" spans="1:8" x14ac:dyDescent="0.25">
      <c r="A22" s="19" t="s">
        <v>58</v>
      </c>
      <c r="B22" s="36">
        <v>1</v>
      </c>
      <c r="C22" s="57" t="s">
        <v>59</v>
      </c>
      <c r="D22" s="57" t="s">
        <v>8</v>
      </c>
      <c r="E22" s="23"/>
      <c r="F22" s="194" t="s">
        <v>1915</v>
      </c>
      <c r="G22" s="15"/>
      <c r="H22" s="15"/>
    </row>
    <row r="23" spans="1:8" x14ac:dyDescent="0.25">
      <c r="A23" s="509" t="s">
        <v>336</v>
      </c>
      <c r="B23" s="36">
        <v>1</v>
      </c>
      <c r="C23" s="57" t="s">
        <v>337</v>
      </c>
      <c r="D23" s="57" t="s">
        <v>4</v>
      </c>
      <c r="E23" s="23"/>
      <c r="F23" s="19" t="s">
        <v>2168</v>
      </c>
      <c r="G23" s="15"/>
      <c r="H23" s="15"/>
    </row>
    <row r="24" spans="1:8" x14ac:dyDescent="0.25">
      <c r="A24" s="19" t="s">
        <v>338</v>
      </c>
      <c r="B24" s="36">
        <v>2</v>
      </c>
      <c r="C24" s="57" t="s">
        <v>66</v>
      </c>
      <c r="D24" s="57" t="s">
        <v>8</v>
      </c>
      <c r="E24" s="23"/>
      <c r="F24" s="317" t="s">
        <v>1931</v>
      </c>
      <c r="G24" s="15"/>
      <c r="H24" s="15"/>
    </row>
    <row r="25" spans="1:8" x14ac:dyDescent="0.25">
      <c r="A25" s="19" t="s">
        <v>339</v>
      </c>
      <c r="B25" s="36">
        <v>2</v>
      </c>
      <c r="C25" s="57" t="s">
        <v>68</v>
      </c>
      <c r="D25" s="57" t="s">
        <v>8</v>
      </c>
      <c r="E25" s="23"/>
      <c r="F25" s="194" t="s">
        <v>1932</v>
      </c>
      <c r="G25" s="15"/>
      <c r="H25" s="15"/>
    </row>
    <row r="26" spans="1:8" x14ac:dyDescent="0.25">
      <c r="A26" s="19" t="s">
        <v>340</v>
      </c>
      <c r="B26" s="36">
        <v>1</v>
      </c>
      <c r="C26" s="57" t="s">
        <v>341</v>
      </c>
      <c r="D26" s="57" t="s">
        <v>8</v>
      </c>
      <c r="E26" s="23"/>
      <c r="F26" s="19" t="s">
        <v>1950</v>
      </c>
      <c r="G26" s="15"/>
      <c r="H26" s="15"/>
    </row>
    <row r="27" spans="1:8" x14ac:dyDescent="0.25">
      <c r="A27" s="19" t="s">
        <v>342</v>
      </c>
      <c r="B27" s="36">
        <v>1</v>
      </c>
      <c r="C27" s="57" t="s">
        <v>343</v>
      </c>
      <c r="D27" s="57" t="s">
        <v>8</v>
      </c>
      <c r="E27" s="23"/>
      <c r="F27" s="19" t="s">
        <v>1951</v>
      </c>
      <c r="G27" s="15"/>
      <c r="H27" s="15"/>
    </row>
    <row r="28" spans="1:8" x14ac:dyDescent="0.25">
      <c r="A28" s="19" t="s">
        <v>344</v>
      </c>
      <c r="B28" s="36">
        <v>2</v>
      </c>
      <c r="C28" s="57" t="s">
        <v>345</v>
      </c>
      <c r="D28" s="57" t="s">
        <v>8</v>
      </c>
      <c r="E28" s="23"/>
      <c r="F28" s="19" t="s">
        <v>1879</v>
      </c>
      <c r="G28" s="15"/>
      <c r="H28" s="15"/>
    </row>
    <row r="29" spans="1:8" x14ac:dyDescent="0.25">
      <c r="A29" s="19" t="s">
        <v>347</v>
      </c>
      <c r="B29" s="36">
        <v>1</v>
      </c>
      <c r="C29" s="57" t="s">
        <v>131</v>
      </c>
      <c r="D29" s="57" t="s">
        <v>8</v>
      </c>
      <c r="E29" s="23"/>
      <c r="F29" s="19" t="s">
        <v>1798</v>
      </c>
      <c r="G29" s="15"/>
      <c r="H29" s="15"/>
    </row>
    <row r="30" spans="1:8" x14ac:dyDescent="0.25">
      <c r="A30" s="19" t="s">
        <v>348</v>
      </c>
      <c r="B30" s="36">
        <v>1</v>
      </c>
      <c r="C30" s="57" t="s">
        <v>115</v>
      </c>
      <c r="D30" s="57" t="s">
        <v>8</v>
      </c>
      <c r="E30" s="23"/>
      <c r="F30" s="19" t="s">
        <v>1966</v>
      </c>
      <c r="G30" s="15"/>
      <c r="H30" s="15"/>
    </row>
    <row r="31" spans="1:8" x14ac:dyDescent="0.25">
      <c r="A31" s="19" t="s">
        <v>349</v>
      </c>
      <c r="B31" s="36">
        <v>1</v>
      </c>
      <c r="C31" s="57" t="s">
        <v>350</v>
      </c>
      <c r="D31" s="57" t="s">
        <v>8</v>
      </c>
      <c r="E31" s="23"/>
      <c r="F31" s="19" t="s">
        <v>2003</v>
      </c>
      <c r="G31" s="15"/>
      <c r="H31" s="15"/>
    </row>
    <row r="32" spans="1:8" x14ac:dyDescent="0.25">
      <c r="A32" s="19" t="s">
        <v>99</v>
      </c>
      <c r="B32" s="36">
        <v>1</v>
      </c>
      <c r="C32" s="57" t="s">
        <v>351</v>
      </c>
      <c r="D32" s="57" t="s">
        <v>8</v>
      </c>
      <c r="E32" s="23"/>
      <c r="F32" s="9" t="s">
        <v>2006</v>
      </c>
      <c r="G32" s="15"/>
      <c r="H32" s="15"/>
    </row>
  </sheetData>
  <sortState xmlns:xlrd2="http://schemas.microsoft.com/office/spreadsheetml/2017/richdata2" ref="A2:D32">
    <sortCondition ref="A1:A32"/>
  </sortState>
  <phoneticPr fontId="3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A40-EB67-49CD-8E9B-EAB1D3E42480}">
  <sheetPr codeName="Planilha4">
    <tabColor rgb="FFFF0000"/>
  </sheetPr>
  <dimension ref="A1:G4"/>
  <sheetViews>
    <sheetView workbookViewId="0">
      <pane ySplit="1" topLeftCell="A2" activePane="bottomLeft" state="frozen"/>
      <selection activeCell="A53" sqref="A53"/>
      <selection pane="bottomLeft" activeCell="E2" sqref="E2:E4"/>
    </sheetView>
  </sheetViews>
  <sheetFormatPr defaultRowHeight="15" x14ac:dyDescent="0.25"/>
  <cols>
    <col min="1" max="1" width="39.28515625" bestFit="1" customWidth="1"/>
    <col min="2" max="2" width="11.7109375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18.75" customHeight="1" x14ac:dyDescent="0.25">
      <c r="A1" s="105" t="s">
        <v>0</v>
      </c>
      <c r="B1" s="106" t="s">
        <v>352</v>
      </c>
      <c r="C1" s="226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9" t="s">
        <v>353</v>
      </c>
      <c r="B2" s="57">
        <v>662550</v>
      </c>
      <c r="C2" s="131" t="s">
        <v>314</v>
      </c>
      <c r="D2" s="228"/>
      <c r="E2" s="228" t="s">
        <v>2125</v>
      </c>
      <c r="F2" s="228"/>
      <c r="G2" s="228"/>
    </row>
    <row r="3" spans="1:7" ht="13.5" customHeight="1" x14ac:dyDescent="0.25">
      <c r="A3" s="19" t="s">
        <v>354</v>
      </c>
      <c r="B3" s="57" t="s">
        <v>355</v>
      </c>
      <c r="C3" s="131" t="s">
        <v>356</v>
      </c>
      <c r="D3" s="228"/>
      <c r="E3" s="228" t="s">
        <v>2125</v>
      </c>
      <c r="F3" s="228"/>
      <c r="G3" s="228"/>
    </row>
    <row r="4" spans="1:7" x14ac:dyDescent="0.25">
      <c r="A4" s="19" t="s">
        <v>357</v>
      </c>
      <c r="B4" s="57" t="s">
        <v>358</v>
      </c>
      <c r="C4" s="131" t="s">
        <v>356</v>
      </c>
      <c r="D4" s="228"/>
      <c r="E4" s="228" t="s">
        <v>2125</v>
      </c>
      <c r="F4" s="228"/>
      <c r="G4" s="2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A41-0CC2-4E6F-BB01-5C44DD9704CC}">
  <sheetPr codeName="Planilha5">
    <tabColor rgb="FF92D050"/>
  </sheetPr>
  <dimension ref="A1:I55"/>
  <sheetViews>
    <sheetView workbookViewId="0">
      <pane ySplit="1" topLeftCell="A38" activePane="bottomLeft" state="frozen"/>
      <selection activeCell="A53" sqref="A53"/>
      <selection pane="bottomLeft" activeCell="F15" sqref="F15"/>
    </sheetView>
  </sheetViews>
  <sheetFormatPr defaultRowHeight="15" x14ac:dyDescent="0.25"/>
  <cols>
    <col min="1" max="1" width="50.42578125" customWidth="1"/>
    <col min="2" max="2" width="26.85546875" customWidth="1"/>
    <col min="3" max="3" width="15.42578125" bestFit="1" customWidth="1"/>
    <col min="4" max="4" width="25.7109375" bestFit="1" customWidth="1"/>
    <col min="5" max="5" width="12.42578125" style="43" bestFit="1" customWidth="1"/>
    <col min="6" max="6" width="15" bestFit="1" customWidth="1"/>
  </cols>
  <sheetData>
    <row r="1" spans="1:8" ht="15.75" x14ac:dyDescent="0.25">
      <c r="A1" s="97" t="s">
        <v>0</v>
      </c>
      <c r="B1" s="48" t="s">
        <v>359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" t="s">
        <v>370</v>
      </c>
      <c r="B2" s="30">
        <v>1</v>
      </c>
      <c r="C2" s="53" t="s">
        <v>310</v>
      </c>
      <c r="D2" s="112" t="s">
        <v>8</v>
      </c>
      <c r="E2" s="540"/>
      <c r="F2" s="418" t="s">
        <v>1749</v>
      </c>
      <c r="G2" s="228"/>
      <c r="H2" s="228"/>
    </row>
    <row r="3" spans="1:8" x14ac:dyDescent="0.25">
      <c r="A3" s="61" t="s">
        <v>421</v>
      </c>
      <c r="B3" s="62">
        <v>1</v>
      </c>
      <c r="C3" s="479" t="s">
        <v>422</v>
      </c>
      <c r="D3" s="112" t="s">
        <v>8</v>
      </c>
      <c r="E3" s="540"/>
      <c r="F3" s="250" t="s">
        <v>1750</v>
      </c>
      <c r="G3" s="228"/>
      <c r="H3" s="228"/>
    </row>
    <row r="4" spans="1:8" x14ac:dyDescent="0.25">
      <c r="A4" s="61" t="s">
        <v>423</v>
      </c>
      <c r="B4" s="62">
        <v>1</v>
      </c>
      <c r="C4" s="75" t="s">
        <v>424</v>
      </c>
      <c r="D4" s="74" t="s">
        <v>4</v>
      </c>
      <c r="E4" s="208"/>
      <c r="F4" s="250" t="s">
        <v>1751</v>
      </c>
      <c r="G4" s="228"/>
      <c r="H4" s="228"/>
    </row>
    <row r="5" spans="1:8" x14ac:dyDescent="0.25">
      <c r="A5" s="5" t="s">
        <v>365</v>
      </c>
      <c r="B5" s="30">
        <v>2</v>
      </c>
      <c r="C5" s="53" t="s">
        <v>12</v>
      </c>
      <c r="D5" s="112" t="s">
        <v>8</v>
      </c>
      <c r="E5" s="540"/>
      <c r="F5" s="386" t="s">
        <v>1767</v>
      </c>
      <c r="G5" s="228"/>
      <c r="H5" s="228"/>
    </row>
    <row r="6" spans="1:8" x14ac:dyDescent="0.25">
      <c r="A6" s="5" t="s">
        <v>366</v>
      </c>
      <c r="B6" s="30">
        <v>2</v>
      </c>
      <c r="C6" s="53" t="s">
        <v>7</v>
      </c>
      <c r="D6" s="112" t="s">
        <v>8</v>
      </c>
      <c r="E6" s="540"/>
      <c r="F6" s="2" t="s">
        <v>1768</v>
      </c>
      <c r="G6" s="228"/>
      <c r="H6" s="228"/>
    </row>
    <row r="7" spans="1:8" x14ac:dyDescent="0.25">
      <c r="A7" s="5" t="s">
        <v>369</v>
      </c>
      <c r="B7" s="30">
        <v>2</v>
      </c>
      <c r="C7" s="53" t="s">
        <v>200</v>
      </c>
      <c r="D7" s="112" t="s">
        <v>8</v>
      </c>
      <c r="E7" s="540"/>
      <c r="F7" s="249" t="s">
        <v>1772</v>
      </c>
      <c r="G7" s="228"/>
      <c r="H7" s="228"/>
    </row>
    <row r="8" spans="1:8" x14ac:dyDescent="0.25">
      <c r="A8" s="61" t="s">
        <v>368</v>
      </c>
      <c r="B8" s="62">
        <v>2</v>
      </c>
      <c r="C8" s="204" t="s">
        <v>204</v>
      </c>
      <c r="D8" s="112" t="s">
        <v>8</v>
      </c>
      <c r="E8" s="540"/>
      <c r="F8" s="250" t="s">
        <v>1774</v>
      </c>
      <c r="G8" s="228"/>
      <c r="H8" s="228"/>
    </row>
    <row r="9" spans="1:8" x14ac:dyDescent="0.25">
      <c r="A9" s="61" t="s">
        <v>381</v>
      </c>
      <c r="B9" s="478">
        <v>3</v>
      </c>
      <c r="C9" s="152" t="s">
        <v>382</v>
      </c>
      <c r="D9" s="112" t="s">
        <v>8</v>
      </c>
      <c r="E9" s="540"/>
      <c r="F9" s="250" t="s">
        <v>1776</v>
      </c>
      <c r="G9" s="228"/>
      <c r="H9" s="228"/>
    </row>
    <row r="10" spans="1:8" ht="30" x14ac:dyDescent="0.25">
      <c r="A10" s="63" t="s">
        <v>445</v>
      </c>
      <c r="B10" s="33">
        <v>2</v>
      </c>
      <c r="C10" s="53" t="s">
        <v>446</v>
      </c>
      <c r="D10" s="112" t="s">
        <v>8</v>
      </c>
      <c r="E10" s="540"/>
      <c r="F10" s="421" t="s">
        <v>1777</v>
      </c>
      <c r="G10" s="228"/>
      <c r="H10" s="228"/>
    </row>
    <row r="11" spans="1:8" ht="30" x14ac:dyDescent="0.25">
      <c r="A11" s="63" t="s">
        <v>428</v>
      </c>
      <c r="B11" s="30">
        <v>2</v>
      </c>
      <c r="C11" s="53" t="s">
        <v>429</v>
      </c>
      <c r="D11" s="112" t="s">
        <v>8</v>
      </c>
      <c r="E11" s="540"/>
      <c r="F11" s="421" t="s">
        <v>1778</v>
      </c>
      <c r="G11" s="228"/>
      <c r="H11" s="228"/>
    </row>
    <row r="12" spans="1:8" x14ac:dyDescent="0.25">
      <c r="A12" s="510" t="s">
        <v>426</v>
      </c>
      <c r="B12" s="30">
        <v>2</v>
      </c>
      <c r="C12" s="53" t="s">
        <v>427</v>
      </c>
      <c r="D12" s="112" t="s">
        <v>8</v>
      </c>
      <c r="E12" s="540"/>
      <c r="F12" s="381" t="s">
        <v>2192</v>
      </c>
      <c r="G12" s="228"/>
      <c r="H12" s="228"/>
    </row>
    <row r="13" spans="1:8" x14ac:dyDescent="0.25">
      <c r="A13" s="510" t="s">
        <v>430</v>
      </c>
      <c r="B13" s="30">
        <v>1</v>
      </c>
      <c r="C13" s="53" t="s">
        <v>431</v>
      </c>
      <c r="D13" s="112" t="s">
        <v>8</v>
      </c>
      <c r="E13" s="540"/>
      <c r="F13" s="381" t="s">
        <v>2193</v>
      </c>
      <c r="G13" s="228"/>
      <c r="H13" s="538">
        <v>245</v>
      </c>
    </row>
    <row r="14" spans="1:8" x14ac:dyDescent="0.25">
      <c r="A14" s="510" t="s">
        <v>432</v>
      </c>
      <c r="B14" s="30">
        <v>2</v>
      </c>
      <c r="C14" s="53" t="s">
        <v>433</v>
      </c>
      <c r="D14" s="112" t="s">
        <v>8</v>
      </c>
      <c r="E14" s="540"/>
      <c r="F14" s="381" t="s">
        <v>2194</v>
      </c>
      <c r="G14" s="228"/>
      <c r="H14" s="228"/>
    </row>
    <row r="15" spans="1:8" x14ac:dyDescent="0.25">
      <c r="A15" s="510" t="s">
        <v>434</v>
      </c>
      <c r="B15" s="30">
        <v>1</v>
      </c>
      <c r="C15" s="53" t="s">
        <v>435</v>
      </c>
      <c r="D15" s="112" t="s">
        <v>8</v>
      </c>
      <c r="E15" s="540"/>
      <c r="F15" s="381" t="s">
        <v>2195</v>
      </c>
      <c r="G15" s="228"/>
      <c r="H15" s="228"/>
    </row>
    <row r="16" spans="1:8" x14ac:dyDescent="0.25">
      <c r="A16" s="5" t="s">
        <v>367</v>
      </c>
      <c r="B16" s="30">
        <v>2</v>
      </c>
      <c r="C16" s="53" t="s">
        <v>230</v>
      </c>
      <c r="D16" s="112" t="s">
        <v>8</v>
      </c>
      <c r="E16" s="540"/>
      <c r="F16" s="2" t="s">
        <v>1782</v>
      </c>
      <c r="G16" s="228"/>
      <c r="H16" s="228"/>
    </row>
    <row r="17" spans="1:8" x14ac:dyDescent="0.25">
      <c r="A17" s="61" t="s">
        <v>419</v>
      </c>
      <c r="B17" s="62">
        <v>1</v>
      </c>
      <c r="C17" s="75" t="s">
        <v>420</v>
      </c>
      <c r="D17" s="112" t="s">
        <v>8</v>
      </c>
      <c r="E17" s="540"/>
      <c r="F17" s="17" t="s">
        <v>1786</v>
      </c>
      <c r="G17" s="228"/>
      <c r="H17" s="228"/>
    </row>
    <row r="18" spans="1:8" x14ac:dyDescent="0.25">
      <c r="A18" s="47" t="s">
        <v>364</v>
      </c>
      <c r="B18" s="55">
        <v>1</v>
      </c>
      <c r="C18" s="75">
        <v>2050</v>
      </c>
      <c r="D18" s="112" t="s">
        <v>4</v>
      </c>
      <c r="E18" s="540"/>
      <c r="F18" s="376" t="s">
        <v>1797</v>
      </c>
      <c r="G18" s="228"/>
      <c r="H18" s="228"/>
    </row>
    <row r="19" spans="1:8" x14ac:dyDescent="0.25">
      <c r="A19" s="511" t="s">
        <v>361</v>
      </c>
      <c r="B19" s="30">
        <v>1</v>
      </c>
      <c r="C19" s="53">
        <v>662590</v>
      </c>
      <c r="D19" s="112" t="s">
        <v>362</v>
      </c>
      <c r="E19" s="540"/>
      <c r="F19" s="2"/>
      <c r="G19" s="228"/>
      <c r="H19" s="228"/>
    </row>
    <row r="20" spans="1:8" x14ac:dyDescent="0.25">
      <c r="A20" s="510" t="s">
        <v>449</v>
      </c>
      <c r="B20" s="30">
        <v>1</v>
      </c>
      <c r="C20" s="53" t="s">
        <v>450</v>
      </c>
      <c r="D20" s="112" t="s">
        <v>8</v>
      </c>
      <c r="E20" s="540"/>
      <c r="F20" s="381" t="s">
        <v>2153</v>
      </c>
      <c r="G20" s="228"/>
      <c r="H20" s="228"/>
    </row>
    <row r="21" spans="1:8" x14ac:dyDescent="0.25">
      <c r="A21" s="510" t="s">
        <v>447</v>
      </c>
      <c r="B21" s="30">
        <v>1</v>
      </c>
      <c r="C21" s="53" t="s">
        <v>448</v>
      </c>
      <c r="D21" s="112" t="s">
        <v>8</v>
      </c>
      <c r="E21" s="540"/>
      <c r="F21" s="381" t="s">
        <v>2191</v>
      </c>
      <c r="G21" s="228"/>
      <c r="H21" s="228"/>
    </row>
    <row r="22" spans="1:8" x14ac:dyDescent="0.25">
      <c r="A22" s="512" t="s">
        <v>383</v>
      </c>
      <c r="B22" s="62">
        <v>1</v>
      </c>
      <c r="C22" s="75" t="s">
        <v>384</v>
      </c>
      <c r="D22" s="112" t="s">
        <v>8</v>
      </c>
      <c r="E22" s="540" t="s">
        <v>2056</v>
      </c>
      <c r="F22" s="322" t="s">
        <v>2185</v>
      </c>
      <c r="G22" s="228"/>
      <c r="H22" s="538">
        <v>200</v>
      </c>
    </row>
    <row r="23" spans="1:8" x14ac:dyDescent="0.25">
      <c r="A23" s="511" t="s">
        <v>385</v>
      </c>
      <c r="B23" s="30">
        <v>1</v>
      </c>
      <c r="C23" s="53" t="s">
        <v>386</v>
      </c>
      <c r="D23" s="112" t="s">
        <v>8</v>
      </c>
      <c r="E23" s="540" t="s">
        <v>2056</v>
      </c>
      <c r="F23" s="322" t="s">
        <v>2186</v>
      </c>
      <c r="G23" s="228"/>
      <c r="H23" s="538">
        <v>200</v>
      </c>
    </row>
    <row r="24" spans="1:8" x14ac:dyDescent="0.25">
      <c r="A24" s="510" t="s">
        <v>425</v>
      </c>
      <c r="B24" s="62">
        <v>1</v>
      </c>
      <c r="C24" s="75" t="s">
        <v>424</v>
      </c>
      <c r="D24" s="74" t="s">
        <v>8</v>
      </c>
      <c r="E24" s="208"/>
      <c r="F24" s="381" t="s">
        <v>2189</v>
      </c>
      <c r="G24" s="228"/>
      <c r="H24" s="228"/>
    </row>
    <row r="25" spans="1:8" x14ac:dyDescent="0.25">
      <c r="A25" s="511" t="s">
        <v>387</v>
      </c>
      <c r="B25" s="477">
        <v>1</v>
      </c>
      <c r="C25" s="207" t="s">
        <v>388</v>
      </c>
      <c r="D25" s="112" t="s">
        <v>8</v>
      </c>
      <c r="E25" s="540"/>
      <c r="F25" s="2" t="s">
        <v>2187</v>
      </c>
      <c r="G25" s="228"/>
      <c r="H25" s="228"/>
    </row>
    <row r="26" spans="1:8" x14ac:dyDescent="0.25">
      <c r="A26" s="514" t="s">
        <v>389</v>
      </c>
      <c r="B26" s="38">
        <v>1</v>
      </c>
      <c r="C26" s="310" t="s">
        <v>390</v>
      </c>
      <c r="D26" s="112" t="s">
        <v>8</v>
      </c>
      <c r="E26" s="540"/>
      <c r="F26" s="2" t="s">
        <v>2188</v>
      </c>
      <c r="G26" s="228"/>
      <c r="H26" s="228"/>
    </row>
    <row r="27" spans="1:8" x14ac:dyDescent="0.25">
      <c r="A27" s="5" t="s">
        <v>391</v>
      </c>
      <c r="B27" s="60">
        <v>1</v>
      </c>
      <c r="C27" s="131" t="s">
        <v>392</v>
      </c>
      <c r="D27" s="112" t="s">
        <v>8</v>
      </c>
      <c r="E27" s="540"/>
      <c r="F27" s="410" t="s">
        <v>1826</v>
      </c>
      <c r="G27" s="228"/>
      <c r="H27" s="228"/>
    </row>
    <row r="28" spans="1:8" x14ac:dyDescent="0.25">
      <c r="A28" s="511" t="s">
        <v>394</v>
      </c>
      <c r="B28" s="60">
        <v>1</v>
      </c>
      <c r="C28" s="131" t="s">
        <v>395</v>
      </c>
      <c r="D28" s="112" t="s">
        <v>8</v>
      </c>
      <c r="E28" s="540"/>
      <c r="F28" s="377" t="s">
        <v>2184</v>
      </c>
      <c r="G28" s="228"/>
      <c r="H28" s="538">
        <v>140</v>
      </c>
    </row>
    <row r="29" spans="1:8" x14ac:dyDescent="0.25">
      <c r="A29" s="63" t="s">
        <v>436</v>
      </c>
      <c r="B29" s="60">
        <v>1</v>
      </c>
      <c r="C29" s="131" t="s">
        <v>158</v>
      </c>
      <c r="D29" s="112" t="s">
        <v>8</v>
      </c>
      <c r="E29" s="540"/>
      <c r="F29" s="377" t="s">
        <v>1825</v>
      </c>
      <c r="G29" s="228"/>
      <c r="H29" s="228"/>
    </row>
    <row r="30" spans="1:8" x14ac:dyDescent="0.25">
      <c r="A30" s="5" t="s">
        <v>396</v>
      </c>
      <c r="B30" s="60">
        <v>1</v>
      </c>
      <c r="C30" s="131" t="s">
        <v>322</v>
      </c>
      <c r="D30" s="112" t="s">
        <v>8</v>
      </c>
      <c r="E30" s="540"/>
      <c r="F30" s="22" t="s">
        <v>1827</v>
      </c>
      <c r="G30" s="228"/>
      <c r="H30" s="228"/>
    </row>
    <row r="31" spans="1:8" x14ac:dyDescent="0.25">
      <c r="A31" s="61" t="s">
        <v>397</v>
      </c>
      <c r="B31" s="62">
        <v>1</v>
      </c>
      <c r="C31" s="75" t="s">
        <v>398</v>
      </c>
      <c r="D31" s="74" t="s">
        <v>8</v>
      </c>
      <c r="E31" s="540"/>
      <c r="F31" s="65" t="s">
        <v>2018</v>
      </c>
      <c r="G31" s="228"/>
      <c r="H31" s="228"/>
    </row>
    <row r="32" spans="1:8" x14ac:dyDescent="0.25">
      <c r="A32" s="5" t="s">
        <v>399</v>
      </c>
      <c r="B32" s="30">
        <v>1</v>
      </c>
      <c r="C32" s="481" t="s">
        <v>125</v>
      </c>
      <c r="D32" s="112" t="s">
        <v>8</v>
      </c>
      <c r="E32" s="540"/>
      <c r="F32" s="22" t="s">
        <v>1829</v>
      </c>
      <c r="G32" s="228"/>
      <c r="H32" s="228"/>
    </row>
    <row r="33" spans="1:9" x14ac:dyDescent="0.25">
      <c r="A33" s="511" t="s">
        <v>400</v>
      </c>
      <c r="B33" s="30">
        <v>1</v>
      </c>
      <c r="C33" s="53" t="s">
        <v>401</v>
      </c>
      <c r="D33" s="112" t="s">
        <v>8</v>
      </c>
      <c r="E33" s="540"/>
      <c r="F33" s="22" t="s">
        <v>2190</v>
      </c>
      <c r="G33" s="228"/>
      <c r="H33" s="228"/>
    </row>
    <row r="34" spans="1:9" x14ac:dyDescent="0.25">
      <c r="A34" s="61" t="s">
        <v>402</v>
      </c>
      <c r="B34" s="62">
        <v>1</v>
      </c>
      <c r="C34" s="480" t="s">
        <v>403</v>
      </c>
      <c r="D34" s="74" t="s">
        <v>8</v>
      </c>
      <c r="E34" s="540"/>
      <c r="F34" s="415" t="s">
        <v>1874</v>
      </c>
      <c r="G34" s="228"/>
      <c r="H34" s="228"/>
    </row>
    <row r="35" spans="1:9" x14ac:dyDescent="0.25">
      <c r="A35" s="61" t="s">
        <v>165</v>
      </c>
      <c r="B35" s="60">
        <v>1</v>
      </c>
      <c r="C35" s="230" t="s">
        <v>166</v>
      </c>
      <c r="D35" s="112" t="s">
        <v>8</v>
      </c>
      <c r="E35" s="540"/>
      <c r="F35" s="65" t="s">
        <v>2022</v>
      </c>
      <c r="G35" s="228"/>
      <c r="H35" s="228"/>
    </row>
    <row r="36" spans="1:9" x14ac:dyDescent="0.25">
      <c r="A36" s="510" t="s">
        <v>439</v>
      </c>
      <c r="B36" s="60">
        <v>1</v>
      </c>
      <c r="C36" s="131" t="s">
        <v>440</v>
      </c>
      <c r="D36" s="112" t="s">
        <v>8</v>
      </c>
      <c r="E36" s="540"/>
      <c r="F36" s="65" t="s">
        <v>2182</v>
      </c>
      <c r="G36" s="540" t="s">
        <v>2183</v>
      </c>
      <c r="H36" s="538">
        <v>115</v>
      </c>
    </row>
    <row r="37" spans="1:9" x14ac:dyDescent="0.25">
      <c r="A37" s="510" t="s">
        <v>443</v>
      </c>
      <c r="B37" s="30">
        <v>1</v>
      </c>
      <c r="C37" s="53" t="s">
        <v>444</v>
      </c>
      <c r="D37" s="112" t="s">
        <v>8</v>
      </c>
      <c r="E37" s="540"/>
      <c r="F37" s="316" t="s">
        <v>2169</v>
      </c>
      <c r="G37" s="228"/>
      <c r="H37" s="228"/>
    </row>
    <row r="38" spans="1:9" x14ac:dyDescent="0.25">
      <c r="A38" s="515" t="s">
        <v>437</v>
      </c>
      <c r="B38" s="30">
        <v>1</v>
      </c>
      <c r="C38" s="53" t="s">
        <v>438</v>
      </c>
      <c r="D38" s="112" t="s">
        <v>8</v>
      </c>
      <c r="E38" s="540"/>
      <c r="F38" s="316" t="s">
        <v>2066</v>
      </c>
      <c r="G38" s="228"/>
      <c r="H38" s="228"/>
      <c r="I38" t="s">
        <v>2064</v>
      </c>
    </row>
    <row r="39" spans="1:9" x14ac:dyDescent="0.25">
      <c r="A39" s="515" t="s">
        <v>441</v>
      </c>
      <c r="B39" s="30">
        <v>1</v>
      </c>
      <c r="C39" s="207" t="s">
        <v>442</v>
      </c>
      <c r="D39" s="112" t="s">
        <v>8</v>
      </c>
      <c r="E39" s="540"/>
      <c r="F39" s="316" t="s">
        <v>2067</v>
      </c>
      <c r="G39" s="228"/>
      <c r="H39" s="228"/>
      <c r="I39" t="s">
        <v>2065</v>
      </c>
    </row>
    <row r="40" spans="1:9" x14ac:dyDescent="0.25">
      <c r="A40" s="5" t="s">
        <v>404</v>
      </c>
      <c r="B40" s="30">
        <v>1</v>
      </c>
      <c r="C40" s="276" t="s">
        <v>405</v>
      </c>
      <c r="D40" s="112" t="s">
        <v>8</v>
      </c>
      <c r="E40" s="540"/>
      <c r="F40" s="22" t="s">
        <v>1891</v>
      </c>
      <c r="G40" s="228"/>
      <c r="H40" s="228"/>
    </row>
    <row r="41" spans="1:9" x14ac:dyDescent="0.25">
      <c r="A41" s="47" t="s">
        <v>306</v>
      </c>
      <c r="B41" s="32">
        <v>1</v>
      </c>
      <c r="C41" s="53">
        <v>971</v>
      </c>
      <c r="D41" s="112" t="s">
        <v>4</v>
      </c>
      <c r="E41" s="540"/>
      <c r="F41" s="374" t="s">
        <v>1896</v>
      </c>
      <c r="G41" s="228"/>
      <c r="H41" s="228"/>
    </row>
    <row r="42" spans="1:9" x14ac:dyDescent="0.25">
      <c r="A42" s="47" t="s">
        <v>308</v>
      </c>
      <c r="B42" s="32">
        <v>1</v>
      </c>
      <c r="C42" s="53">
        <v>957</v>
      </c>
      <c r="D42" s="112" t="s">
        <v>4</v>
      </c>
      <c r="E42" s="540"/>
      <c r="F42" s="362" t="s">
        <v>1895</v>
      </c>
      <c r="G42" s="228"/>
      <c r="H42" s="228"/>
    </row>
    <row r="43" spans="1:9" x14ac:dyDescent="0.25">
      <c r="A43" s="5" t="s">
        <v>406</v>
      </c>
      <c r="B43" s="30">
        <v>1</v>
      </c>
      <c r="C43" s="53" t="s">
        <v>407</v>
      </c>
      <c r="D43" s="112" t="s">
        <v>8</v>
      </c>
      <c r="E43" s="540"/>
      <c r="F43" s="2" t="s">
        <v>1953</v>
      </c>
      <c r="G43" s="228"/>
      <c r="H43" s="228"/>
    </row>
    <row r="44" spans="1:9" x14ac:dyDescent="0.25">
      <c r="A44" s="5" t="s">
        <v>408</v>
      </c>
      <c r="B44" s="30">
        <v>1</v>
      </c>
      <c r="C44" s="53" t="s">
        <v>409</v>
      </c>
      <c r="D44" s="112" t="s">
        <v>8</v>
      </c>
      <c r="E44" s="540"/>
      <c r="F44" s="2" t="s">
        <v>1952</v>
      </c>
      <c r="G44" s="228"/>
      <c r="H44" s="228"/>
    </row>
    <row r="45" spans="1:9" x14ac:dyDescent="0.25">
      <c r="A45" s="5" t="s">
        <v>410</v>
      </c>
      <c r="B45" s="30">
        <v>1</v>
      </c>
      <c r="C45" s="53" t="s">
        <v>411</v>
      </c>
      <c r="D45" s="112" t="s">
        <v>8</v>
      </c>
      <c r="E45" s="540"/>
      <c r="F45" s="2" t="s">
        <v>1954</v>
      </c>
      <c r="G45" s="228"/>
      <c r="H45" s="228"/>
    </row>
    <row r="46" spans="1:9" x14ac:dyDescent="0.25">
      <c r="A46" s="5" t="s">
        <v>412</v>
      </c>
      <c r="B46" s="30">
        <v>1</v>
      </c>
      <c r="C46" s="53" t="s">
        <v>413</v>
      </c>
      <c r="D46" s="112" t="s">
        <v>8</v>
      </c>
      <c r="E46" s="540"/>
      <c r="F46" s="2" t="s">
        <v>1955</v>
      </c>
      <c r="G46" s="228"/>
      <c r="H46" s="228"/>
    </row>
    <row r="47" spans="1:9" x14ac:dyDescent="0.25">
      <c r="A47" s="61" t="s">
        <v>414</v>
      </c>
      <c r="B47" s="62">
        <v>1</v>
      </c>
      <c r="C47" s="458">
        <v>15216</v>
      </c>
      <c r="D47" s="74" t="s">
        <v>146</v>
      </c>
      <c r="E47" s="540"/>
      <c r="F47" s="17" t="s">
        <v>1956</v>
      </c>
      <c r="G47" s="228"/>
      <c r="H47" s="228"/>
    </row>
    <row r="48" spans="1:9" x14ac:dyDescent="0.25">
      <c r="A48" s="5" t="s">
        <v>379</v>
      </c>
      <c r="B48" s="30">
        <v>1</v>
      </c>
      <c r="C48" s="53" t="s">
        <v>380</v>
      </c>
      <c r="D48" s="112" t="s">
        <v>8</v>
      </c>
      <c r="E48" s="540"/>
      <c r="F48" s="2" t="s">
        <v>2068</v>
      </c>
      <c r="G48" s="228"/>
      <c r="H48" s="228"/>
    </row>
    <row r="49" spans="1:8" x14ac:dyDescent="0.25">
      <c r="A49" s="61" t="s">
        <v>377</v>
      </c>
      <c r="B49" s="62">
        <v>1</v>
      </c>
      <c r="C49" s="75" t="s">
        <v>378</v>
      </c>
      <c r="D49" s="74" t="s">
        <v>10</v>
      </c>
      <c r="E49" s="540"/>
      <c r="F49" s="17" t="s">
        <v>1982</v>
      </c>
      <c r="G49" s="228"/>
      <c r="H49" s="228"/>
    </row>
    <row r="50" spans="1:8" x14ac:dyDescent="0.25">
      <c r="A50" s="5" t="s">
        <v>415</v>
      </c>
      <c r="B50" s="30">
        <v>1</v>
      </c>
      <c r="C50" s="53" t="s">
        <v>416</v>
      </c>
      <c r="D50" s="112" t="s">
        <v>8</v>
      </c>
      <c r="E50" s="540"/>
      <c r="F50" s="362" t="s">
        <v>1985</v>
      </c>
      <c r="G50" s="228"/>
      <c r="H50" s="228"/>
    </row>
    <row r="51" spans="1:8" x14ac:dyDescent="0.25">
      <c r="A51" s="5" t="s">
        <v>417</v>
      </c>
      <c r="B51" s="30">
        <v>1</v>
      </c>
      <c r="C51" s="53" t="s">
        <v>418</v>
      </c>
      <c r="D51" s="112" t="s">
        <v>8</v>
      </c>
      <c r="E51" s="540"/>
      <c r="F51" s="2" t="s">
        <v>1986</v>
      </c>
      <c r="G51" s="228"/>
      <c r="H51" s="228"/>
    </row>
    <row r="52" spans="1:8" x14ac:dyDescent="0.25">
      <c r="A52" s="511" t="s">
        <v>371</v>
      </c>
      <c r="B52" s="30">
        <v>1</v>
      </c>
      <c r="C52" s="53" t="s">
        <v>372</v>
      </c>
      <c r="D52" s="112" t="s">
        <v>8</v>
      </c>
      <c r="E52" s="540"/>
      <c r="F52" s="2" t="s">
        <v>2170</v>
      </c>
      <c r="G52" s="228"/>
      <c r="H52" s="538">
        <v>450</v>
      </c>
    </row>
    <row r="53" spans="1:8" x14ac:dyDescent="0.25">
      <c r="A53" s="511" t="s">
        <v>373</v>
      </c>
      <c r="B53" s="30">
        <v>1</v>
      </c>
      <c r="C53" s="53" t="s">
        <v>374</v>
      </c>
      <c r="D53" s="112" t="s">
        <v>8</v>
      </c>
      <c r="E53" s="540"/>
      <c r="F53" s="2" t="s">
        <v>2171</v>
      </c>
      <c r="G53" s="228"/>
      <c r="H53" s="228"/>
    </row>
    <row r="54" spans="1:8" x14ac:dyDescent="0.25">
      <c r="A54" s="5" t="s">
        <v>375</v>
      </c>
      <c r="B54" s="30">
        <v>1</v>
      </c>
      <c r="C54" s="53" t="s">
        <v>376</v>
      </c>
      <c r="D54" s="112" t="s">
        <v>8</v>
      </c>
      <c r="E54" s="540"/>
      <c r="F54" s="2" t="s">
        <v>1866</v>
      </c>
      <c r="G54" s="228"/>
      <c r="H54" s="228"/>
    </row>
    <row r="55" spans="1:8" x14ac:dyDescent="0.25">
      <c r="C55" s="27"/>
      <c r="D55" s="27"/>
    </row>
  </sheetData>
  <autoFilter ref="A1:D54" xr:uid="{D91C9A41-0CC2-4E6F-BB01-5C44DD9704CC}"/>
  <sortState xmlns:xlrd2="http://schemas.microsoft.com/office/spreadsheetml/2017/richdata2" ref="A2:D55">
    <sortCondition ref="A1:A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CDF-0A2C-4C21-99E7-7C8026E28FE5}">
  <sheetPr codeName="Planilha6">
    <tabColor rgb="FFFF0000"/>
  </sheetPr>
  <dimension ref="A1:H1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ColWidth="16.5703125" defaultRowHeight="15" x14ac:dyDescent="0.25"/>
  <cols>
    <col min="1" max="1" width="43.28515625" bestFit="1" customWidth="1"/>
    <col min="2" max="2" width="23.7109375" bestFit="1" customWidth="1"/>
    <col min="3" max="3" width="15.28515625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34" t="s">
        <v>0</v>
      </c>
      <c r="B1" s="35" t="s">
        <v>451</v>
      </c>
      <c r="C1" s="234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9" t="s">
        <v>452</v>
      </c>
      <c r="B2" s="36">
        <v>1</v>
      </c>
      <c r="C2" s="131">
        <v>662845</v>
      </c>
      <c r="D2" s="112" t="s">
        <v>314</v>
      </c>
      <c r="E2" s="228"/>
      <c r="F2" s="228"/>
      <c r="G2" s="228"/>
      <c r="H2" s="228"/>
    </row>
    <row r="3" spans="1:8" x14ac:dyDescent="0.25">
      <c r="A3" s="19" t="s">
        <v>453</v>
      </c>
      <c r="B3" s="36">
        <v>1</v>
      </c>
      <c r="C3" s="235" t="s">
        <v>454</v>
      </c>
      <c r="D3" s="112" t="s">
        <v>455</v>
      </c>
      <c r="E3" s="228"/>
      <c r="F3" s="228"/>
      <c r="G3" s="228"/>
      <c r="H3" s="228"/>
    </row>
    <row r="4" spans="1:8" x14ac:dyDescent="0.25">
      <c r="A4" s="19" t="s">
        <v>456</v>
      </c>
      <c r="B4" s="36">
        <v>1</v>
      </c>
      <c r="C4" s="235" t="s">
        <v>457</v>
      </c>
      <c r="D4" s="112" t="s">
        <v>455</v>
      </c>
      <c r="E4" s="228"/>
      <c r="F4" s="228"/>
      <c r="G4" s="228"/>
      <c r="H4" s="228"/>
    </row>
    <row r="5" spans="1:8" x14ac:dyDescent="0.25">
      <c r="A5" s="19" t="s">
        <v>458</v>
      </c>
      <c r="B5" s="36">
        <v>1</v>
      </c>
      <c r="C5" s="236" t="s">
        <v>459</v>
      </c>
      <c r="D5" s="112" t="s">
        <v>455</v>
      </c>
      <c r="E5" s="228"/>
      <c r="F5" s="228"/>
      <c r="G5" s="228"/>
      <c r="H5" s="228"/>
    </row>
    <row r="6" spans="1:8" x14ac:dyDescent="0.25">
      <c r="A6" s="19" t="s">
        <v>460</v>
      </c>
      <c r="B6" s="36">
        <v>1</v>
      </c>
      <c r="C6" s="236" t="s">
        <v>461</v>
      </c>
      <c r="D6" s="112" t="s">
        <v>455</v>
      </c>
      <c r="E6" s="228"/>
      <c r="F6" s="228"/>
      <c r="G6" s="228"/>
      <c r="H6" s="228"/>
    </row>
    <row r="7" spans="1:8" x14ac:dyDescent="0.25">
      <c r="A7" s="19" t="s">
        <v>462</v>
      </c>
      <c r="B7" s="36">
        <v>1</v>
      </c>
      <c r="C7" s="236" t="s">
        <v>463</v>
      </c>
      <c r="D7" s="112" t="s">
        <v>455</v>
      </c>
      <c r="E7" s="228"/>
      <c r="F7" s="228"/>
      <c r="G7" s="228"/>
      <c r="H7" s="228"/>
    </row>
    <row r="8" spans="1:8" x14ac:dyDescent="0.25">
      <c r="A8" s="19" t="s">
        <v>464</v>
      </c>
      <c r="B8" s="36">
        <v>1</v>
      </c>
      <c r="C8" s="236" t="s">
        <v>465</v>
      </c>
      <c r="D8" s="112" t="s">
        <v>455</v>
      </c>
      <c r="E8" s="228"/>
      <c r="F8" s="228"/>
      <c r="G8" s="228"/>
      <c r="H8" s="228"/>
    </row>
    <row r="9" spans="1:8" x14ac:dyDescent="0.25">
      <c r="A9" s="19" t="s">
        <v>466</v>
      </c>
      <c r="B9" s="36">
        <v>1</v>
      </c>
      <c r="C9" s="236" t="s">
        <v>467</v>
      </c>
      <c r="D9" s="112" t="s">
        <v>455</v>
      </c>
      <c r="E9" s="228"/>
      <c r="F9" s="228"/>
      <c r="G9" s="228"/>
      <c r="H9" s="228"/>
    </row>
    <row r="10" spans="1:8" x14ac:dyDescent="0.25">
      <c r="A10" s="19" t="s">
        <v>468</v>
      </c>
      <c r="B10" s="36">
        <v>1</v>
      </c>
      <c r="C10" s="236" t="s">
        <v>463</v>
      </c>
      <c r="D10" s="112" t="s">
        <v>455</v>
      </c>
      <c r="E10" s="228"/>
      <c r="F10" s="228"/>
      <c r="G10" s="228"/>
      <c r="H10" s="228"/>
    </row>
    <row r="11" spans="1:8" x14ac:dyDescent="0.25">
      <c r="A11" s="19" t="s">
        <v>469</v>
      </c>
      <c r="B11" s="36">
        <v>1</v>
      </c>
      <c r="C11" s="236" t="s">
        <v>470</v>
      </c>
      <c r="D11" s="112" t="s">
        <v>455</v>
      </c>
      <c r="E11" s="228"/>
      <c r="F11" s="228"/>
      <c r="G11" s="228"/>
      <c r="H11" s="228"/>
    </row>
    <row r="12" spans="1:8" x14ac:dyDescent="0.25">
      <c r="A12" s="19" t="s">
        <v>471</v>
      </c>
      <c r="B12" s="36">
        <v>1</v>
      </c>
      <c r="C12" s="236" t="s">
        <v>470</v>
      </c>
      <c r="D12" s="112" t="s">
        <v>455</v>
      </c>
      <c r="E12" s="228"/>
      <c r="F12" s="228"/>
      <c r="G12" s="228"/>
      <c r="H12" s="228"/>
    </row>
    <row r="13" spans="1:8" x14ac:dyDescent="0.25">
      <c r="A13" s="19" t="s">
        <v>472</v>
      </c>
      <c r="B13" s="36">
        <v>1</v>
      </c>
      <c r="C13" s="236" t="s">
        <v>467</v>
      </c>
      <c r="D13" s="112" t="s">
        <v>455</v>
      </c>
      <c r="E13" s="228"/>
      <c r="F13" s="228"/>
      <c r="G13" s="228"/>
      <c r="H13" s="228"/>
    </row>
    <row r="14" spans="1:8" x14ac:dyDescent="0.25">
      <c r="A14" s="76" t="s">
        <v>473</v>
      </c>
      <c r="B14" s="68">
        <v>1</v>
      </c>
      <c r="C14" s="237" t="s">
        <v>474</v>
      </c>
      <c r="D14" s="74" t="s">
        <v>455</v>
      </c>
      <c r="E14" s="228"/>
      <c r="F14" s="228"/>
      <c r="G14" s="228"/>
      <c r="H14" s="228"/>
    </row>
    <row r="15" spans="1:8" x14ac:dyDescent="0.25">
      <c r="A15" s="19" t="s">
        <v>475</v>
      </c>
      <c r="B15" s="36">
        <v>1</v>
      </c>
      <c r="C15" s="236" t="s">
        <v>476</v>
      </c>
      <c r="D15" s="112" t="s">
        <v>455</v>
      </c>
      <c r="E15" s="228"/>
      <c r="F15" s="228"/>
      <c r="G15" s="228"/>
      <c r="H15" s="2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DF9-87B5-4FED-8531-AD7822529917}">
  <sheetPr codeName="Planilha7">
    <tabColor rgb="FFFF0000"/>
  </sheetPr>
  <dimension ref="A1:G3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7" bestFit="1" customWidth="1"/>
    <col min="2" max="2" width="11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31.5" x14ac:dyDescent="0.25">
      <c r="A1" s="103" t="s">
        <v>0</v>
      </c>
      <c r="B1" s="96" t="s">
        <v>2</v>
      </c>
      <c r="C1" s="238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22" t="s">
        <v>477</v>
      </c>
      <c r="B2" s="57" t="s">
        <v>478</v>
      </c>
      <c r="C2" s="131" t="s">
        <v>455</v>
      </c>
      <c r="D2" s="228"/>
      <c r="E2" s="228"/>
      <c r="F2" s="228"/>
      <c r="G2" s="228"/>
    </row>
    <row r="3" spans="1:7" x14ac:dyDescent="0.25">
      <c r="A3" s="22" t="s">
        <v>479</v>
      </c>
      <c r="B3" s="57" t="s">
        <v>480</v>
      </c>
      <c r="C3" s="131" t="s">
        <v>455</v>
      </c>
      <c r="D3" s="228"/>
      <c r="E3" s="228"/>
      <c r="F3" s="228"/>
      <c r="G3" s="2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1C4-8236-40AF-93C6-53B85FF6771E}">
  <sheetPr codeName="Planilha8"/>
  <dimension ref="A1:H12"/>
  <sheetViews>
    <sheetView workbookViewId="0">
      <pane ySplit="1" topLeftCell="A2" activePane="bottomLeft" state="frozen"/>
      <selection activeCell="A53" sqref="A53"/>
      <selection pane="bottomLeft" activeCell="D21" sqref="D21"/>
    </sheetView>
  </sheetViews>
  <sheetFormatPr defaultRowHeight="15" x14ac:dyDescent="0.25"/>
  <cols>
    <col min="1" max="1" width="32.140625" customWidth="1"/>
    <col min="2" max="2" width="22.140625" customWidth="1"/>
    <col min="3" max="3" width="15.5703125" style="43" customWidth="1"/>
    <col min="4" max="4" width="21.28515625" style="43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style="43" bestFit="1" customWidth="1"/>
  </cols>
  <sheetData>
    <row r="1" spans="1:8" ht="18" customHeight="1" x14ac:dyDescent="0.25">
      <c r="A1" s="103" t="s">
        <v>0</v>
      </c>
      <c r="B1" s="104" t="s">
        <v>305</v>
      </c>
      <c r="C1" s="12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16" t="s">
        <v>481</v>
      </c>
      <c r="B2" s="38">
        <v>1</v>
      </c>
      <c r="C2" s="554">
        <v>662550</v>
      </c>
      <c r="D2" s="555" t="s">
        <v>314</v>
      </c>
      <c r="E2" s="228"/>
      <c r="F2" s="540" t="s">
        <v>2144</v>
      </c>
      <c r="G2" s="228"/>
      <c r="H2" s="540"/>
    </row>
    <row r="3" spans="1:8" x14ac:dyDescent="0.25">
      <c r="A3" s="22" t="s">
        <v>498</v>
      </c>
      <c r="B3" s="38">
        <v>1</v>
      </c>
      <c r="C3" s="556" t="s">
        <v>499</v>
      </c>
      <c r="D3" s="555" t="s">
        <v>10</v>
      </c>
      <c r="E3" s="228"/>
      <c r="F3" s="553" t="s">
        <v>1802</v>
      </c>
      <c r="G3" s="228"/>
      <c r="H3" s="540" t="s">
        <v>2172</v>
      </c>
    </row>
    <row r="4" spans="1:8" x14ac:dyDescent="0.25">
      <c r="A4" s="22" t="s">
        <v>488</v>
      </c>
      <c r="B4" s="38">
        <v>1</v>
      </c>
      <c r="C4" s="557" t="s">
        <v>489</v>
      </c>
      <c r="D4" s="555" t="s">
        <v>10</v>
      </c>
      <c r="E4" s="228"/>
      <c r="F4" s="553" t="s">
        <v>1801</v>
      </c>
      <c r="G4" s="228"/>
      <c r="H4" s="540"/>
    </row>
    <row r="5" spans="1:8" x14ac:dyDescent="0.25">
      <c r="A5" s="22" t="s">
        <v>496</v>
      </c>
      <c r="B5" s="38">
        <v>1</v>
      </c>
      <c r="C5" s="556" t="s">
        <v>497</v>
      </c>
      <c r="D5" s="555" t="s">
        <v>10</v>
      </c>
      <c r="E5" s="228"/>
      <c r="F5" s="553" t="s">
        <v>1803</v>
      </c>
      <c r="G5" s="228"/>
      <c r="H5" s="540"/>
    </row>
    <row r="6" spans="1:8" x14ac:dyDescent="0.25">
      <c r="A6" s="22" t="s">
        <v>496</v>
      </c>
      <c r="B6" s="38">
        <v>1</v>
      </c>
      <c r="C6" s="556" t="s">
        <v>500</v>
      </c>
      <c r="D6" s="555" t="s">
        <v>10</v>
      </c>
      <c r="E6" s="228"/>
      <c r="F6" s="553" t="s">
        <v>1804</v>
      </c>
      <c r="G6" s="228"/>
      <c r="H6" s="540"/>
    </row>
    <row r="7" spans="1:8" x14ac:dyDescent="0.25">
      <c r="A7" s="22" t="s">
        <v>494</v>
      </c>
      <c r="B7" s="38">
        <v>1</v>
      </c>
      <c r="C7" s="556" t="s">
        <v>495</v>
      </c>
      <c r="D7" s="555" t="s">
        <v>10</v>
      </c>
      <c r="E7" s="228"/>
      <c r="F7" s="553" t="s">
        <v>1805</v>
      </c>
      <c r="G7" s="228"/>
      <c r="H7" s="540"/>
    </row>
    <row r="8" spans="1:8" x14ac:dyDescent="0.25">
      <c r="A8" s="22" t="s">
        <v>492</v>
      </c>
      <c r="B8" s="38">
        <v>1</v>
      </c>
      <c r="C8" s="557" t="s">
        <v>493</v>
      </c>
      <c r="D8" s="555" t="s">
        <v>10</v>
      </c>
      <c r="E8" s="228"/>
      <c r="F8" s="553" t="s">
        <v>1806</v>
      </c>
      <c r="G8" s="228"/>
      <c r="H8" s="540"/>
    </row>
    <row r="9" spans="1:8" x14ac:dyDescent="0.25">
      <c r="A9" s="22" t="s">
        <v>490</v>
      </c>
      <c r="B9" s="38">
        <v>2</v>
      </c>
      <c r="C9" s="557" t="s">
        <v>491</v>
      </c>
      <c r="D9" s="555" t="s">
        <v>10</v>
      </c>
      <c r="E9" s="228"/>
      <c r="F9" s="553" t="s">
        <v>1801</v>
      </c>
      <c r="G9" s="228"/>
      <c r="H9" s="540"/>
    </row>
    <row r="10" spans="1:8" x14ac:dyDescent="0.25">
      <c r="A10" s="22" t="s">
        <v>484</v>
      </c>
      <c r="B10" s="38">
        <v>1</v>
      </c>
      <c r="C10" s="557" t="s">
        <v>485</v>
      </c>
      <c r="D10" s="555" t="s">
        <v>10</v>
      </c>
      <c r="E10" s="228"/>
      <c r="F10" s="553" t="s">
        <v>1807</v>
      </c>
      <c r="G10" s="228"/>
      <c r="H10" s="540"/>
    </row>
    <row r="11" spans="1:8" x14ac:dyDescent="0.25">
      <c r="A11" s="22" t="s">
        <v>482</v>
      </c>
      <c r="B11" s="38">
        <v>1</v>
      </c>
      <c r="C11" s="557" t="s">
        <v>483</v>
      </c>
      <c r="D11" s="555" t="s">
        <v>10</v>
      </c>
      <c r="E11" s="228"/>
      <c r="F11" s="553" t="s">
        <v>1808</v>
      </c>
      <c r="G11" s="228"/>
      <c r="H11" s="540"/>
    </row>
    <row r="12" spans="1:8" x14ac:dyDescent="0.25">
      <c r="A12" s="22" t="s">
        <v>486</v>
      </c>
      <c r="B12" s="38">
        <v>1</v>
      </c>
      <c r="C12" s="557" t="s">
        <v>487</v>
      </c>
      <c r="D12" s="555" t="s">
        <v>10</v>
      </c>
      <c r="E12" s="228"/>
      <c r="F12" s="553" t="s">
        <v>1811</v>
      </c>
      <c r="G12" s="228"/>
      <c r="H12" s="540"/>
    </row>
  </sheetData>
  <sortState xmlns:xlrd2="http://schemas.microsoft.com/office/spreadsheetml/2017/richdata2" ref="A2:D12">
    <sortCondition ref="A1:A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38B1-537E-4D67-ACA1-8AD73E718D5F}">
  <sheetPr codeName="Planilha9">
    <tabColor rgb="FFFF0000"/>
  </sheetPr>
  <dimension ref="A1:H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6.5703125" customWidth="1"/>
    <col min="2" max="2" width="22.5703125" customWidth="1"/>
    <col min="3" max="3" width="14.71093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8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8" t="s">
        <v>313</v>
      </c>
      <c r="B2" s="39">
        <v>1</v>
      </c>
      <c r="C2" s="53">
        <v>662250</v>
      </c>
      <c r="D2" s="131" t="s">
        <v>501</v>
      </c>
      <c r="E2" s="228"/>
      <c r="F2" s="228"/>
      <c r="G2" s="228"/>
      <c r="H2" s="228"/>
    </row>
    <row r="3" spans="1:8" x14ac:dyDescent="0.25">
      <c r="A3" s="8" t="s">
        <v>502</v>
      </c>
      <c r="B3" s="39">
        <v>1</v>
      </c>
      <c r="C3" s="182" t="s">
        <v>503</v>
      </c>
      <c r="D3" s="131" t="s">
        <v>162</v>
      </c>
      <c r="E3" s="228"/>
      <c r="F3" s="228"/>
      <c r="G3" s="228"/>
      <c r="H3" s="228"/>
    </row>
    <row r="4" spans="1:8" x14ac:dyDescent="0.25">
      <c r="A4" s="8" t="s">
        <v>504</v>
      </c>
      <c r="B4" s="39">
        <v>1</v>
      </c>
      <c r="C4" s="182" t="s">
        <v>505</v>
      </c>
      <c r="D4" s="131" t="s">
        <v>162</v>
      </c>
      <c r="E4" s="228"/>
      <c r="F4" s="228"/>
      <c r="G4" s="228"/>
      <c r="H4" s="228"/>
    </row>
    <row r="5" spans="1:8" x14ac:dyDescent="0.25">
      <c r="A5" s="58" t="s">
        <v>506</v>
      </c>
      <c r="B5" s="59">
        <v>1</v>
      </c>
      <c r="C5" s="183" t="s">
        <v>507</v>
      </c>
      <c r="D5" s="131" t="s">
        <v>162</v>
      </c>
      <c r="E5" s="228"/>
      <c r="F5" s="228"/>
      <c r="G5" s="228"/>
      <c r="H5" s="228"/>
    </row>
    <row r="6" spans="1:8" x14ac:dyDescent="0.25">
      <c r="A6" s="58" t="s">
        <v>508</v>
      </c>
      <c r="B6" s="59">
        <v>1</v>
      </c>
      <c r="C6" s="183" t="s">
        <v>509</v>
      </c>
      <c r="D6" s="131" t="s">
        <v>162</v>
      </c>
      <c r="E6" s="228"/>
      <c r="F6" s="228"/>
      <c r="G6" s="228"/>
      <c r="H6" s="228"/>
    </row>
    <row r="7" spans="1:8" x14ac:dyDescent="0.25">
      <c r="A7" s="8" t="s">
        <v>510</v>
      </c>
      <c r="B7" s="39">
        <v>1</v>
      </c>
      <c r="C7" s="182" t="s">
        <v>511</v>
      </c>
      <c r="D7" s="131" t="s">
        <v>162</v>
      </c>
      <c r="E7" s="228"/>
      <c r="F7" s="228"/>
      <c r="G7" s="228"/>
      <c r="H7" s="228"/>
    </row>
    <row r="8" spans="1:8" x14ac:dyDescent="0.25">
      <c r="A8" s="10" t="s">
        <v>512</v>
      </c>
      <c r="B8" s="39">
        <v>1</v>
      </c>
      <c r="C8" s="184" t="s">
        <v>513</v>
      </c>
      <c r="D8" s="131" t="s">
        <v>162</v>
      </c>
      <c r="E8" s="228"/>
      <c r="F8" s="228"/>
      <c r="G8" s="228"/>
      <c r="H8" s="228"/>
    </row>
    <row r="9" spans="1:8" x14ac:dyDescent="0.25">
      <c r="A9" s="11" t="s">
        <v>514</v>
      </c>
      <c r="B9" s="39">
        <v>1</v>
      </c>
      <c r="C9" s="182" t="s">
        <v>515</v>
      </c>
      <c r="D9" s="131" t="s">
        <v>162</v>
      </c>
      <c r="E9" s="228"/>
      <c r="F9" s="228"/>
      <c r="G9" s="228"/>
      <c r="H9" s="2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110-A879-444D-84C3-2CEB522C1D2C}">
  <sheetPr codeName="Planilha10">
    <tabColor rgb="FF92D050"/>
  </sheetPr>
  <dimension ref="A1:H16"/>
  <sheetViews>
    <sheetView workbookViewId="0">
      <pane ySplit="1" topLeftCell="A2" activePane="bottomLeft" state="frozen"/>
      <selection activeCell="A53" sqref="A53"/>
      <selection pane="bottomLeft" activeCell="K9" sqref="K9"/>
    </sheetView>
  </sheetViews>
  <sheetFormatPr defaultRowHeight="15" x14ac:dyDescent="0.25"/>
  <cols>
    <col min="1" max="1" width="37.2851562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31.5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5" t="s">
        <v>313</v>
      </c>
      <c r="B2" s="32">
        <v>1</v>
      </c>
      <c r="C2" s="53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425" t="s">
        <v>523</v>
      </c>
      <c r="B3" s="32">
        <v>2</v>
      </c>
      <c r="C3" s="53" t="s">
        <v>524</v>
      </c>
      <c r="D3" s="112" t="s">
        <v>8</v>
      </c>
      <c r="E3" s="540"/>
      <c r="F3" s="573" t="s">
        <v>2196</v>
      </c>
      <c r="G3" s="571"/>
      <c r="H3" s="572">
        <v>1000</v>
      </c>
    </row>
    <row r="4" spans="1:8" x14ac:dyDescent="0.25">
      <c r="A4" s="1" t="s">
        <v>526</v>
      </c>
      <c r="B4" s="32">
        <v>2</v>
      </c>
      <c r="C4" s="53" t="s">
        <v>39</v>
      </c>
      <c r="D4" s="112" t="s">
        <v>8</v>
      </c>
      <c r="E4" s="314"/>
      <c r="F4" s="373" t="s">
        <v>1883</v>
      </c>
      <c r="G4" s="314"/>
      <c r="H4" s="314"/>
    </row>
    <row r="5" spans="1:8" x14ac:dyDescent="0.25">
      <c r="A5" s="1" t="s">
        <v>525</v>
      </c>
      <c r="B5" s="32">
        <v>1</v>
      </c>
      <c r="C5" s="53" t="s">
        <v>53</v>
      </c>
      <c r="D5" s="112" t="s">
        <v>8</v>
      </c>
      <c r="E5" s="228"/>
      <c r="F5" s="376" t="s">
        <v>1900</v>
      </c>
      <c r="G5" s="228"/>
      <c r="H5" s="228"/>
    </row>
    <row r="6" spans="1:8" x14ac:dyDescent="0.25">
      <c r="A6" s="1" t="s">
        <v>527</v>
      </c>
      <c r="B6" s="32">
        <v>1</v>
      </c>
      <c r="C6" s="53" t="s">
        <v>252</v>
      </c>
      <c r="D6" s="112" t="s">
        <v>8</v>
      </c>
      <c r="E6" s="228"/>
      <c r="F6" s="373" t="s">
        <v>1947</v>
      </c>
      <c r="G6" s="228"/>
      <c r="H6" s="228"/>
    </row>
    <row r="7" spans="1:8" x14ac:dyDescent="0.25">
      <c r="A7" s="1" t="s">
        <v>528</v>
      </c>
      <c r="B7" s="32">
        <v>2</v>
      </c>
      <c r="C7" s="53" t="s">
        <v>529</v>
      </c>
      <c r="D7" s="112" t="s">
        <v>8</v>
      </c>
      <c r="E7" s="228"/>
      <c r="F7" s="373" t="s">
        <v>2069</v>
      </c>
      <c r="G7" s="228"/>
      <c r="H7" s="228"/>
    </row>
    <row r="8" spans="1:8" x14ac:dyDescent="0.25">
      <c r="A8" s="1" t="s">
        <v>530</v>
      </c>
      <c r="B8" s="32">
        <v>1</v>
      </c>
      <c r="C8" s="53" t="s">
        <v>531</v>
      </c>
      <c r="D8" s="112" t="s">
        <v>8</v>
      </c>
      <c r="E8" s="228"/>
      <c r="F8" s="373" t="s">
        <v>1964</v>
      </c>
      <c r="G8" s="228"/>
      <c r="H8" s="228"/>
    </row>
    <row r="9" spans="1:8" x14ac:dyDescent="0.25">
      <c r="A9" s="1" t="s">
        <v>95</v>
      </c>
      <c r="B9" s="32">
        <v>1</v>
      </c>
      <c r="C9" s="53" t="s">
        <v>350</v>
      </c>
      <c r="D9" s="112" t="s">
        <v>8</v>
      </c>
      <c r="E9" s="228"/>
      <c r="F9" s="374" t="s">
        <v>2003</v>
      </c>
      <c r="G9" s="228"/>
      <c r="H9" s="228"/>
    </row>
    <row r="10" spans="1:8" x14ac:dyDescent="0.25">
      <c r="A10" s="1" t="s">
        <v>97</v>
      </c>
      <c r="B10" s="32">
        <v>1</v>
      </c>
      <c r="C10" s="53" t="s">
        <v>516</v>
      </c>
      <c r="D10" s="112" t="s">
        <v>8</v>
      </c>
      <c r="E10" s="228"/>
      <c r="F10" s="375" t="s">
        <v>1995</v>
      </c>
      <c r="G10" s="228"/>
      <c r="H10" s="228"/>
    </row>
    <row r="11" spans="1:8" x14ac:dyDescent="0.25">
      <c r="A11" s="1" t="s">
        <v>519</v>
      </c>
      <c r="B11" s="32">
        <v>1</v>
      </c>
      <c r="C11" s="53" t="s">
        <v>520</v>
      </c>
      <c r="D11" s="112" t="s">
        <v>8</v>
      </c>
      <c r="E11" s="228"/>
      <c r="F11" s="373" t="s">
        <v>2007</v>
      </c>
      <c r="G11" s="228"/>
      <c r="H11" s="228"/>
    </row>
    <row r="12" spans="1:8" x14ac:dyDescent="0.25">
      <c r="A12" s="1" t="s">
        <v>517</v>
      </c>
      <c r="B12" s="32">
        <v>1</v>
      </c>
      <c r="C12" s="53" t="s">
        <v>518</v>
      </c>
      <c r="D12" s="112" t="s">
        <v>8</v>
      </c>
      <c r="E12" s="228"/>
      <c r="F12" s="373" t="s">
        <v>2008</v>
      </c>
      <c r="G12" s="228"/>
      <c r="H12" s="228"/>
    </row>
    <row r="13" spans="1:8" x14ac:dyDescent="0.25">
      <c r="A13" s="1" t="s">
        <v>521</v>
      </c>
      <c r="B13" s="32">
        <v>1</v>
      </c>
      <c r="C13" s="53" t="s">
        <v>522</v>
      </c>
      <c r="D13" s="112" t="s">
        <v>8</v>
      </c>
      <c r="E13" s="228"/>
      <c r="F13" s="373" t="s">
        <v>1998</v>
      </c>
      <c r="G13" s="228"/>
      <c r="H13" s="228"/>
    </row>
    <row r="14" spans="1:8" x14ac:dyDescent="0.25">
      <c r="A14" s="1" t="s">
        <v>532</v>
      </c>
      <c r="B14" s="32">
        <v>2</v>
      </c>
      <c r="C14" s="53" t="s">
        <v>533</v>
      </c>
      <c r="D14" s="112" t="s">
        <v>8</v>
      </c>
      <c r="E14" s="228"/>
      <c r="F14" s="373" t="s">
        <v>1863</v>
      </c>
      <c r="G14" s="228"/>
      <c r="H14" s="228"/>
    </row>
    <row r="15" spans="1:8" x14ac:dyDescent="0.25">
      <c r="A15" s="1" t="s">
        <v>534</v>
      </c>
      <c r="B15" s="32">
        <v>2</v>
      </c>
      <c r="C15" s="53" t="s">
        <v>535</v>
      </c>
      <c r="D15" s="112" t="s">
        <v>8</v>
      </c>
      <c r="E15" s="228"/>
      <c r="F15" s="373" t="s">
        <v>1864</v>
      </c>
      <c r="G15" s="228"/>
      <c r="H15" s="228"/>
    </row>
    <row r="16" spans="1:8" x14ac:dyDescent="0.25">
      <c r="A16" s="1" t="s">
        <v>536</v>
      </c>
      <c r="B16" s="32">
        <v>1</v>
      </c>
      <c r="C16" s="53" t="s">
        <v>535</v>
      </c>
      <c r="D16" s="112" t="s">
        <v>8</v>
      </c>
      <c r="E16" s="228"/>
      <c r="F16" s="373" t="s">
        <v>1865</v>
      </c>
      <c r="G16" s="228"/>
      <c r="H16" s="228"/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C18-4092-4FC4-8E3D-CC7D1AF4652E}">
  <sheetPr codeName="Planilha11">
    <tabColor theme="0"/>
  </sheetPr>
  <dimension ref="A1:H19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39.710937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8" customHeight="1" x14ac:dyDescent="0.25">
      <c r="A1" s="97" t="s">
        <v>0</v>
      </c>
      <c r="B1" s="48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17" t="s">
        <v>313</v>
      </c>
      <c r="B2" s="40">
        <v>1</v>
      </c>
      <c r="C2" s="131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66" t="s">
        <v>547</v>
      </c>
      <c r="B3" s="55">
        <v>1</v>
      </c>
      <c r="C3" s="75" t="s">
        <v>548</v>
      </c>
      <c r="D3" s="74" t="s">
        <v>10</v>
      </c>
      <c r="E3" s="228"/>
      <c r="F3" s="377" t="s">
        <v>1820</v>
      </c>
      <c r="G3" s="228"/>
      <c r="H3" s="228"/>
    </row>
    <row r="4" spans="1:8" x14ac:dyDescent="0.25">
      <c r="A4" s="3" t="s">
        <v>539</v>
      </c>
      <c r="B4" s="32">
        <v>1</v>
      </c>
      <c r="C4" s="53" t="s">
        <v>540</v>
      </c>
      <c r="D4" s="112" t="s">
        <v>8</v>
      </c>
      <c r="E4" s="228"/>
      <c r="F4" s="374" t="s">
        <v>1869</v>
      </c>
      <c r="G4" s="228"/>
      <c r="H4" s="228"/>
    </row>
    <row r="5" spans="1:8" x14ac:dyDescent="0.25">
      <c r="A5" s="3" t="s">
        <v>541</v>
      </c>
      <c r="B5" s="32">
        <v>1</v>
      </c>
      <c r="C5" s="53" t="s">
        <v>542</v>
      </c>
      <c r="D5" s="112" t="s">
        <v>8</v>
      </c>
      <c r="E5" s="228"/>
      <c r="F5" s="374" t="s">
        <v>1870</v>
      </c>
      <c r="G5" s="228"/>
      <c r="H5" s="228"/>
    </row>
    <row r="6" spans="1:8" x14ac:dyDescent="0.25">
      <c r="A6" s="3" t="s">
        <v>543</v>
      </c>
      <c r="B6" s="32">
        <v>1</v>
      </c>
      <c r="C6" s="53" t="s">
        <v>544</v>
      </c>
      <c r="D6" s="112" t="s">
        <v>8</v>
      </c>
      <c r="E6" s="228"/>
      <c r="F6" s="362" t="s">
        <v>1868</v>
      </c>
      <c r="G6" s="228"/>
      <c r="H6" s="228"/>
    </row>
    <row r="7" spans="1:8" x14ac:dyDescent="0.25">
      <c r="A7" s="66" t="s">
        <v>249</v>
      </c>
      <c r="B7" s="55">
        <v>1</v>
      </c>
      <c r="C7" s="75" t="s">
        <v>250</v>
      </c>
      <c r="D7" s="74" t="s">
        <v>10</v>
      </c>
      <c r="E7" s="228"/>
      <c r="F7" s="377" t="s">
        <v>1876</v>
      </c>
      <c r="G7" s="228"/>
      <c r="H7" s="228"/>
    </row>
    <row r="8" spans="1:8" x14ac:dyDescent="0.25">
      <c r="A8" s="3" t="s">
        <v>46</v>
      </c>
      <c r="B8" s="32">
        <v>1</v>
      </c>
      <c r="C8" s="53" t="s">
        <v>47</v>
      </c>
      <c r="D8" s="112" t="s">
        <v>8</v>
      </c>
      <c r="E8" s="228"/>
      <c r="F8" s="372" t="s">
        <v>1889</v>
      </c>
      <c r="G8" s="228"/>
      <c r="H8" s="228"/>
    </row>
    <row r="9" spans="1:8" x14ac:dyDescent="0.25">
      <c r="A9" s="3" t="s">
        <v>537</v>
      </c>
      <c r="B9" s="32">
        <v>4</v>
      </c>
      <c r="C9" s="53" t="s">
        <v>538</v>
      </c>
      <c r="D9" s="112" t="s">
        <v>8</v>
      </c>
      <c r="E9" s="228"/>
      <c r="F9" s="374" t="s">
        <v>1896</v>
      </c>
      <c r="G9" s="228"/>
      <c r="H9" s="228"/>
    </row>
    <row r="10" spans="1:8" x14ac:dyDescent="0.25">
      <c r="A10" s="3" t="s">
        <v>335</v>
      </c>
      <c r="B10" s="32">
        <v>1</v>
      </c>
      <c r="C10" s="53" t="s">
        <v>53</v>
      </c>
      <c r="D10" s="112" t="s">
        <v>8</v>
      </c>
      <c r="E10" s="228"/>
      <c r="F10" s="376" t="s">
        <v>1900</v>
      </c>
      <c r="G10" s="228"/>
      <c r="H10" s="228"/>
    </row>
    <row r="11" spans="1:8" x14ac:dyDescent="0.25">
      <c r="A11" s="3" t="s">
        <v>58</v>
      </c>
      <c r="B11" s="32">
        <v>1</v>
      </c>
      <c r="C11" s="53" t="s">
        <v>59</v>
      </c>
      <c r="D11" s="112" t="s">
        <v>8</v>
      </c>
      <c r="E11" s="228"/>
      <c r="F11" s="372" t="s">
        <v>1915</v>
      </c>
      <c r="G11" s="228"/>
      <c r="H11" s="228"/>
    </row>
    <row r="12" spans="1:8" x14ac:dyDescent="0.25">
      <c r="A12" s="3" t="s">
        <v>545</v>
      </c>
      <c r="B12" s="32">
        <v>1</v>
      </c>
      <c r="C12" s="53" t="s">
        <v>546</v>
      </c>
      <c r="D12" s="112" t="s">
        <v>8</v>
      </c>
      <c r="E12" s="228"/>
      <c r="F12" s="374" t="s">
        <v>1919</v>
      </c>
      <c r="G12" s="228"/>
      <c r="H12" s="228"/>
    </row>
    <row r="13" spans="1:8" x14ac:dyDescent="0.25">
      <c r="A13" s="66" t="s">
        <v>549</v>
      </c>
      <c r="B13" s="55">
        <v>1</v>
      </c>
      <c r="C13" s="75" t="s">
        <v>550</v>
      </c>
      <c r="D13" s="74" t="s">
        <v>8</v>
      </c>
      <c r="E13" s="228"/>
      <c r="F13" s="377" t="s">
        <v>1943</v>
      </c>
      <c r="G13" s="228"/>
      <c r="H13" s="228"/>
    </row>
    <row r="14" spans="1:8" x14ac:dyDescent="0.25">
      <c r="A14" s="66" t="s">
        <v>551</v>
      </c>
      <c r="B14" s="55">
        <v>1</v>
      </c>
      <c r="C14" s="75" t="s">
        <v>252</v>
      </c>
      <c r="D14" s="74" t="s">
        <v>8</v>
      </c>
      <c r="E14" s="228"/>
      <c r="F14" s="377" t="s">
        <v>1947</v>
      </c>
      <c r="G14" s="228"/>
      <c r="H14" s="228"/>
    </row>
    <row r="15" spans="1:8" x14ac:dyDescent="0.25">
      <c r="A15" s="517" t="s">
        <v>558</v>
      </c>
      <c r="B15" s="32">
        <v>1</v>
      </c>
      <c r="C15" s="53" t="s">
        <v>559</v>
      </c>
      <c r="D15" s="112" t="s">
        <v>8</v>
      </c>
      <c r="E15" s="228" t="s">
        <v>2056</v>
      </c>
      <c r="F15" s="537" t="s">
        <v>2126</v>
      </c>
      <c r="G15" s="228"/>
      <c r="H15" s="538">
        <v>460</v>
      </c>
    </row>
    <row r="16" spans="1:8" x14ac:dyDescent="0.25">
      <c r="A16" s="66" t="s">
        <v>552</v>
      </c>
      <c r="B16" s="55">
        <v>1</v>
      </c>
      <c r="C16" s="75" t="s">
        <v>553</v>
      </c>
      <c r="D16" s="74" t="s">
        <v>8</v>
      </c>
      <c r="E16" s="228"/>
      <c r="F16" s="241" t="s">
        <v>1927</v>
      </c>
      <c r="G16" s="228"/>
      <c r="H16" s="228"/>
    </row>
    <row r="17" spans="1:8" x14ac:dyDescent="0.25">
      <c r="A17" s="66" t="s">
        <v>554</v>
      </c>
      <c r="B17" s="55">
        <v>1</v>
      </c>
      <c r="C17" s="75" t="s">
        <v>555</v>
      </c>
      <c r="D17" s="74" t="s">
        <v>8</v>
      </c>
      <c r="E17" s="228"/>
      <c r="F17" s="377" t="s">
        <v>1958</v>
      </c>
      <c r="G17" s="228"/>
      <c r="H17" s="228"/>
    </row>
    <row r="18" spans="1:8" x14ac:dyDescent="0.25">
      <c r="A18" s="66" t="s">
        <v>556</v>
      </c>
      <c r="B18" s="55">
        <v>1</v>
      </c>
      <c r="C18" s="75" t="s">
        <v>557</v>
      </c>
      <c r="D18" s="74" t="s">
        <v>8</v>
      </c>
      <c r="E18" s="228"/>
      <c r="F18" s="377" t="s">
        <v>1959</v>
      </c>
      <c r="G18" s="228"/>
      <c r="H18" s="228"/>
    </row>
    <row r="19" spans="1:8" x14ac:dyDescent="0.25">
      <c r="A19" s="3" t="s">
        <v>519</v>
      </c>
      <c r="B19" s="32">
        <v>1</v>
      </c>
      <c r="C19" s="53" t="s">
        <v>520</v>
      </c>
      <c r="D19" s="112" t="s">
        <v>8</v>
      </c>
      <c r="E19" s="228"/>
      <c r="F19" s="373" t="s">
        <v>2007</v>
      </c>
      <c r="G19" s="228"/>
      <c r="H19" s="228"/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A97-169E-4E41-BA33-E3C713330400}">
  <sheetPr codeName="Planilha12">
    <tabColor rgb="FFFF0000"/>
  </sheetPr>
  <dimension ref="A1:H21"/>
  <sheetViews>
    <sheetView workbookViewId="0">
      <pane ySplit="1" topLeftCell="A2" activePane="bottomLeft" state="frozen"/>
      <selection activeCell="A53" sqref="A53"/>
      <selection pane="bottomLeft" activeCell="C17" sqref="C17"/>
    </sheetView>
  </sheetViews>
  <sheetFormatPr defaultRowHeight="15" x14ac:dyDescent="0.25"/>
  <cols>
    <col min="1" max="1" width="43.28515625" customWidth="1"/>
    <col min="2" max="2" width="23" customWidth="1"/>
    <col min="3" max="3" width="14.5703125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560</v>
      </c>
      <c r="B2" s="32">
        <v>1</v>
      </c>
      <c r="C2" s="26" t="s">
        <v>561</v>
      </c>
      <c r="D2" s="112" t="s">
        <v>4</v>
      </c>
      <c r="E2" s="228"/>
      <c r="F2" s="228"/>
      <c r="G2" s="228"/>
      <c r="H2" s="228"/>
    </row>
    <row r="3" spans="1:8" x14ac:dyDescent="0.25">
      <c r="A3" s="1" t="s">
        <v>562</v>
      </c>
      <c r="B3" s="32">
        <v>1</v>
      </c>
      <c r="C3" s="26">
        <v>3455</v>
      </c>
      <c r="D3" s="112" t="s">
        <v>4</v>
      </c>
      <c r="E3" s="228"/>
      <c r="F3" s="228"/>
      <c r="G3" s="228"/>
      <c r="H3" s="228"/>
    </row>
    <row r="4" spans="1:8" x14ac:dyDescent="0.25">
      <c r="A4" s="1" t="s">
        <v>563</v>
      </c>
      <c r="B4" s="32">
        <v>1</v>
      </c>
      <c r="C4" s="26">
        <v>2603</v>
      </c>
      <c r="D4" s="112" t="s">
        <v>4</v>
      </c>
      <c r="E4" s="228"/>
      <c r="F4" s="228"/>
      <c r="G4" s="228"/>
      <c r="H4" s="228"/>
    </row>
    <row r="5" spans="1:8" x14ac:dyDescent="0.25">
      <c r="A5" s="1" t="s">
        <v>564</v>
      </c>
      <c r="B5" s="32">
        <v>1</v>
      </c>
      <c r="C5" s="26">
        <v>2629</v>
      </c>
      <c r="D5" s="112" t="s">
        <v>4</v>
      </c>
      <c r="E5" s="228"/>
      <c r="F5" s="228"/>
      <c r="G5" s="228"/>
      <c r="H5" s="228"/>
    </row>
    <row r="6" spans="1:8" x14ac:dyDescent="0.25">
      <c r="A6" s="1" t="s">
        <v>565</v>
      </c>
      <c r="B6" s="32">
        <v>1</v>
      </c>
      <c r="C6" s="26">
        <v>2939</v>
      </c>
      <c r="D6" s="112" t="s">
        <v>4</v>
      </c>
      <c r="E6" s="228"/>
      <c r="F6" s="228"/>
      <c r="G6" s="228"/>
      <c r="H6" s="228"/>
    </row>
    <row r="7" spans="1:8" x14ac:dyDescent="0.25">
      <c r="A7" s="1" t="s">
        <v>566</v>
      </c>
      <c r="B7" s="32">
        <v>1</v>
      </c>
      <c r="C7" s="26">
        <v>2625</v>
      </c>
      <c r="D7" s="112" t="s">
        <v>4</v>
      </c>
      <c r="E7" s="228"/>
      <c r="F7" s="228"/>
      <c r="G7" s="228"/>
      <c r="H7" s="228"/>
    </row>
    <row r="8" spans="1:8" x14ac:dyDescent="0.25">
      <c r="A8" s="1" t="s">
        <v>567</v>
      </c>
      <c r="B8" s="32">
        <v>1</v>
      </c>
      <c r="C8" s="26">
        <v>2626</v>
      </c>
      <c r="D8" s="112" t="s">
        <v>4</v>
      </c>
      <c r="E8" s="228"/>
      <c r="F8" s="228"/>
      <c r="G8" s="228"/>
      <c r="H8" s="228"/>
    </row>
    <row r="9" spans="1:8" x14ac:dyDescent="0.25">
      <c r="A9" s="1" t="s">
        <v>568</v>
      </c>
      <c r="B9" s="32">
        <v>1</v>
      </c>
      <c r="C9" s="26">
        <v>2638</v>
      </c>
      <c r="D9" s="112" t="s">
        <v>4</v>
      </c>
      <c r="E9" s="228"/>
      <c r="F9" s="228"/>
      <c r="G9" s="228"/>
      <c r="H9" s="228"/>
    </row>
    <row r="10" spans="1:8" x14ac:dyDescent="0.25">
      <c r="A10" s="1" t="s">
        <v>569</v>
      </c>
      <c r="B10" s="32">
        <v>1</v>
      </c>
      <c r="C10" s="26">
        <v>2634</v>
      </c>
      <c r="D10" s="112" t="s">
        <v>4</v>
      </c>
      <c r="E10" s="228"/>
      <c r="F10" s="228"/>
      <c r="G10" s="228"/>
      <c r="H10" s="228"/>
    </row>
    <row r="11" spans="1:8" x14ac:dyDescent="0.25">
      <c r="A11" s="1" t="s">
        <v>570</v>
      </c>
      <c r="B11" s="32">
        <v>1</v>
      </c>
      <c r="C11" s="26">
        <v>2635</v>
      </c>
      <c r="D11" s="112" t="s">
        <v>4</v>
      </c>
      <c r="E11" s="228"/>
      <c r="F11" s="228"/>
      <c r="G11" s="228"/>
      <c r="H11" s="228"/>
    </row>
    <row r="12" spans="1:8" x14ac:dyDescent="0.25">
      <c r="A12" s="1" t="s">
        <v>571</v>
      </c>
      <c r="B12" s="32">
        <v>1</v>
      </c>
      <c r="C12" s="26">
        <v>2619</v>
      </c>
      <c r="D12" s="112" t="s">
        <v>4</v>
      </c>
      <c r="E12" s="228"/>
      <c r="F12" s="228"/>
      <c r="G12" s="228"/>
      <c r="H12" s="228"/>
    </row>
    <row r="13" spans="1:8" x14ac:dyDescent="0.25">
      <c r="A13" s="1" t="s">
        <v>572</v>
      </c>
      <c r="B13" s="32">
        <v>1</v>
      </c>
      <c r="C13" s="26">
        <v>2673</v>
      </c>
      <c r="D13" s="112" t="s">
        <v>4</v>
      </c>
      <c r="E13" s="228"/>
      <c r="F13" s="228"/>
      <c r="G13" s="228"/>
      <c r="H13" s="228"/>
    </row>
    <row r="14" spans="1:8" x14ac:dyDescent="0.25">
      <c r="A14" s="1" t="s">
        <v>573</v>
      </c>
      <c r="B14" s="32">
        <v>1</v>
      </c>
      <c r="C14" s="26">
        <v>2653</v>
      </c>
      <c r="D14" s="112" t="s">
        <v>4</v>
      </c>
      <c r="E14" s="228"/>
      <c r="F14" s="228"/>
      <c r="G14" s="228"/>
      <c r="H14" s="228"/>
    </row>
    <row r="15" spans="1:8" x14ac:dyDescent="0.25">
      <c r="A15" s="1" t="s">
        <v>574</v>
      </c>
      <c r="B15" s="32">
        <v>1</v>
      </c>
      <c r="C15" s="26">
        <v>2654</v>
      </c>
      <c r="D15" s="112" t="s">
        <v>4</v>
      </c>
      <c r="E15" s="228"/>
      <c r="F15" s="228"/>
      <c r="G15" s="228"/>
      <c r="H15" s="228"/>
    </row>
    <row r="16" spans="1:8" x14ac:dyDescent="0.25">
      <c r="A16" s="1" t="s">
        <v>575</v>
      </c>
      <c r="B16" s="32">
        <v>1</v>
      </c>
      <c r="C16" s="26">
        <v>2637</v>
      </c>
      <c r="D16" s="112" t="s">
        <v>4</v>
      </c>
      <c r="E16" s="228"/>
      <c r="F16" s="228"/>
      <c r="G16" s="228"/>
      <c r="H16" s="228"/>
    </row>
    <row r="17" spans="1:8" x14ac:dyDescent="0.25">
      <c r="A17" s="1" t="s">
        <v>576</v>
      </c>
      <c r="B17" s="32">
        <v>1</v>
      </c>
      <c r="C17" s="26">
        <v>2941</v>
      </c>
      <c r="D17" s="112" t="s">
        <v>4</v>
      </c>
      <c r="E17" s="228"/>
      <c r="F17" s="228"/>
      <c r="G17" s="228"/>
      <c r="H17" s="228"/>
    </row>
    <row r="18" spans="1:8" x14ac:dyDescent="0.25">
      <c r="A18" s="1" t="s">
        <v>577</v>
      </c>
      <c r="B18" s="32">
        <v>1</v>
      </c>
      <c r="C18" s="26">
        <v>2667</v>
      </c>
      <c r="D18" s="112" t="s">
        <v>4</v>
      </c>
      <c r="E18" s="228"/>
      <c r="F18" s="228"/>
      <c r="G18" s="228"/>
      <c r="H18" s="228"/>
    </row>
    <row r="19" spans="1:8" x14ac:dyDescent="0.25">
      <c r="A19" s="1" t="s">
        <v>578</v>
      </c>
      <c r="B19" s="32">
        <v>1</v>
      </c>
      <c r="C19" s="26">
        <v>2668</v>
      </c>
      <c r="D19" s="112" t="s">
        <v>4</v>
      </c>
      <c r="E19" s="228"/>
      <c r="F19" s="228"/>
      <c r="G19" s="228"/>
      <c r="H19" s="228"/>
    </row>
    <row r="20" spans="1:8" x14ac:dyDescent="0.25">
      <c r="A20" s="1" t="s">
        <v>579</v>
      </c>
      <c r="B20" s="32">
        <v>1</v>
      </c>
      <c r="C20" s="26">
        <v>2670</v>
      </c>
      <c r="D20" s="112" t="s">
        <v>4</v>
      </c>
      <c r="E20" s="228"/>
      <c r="F20" s="228"/>
      <c r="G20" s="228"/>
      <c r="H20" s="228"/>
    </row>
    <row r="21" spans="1:8" x14ac:dyDescent="0.25">
      <c r="A21" s="1" t="s">
        <v>580</v>
      </c>
      <c r="B21" s="32">
        <v>1</v>
      </c>
      <c r="C21" s="26">
        <v>2676</v>
      </c>
      <c r="D21" s="112" t="s">
        <v>4</v>
      </c>
      <c r="E21" s="228"/>
      <c r="F21" s="228"/>
      <c r="G21" s="228"/>
      <c r="H21" s="228"/>
    </row>
  </sheetData>
  <sortState xmlns:xlrd2="http://schemas.microsoft.com/office/spreadsheetml/2017/richdata2" ref="A2:D21">
    <sortCondition ref="A1:A2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5AB-1B25-47AB-A875-5A48D0B3C331}">
  <sheetPr codeName="Planilha13">
    <tabColor theme="0"/>
  </sheetPr>
  <dimension ref="A1:I36"/>
  <sheetViews>
    <sheetView workbookViewId="0">
      <pane ySplit="1" topLeftCell="A2" activePane="bottomLeft" state="frozen"/>
      <selection activeCell="A53" sqref="A53"/>
      <selection pane="bottomLeft" activeCell="D23" sqref="D23"/>
    </sheetView>
  </sheetViews>
  <sheetFormatPr defaultRowHeight="15" x14ac:dyDescent="0.25"/>
  <cols>
    <col min="1" max="1" width="36.140625" customWidth="1"/>
    <col min="2" max="2" width="21" customWidth="1"/>
    <col min="3" max="3" width="18.140625" customWidth="1"/>
    <col min="4" max="4" width="21.28515625" bestFit="1" customWidth="1"/>
    <col min="6" max="6" width="14.28515625" customWidth="1"/>
  </cols>
  <sheetData>
    <row r="1" spans="1:8" ht="17.25" customHeight="1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581</v>
      </c>
      <c r="B2" s="32">
        <v>2</v>
      </c>
      <c r="C2" s="53" t="s">
        <v>7</v>
      </c>
      <c r="D2" s="112" t="s">
        <v>8</v>
      </c>
      <c r="E2" s="228"/>
      <c r="F2" s="228" t="s">
        <v>1768</v>
      </c>
      <c r="G2" s="228"/>
      <c r="H2" s="228"/>
    </row>
    <row r="3" spans="1:8" x14ac:dyDescent="0.25">
      <c r="A3" s="1" t="s">
        <v>581</v>
      </c>
      <c r="B3" s="32">
        <v>2</v>
      </c>
      <c r="C3" s="53" t="s">
        <v>12</v>
      </c>
      <c r="D3" s="112" t="s">
        <v>8</v>
      </c>
      <c r="E3" s="228"/>
      <c r="F3" s="228" t="s">
        <v>1767</v>
      </c>
      <c r="G3" s="228"/>
      <c r="H3" s="228"/>
    </row>
    <row r="4" spans="1:8" x14ac:dyDescent="0.25">
      <c r="A4" s="1" t="s">
        <v>582</v>
      </c>
      <c r="B4" s="32">
        <v>2</v>
      </c>
      <c r="C4" s="53" t="s">
        <v>583</v>
      </c>
      <c r="D4" s="112" t="s">
        <v>8</v>
      </c>
      <c r="E4" s="228"/>
      <c r="F4" s="228" t="s">
        <v>2070</v>
      </c>
      <c r="G4" s="228"/>
      <c r="H4" s="228"/>
    </row>
    <row r="5" spans="1:8" x14ac:dyDescent="0.25">
      <c r="A5" s="1" t="s">
        <v>367</v>
      </c>
      <c r="B5" s="32">
        <v>2</v>
      </c>
      <c r="C5" s="53" t="s">
        <v>230</v>
      </c>
      <c r="D5" s="112" t="s">
        <v>8</v>
      </c>
      <c r="E5" s="228"/>
      <c r="F5" s="228" t="s">
        <v>1782</v>
      </c>
      <c r="G5" s="228"/>
      <c r="H5" s="228"/>
    </row>
    <row r="6" spans="1:8" x14ac:dyDescent="0.25">
      <c r="A6" s="24" t="s">
        <v>584</v>
      </c>
      <c r="B6" s="55">
        <v>1</v>
      </c>
      <c r="C6" s="75" t="s">
        <v>585</v>
      </c>
      <c r="D6" s="112" t="s">
        <v>8</v>
      </c>
      <c r="E6" s="228"/>
      <c r="F6" s="228" t="s">
        <v>1795</v>
      </c>
      <c r="G6" s="228"/>
      <c r="H6" s="228"/>
    </row>
    <row r="7" spans="1:8" x14ac:dyDescent="0.25">
      <c r="A7" s="1" t="s">
        <v>586</v>
      </c>
      <c r="B7" s="32">
        <v>2</v>
      </c>
      <c r="C7" s="53" t="s">
        <v>587</v>
      </c>
      <c r="D7" s="112" t="s">
        <v>8</v>
      </c>
      <c r="E7" s="228"/>
      <c r="F7" s="228" t="s">
        <v>2071</v>
      </c>
      <c r="G7" s="228"/>
      <c r="H7" s="228"/>
    </row>
    <row r="8" spans="1:8" x14ac:dyDescent="0.25">
      <c r="A8" s="1" t="s">
        <v>588</v>
      </c>
      <c r="B8" s="32">
        <v>1</v>
      </c>
      <c r="C8" s="53" t="s">
        <v>589</v>
      </c>
      <c r="D8" s="112" t="s">
        <v>8</v>
      </c>
      <c r="E8" s="228"/>
      <c r="F8" s="228" t="s">
        <v>2072</v>
      </c>
      <c r="G8" s="228"/>
      <c r="H8" s="228"/>
    </row>
    <row r="9" spans="1:8" x14ac:dyDescent="0.25">
      <c r="A9" s="425" t="s">
        <v>481</v>
      </c>
      <c r="B9" s="32">
        <v>1</v>
      </c>
      <c r="C9" s="213">
        <v>662550</v>
      </c>
      <c r="D9" s="112" t="s">
        <v>501</v>
      </c>
      <c r="E9" s="228"/>
      <c r="F9" s="541" t="s">
        <v>2144</v>
      </c>
      <c r="G9" s="228"/>
      <c r="H9" s="228"/>
    </row>
    <row r="10" spans="1:8" x14ac:dyDescent="0.25">
      <c r="A10" s="24" t="s">
        <v>590</v>
      </c>
      <c r="B10" s="55">
        <v>1</v>
      </c>
      <c r="C10" s="204" t="s">
        <v>591</v>
      </c>
      <c r="D10" s="112" t="s">
        <v>8</v>
      </c>
      <c r="E10" s="228"/>
      <c r="F10" s="228" t="s">
        <v>2073</v>
      </c>
      <c r="G10" s="228"/>
      <c r="H10" s="228"/>
    </row>
    <row r="11" spans="1:8" x14ac:dyDescent="0.25">
      <c r="A11" s="24" t="s">
        <v>592</v>
      </c>
      <c r="B11" s="80">
        <v>1</v>
      </c>
      <c r="C11" s="131" t="s">
        <v>593</v>
      </c>
      <c r="D11" s="112" t="s">
        <v>10</v>
      </c>
      <c r="E11" s="228"/>
      <c r="F11" s="228" t="s">
        <v>2074</v>
      </c>
      <c r="G11" s="228"/>
      <c r="H11" s="228"/>
    </row>
    <row r="12" spans="1:8" x14ac:dyDescent="0.25">
      <c r="A12" s="1" t="s">
        <v>596</v>
      </c>
      <c r="B12" s="32">
        <v>1</v>
      </c>
      <c r="C12" s="53" t="s">
        <v>597</v>
      </c>
      <c r="D12" s="112" t="s">
        <v>8</v>
      </c>
      <c r="E12" s="228"/>
      <c r="F12" s="373" t="s">
        <v>2019</v>
      </c>
      <c r="G12" s="228"/>
      <c r="H12" s="228"/>
    </row>
    <row r="13" spans="1:8" x14ac:dyDescent="0.25">
      <c r="A13" s="24" t="s">
        <v>594</v>
      </c>
      <c r="B13" s="55">
        <v>1</v>
      </c>
      <c r="C13" s="75" t="s">
        <v>595</v>
      </c>
      <c r="D13" s="112" t="s">
        <v>8</v>
      </c>
      <c r="E13" s="228"/>
      <c r="F13" s="376" t="s">
        <v>2020</v>
      </c>
      <c r="G13" s="228"/>
      <c r="H13" s="228"/>
    </row>
    <row r="14" spans="1:8" x14ac:dyDescent="0.25">
      <c r="A14" s="1" t="s">
        <v>598</v>
      </c>
      <c r="B14" s="32">
        <v>2</v>
      </c>
      <c r="C14" s="53" t="s">
        <v>599</v>
      </c>
      <c r="D14" s="112" t="s">
        <v>8</v>
      </c>
      <c r="E14" s="228"/>
      <c r="F14" s="373" t="s">
        <v>1873</v>
      </c>
      <c r="G14" s="228"/>
      <c r="H14" s="228"/>
    </row>
    <row r="15" spans="1:8" x14ac:dyDescent="0.25">
      <c r="A15" s="1" t="s">
        <v>600</v>
      </c>
      <c r="B15" s="32">
        <v>2</v>
      </c>
      <c r="C15" s="53" t="s">
        <v>601</v>
      </c>
      <c r="D15" s="112" t="s">
        <v>8</v>
      </c>
      <c r="E15" s="228"/>
      <c r="F15" s="373" t="s">
        <v>1754</v>
      </c>
      <c r="G15" s="228"/>
      <c r="H15" s="228"/>
    </row>
    <row r="16" spans="1:8" x14ac:dyDescent="0.25">
      <c r="A16" s="24" t="s">
        <v>602</v>
      </c>
      <c r="B16" s="55">
        <v>2</v>
      </c>
      <c r="C16" s="75" t="s">
        <v>33</v>
      </c>
      <c r="D16" s="112" t="s">
        <v>8</v>
      </c>
      <c r="E16" s="228"/>
      <c r="F16" s="423" t="s">
        <v>1753</v>
      </c>
      <c r="G16" s="228"/>
      <c r="H16" s="228"/>
    </row>
    <row r="17" spans="1:9" x14ac:dyDescent="0.25">
      <c r="A17" s="1" t="s">
        <v>603</v>
      </c>
      <c r="B17" s="32">
        <v>2</v>
      </c>
      <c r="C17" s="53" t="s">
        <v>86</v>
      </c>
      <c r="D17" s="112" t="s">
        <v>8</v>
      </c>
      <c r="E17" s="228"/>
      <c r="F17" s="132" t="s">
        <v>1893</v>
      </c>
      <c r="G17" s="228"/>
      <c r="H17" s="228"/>
    </row>
    <row r="18" spans="1:9" x14ac:dyDescent="0.25">
      <c r="A18" s="1" t="s">
        <v>604</v>
      </c>
      <c r="B18" s="32">
        <v>4</v>
      </c>
      <c r="C18" s="53" t="s">
        <v>605</v>
      </c>
      <c r="D18" s="112" t="s">
        <v>8</v>
      </c>
      <c r="E18" s="228"/>
      <c r="F18" s="135" t="s">
        <v>1895</v>
      </c>
      <c r="G18" s="228"/>
      <c r="H18" s="228"/>
    </row>
    <row r="19" spans="1:9" x14ac:dyDescent="0.25">
      <c r="A19" s="1" t="s">
        <v>606</v>
      </c>
      <c r="B19" s="32">
        <v>2</v>
      </c>
      <c r="C19" s="53" t="s">
        <v>607</v>
      </c>
      <c r="D19" s="112" t="s">
        <v>8</v>
      </c>
      <c r="E19" s="228"/>
      <c r="F19" s="132" t="s">
        <v>1907</v>
      </c>
      <c r="G19" s="228"/>
      <c r="H19" s="228"/>
    </row>
    <row r="20" spans="1:9" x14ac:dyDescent="0.25">
      <c r="A20" s="1" t="s">
        <v>608</v>
      </c>
      <c r="B20" s="32">
        <v>2</v>
      </c>
      <c r="C20" s="53" t="s">
        <v>609</v>
      </c>
      <c r="D20" s="112" t="s">
        <v>8</v>
      </c>
      <c r="E20" s="228"/>
      <c r="F20" s="132" t="s">
        <v>1909</v>
      </c>
      <c r="G20" s="228"/>
      <c r="H20" s="228"/>
    </row>
    <row r="21" spans="1:9" x14ac:dyDescent="0.25">
      <c r="A21" s="24" t="s">
        <v>610</v>
      </c>
      <c r="B21" s="55">
        <v>1</v>
      </c>
      <c r="C21" s="75" t="s">
        <v>611</v>
      </c>
      <c r="D21" s="112" t="s">
        <v>8</v>
      </c>
      <c r="E21" s="228"/>
      <c r="F21" s="132" t="s">
        <v>1908</v>
      </c>
      <c r="G21" s="228"/>
      <c r="H21" s="228"/>
    </row>
    <row r="22" spans="1:9" x14ac:dyDescent="0.25">
      <c r="A22" s="1" t="s">
        <v>612</v>
      </c>
      <c r="B22" s="32">
        <v>1</v>
      </c>
      <c r="C22" s="53" t="s">
        <v>613</v>
      </c>
      <c r="D22" s="112" t="s">
        <v>8</v>
      </c>
      <c r="E22" s="228"/>
      <c r="F22" s="9" t="s">
        <v>1918</v>
      </c>
      <c r="G22" s="228"/>
      <c r="H22" s="228"/>
    </row>
    <row r="23" spans="1:9" x14ac:dyDescent="0.25">
      <c r="A23" s="1" t="s">
        <v>614</v>
      </c>
      <c r="B23" s="32">
        <v>2</v>
      </c>
      <c r="C23" s="53" t="s">
        <v>65</v>
      </c>
      <c r="D23" s="112" t="s">
        <v>8</v>
      </c>
      <c r="E23" s="228"/>
      <c r="F23" s="317" t="s">
        <v>1930</v>
      </c>
      <c r="G23" s="228"/>
      <c r="H23" s="228"/>
    </row>
    <row r="24" spans="1:9" x14ac:dyDescent="0.25">
      <c r="A24" s="1" t="s">
        <v>615</v>
      </c>
      <c r="B24" s="32">
        <v>6</v>
      </c>
      <c r="C24" s="53" t="s">
        <v>24</v>
      </c>
      <c r="D24" s="112" t="s">
        <v>8</v>
      </c>
      <c r="E24" s="228"/>
      <c r="F24" s="9" t="s">
        <v>1877</v>
      </c>
      <c r="G24" s="228"/>
      <c r="H24" s="228"/>
    </row>
    <row r="25" spans="1:9" x14ac:dyDescent="0.25">
      <c r="A25" s="1" t="s">
        <v>617</v>
      </c>
      <c r="B25" s="32">
        <v>4</v>
      </c>
      <c r="C25" s="53" t="s">
        <v>26</v>
      </c>
      <c r="D25" s="112" t="s">
        <v>8</v>
      </c>
      <c r="E25" s="228"/>
      <c r="F25" s="9" t="s">
        <v>1878</v>
      </c>
      <c r="G25" s="228"/>
      <c r="H25" s="228"/>
    </row>
    <row r="26" spans="1:9" x14ac:dyDescent="0.25">
      <c r="A26" s="1" t="s">
        <v>619</v>
      </c>
      <c r="B26" s="32">
        <v>1</v>
      </c>
      <c r="C26" s="53" t="s">
        <v>620</v>
      </c>
      <c r="D26" s="112" t="s">
        <v>8</v>
      </c>
      <c r="E26" s="228"/>
      <c r="F26" s="9" t="s">
        <v>2075</v>
      </c>
      <c r="G26" s="228"/>
      <c r="H26" s="228"/>
    </row>
    <row r="27" spans="1:9" x14ac:dyDescent="0.25">
      <c r="A27" s="1" t="s">
        <v>621</v>
      </c>
      <c r="B27" s="32">
        <v>2</v>
      </c>
      <c r="C27" s="53" t="s">
        <v>607</v>
      </c>
      <c r="D27" s="112" t="s">
        <v>8</v>
      </c>
      <c r="E27" s="228"/>
      <c r="F27" s="9" t="s">
        <v>2076</v>
      </c>
      <c r="G27" s="228"/>
      <c r="H27" s="228"/>
    </row>
    <row r="28" spans="1:9" x14ac:dyDescent="0.25">
      <c r="A28" s="1" t="s">
        <v>622</v>
      </c>
      <c r="B28" s="32">
        <v>1</v>
      </c>
      <c r="C28" s="53" t="s">
        <v>623</v>
      </c>
      <c r="D28" s="112" t="s">
        <v>8</v>
      </c>
      <c r="E28" s="228"/>
      <c r="F28" s="9" t="s">
        <v>2077</v>
      </c>
      <c r="G28" s="228"/>
      <c r="H28" s="228"/>
      <c r="I28" t="s">
        <v>2078</v>
      </c>
    </row>
    <row r="29" spans="1:9" x14ac:dyDescent="0.25">
      <c r="A29" s="24" t="s">
        <v>624</v>
      </c>
      <c r="B29" s="55">
        <v>1</v>
      </c>
      <c r="C29" s="75" t="s">
        <v>113</v>
      </c>
      <c r="D29" s="112" t="s">
        <v>8</v>
      </c>
      <c r="E29" s="228"/>
      <c r="F29" s="88" t="s">
        <v>1967</v>
      </c>
      <c r="G29" s="228"/>
      <c r="H29" s="228"/>
    </row>
    <row r="30" spans="1:9" x14ac:dyDescent="0.25">
      <c r="A30" s="24" t="s">
        <v>625</v>
      </c>
      <c r="B30" s="55">
        <v>2</v>
      </c>
      <c r="C30" s="75" t="s">
        <v>115</v>
      </c>
      <c r="D30" s="112" t="s">
        <v>8</v>
      </c>
      <c r="E30" s="228"/>
      <c r="F30" s="117" t="s">
        <v>1966</v>
      </c>
      <c r="G30" s="228"/>
      <c r="H30" s="228"/>
    </row>
    <row r="31" spans="1:9" x14ac:dyDescent="0.25">
      <c r="A31" s="24" t="s">
        <v>626</v>
      </c>
      <c r="B31" s="55">
        <v>1</v>
      </c>
      <c r="C31" s="75" t="s">
        <v>627</v>
      </c>
      <c r="D31" s="112" t="s">
        <v>8</v>
      </c>
      <c r="E31" s="228"/>
      <c r="F31" s="300" t="s">
        <v>1978</v>
      </c>
      <c r="G31" s="228"/>
      <c r="H31" s="228"/>
    </row>
    <row r="32" spans="1:9" x14ac:dyDescent="0.25">
      <c r="A32" s="24" t="s">
        <v>628</v>
      </c>
      <c r="B32" s="55">
        <v>1</v>
      </c>
      <c r="C32" s="75" t="s">
        <v>629</v>
      </c>
      <c r="D32" s="112" t="s">
        <v>8</v>
      </c>
      <c r="E32" s="228"/>
      <c r="F32" s="376" t="s">
        <v>1996</v>
      </c>
      <c r="G32" s="228"/>
      <c r="H32" s="228"/>
    </row>
    <row r="33" spans="1:8" x14ac:dyDescent="0.25">
      <c r="A33" s="24" t="s">
        <v>630</v>
      </c>
      <c r="B33" s="55">
        <v>1</v>
      </c>
      <c r="C33" s="75" t="s">
        <v>631</v>
      </c>
      <c r="D33" s="112" t="s">
        <v>8</v>
      </c>
      <c r="E33" s="228"/>
      <c r="F33" s="376" t="s">
        <v>1997</v>
      </c>
      <c r="G33" s="228"/>
      <c r="H33" s="228"/>
    </row>
    <row r="34" spans="1:8" x14ac:dyDescent="0.25">
      <c r="A34" s="24" t="s">
        <v>632</v>
      </c>
      <c r="B34" s="55">
        <v>1</v>
      </c>
      <c r="C34" s="75" t="s">
        <v>633</v>
      </c>
      <c r="D34" s="112" t="s">
        <v>8</v>
      </c>
      <c r="E34" s="228"/>
      <c r="F34" s="376" t="s">
        <v>2002</v>
      </c>
      <c r="G34" s="228"/>
      <c r="H34" s="228"/>
    </row>
    <row r="35" spans="1:8" x14ac:dyDescent="0.25">
      <c r="A35" s="24" t="s">
        <v>634</v>
      </c>
      <c r="B35" s="55">
        <v>1</v>
      </c>
      <c r="C35" s="75" t="s">
        <v>635</v>
      </c>
      <c r="D35" s="112" t="s">
        <v>8</v>
      </c>
      <c r="E35" s="228"/>
      <c r="F35" s="373" t="s">
        <v>2005</v>
      </c>
      <c r="G35" s="228"/>
      <c r="H35" s="228"/>
    </row>
    <row r="36" spans="1:8" x14ac:dyDescent="0.25">
      <c r="A36" s="24" t="s">
        <v>636</v>
      </c>
      <c r="B36" s="55">
        <v>1</v>
      </c>
      <c r="C36" s="75" t="s">
        <v>637</v>
      </c>
      <c r="D36" s="112" t="s">
        <v>8</v>
      </c>
      <c r="E36" s="228"/>
      <c r="F36" s="376" t="s">
        <v>2009</v>
      </c>
      <c r="G36" s="228"/>
      <c r="H36" s="228"/>
    </row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0CC-DDBD-4AE3-8F2F-A73D4C5E0E62}">
  <sheetPr codeName="Planilha14">
    <tabColor theme="0"/>
  </sheetPr>
  <dimension ref="A1:H28"/>
  <sheetViews>
    <sheetView workbookViewId="0">
      <pane ySplit="1" topLeftCell="A4" activePane="bottomLeft" state="frozen"/>
      <selection activeCell="A53" sqref="A53"/>
      <selection pane="bottomLeft" activeCell="F5" sqref="F5"/>
    </sheetView>
  </sheetViews>
  <sheetFormatPr defaultRowHeight="15" x14ac:dyDescent="0.25"/>
  <cols>
    <col min="1" max="1" width="36" bestFit="1" customWidth="1"/>
    <col min="2" max="2" width="30.7109375" customWidth="1"/>
    <col min="3" max="3" width="22.85546875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668</v>
      </c>
      <c r="B2" s="482">
        <v>2</v>
      </c>
      <c r="C2" s="131" t="s">
        <v>232</v>
      </c>
      <c r="D2" s="112" t="s">
        <v>8</v>
      </c>
      <c r="E2" s="228"/>
      <c r="F2" s="264" t="s">
        <v>1758</v>
      </c>
      <c r="G2" s="228"/>
      <c r="H2" s="228"/>
    </row>
    <row r="3" spans="1:8" ht="30" x14ac:dyDescent="0.25">
      <c r="A3" s="24" t="s">
        <v>656</v>
      </c>
      <c r="B3" s="398">
        <v>2</v>
      </c>
      <c r="C3" s="75" t="s">
        <v>14</v>
      </c>
      <c r="D3" s="112" t="s">
        <v>8</v>
      </c>
      <c r="E3" s="228"/>
      <c r="F3" s="193" t="s">
        <v>1756</v>
      </c>
      <c r="G3" s="228"/>
      <c r="H3" s="228"/>
    </row>
    <row r="4" spans="1:8" x14ac:dyDescent="0.25">
      <c r="A4" s="24" t="s">
        <v>655</v>
      </c>
      <c r="B4" s="55">
        <v>2</v>
      </c>
      <c r="C4" s="75" t="s">
        <v>12</v>
      </c>
      <c r="D4" s="112" t="s">
        <v>8</v>
      </c>
      <c r="E4" s="228"/>
      <c r="F4" s="300" t="s">
        <v>1767</v>
      </c>
      <c r="G4" s="228"/>
      <c r="H4" s="228"/>
    </row>
    <row r="5" spans="1:8" x14ac:dyDescent="0.25">
      <c r="A5" s="425" t="s">
        <v>313</v>
      </c>
      <c r="B5" s="32" t="s">
        <v>307</v>
      </c>
      <c r="C5" s="53">
        <v>662250</v>
      </c>
      <c r="D5" s="112" t="s">
        <v>501</v>
      </c>
      <c r="E5" s="228"/>
      <c r="F5" s="264"/>
      <c r="G5" s="228"/>
      <c r="H5" s="228"/>
    </row>
    <row r="6" spans="1:8" x14ac:dyDescent="0.25">
      <c r="A6" s="24" t="s">
        <v>644</v>
      </c>
      <c r="B6" s="55">
        <v>2</v>
      </c>
      <c r="C6" s="75" t="s">
        <v>601</v>
      </c>
      <c r="D6" s="112" t="s">
        <v>8</v>
      </c>
      <c r="E6" s="228"/>
      <c r="F6" s="300" t="s">
        <v>1754</v>
      </c>
      <c r="G6" s="228"/>
      <c r="H6" s="228"/>
    </row>
    <row r="7" spans="1:8" x14ac:dyDescent="0.25">
      <c r="A7" s="24" t="s">
        <v>642</v>
      </c>
      <c r="B7" s="55">
        <v>2</v>
      </c>
      <c r="C7" s="75" t="s">
        <v>33</v>
      </c>
      <c r="D7" s="112" t="s">
        <v>8</v>
      </c>
      <c r="E7" s="228"/>
      <c r="F7" s="300" t="s">
        <v>1753</v>
      </c>
      <c r="G7" s="228"/>
      <c r="H7" s="228"/>
    </row>
    <row r="8" spans="1:8" x14ac:dyDescent="0.25">
      <c r="A8" s="24" t="s">
        <v>641</v>
      </c>
      <c r="B8" s="55">
        <v>2</v>
      </c>
      <c r="C8" s="75" t="s">
        <v>45</v>
      </c>
      <c r="D8" s="112" t="s">
        <v>8</v>
      </c>
      <c r="E8" s="228"/>
      <c r="F8" s="300" t="s">
        <v>1886</v>
      </c>
      <c r="G8" s="228"/>
      <c r="H8" s="228"/>
    </row>
    <row r="9" spans="1:8" x14ac:dyDescent="0.25">
      <c r="A9" s="1" t="s">
        <v>306</v>
      </c>
      <c r="B9" s="32">
        <v>6</v>
      </c>
      <c r="C9" s="53">
        <v>971</v>
      </c>
      <c r="D9" s="112" t="s">
        <v>4</v>
      </c>
      <c r="E9" s="228"/>
      <c r="F9" s="302" t="s">
        <v>1896</v>
      </c>
      <c r="G9" s="228"/>
      <c r="H9" s="228"/>
    </row>
    <row r="10" spans="1:8" x14ac:dyDescent="0.25">
      <c r="A10" s="1" t="s">
        <v>308</v>
      </c>
      <c r="B10" s="32">
        <v>6</v>
      </c>
      <c r="C10" s="53">
        <v>957</v>
      </c>
      <c r="D10" s="112" t="s">
        <v>4</v>
      </c>
      <c r="E10" s="228"/>
      <c r="F10" s="300" t="s">
        <v>1895</v>
      </c>
      <c r="G10" s="228"/>
      <c r="H10" s="228"/>
    </row>
    <row r="11" spans="1:8" x14ac:dyDescent="0.25">
      <c r="A11" s="24" t="s">
        <v>645</v>
      </c>
      <c r="B11" s="55">
        <v>1</v>
      </c>
      <c r="C11" s="75" t="s">
        <v>53</v>
      </c>
      <c r="D11" s="112" t="s">
        <v>8</v>
      </c>
      <c r="E11" s="228"/>
      <c r="F11" s="300" t="s">
        <v>1900</v>
      </c>
      <c r="G11" s="228"/>
      <c r="H11" s="228"/>
    </row>
    <row r="12" spans="1:8" x14ac:dyDescent="0.25">
      <c r="A12" s="24" t="s">
        <v>652</v>
      </c>
      <c r="B12" s="55">
        <v>7</v>
      </c>
      <c r="C12" s="75" t="s">
        <v>653</v>
      </c>
      <c r="D12" s="112" t="s">
        <v>8</v>
      </c>
      <c r="E12" s="228"/>
      <c r="F12" s="300" t="s">
        <v>1902</v>
      </c>
      <c r="G12" s="228"/>
      <c r="H12" s="228"/>
    </row>
    <row r="13" spans="1:8" x14ac:dyDescent="0.25">
      <c r="A13" s="24" t="s">
        <v>650</v>
      </c>
      <c r="B13" s="55">
        <v>7</v>
      </c>
      <c r="C13" s="75" t="s">
        <v>651</v>
      </c>
      <c r="D13" s="112" t="s">
        <v>8</v>
      </c>
      <c r="E13" s="228"/>
      <c r="F13" s="300" t="s">
        <v>1903</v>
      </c>
      <c r="G13" s="228"/>
      <c r="H13" s="228"/>
    </row>
    <row r="14" spans="1:8" x14ac:dyDescent="0.25">
      <c r="A14" s="24" t="s">
        <v>643</v>
      </c>
      <c r="B14" s="55">
        <v>2</v>
      </c>
      <c r="C14" s="75" t="s">
        <v>57</v>
      </c>
      <c r="D14" s="112" t="s">
        <v>8</v>
      </c>
      <c r="E14" s="228"/>
      <c r="F14" s="326" t="s">
        <v>1911</v>
      </c>
      <c r="G14" s="228"/>
      <c r="H14" s="228"/>
    </row>
    <row r="15" spans="1:8" x14ac:dyDescent="0.25">
      <c r="A15" s="24" t="s">
        <v>646</v>
      </c>
      <c r="B15" s="55">
        <v>5</v>
      </c>
      <c r="C15" s="75" t="s">
        <v>26</v>
      </c>
      <c r="D15" s="112" t="s">
        <v>8</v>
      </c>
      <c r="E15" s="228"/>
      <c r="F15" s="300" t="s">
        <v>1878</v>
      </c>
      <c r="G15" s="228"/>
      <c r="H15" s="228"/>
    </row>
    <row r="16" spans="1:8" x14ac:dyDescent="0.25">
      <c r="A16" s="24" t="s">
        <v>654</v>
      </c>
      <c r="B16" s="55">
        <v>2</v>
      </c>
      <c r="C16" s="75" t="s">
        <v>84</v>
      </c>
      <c r="D16" s="112" t="s">
        <v>8</v>
      </c>
      <c r="E16" s="228"/>
      <c r="F16" s="300" t="s">
        <v>1940</v>
      </c>
      <c r="G16" s="228"/>
      <c r="H16" s="228"/>
    </row>
    <row r="17" spans="1:8" x14ac:dyDescent="0.25">
      <c r="A17" s="24" t="s">
        <v>647</v>
      </c>
      <c r="B17" s="55">
        <v>10</v>
      </c>
      <c r="C17" s="75" t="s">
        <v>24</v>
      </c>
      <c r="D17" s="112" t="s">
        <v>8</v>
      </c>
      <c r="E17" s="228"/>
      <c r="F17" s="300" t="s">
        <v>1877</v>
      </c>
      <c r="G17" s="228"/>
      <c r="H17" s="228"/>
    </row>
    <row r="18" spans="1:8" x14ac:dyDescent="0.25">
      <c r="A18" s="24" t="s">
        <v>648</v>
      </c>
      <c r="B18" s="55">
        <v>11</v>
      </c>
      <c r="C18" s="75" t="s">
        <v>649</v>
      </c>
      <c r="D18" s="112" t="s">
        <v>8</v>
      </c>
      <c r="E18" s="228"/>
      <c r="F18" s="300" t="s">
        <v>1877</v>
      </c>
      <c r="G18" s="228"/>
      <c r="H18" s="228"/>
    </row>
    <row r="19" spans="1:8" x14ac:dyDescent="0.25">
      <c r="A19" s="24" t="s">
        <v>657</v>
      </c>
      <c r="B19" s="55">
        <v>2</v>
      </c>
      <c r="C19" s="75" t="s">
        <v>658</v>
      </c>
      <c r="D19" s="112" t="s">
        <v>8</v>
      </c>
      <c r="E19" s="228"/>
      <c r="F19" s="322" t="s">
        <v>1960</v>
      </c>
      <c r="G19" s="228"/>
      <c r="H19" s="228"/>
    </row>
    <row r="20" spans="1:8" x14ac:dyDescent="0.25">
      <c r="A20" s="24" t="s">
        <v>624</v>
      </c>
      <c r="B20" s="55">
        <v>2</v>
      </c>
      <c r="C20" s="75" t="s">
        <v>113</v>
      </c>
      <c r="D20" s="112" t="s">
        <v>8</v>
      </c>
      <c r="E20" s="228"/>
      <c r="F20" s="300" t="s">
        <v>1967</v>
      </c>
      <c r="G20" s="228"/>
      <c r="H20" s="228"/>
    </row>
    <row r="21" spans="1:8" x14ac:dyDescent="0.25">
      <c r="A21" s="1" t="s">
        <v>666</v>
      </c>
      <c r="B21" s="32">
        <v>1</v>
      </c>
      <c r="C21" s="53" t="s">
        <v>667</v>
      </c>
      <c r="D21" s="112" t="s">
        <v>8</v>
      </c>
      <c r="E21" s="228"/>
      <c r="F21" s="302" t="s">
        <v>1993</v>
      </c>
      <c r="G21" s="228"/>
      <c r="H21" s="228"/>
    </row>
    <row r="22" spans="1:8" x14ac:dyDescent="0.25">
      <c r="A22" s="1" t="s">
        <v>664</v>
      </c>
      <c r="B22" s="32">
        <v>1</v>
      </c>
      <c r="C22" s="53" t="s">
        <v>665</v>
      </c>
      <c r="D22" s="112" t="s">
        <v>8</v>
      </c>
      <c r="E22" s="228"/>
      <c r="F22" s="302" t="s">
        <v>2000</v>
      </c>
      <c r="G22" s="228"/>
      <c r="H22" s="228"/>
    </row>
    <row r="23" spans="1:8" x14ac:dyDescent="0.25">
      <c r="A23" s="24" t="s">
        <v>632</v>
      </c>
      <c r="B23" s="55">
        <v>1</v>
      </c>
      <c r="C23" s="75" t="s">
        <v>633</v>
      </c>
      <c r="D23" s="112" t="s">
        <v>8</v>
      </c>
      <c r="E23" s="228"/>
      <c r="F23" s="300" t="s">
        <v>2002</v>
      </c>
      <c r="G23" s="228"/>
      <c r="H23" s="228"/>
    </row>
    <row r="24" spans="1:8" x14ac:dyDescent="0.25">
      <c r="A24" s="24" t="s">
        <v>659</v>
      </c>
      <c r="B24" s="55">
        <v>1</v>
      </c>
      <c r="C24" s="75" t="s">
        <v>660</v>
      </c>
      <c r="D24" s="112" t="s">
        <v>8</v>
      </c>
      <c r="E24" s="228"/>
      <c r="F24" s="429" t="s">
        <v>1994</v>
      </c>
      <c r="G24" s="228"/>
      <c r="H24" s="228"/>
    </row>
    <row r="25" spans="1:8" x14ac:dyDescent="0.25">
      <c r="A25" s="24" t="s">
        <v>663</v>
      </c>
      <c r="B25" s="55">
        <v>1</v>
      </c>
      <c r="C25" s="75" t="s">
        <v>635</v>
      </c>
      <c r="D25" s="112" t="s">
        <v>8</v>
      </c>
      <c r="E25" s="228"/>
      <c r="F25" s="300" t="s">
        <v>2005</v>
      </c>
      <c r="G25" s="228"/>
      <c r="H25" s="228"/>
    </row>
    <row r="26" spans="1:8" x14ac:dyDescent="0.25">
      <c r="A26" s="24" t="s">
        <v>661</v>
      </c>
      <c r="B26" s="55">
        <v>1</v>
      </c>
      <c r="C26" s="75" t="s">
        <v>662</v>
      </c>
      <c r="D26" s="112" t="s">
        <v>8</v>
      </c>
      <c r="E26" s="228"/>
      <c r="F26" s="300" t="s">
        <v>2006</v>
      </c>
      <c r="G26" s="228"/>
      <c r="H26" s="228"/>
    </row>
    <row r="27" spans="1:8" x14ac:dyDescent="0.25">
      <c r="A27" s="24" t="s">
        <v>636</v>
      </c>
      <c r="B27" s="55">
        <v>1</v>
      </c>
      <c r="C27" s="75" t="s">
        <v>637</v>
      </c>
      <c r="D27" s="112" t="s">
        <v>8</v>
      </c>
      <c r="E27" s="228"/>
      <c r="F27" s="300" t="s">
        <v>2009</v>
      </c>
      <c r="G27" s="228"/>
      <c r="H27" s="228"/>
    </row>
    <row r="28" spans="1:8" x14ac:dyDescent="0.25">
      <c r="A28" s="1" t="s">
        <v>638</v>
      </c>
      <c r="B28" s="32">
        <v>1</v>
      </c>
      <c r="C28" s="483" t="s">
        <v>639</v>
      </c>
      <c r="D28" s="112" t="s">
        <v>8</v>
      </c>
      <c r="E28" s="228"/>
      <c r="F28" s="228" t="s">
        <v>2011</v>
      </c>
      <c r="G28" s="228"/>
      <c r="H28" s="228"/>
    </row>
  </sheetData>
  <sortState xmlns:xlrd2="http://schemas.microsoft.com/office/spreadsheetml/2017/richdata2" ref="A2:D28">
    <sortCondition ref="A1:A2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09A-E9D8-47EC-ABF2-B5D9AC9B27FC}">
  <sheetPr codeName="Planilha15">
    <tabColor theme="0"/>
  </sheetPr>
  <dimension ref="A1:H32"/>
  <sheetViews>
    <sheetView workbookViewId="0">
      <pane ySplit="1" topLeftCell="A2" activePane="bottomLeft" state="frozen"/>
      <selection activeCell="A53" sqref="A53"/>
      <selection pane="bottomLeft" activeCell="C28" sqref="C28"/>
    </sheetView>
  </sheetViews>
  <sheetFormatPr defaultRowHeight="15" x14ac:dyDescent="0.25"/>
  <cols>
    <col min="1" max="1" width="38.7109375" customWidth="1"/>
    <col min="2" max="2" width="28" customWidth="1"/>
    <col min="3" max="3" width="21.42578125" customWidth="1"/>
    <col min="4" max="4" width="21.28515625" bestFit="1" customWidth="1"/>
    <col min="6" max="6" width="16.42578125" customWidth="1"/>
  </cols>
  <sheetData>
    <row r="1" spans="1:8" ht="15.75" x14ac:dyDescent="0.25">
      <c r="A1" s="97" t="s">
        <v>0</v>
      </c>
      <c r="B1" s="48" t="s">
        <v>669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" t="s">
        <v>671</v>
      </c>
      <c r="B2" s="55">
        <v>2</v>
      </c>
      <c r="C2" s="204" t="s">
        <v>14</v>
      </c>
      <c r="D2" s="74" t="s">
        <v>8</v>
      </c>
      <c r="E2" s="228"/>
      <c r="F2" s="362" t="s">
        <v>1756</v>
      </c>
      <c r="G2" s="228"/>
      <c r="H2" s="228"/>
    </row>
    <row r="3" spans="1:8" x14ac:dyDescent="0.25">
      <c r="A3" s="58" t="s">
        <v>670</v>
      </c>
      <c r="B3" s="67">
        <v>2</v>
      </c>
      <c r="C3" s="152" t="s">
        <v>12</v>
      </c>
      <c r="D3" s="74" t="s">
        <v>8</v>
      </c>
      <c r="E3" s="228"/>
      <c r="F3" s="376" t="s">
        <v>1767</v>
      </c>
      <c r="G3" s="228"/>
      <c r="H3" s="228"/>
    </row>
    <row r="4" spans="1:8" x14ac:dyDescent="0.25">
      <c r="A4" s="58" t="s">
        <v>672</v>
      </c>
      <c r="B4" s="67">
        <v>2</v>
      </c>
      <c r="C4" s="152" t="s">
        <v>22</v>
      </c>
      <c r="D4" s="74" t="s">
        <v>8</v>
      </c>
      <c r="E4" s="228"/>
      <c r="F4" s="376" t="s">
        <v>1779</v>
      </c>
      <c r="G4" s="228"/>
      <c r="H4" s="228"/>
    </row>
    <row r="5" spans="1:8" x14ac:dyDescent="0.25">
      <c r="A5" s="518" t="s">
        <v>313</v>
      </c>
      <c r="B5" s="68">
        <v>1</v>
      </c>
      <c r="C5" s="75">
        <v>662250</v>
      </c>
      <c r="D5" s="74" t="s">
        <v>501</v>
      </c>
      <c r="E5" s="228"/>
      <c r="F5" s="376"/>
      <c r="G5" s="228"/>
      <c r="H5" s="228"/>
    </row>
    <row r="6" spans="1:8" x14ac:dyDescent="0.25">
      <c r="A6" s="24" t="s">
        <v>673</v>
      </c>
      <c r="B6" s="55">
        <v>8</v>
      </c>
      <c r="C6" s="181" t="s">
        <v>24</v>
      </c>
      <c r="D6" s="74" t="s">
        <v>8</v>
      </c>
      <c r="E6" s="228"/>
      <c r="F6" s="376" t="s">
        <v>1877</v>
      </c>
      <c r="G6" s="228"/>
      <c r="H6" s="228"/>
    </row>
    <row r="7" spans="1:8" x14ac:dyDescent="0.25">
      <c r="A7" s="24" t="s">
        <v>674</v>
      </c>
      <c r="B7" s="55">
        <v>4</v>
      </c>
      <c r="C7" s="53" t="s">
        <v>26</v>
      </c>
      <c r="D7" s="74" t="s">
        <v>8</v>
      </c>
      <c r="E7" s="228"/>
      <c r="F7" s="376" t="s">
        <v>1878</v>
      </c>
      <c r="G7" s="228"/>
      <c r="H7" s="228"/>
    </row>
    <row r="8" spans="1:8" x14ac:dyDescent="0.25">
      <c r="A8" s="24" t="s">
        <v>27</v>
      </c>
      <c r="B8" s="55">
        <v>2</v>
      </c>
      <c r="C8" s="75" t="s">
        <v>28</v>
      </c>
      <c r="D8" s="74" t="s">
        <v>8</v>
      </c>
      <c r="E8" s="228"/>
      <c r="F8" s="376" t="s">
        <v>1879</v>
      </c>
      <c r="G8" s="228"/>
      <c r="H8" s="228"/>
    </row>
    <row r="9" spans="1:8" x14ac:dyDescent="0.25">
      <c r="A9" s="24" t="s">
        <v>29</v>
      </c>
      <c r="B9" s="55">
        <v>2</v>
      </c>
      <c r="C9" s="75" t="s">
        <v>601</v>
      </c>
      <c r="D9" s="74" t="s">
        <v>8</v>
      </c>
      <c r="E9" s="228"/>
      <c r="F9" s="376" t="s">
        <v>1754</v>
      </c>
      <c r="G9" s="228"/>
      <c r="H9" s="228"/>
    </row>
    <row r="10" spans="1:8" x14ac:dyDescent="0.25">
      <c r="A10" s="24" t="s">
        <v>32</v>
      </c>
      <c r="B10" s="55">
        <v>1</v>
      </c>
      <c r="C10" s="75" t="s">
        <v>33</v>
      </c>
      <c r="D10" s="74" t="s">
        <v>8</v>
      </c>
      <c r="E10" s="228"/>
      <c r="F10" s="376" t="s">
        <v>1753</v>
      </c>
      <c r="G10" s="228"/>
      <c r="H10" s="228"/>
    </row>
    <row r="11" spans="1:8" x14ac:dyDescent="0.25">
      <c r="A11" s="24" t="s">
        <v>675</v>
      </c>
      <c r="B11" s="55">
        <v>4</v>
      </c>
      <c r="C11" s="75" t="s">
        <v>36</v>
      </c>
      <c r="D11" s="74" t="s">
        <v>8</v>
      </c>
      <c r="E11" s="228"/>
      <c r="F11" s="376" t="s">
        <v>1881</v>
      </c>
      <c r="G11" s="228"/>
      <c r="H11" s="228"/>
    </row>
    <row r="12" spans="1:8" x14ac:dyDescent="0.25">
      <c r="A12" s="24" t="s">
        <v>677</v>
      </c>
      <c r="B12" s="55">
        <v>1</v>
      </c>
      <c r="C12" s="75" t="s">
        <v>678</v>
      </c>
      <c r="D12" s="74" t="s">
        <v>8</v>
      </c>
      <c r="E12" s="228"/>
      <c r="F12" s="376" t="s">
        <v>1887</v>
      </c>
      <c r="G12" s="228"/>
      <c r="H12" s="228"/>
    </row>
    <row r="13" spans="1:8" x14ac:dyDescent="0.25">
      <c r="A13" s="24" t="s">
        <v>676</v>
      </c>
      <c r="B13" s="55">
        <v>1</v>
      </c>
      <c r="C13" s="75" t="s">
        <v>45</v>
      </c>
      <c r="D13" s="74" t="s">
        <v>8</v>
      </c>
      <c r="E13" s="228"/>
      <c r="F13" s="362" t="s">
        <v>1886</v>
      </c>
      <c r="G13" s="228"/>
      <c r="H13" s="228"/>
    </row>
    <row r="14" spans="1:8" x14ac:dyDescent="0.25">
      <c r="A14" s="1" t="s">
        <v>306</v>
      </c>
      <c r="B14" s="32">
        <v>5</v>
      </c>
      <c r="C14" s="53" t="s">
        <v>538</v>
      </c>
      <c r="D14" s="112" t="s">
        <v>8</v>
      </c>
      <c r="E14" s="228"/>
      <c r="F14" s="374" t="s">
        <v>1896</v>
      </c>
      <c r="G14" s="228"/>
      <c r="H14" s="228"/>
    </row>
    <row r="15" spans="1:8" x14ac:dyDescent="0.25">
      <c r="A15" s="24" t="s">
        <v>52</v>
      </c>
      <c r="B15" s="55">
        <v>1</v>
      </c>
      <c r="C15" s="75" t="s">
        <v>53</v>
      </c>
      <c r="D15" s="74" t="s">
        <v>8</v>
      </c>
      <c r="E15" s="228"/>
      <c r="F15" s="376" t="s">
        <v>1900</v>
      </c>
      <c r="G15" s="228"/>
      <c r="H15" s="228"/>
    </row>
    <row r="16" spans="1:8" x14ac:dyDescent="0.25">
      <c r="A16" s="24" t="s">
        <v>679</v>
      </c>
      <c r="B16" s="55">
        <v>2</v>
      </c>
      <c r="C16" s="75" t="s">
        <v>680</v>
      </c>
      <c r="D16" s="74" t="s">
        <v>8</v>
      </c>
      <c r="E16" s="228"/>
      <c r="F16" s="376" t="s">
        <v>2050</v>
      </c>
      <c r="G16" s="228"/>
      <c r="H16" s="228"/>
    </row>
    <row r="17" spans="1:8" x14ac:dyDescent="0.25">
      <c r="A17" s="24" t="s">
        <v>681</v>
      </c>
      <c r="B17" s="55">
        <v>1</v>
      </c>
      <c r="C17" s="75" t="s">
        <v>57</v>
      </c>
      <c r="D17" s="74" t="s">
        <v>8</v>
      </c>
      <c r="E17" s="228"/>
      <c r="F17" s="333" t="s">
        <v>1911</v>
      </c>
      <c r="G17" s="228"/>
      <c r="H17" s="228"/>
    </row>
    <row r="18" spans="1:8" x14ac:dyDescent="0.25">
      <c r="A18" s="24" t="s">
        <v>682</v>
      </c>
      <c r="B18" s="55">
        <v>1</v>
      </c>
      <c r="C18" s="75" t="s">
        <v>683</v>
      </c>
      <c r="D18" s="74" t="s">
        <v>8</v>
      </c>
      <c r="E18" s="228"/>
      <c r="F18" s="362" t="s">
        <v>1914</v>
      </c>
      <c r="G18" s="228"/>
      <c r="H18" s="228"/>
    </row>
    <row r="19" spans="1:8" x14ac:dyDescent="0.25">
      <c r="A19" s="24" t="s">
        <v>64</v>
      </c>
      <c r="B19" s="55">
        <v>6</v>
      </c>
      <c r="C19" s="75" t="s">
        <v>66</v>
      </c>
      <c r="D19" s="74" t="s">
        <v>8</v>
      </c>
      <c r="E19" s="228"/>
      <c r="F19" s="375" t="s">
        <v>1931</v>
      </c>
      <c r="G19" s="228"/>
      <c r="H19" s="228"/>
    </row>
    <row r="20" spans="1:8" x14ac:dyDescent="0.25">
      <c r="A20" s="24" t="s">
        <v>67</v>
      </c>
      <c r="B20" s="55">
        <v>3</v>
      </c>
      <c r="C20" s="75" t="s">
        <v>68</v>
      </c>
      <c r="D20" s="74" t="s">
        <v>8</v>
      </c>
      <c r="E20" s="228"/>
      <c r="F20" s="372" t="s">
        <v>1932</v>
      </c>
      <c r="G20" s="228"/>
      <c r="H20" s="228"/>
    </row>
    <row r="21" spans="1:8" x14ac:dyDescent="0.25">
      <c r="A21" s="24" t="s">
        <v>70</v>
      </c>
      <c r="B21" s="55">
        <v>2</v>
      </c>
      <c r="C21" s="75" t="s">
        <v>684</v>
      </c>
      <c r="D21" s="74" t="s">
        <v>8</v>
      </c>
      <c r="E21" s="228"/>
      <c r="F21" s="362" t="s">
        <v>1934</v>
      </c>
      <c r="G21" s="228"/>
      <c r="H21" s="228"/>
    </row>
    <row r="22" spans="1:8" x14ac:dyDescent="0.25">
      <c r="A22" s="24" t="s">
        <v>685</v>
      </c>
      <c r="B22" s="55">
        <v>3</v>
      </c>
      <c r="C22" s="75" t="s">
        <v>78</v>
      </c>
      <c r="D22" s="74" t="s">
        <v>8</v>
      </c>
      <c r="E22" s="228"/>
      <c r="F22" s="376" t="s">
        <v>1936</v>
      </c>
      <c r="G22" s="228"/>
      <c r="H22" s="228"/>
    </row>
    <row r="23" spans="1:8" x14ac:dyDescent="0.25">
      <c r="A23" s="24" t="s">
        <v>686</v>
      </c>
      <c r="B23" s="55">
        <v>2</v>
      </c>
      <c r="C23" s="75" t="s">
        <v>73</v>
      </c>
      <c r="D23" s="74" t="s">
        <v>8</v>
      </c>
      <c r="E23" s="228"/>
      <c r="F23" s="376" t="s">
        <v>1937</v>
      </c>
      <c r="G23" s="228"/>
      <c r="H23" s="228"/>
    </row>
    <row r="24" spans="1:8" x14ac:dyDescent="0.25">
      <c r="A24" s="24" t="s">
        <v>687</v>
      </c>
      <c r="B24" s="55">
        <v>2</v>
      </c>
      <c r="C24" s="75" t="s">
        <v>84</v>
      </c>
      <c r="D24" s="74" t="s">
        <v>8</v>
      </c>
      <c r="E24" s="228"/>
      <c r="F24" s="376" t="s">
        <v>1940</v>
      </c>
      <c r="G24" s="228"/>
      <c r="H24" s="228"/>
    </row>
    <row r="25" spans="1:8" x14ac:dyDescent="0.25">
      <c r="A25" s="24" t="s">
        <v>688</v>
      </c>
      <c r="B25" s="55">
        <v>1</v>
      </c>
      <c r="C25" s="75" t="s">
        <v>689</v>
      </c>
      <c r="D25" s="74" t="s">
        <v>8</v>
      </c>
      <c r="E25" s="228"/>
      <c r="F25" s="376" t="s">
        <v>1949</v>
      </c>
      <c r="G25" s="228"/>
      <c r="H25" s="228"/>
    </row>
    <row r="26" spans="1:8" x14ac:dyDescent="0.25">
      <c r="A26" s="24" t="s">
        <v>657</v>
      </c>
      <c r="B26" s="55">
        <v>2</v>
      </c>
      <c r="C26" s="75" t="s">
        <v>88</v>
      </c>
      <c r="D26" s="74" t="s">
        <v>8</v>
      </c>
      <c r="E26" s="228"/>
      <c r="F26" s="372" t="s">
        <v>1960</v>
      </c>
      <c r="G26" s="228"/>
      <c r="H26" s="228"/>
    </row>
    <row r="27" spans="1:8" x14ac:dyDescent="0.25">
      <c r="A27" s="24" t="s">
        <v>690</v>
      </c>
      <c r="B27" s="55">
        <v>2</v>
      </c>
      <c r="C27" s="75" t="s">
        <v>113</v>
      </c>
      <c r="D27" s="74" t="s">
        <v>8</v>
      </c>
      <c r="E27" s="228"/>
      <c r="F27" s="376" t="s">
        <v>1967</v>
      </c>
      <c r="G27" s="228"/>
      <c r="H27" s="228"/>
    </row>
    <row r="28" spans="1:8" x14ac:dyDescent="0.25">
      <c r="A28" s="24" t="s">
        <v>632</v>
      </c>
      <c r="B28" s="55">
        <v>1</v>
      </c>
      <c r="C28" s="240" t="s">
        <v>96</v>
      </c>
      <c r="D28" s="74" t="s">
        <v>8</v>
      </c>
      <c r="E28" s="228"/>
      <c r="F28" s="376" t="s">
        <v>2003</v>
      </c>
      <c r="G28" s="228"/>
      <c r="H28" s="228"/>
    </row>
    <row r="29" spans="1:8" x14ac:dyDescent="0.25">
      <c r="A29" s="24" t="s">
        <v>691</v>
      </c>
      <c r="B29" s="55">
        <v>1</v>
      </c>
      <c r="C29" s="75" t="s">
        <v>98</v>
      </c>
      <c r="D29" s="74" t="s">
        <v>8</v>
      </c>
      <c r="E29" s="228"/>
      <c r="F29" s="375" t="s">
        <v>1995</v>
      </c>
      <c r="G29" s="228"/>
      <c r="H29" s="228"/>
    </row>
    <row r="30" spans="1:8" x14ac:dyDescent="0.25">
      <c r="A30" s="24" t="s">
        <v>663</v>
      </c>
      <c r="B30" s="336">
        <v>1</v>
      </c>
      <c r="C30" s="353" t="s">
        <v>635</v>
      </c>
      <c r="D30" s="74" t="s">
        <v>8</v>
      </c>
      <c r="E30" s="228"/>
      <c r="F30" s="376" t="s">
        <v>2005</v>
      </c>
      <c r="G30" s="228"/>
      <c r="H30" s="228"/>
    </row>
    <row r="31" spans="1:8" x14ac:dyDescent="0.25">
      <c r="A31" s="24" t="s">
        <v>693</v>
      </c>
      <c r="B31" s="55">
        <v>2</v>
      </c>
      <c r="C31" s="75" t="s">
        <v>662</v>
      </c>
      <c r="D31" s="74" t="s">
        <v>8</v>
      </c>
      <c r="E31" s="228"/>
      <c r="F31" s="373" t="s">
        <v>2006</v>
      </c>
      <c r="G31" s="228"/>
      <c r="H31" s="228"/>
    </row>
    <row r="32" spans="1:8" x14ac:dyDescent="0.25">
      <c r="A32" s="69" t="s">
        <v>692</v>
      </c>
      <c r="B32" s="442">
        <v>1</v>
      </c>
      <c r="C32" s="152" t="s">
        <v>520</v>
      </c>
      <c r="D32" s="74" t="s">
        <v>8</v>
      </c>
      <c r="E32" s="228"/>
      <c r="F32" s="373" t="s">
        <v>2007</v>
      </c>
      <c r="G32" s="228"/>
      <c r="H32" s="228"/>
    </row>
  </sheetData>
  <sortState xmlns:xlrd2="http://schemas.microsoft.com/office/spreadsheetml/2017/richdata2" ref="A2:D32">
    <sortCondition ref="A1:A3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111-1269-497B-9201-32E56516FEC4}">
  <sheetPr codeName="Planilha16">
    <tabColor theme="0"/>
  </sheetPr>
  <dimension ref="A1:H25"/>
  <sheetViews>
    <sheetView workbookViewId="0">
      <pane ySplit="1" topLeftCell="A2" activePane="bottomLeft" state="frozen"/>
      <selection activeCell="A53" sqref="A53"/>
      <selection pane="bottomLeft" activeCell="J26" sqref="J26"/>
    </sheetView>
  </sheetViews>
  <sheetFormatPr defaultRowHeight="15" x14ac:dyDescent="0.25"/>
  <cols>
    <col min="1" max="1" width="36.5703125" bestFit="1" customWidth="1"/>
    <col min="2" max="2" width="30.140625" customWidth="1"/>
    <col min="3" max="3" width="18.140625" customWidth="1"/>
    <col min="4" max="4" width="21.28515625" bestFit="1" customWidth="1"/>
    <col min="6" max="6" width="13.5703125" customWidth="1"/>
  </cols>
  <sheetData>
    <row r="1" spans="1:8" ht="15.75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694</v>
      </c>
      <c r="B2" s="45">
        <v>2</v>
      </c>
      <c r="C2" s="53" t="s">
        <v>12</v>
      </c>
      <c r="D2" s="112" t="s">
        <v>8</v>
      </c>
      <c r="E2" s="228"/>
      <c r="F2" s="228" t="s">
        <v>1767</v>
      </c>
      <c r="G2" s="228"/>
      <c r="H2" s="228"/>
    </row>
    <row r="3" spans="1:8" x14ac:dyDescent="0.25">
      <c r="A3" s="517" t="s">
        <v>696</v>
      </c>
      <c r="B3" s="45">
        <v>1</v>
      </c>
      <c r="C3" s="53" t="s">
        <v>697</v>
      </c>
      <c r="D3" s="112" t="s">
        <v>10</v>
      </c>
      <c r="E3" s="228"/>
      <c r="F3" s="228"/>
      <c r="G3" s="228"/>
      <c r="H3" s="228"/>
    </row>
    <row r="4" spans="1:8" x14ac:dyDescent="0.25">
      <c r="A4" s="517" t="s">
        <v>698</v>
      </c>
      <c r="B4" s="45">
        <v>1</v>
      </c>
      <c r="C4" s="53" t="s">
        <v>699</v>
      </c>
      <c r="D4" s="112" t="s">
        <v>10</v>
      </c>
      <c r="E4" s="228"/>
      <c r="F4" s="228"/>
      <c r="G4" s="228"/>
      <c r="H4" s="228"/>
    </row>
    <row r="5" spans="1:8" x14ac:dyDescent="0.25">
      <c r="A5" s="3" t="s">
        <v>159</v>
      </c>
      <c r="B5" s="45">
        <v>1</v>
      </c>
      <c r="C5" s="53" t="s">
        <v>160</v>
      </c>
      <c r="D5" s="112" t="s">
        <v>8</v>
      </c>
      <c r="E5" s="228"/>
      <c r="F5" s="374" t="s">
        <v>1880</v>
      </c>
      <c r="G5" s="228"/>
      <c r="H5" s="228"/>
    </row>
    <row r="6" spans="1:8" x14ac:dyDescent="0.25">
      <c r="A6" s="3" t="s">
        <v>703</v>
      </c>
      <c r="B6" s="45">
        <v>2</v>
      </c>
      <c r="C6" s="53" t="s">
        <v>601</v>
      </c>
      <c r="D6" s="112" t="s">
        <v>8</v>
      </c>
      <c r="E6" s="228"/>
      <c r="F6" s="374" t="s">
        <v>1754</v>
      </c>
      <c r="G6" s="228"/>
      <c r="H6" s="228"/>
    </row>
    <row r="7" spans="1:8" x14ac:dyDescent="0.25">
      <c r="A7" s="3" t="s">
        <v>704</v>
      </c>
      <c r="B7" s="45">
        <v>1</v>
      </c>
      <c r="C7" s="53" t="s">
        <v>33</v>
      </c>
      <c r="D7" s="112" t="s">
        <v>8</v>
      </c>
      <c r="E7" s="228"/>
      <c r="F7" s="376" t="s">
        <v>1753</v>
      </c>
      <c r="G7" s="228"/>
      <c r="H7" s="228"/>
    </row>
    <row r="8" spans="1:8" x14ac:dyDescent="0.25">
      <c r="A8" s="3" t="s">
        <v>705</v>
      </c>
      <c r="B8" s="45">
        <v>2</v>
      </c>
      <c r="C8" s="53" t="s">
        <v>36</v>
      </c>
      <c r="D8" s="112" t="s">
        <v>8</v>
      </c>
      <c r="E8" s="228"/>
      <c r="F8" s="375" t="s">
        <v>1881</v>
      </c>
      <c r="G8" s="228"/>
      <c r="H8" s="228"/>
    </row>
    <row r="9" spans="1:8" x14ac:dyDescent="0.25">
      <c r="A9" s="3" t="s">
        <v>706</v>
      </c>
      <c r="B9" s="45">
        <v>2</v>
      </c>
      <c r="C9" s="53" t="s">
        <v>678</v>
      </c>
      <c r="D9" s="112" t="s">
        <v>8</v>
      </c>
      <c r="E9" s="228"/>
      <c r="F9" s="374" t="s">
        <v>1887</v>
      </c>
      <c r="G9" s="228"/>
      <c r="H9" s="228"/>
    </row>
    <row r="10" spans="1:8" x14ac:dyDescent="0.25">
      <c r="A10" s="3" t="s">
        <v>707</v>
      </c>
      <c r="B10" s="45">
        <v>4</v>
      </c>
      <c r="C10" s="53" t="s">
        <v>605</v>
      </c>
      <c r="D10" s="112" t="s">
        <v>8</v>
      </c>
      <c r="E10" s="228"/>
      <c r="F10" s="362" t="s">
        <v>1895</v>
      </c>
      <c r="G10" s="228"/>
      <c r="H10" s="228"/>
    </row>
    <row r="11" spans="1:8" x14ac:dyDescent="0.25">
      <c r="A11" s="3" t="s">
        <v>54</v>
      </c>
      <c r="B11" s="45">
        <v>2</v>
      </c>
      <c r="C11" s="53" t="s">
        <v>55</v>
      </c>
      <c r="D11" s="112" t="s">
        <v>8</v>
      </c>
      <c r="E11" s="228"/>
      <c r="F11" s="333" t="s">
        <v>1910</v>
      </c>
      <c r="G11" s="228"/>
      <c r="H11" s="228"/>
    </row>
    <row r="12" spans="1:8" x14ac:dyDescent="0.25">
      <c r="A12" s="3" t="s">
        <v>338</v>
      </c>
      <c r="B12" s="45">
        <v>2</v>
      </c>
      <c r="C12" s="53" t="s">
        <v>66</v>
      </c>
      <c r="D12" s="112" t="s">
        <v>8</v>
      </c>
      <c r="E12" s="228"/>
      <c r="F12" s="375" t="s">
        <v>1931</v>
      </c>
      <c r="G12" s="228"/>
      <c r="H12" s="228"/>
    </row>
    <row r="13" spans="1:8" x14ac:dyDescent="0.25">
      <c r="A13" s="3" t="s">
        <v>75</v>
      </c>
      <c r="B13" s="45">
        <v>2</v>
      </c>
      <c r="C13" s="53" t="s">
        <v>76</v>
      </c>
      <c r="D13" s="112" t="s">
        <v>8</v>
      </c>
      <c r="E13" s="228"/>
      <c r="F13" s="372" t="s">
        <v>1938</v>
      </c>
      <c r="G13" s="228"/>
      <c r="H13" s="228"/>
    </row>
    <row r="14" spans="1:8" x14ac:dyDescent="0.25">
      <c r="A14" s="3" t="s">
        <v>708</v>
      </c>
      <c r="B14" s="45">
        <v>6</v>
      </c>
      <c r="C14" s="53" t="s">
        <v>24</v>
      </c>
      <c r="D14" s="112" t="s">
        <v>8</v>
      </c>
      <c r="E14" s="228"/>
      <c r="F14" s="374" t="s">
        <v>1877</v>
      </c>
      <c r="G14" s="228"/>
      <c r="H14" s="228"/>
    </row>
    <row r="15" spans="1:8" x14ac:dyDescent="0.25">
      <c r="A15" s="3" t="s">
        <v>709</v>
      </c>
      <c r="B15" s="45">
        <v>4</v>
      </c>
      <c r="C15" s="53" t="s">
        <v>26</v>
      </c>
      <c r="D15" s="112" t="s">
        <v>8</v>
      </c>
      <c r="E15" s="228"/>
      <c r="F15" s="373" t="s">
        <v>1878</v>
      </c>
      <c r="G15" s="228"/>
      <c r="H15" s="228"/>
    </row>
    <row r="16" spans="1:8" x14ac:dyDescent="0.25">
      <c r="A16" s="3" t="s">
        <v>710</v>
      </c>
      <c r="B16" s="45">
        <v>1</v>
      </c>
      <c r="C16" s="53" t="s">
        <v>711</v>
      </c>
      <c r="D16" s="112" t="s">
        <v>8</v>
      </c>
      <c r="E16" s="228"/>
      <c r="F16" s="374" t="s">
        <v>1945</v>
      </c>
      <c r="G16" s="228"/>
      <c r="H16" s="228"/>
    </row>
    <row r="17" spans="1:8" x14ac:dyDescent="0.25">
      <c r="A17" s="3" t="s">
        <v>712</v>
      </c>
      <c r="B17" s="45">
        <v>2</v>
      </c>
      <c r="C17" s="53" t="s">
        <v>713</v>
      </c>
      <c r="D17" s="112" t="s">
        <v>8</v>
      </c>
      <c r="E17" s="228"/>
      <c r="F17" s="374" t="s">
        <v>1951</v>
      </c>
      <c r="G17" s="228"/>
      <c r="H17" s="228"/>
    </row>
    <row r="18" spans="1:8" x14ac:dyDescent="0.25">
      <c r="A18" s="3" t="s">
        <v>714</v>
      </c>
      <c r="B18" s="45">
        <v>2</v>
      </c>
      <c r="C18" s="53" t="s">
        <v>88</v>
      </c>
      <c r="D18" s="112" t="s">
        <v>8</v>
      </c>
      <c r="E18" s="228"/>
      <c r="F18" s="372" t="s">
        <v>1960</v>
      </c>
      <c r="G18" s="228"/>
      <c r="H18" s="228"/>
    </row>
    <row r="19" spans="1:8" x14ac:dyDescent="0.25">
      <c r="A19" s="517" t="s">
        <v>700</v>
      </c>
      <c r="B19" s="45">
        <v>1</v>
      </c>
      <c r="C19" s="53" t="s">
        <v>701</v>
      </c>
      <c r="D19" s="112" t="s">
        <v>10</v>
      </c>
      <c r="E19" s="228"/>
      <c r="F19" s="374"/>
      <c r="G19" s="228"/>
      <c r="H19" s="228"/>
    </row>
    <row r="20" spans="1:8" x14ac:dyDescent="0.25">
      <c r="A20" s="3" t="s">
        <v>716</v>
      </c>
      <c r="B20" s="45">
        <v>1</v>
      </c>
      <c r="C20" s="53" t="s">
        <v>665</v>
      </c>
      <c r="D20" s="112" t="s">
        <v>8</v>
      </c>
      <c r="E20" s="228"/>
      <c r="F20" s="412" t="s">
        <v>1993</v>
      </c>
      <c r="G20" s="228"/>
      <c r="H20" s="228"/>
    </row>
    <row r="21" spans="1:8" x14ac:dyDescent="0.25">
      <c r="A21" s="3" t="s">
        <v>717</v>
      </c>
      <c r="B21" s="45">
        <v>1</v>
      </c>
      <c r="C21" s="53" t="s">
        <v>665</v>
      </c>
      <c r="D21" s="112" t="s">
        <v>8</v>
      </c>
      <c r="E21" s="228"/>
      <c r="F21" s="412" t="s">
        <v>2000</v>
      </c>
      <c r="G21" s="228"/>
      <c r="H21" s="228"/>
    </row>
    <row r="22" spans="1:8" x14ac:dyDescent="0.25">
      <c r="A22" s="3" t="s">
        <v>718</v>
      </c>
      <c r="B22" s="45">
        <v>1</v>
      </c>
      <c r="C22" s="53" t="s">
        <v>633</v>
      </c>
      <c r="D22" s="112" t="s">
        <v>8</v>
      </c>
      <c r="E22" s="228"/>
      <c r="F22" s="132" t="s">
        <v>2002</v>
      </c>
      <c r="G22" s="228"/>
      <c r="H22" s="228"/>
    </row>
    <row r="23" spans="1:8" x14ac:dyDescent="0.25">
      <c r="A23" s="3" t="s">
        <v>719</v>
      </c>
      <c r="B23" s="45">
        <v>1</v>
      </c>
      <c r="C23" s="53" t="s">
        <v>516</v>
      </c>
      <c r="D23" s="112" t="s">
        <v>8</v>
      </c>
      <c r="E23" s="228"/>
      <c r="F23" s="317" t="s">
        <v>1995</v>
      </c>
      <c r="G23" s="228"/>
      <c r="H23" s="228"/>
    </row>
    <row r="24" spans="1:8" x14ac:dyDescent="0.25">
      <c r="A24" s="66" t="s">
        <v>720</v>
      </c>
      <c r="B24" s="71">
        <v>1</v>
      </c>
      <c r="C24" s="75" t="s">
        <v>635</v>
      </c>
      <c r="D24" s="74" t="s">
        <v>8</v>
      </c>
      <c r="E24" s="228"/>
      <c r="F24" s="327" t="s">
        <v>2005</v>
      </c>
      <c r="G24" s="228"/>
      <c r="H24" s="228"/>
    </row>
    <row r="25" spans="1:8" x14ac:dyDescent="0.25">
      <c r="A25" s="146" t="s">
        <v>99</v>
      </c>
      <c r="B25" s="70">
        <v>1</v>
      </c>
      <c r="C25" s="79" t="s">
        <v>662</v>
      </c>
      <c r="D25" s="74" t="s">
        <v>8</v>
      </c>
      <c r="E25" s="228"/>
      <c r="F25" s="264" t="s">
        <v>2006</v>
      </c>
      <c r="G25" s="228"/>
      <c r="H25" s="228"/>
    </row>
  </sheetData>
  <sortState xmlns:xlrd2="http://schemas.microsoft.com/office/spreadsheetml/2017/richdata2" ref="A2:D26">
    <sortCondition ref="A1:A2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1A5-BED7-4CA7-920A-F553A3DBAAA0}">
  <sheetPr codeName="Planilha17">
    <tabColor rgb="FF92D050"/>
  </sheetPr>
  <dimension ref="A1:H37"/>
  <sheetViews>
    <sheetView workbookViewId="0">
      <pane ySplit="1" topLeftCell="A23" activePane="bottomLeft" state="frozen"/>
      <selection activeCell="A53" sqref="A53"/>
      <selection pane="bottomLeft" activeCell="K14" sqref="K14"/>
    </sheetView>
  </sheetViews>
  <sheetFormatPr defaultRowHeight="15" x14ac:dyDescent="0.25"/>
  <cols>
    <col min="1" max="1" width="38.85546875" customWidth="1"/>
    <col min="2" max="2" width="24.42578125" style="43" customWidth="1"/>
    <col min="3" max="3" width="15.5703125" customWidth="1"/>
    <col min="4" max="4" width="20.28515625" customWidth="1"/>
    <col min="6" max="6" width="15.71093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5" t="s">
        <v>313</v>
      </c>
      <c r="B2" s="32">
        <v>1</v>
      </c>
      <c r="C2" s="181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16" t="s">
        <v>721</v>
      </c>
      <c r="B3" s="50">
        <v>1</v>
      </c>
      <c r="C3" s="75" t="s">
        <v>722</v>
      </c>
      <c r="D3" s="74" t="s">
        <v>8</v>
      </c>
      <c r="E3" s="228"/>
      <c r="F3" s="375" t="s">
        <v>1815</v>
      </c>
      <c r="G3" s="228"/>
      <c r="H3" s="228"/>
    </row>
    <row r="4" spans="1:8" x14ac:dyDescent="0.25">
      <c r="A4" s="16" t="s">
        <v>723</v>
      </c>
      <c r="B4" s="50">
        <v>1</v>
      </c>
      <c r="C4" s="75" t="s">
        <v>724</v>
      </c>
      <c r="D4" s="74" t="s">
        <v>8</v>
      </c>
      <c r="E4" s="228"/>
      <c r="F4" s="375" t="s">
        <v>1816</v>
      </c>
      <c r="G4" s="228"/>
      <c r="H4" s="228"/>
    </row>
    <row r="5" spans="1:8" x14ac:dyDescent="0.25">
      <c r="A5" s="16" t="s">
        <v>725</v>
      </c>
      <c r="B5" s="50">
        <v>1</v>
      </c>
      <c r="C5" s="75" t="s">
        <v>726</v>
      </c>
      <c r="D5" s="74" t="s">
        <v>8</v>
      </c>
      <c r="E5" s="228"/>
      <c r="F5" s="411">
        <v>10659</v>
      </c>
      <c r="G5" s="228"/>
      <c r="H5" s="228"/>
    </row>
    <row r="6" spans="1:8" x14ac:dyDescent="0.25">
      <c r="A6" s="16" t="s">
        <v>727</v>
      </c>
      <c r="B6" s="50">
        <v>1</v>
      </c>
      <c r="C6" s="75" t="s">
        <v>728</v>
      </c>
      <c r="D6" s="74" t="s">
        <v>8</v>
      </c>
      <c r="E6" s="228"/>
      <c r="F6" s="375" t="s">
        <v>1839</v>
      </c>
      <c r="G6" s="228"/>
      <c r="H6" s="228"/>
    </row>
    <row r="7" spans="1:8" x14ac:dyDescent="0.25">
      <c r="A7" s="519" t="s">
        <v>729</v>
      </c>
      <c r="B7" s="50">
        <v>1</v>
      </c>
      <c r="C7" s="75" t="s">
        <v>2197</v>
      </c>
      <c r="D7" s="74" t="s">
        <v>4</v>
      </c>
      <c r="E7" s="228"/>
      <c r="F7" s="375"/>
      <c r="G7" s="228"/>
      <c r="H7" s="228"/>
    </row>
    <row r="8" spans="1:8" x14ac:dyDescent="0.25">
      <c r="A8" s="519"/>
      <c r="B8" s="50">
        <v>1</v>
      </c>
      <c r="C8" s="75" t="s">
        <v>2198</v>
      </c>
      <c r="D8" s="74"/>
      <c r="E8" s="228"/>
      <c r="F8" s="375"/>
      <c r="G8" s="228"/>
      <c r="H8" s="228"/>
    </row>
    <row r="9" spans="1:8" x14ac:dyDescent="0.25">
      <c r="A9" s="519"/>
      <c r="B9" s="50">
        <v>1</v>
      </c>
      <c r="C9" s="75" t="s">
        <v>2199</v>
      </c>
      <c r="D9" s="74"/>
      <c r="E9" s="228"/>
      <c r="F9" s="375"/>
      <c r="G9" s="228"/>
      <c r="H9" s="228"/>
    </row>
    <row r="10" spans="1:8" x14ac:dyDescent="0.25">
      <c r="A10" s="16" t="s">
        <v>731</v>
      </c>
      <c r="B10" s="50">
        <v>1</v>
      </c>
      <c r="C10" s="75" t="s">
        <v>601</v>
      </c>
      <c r="D10" s="74" t="s">
        <v>8</v>
      </c>
      <c r="E10" s="228"/>
      <c r="F10" s="375" t="s">
        <v>1754</v>
      </c>
      <c r="G10" s="228"/>
      <c r="H10" s="228"/>
    </row>
    <row r="11" spans="1:8" x14ac:dyDescent="0.25">
      <c r="A11" s="16" t="s">
        <v>732</v>
      </c>
      <c r="B11" s="50">
        <v>1</v>
      </c>
      <c r="C11" s="75" t="s">
        <v>33</v>
      </c>
      <c r="D11" s="74" t="s">
        <v>8</v>
      </c>
      <c r="E11" s="228"/>
      <c r="F11" s="376" t="s">
        <v>1753</v>
      </c>
      <c r="G11" s="228"/>
      <c r="H11" s="228"/>
    </row>
    <row r="12" spans="1:8" x14ac:dyDescent="0.25">
      <c r="A12" s="16" t="s">
        <v>733</v>
      </c>
      <c r="B12" s="50">
        <v>4</v>
      </c>
      <c r="C12" s="75" t="s">
        <v>36</v>
      </c>
      <c r="D12" s="74" t="s">
        <v>8</v>
      </c>
      <c r="E12" s="228"/>
      <c r="F12" s="375" t="s">
        <v>1881</v>
      </c>
      <c r="G12" s="228"/>
      <c r="H12" s="228"/>
    </row>
    <row r="13" spans="1:8" x14ac:dyDescent="0.25">
      <c r="A13" s="16" t="s">
        <v>641</v>
      </c>
      <c r="B13" s="50">
        <v>1</v>
      </c>
      <c r="C13" s="75" t="s">
        <v>45</v>
      </c>
      <c r="D13" s="74" t="s">
        <v>8</v>
      </c>
      <c r="E13" s="228"/>
      <c r="F13" s="376" t="s">
        <v>1886</v>
      </c>
      <c r="G13" s="228"/>
      <c r="H13" s="228"/>
    </row>
    <row r="14" spans="1:8" x14ac:dyDescent="0.25">
      <c r="A14" s="16" t="s">
        <v>734</v>
      </c>
      <c r="B14" s="50">
        <v>1</v>
      </c>
      <c r="C14" s="75" t="s">
        <v>49</v>
      </c>
      <c r="D14" s="74" t="s">
        <v>8</v>
      </c>
      <c r="E14" s="228"/>
      <c r="F14" s="375" t="s">
        <v>1888</v>
      </c>
      <c r="G14" s="228"/>
      <c r="H14" s="228"/>
    </row>
    <row r="15" spans="1:8" x14ac:dyDescent="0.25">
      <c r="A15" s="4" t="s">
        <v>604</v>
      </c>
      <c r="B15" s="49">
        <v>5</v>
      </c>
      <c r="C15" s="53" t="s">
        <v>605</v>
      </c>
      <c r="D15" s="112" t="s">
        <v>8</v>
      </c>
      <c r="E15" s="228"/>
      <c r="F15" s="362" t="s">
        <v>1895</v>
      </c>
      <c r="G15" s="228"/>
      <c r="H15" s="228"/>
    </row>
    <row r="16" spans="1:8" x14ac:dyDescent="0.25">
      <c r="A16" s="4" t="s">
        <v>645</v>
      </c>
      <c r="B16" s="49">
        <v>1</v>
      </c>
      <c r="C16" s="53" t="s">
        <v>53</v>
      </c>
      <c r="D16" s="112" t="s">
        <v>8</v>
      </c>
      <c r="E16" s="228"/>
      <c r="F16" s="376" t="s">
        <v>1900</v>
      </c>
      <c r="G16" s="228"/>
      <c r="H16" s="228"/>
    </row>
    <row r="17" spans="1:8" x14ac:dyDescent="0.25">
      <c r="A17" s="4" t="s">
        <v>735</v>
      </c>
      <c r="B17" s="49">
        <v>1</v>
      </c>
      <c r="C17" s="53" t="s">
        <v>736</v>
      </c>
      <c r="D17" s="112" t="s">
        <v>8</v>
      </c>
      <c r="E17" s="228"/>
      <c r="F17" s="422" t="s">
        <v>1901</v>
      </c>
      <c r="G17" s="228"/>
      <c r="H17" s="228"/>
    </row>
    <row r="18" spans="1:8" x14ac:dyDescent="0.25">
      <c r="A18" s="16" t="s">
        <v>737</v>
      </c>
      <c r="B18" s="50">
        <v>1</v>
      </c>
      <c r="C18" s="75" t="s">
        <v>738</v>
      </c>
      <c r="D18" s="74" t="s">
        <v>10</v>
      </c>
      <c r="E18" s="228"/>
      <c r="F18" s="375" t="s">
        <v>1904</v>
      </c>
      <c r="G18" s="228"/>
      <c r="H18" s="228"/>
    </row>
    <row r="19" spans="1:8" x14ac:dyDescent="0.25">
      <c r="A19" s="16" t="s">
        <v>739</v>
      </c>
      <c r="B19" s="50">
        <v>1</v>
      </c>
      <c r="C19" s="75" t="s">
        <v>740</v>
      </c>
      <c r="D19" s="74" t="s">
        <v>10</v>
      </c>
      <c r="E19" s="228"/>
      <c r="F19" s="373" t="s">
        <v>1906</v>
      </c>
      <c r="G19" s="228"/>
      <c r="H19" s="228"/>
    </row>
    <row r="20" spans="1:8" x14ac:dyDescent="0.25">
      <c r="A20" s="16" t="s">
        <v>741</v>
      </c>
      <c r="B20" s="50">
        <v>1</v>
      </c>
      <c r="C20" s="75" t="s">
        <v>55</v>
      </c>
      <c r="D20" s="74" t="s">
        <v>8</v>
      </c>
      <c r="E20" s="228"/>
      <c r="F20" s="333" t="s">
        <v>1910</v>
      </c>
      <c r="G20" s="228"/>
      <c r="H20" s="228"/>
    </row>
    <row r="21" spans="1:8" x14ac:dyDescent="0.25">
      <c r="A21" s="16" t="s">
        <v>743</v>
      </c>
      <c r="B21" s="50">
        <v>1</v>
      </c>
      <c r="C21" s="75" t="s">
        <v>61</v>
      </c>
      <c r="D21" s="74" t="s">
        <v>8</v>
      </c>
      <c r="E21" s="228"/>
      <c r="F21" s="375" t="s">
        <v>1912</v>
      </c>
      <c r="G21" s="228"/>
      <c r="H21" s="228"/>
    </row>
    <row r="22" spans="1:8" x14ac:dyDescent="0.25">
      <c r="A22" s="16" t="s">
        <v>744</v>
      </c>
      <c r="B22" s="50">
        <v>1</v>
      </c>
      <c r="C22" s="75" t="s">
        <v>63</v>
      </c>
      <c r="D22" s="74" t="s">
        <v>8</v>
      </c>
      <c r="E22" s="228"/>
      <c r="F22" s="375" t="s">
        <v>1913</v>
      </c>
      <c r="G22" s="228"/>
      <c r="H22" s="228"/>
    </row>
    <row r="23" spans="1:8" x14ac:dyDescent="0.25">
      <c r="A23" s="16" t="s">
        <v>745</v>
      </c>
      <c r="B23" s="50">
        <v>1</v>
      </c>
      <c r="C23" s="75" t="s">
        <v>546</v>
      </c>
      <c r="D23" s="74" t="s">
        <v>8</v>
      </c>
      <c r="E23" s="228"/>
      <c r="F23" s="375" t="s">
        <v>1919</v>
      </c>
      <c r="G23" s="228"/>
      <c r="H23" s="228"/>
    </row>
    <row r="24" spans="1:8" x14ac:dyDescent="0.25">
      <c r="A24" s="16" t="s">
        <v>746</v>
      </c>
      <c r="B24" s="50">
        <v>4</v>
      </c>
      <c r="C24" s="75" t="s">
        <v>65</v>
      </c>
      <c r="D24" s="74" t="s">
        <v>8</v>
      </c>
      <c r="E24" s="228"/>
      <c r="F24" s="375" t="s">
        <v>1930</v>
      </c>
      <c r="G24" s="228"/>
      <c r="H24" s="228"/>
    </row>
    <row r="25" spans="1:8" x14ac:dyDescent="0.25">
      <c r="A25" s="16" t="s">
        <v>748</v>
      </c>
      <c r="B25" s="50">
        <v>4</v>
      </c>
      <c r="C25" s="75" t="s">
        <v>68</v>
      </c>
      <c r="D25" s="74" t="s">
        <v>8</v>
      </c>
      <c r="E25" s="228"/>
      <c r="F25" s="372" t="s">
        <v>1932</v>
      </c>
      <c r="G25" s="228"/>
      <c r="H25" s="228"/>
    </row>
    <row r="26" spans="1:8" x14ac:dyDescent="0.25">
      <c r="A26" s="16" t="s">
        <v>749</v>
      </c>
      <c r="B26" s="50">
        <v>3</v>
      </c>
      <c r="C26" s="75" t="s">
        <v>76</v>
      </c>
      <c r="D26" s="74" t="s">
        <v>8</v>
      </c>
      <c r="E26" s="228"/>
      <c r="F26" s="373" t="s">
        <v>1938</v>
      </c>
      <c r="G26" s="228"/>
      <c r="H26" s="228"/>
    </row>
    <row r="27" spans="1:8" x14ac:dyDescent="0.25">
      <c r="A27" s="16" t="s">
        <v>647</v>
      </c>
      <c r="B27" s="50">
        <v>4</v>
      </c>
      <c r="C27" s="75" t="s">
        <v>24</v>
      </c>
      <c r="D27" s="74" t="s">
        <v>8</v>
      </c>
      <c r="E27" s="228"/>
      <c r="F27" s="375" t="s">
        <v>1877</v>
      </c>
      <c r="G27" s="228"/>
      <c r="H27" s="228"/>
    </row>
    <row r="28" spans="1:8" x14ac:dyDescent="0.25">
      <c r="A28" s="16" t="s">
        <v>617</v>
      </c>
      <c r="B28" s="50">
        <v>4</v>
      </c>
      <c r="C28" s="75" t="s">
        <v>26</v>
      </c>
      <c r="D28" s="74" t="s">
        <v>8</v>
      </c>
      <c r="E28" s="228"/>
      <c r="F28" s="373" t="s">
        <v>1878</v>
      </c>
      <c r="G28" s="228"/>
      <c r="H28" s="228"/>
    </row>
    <row r="29" spans="1:8" x14ac:dyDescent="0.25">
      <c r="A29" s="16" t="s">
        <v>750</v>
      </c>
      <c r="B29" s="50">
        <v>1</v>
      </c>
      <c r="C29" s="75" t="s">
        <v>689</v>
      </c>
      <c r="D29" s="74" t="s">
        <v>8</v>
      </c>
      <c r="E29" s="228"/>
      <c r="F29" s="375" t="s">
        <v>1949</v>
      </c>
      <c r="G29" s="228"/>
      <c r="H29" s="228"/>
    </row>
    <row r="30" spans="1:8" x14ac:dyDescent="0.25">
      <c r="A30" s="16" t="s">
        <v>754</v>
      </c>
      <c r="B30" s="50">
        <v>1</v>
      </c>
      <c r="C30" s="75" t="s">
        <v>111</v>
      </c>
      <c r="D30" s="74" t="s">
        <v>8</v>
      </c>
      <c r="E30" s="228"/>
      <c r="F30" s="377" t="s">
        <v>1965</v>
      </c>
      <c r="G30" s="228"/>
      <c r="H30" s="228"/>
    </row>
    <row r="31" spans="1:8" x14ac:dyDescent="0.25">
      <c r="A31" s="16" t="s">
        <v>752</v>
      </c>
      <c r="B31" s="50">
        <v>1</v>
      </c>
      <c r="C31" s="75" t="s">
        <v>113</v>
      </c>
      <c r="D31" s="74" t="s">
        <v>8</v>
      </c>
      <c r="E31" s="228"/>
      <c r="F31" s="375" t="s">
        <v>1967</v>
      </c>
      <c r="G31" s="228"/>
      <c r="H31" s="228"/>
    </row>
    <row r="32" spans="1:8" x14ac:dyDescent="0.25">
      <c r="A32" s="16" t="s">
        <v>751</v>
      </c>
      <c r="B32" s="50">
        <v>1</v>
      </c>
      <c r="C32" s="75" t="s">
        <v>117</v>
      </c>
      <c r="D32" s="74" t="s">
        <v>8</v>
      </c>
      <c r="E32" s="228"/>
      <c r="F32" s="375" t="s">
        <v>1969</v>
      </c>
      <c r="G32" s="228"/>
      <c r="H32" s="228"/>
    </row>
    <row r="33" spans="1:8" x14ac:dyDescent="0.25">
      <c r="A33" s="16" t="s">
        <v>126</v>
      </c>
      <c r="B33" s="50">
        <v>1</v>
      </c>
      <c r="C33" s="75" t="s">
        <v>127</v>
      </c>
      <c r="D33" s="74" t="s">
        <v>8</v>
      </c>
      <c r="E33" s="228"/>
      <c r="F33" s="375" t="s">
        <v>1989</v>
      </c>
      <c r="G33" s="228"/>
      <c r="H33" s="228"/>
    </row>
    <row r="34" spans="1:8" x14ac:dyDescent="0.25">
      <c r="A34" s="16" t="s">
        <v>632</v>
      </c>
      <c r="B34" s="50">
        <v>1</v>
      </c>
      <c r="C34" s="75" t="s">
        <v>633</v>
      </c>
      <c r="D34" s="74" t="s">
        <v>8</v>
      </c>
      <c r="E34" s="228"/>
      <c r="F34" s="375" t="s">
        <v>2002</v>
      </c>
      <c r="G34" s="228"/>
      <c r="H34" s="228"/>
    </row>
    <row r="35" spans="1:8" x14ac:dyDescent="0.25">
      <c r="A35" s="16" t="s">
        <v>755</v>
      </c>
      <c r="B35" s="50">
        <v>1</v>
      </c>
      <c r="C35" s="75" t="s">
        <v>660</v>
      </c>
      <c r="D35" s="74" t="s">
        <v>8</v>
      </c>
      <c r="E35" s="228"/>
      <c r="F35" s="375" t="s">
        <v>1994</v>
      </c>
      <c r="G35" s="228"/>
      <c r="H35" s="228"/>
    </row>
    <row r="36" spans="1:8" x14ac:dyDescent="0.25">
      <c r="A36" s="16" t="s">
        <v>693</v>
      </c>
      <c r="B36" s="50">
        <v>1</v>
      </c>
      <c r="C36" s="75" t="s">
        <v>662</v>
      </c>
      <c r="D36" s="74" t="s">
        <v>8</v>
      </c>
      <c r="E36" s="228"/>
      <c r="F36" s="373" t="s">
        <v>2006</v>
      </c>
      <c r="G36" s="228"/>
      <c r="H36" s="228"/>
    </row>
    <row r="37" spans="1:8" x14ac:dyDescent="0.25">
      <c r="A37" s="109" t="s">
        <v>756</v>
      </c>
      <c r="B37" s="70">
        <v>1</v>
      </c>
      <c r="C37" s="79" t="s">
        <v>518</v>
      </c>
      <c r="D37" s="74" t="s">
        <v>8</v>
      </c>
      <c r="E37" s="228"/>
      <c r="F37" s="373" t="s">
        <v>2008</v>
      </c>
      <c r="G37" s="228"/>
      <c r="H37" s="228"/>
    </row>
  </sheetData>
  <sortState xmlns:xlrd2="http://schemas.microsoft.com/office/spreadsheetml/2017/richdata2" ref="A2:D37">
    <sortCondition ref="A1:A3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76DE-06E2-4FC5-8AED-9A719A5E3759}">
  <sheetPr codeName="Planilha18">
    <tabColor rgb="FFFF0000"/>
  </sheetPr>
  <dimension ref="A1:H5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2.5703125" customWidth="1"/>
    <col min="2" max="2" width="19.5703125" customWidth="1"/>
    <col min="3" max="3" width="19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97" t="s">
        <v>305</v>
      </c>
      <c r="C1" s="102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1" t="s">
        <v>757</v>
      </c>
      <c r="B2" s="242">
        <v>1</v>
      </c>
      <c r="C2" s="243" t="s">
        <v>758</v>
      </c>
      <c r="D2" s="243" t="s">
        <v>162</v>
      </c>
      <c r="E2" s="228"/>
      <c r="F2" s="228"/>
      <c r="G2" s="228"/>
      <c r="H2" s="228"/>
    </row>
    <row r="3" spans="1:8" x14ac:dyDescent="0.25">
      <c r="A3" s="241" t="s">
        <v>759</v>
      </c>
      <c r="B3" s="242">
        <v>1</v>
      </c>
      <c r="C3" s="243">
        <v>277</v>
      </c>
      <c r="D3" s="243" t="s">
        <v>162</v>
      </c>
      <c r="E3" s="228"/>
      <c r="F3" s="228"/>
      <c r="G3" s="228"/>
      <c r="H3" s="228"/>
    </row>
    <row r="4" spans="1:8" x14ac:dyDescent="0.25">
      <c r="A4" s="241" t="s">
        <v>760</v>
      </c>
      <c r="B4" s="242">
        <v>1</v>
      </c>
      <c r="C4" s="243" t="s">
        <v>761</v>
      </c>
      <c r="D4" s="243" t="s">
        <v>162</v>
      </c>
      <c r="E4" s="228"/>
      <c r="F4" s="228"/>
      <c r="G4" s="228"/>
      <c r="H4" s="228"/>
    </row>
    <row r="5" spans="1:8" x14ac:dyDescent="0.25">
      <c r="A5" s="241" t="s">
        <v>762</v>
      </c>
      <c r="B5" s="242">
        <v>1</v>
      </c>
      <c r="C5" s="243" t="s">
        <v>763</v>
      </c>
      <c r="D5" s="243" t="s">
        <v>162</v>
      </c>
      <c r="E5" s="228"/>
      <c r="F5" s="228"/>
      <c r="G5" s="228"/>
      <c r="H5" s="228"/>
    </row>
    <row r="6" spans="1:8" x14ac:dyDescent="0.25">
      <c r="A6" s="241" t="s">
        <v>764</v>
      </c>
      <c r="B6" s="242">
        <v>1</v>
      </c>
      <c r="C6" s="243" t="s">
        <v>765</v>
      </c>
      <c r="D6" s="243" t="s">
        <v>162</v>
      </c>
      <c r="E6" s="228"/>
      <c r="F6" s="228"/>
      <c r="G6" s="228"/>
      <c r="H6" s="228"/>
    </row>
    <row r="7" spans="1:8" x14ac:dyDescent="0.25">
      <c r="A7" s="241" t="s">
        <v>766</v>
      </c>
      <c r="B7" s="242">
        <v>1</v>
      </c>
      <c r="C7" s="243" t="s">
        <v>767</v>
      </c>
      <c r="D7" s="243" t="s">
        <v>162</v>
      </c>
      <c r="E7" s="228"/>
      <c r="F7" s="228"/>
      <c r="G7" s="228"/>
      <c r="H7" s="228"/>
    </row>
    <row r="8" spans="1:8" x14ac:dyDescent="0.25">
      <c r="A8" s="241" t="s">
        <v>768</v>
      </c>
      <c r="B8" s="242">
        <v>1</v>
      </c>
      <c r="C8" s="243" t="s">
        <v>769</v>
      </c>
      <c r="D8" s="243" t="s">
        <v>162</v>
      </c>
      <c r="E8" s="228"/>
      <c r="F8" s="228"/>
      <c r="G8" s="228"/>
      <c r="H8" s="228"/>
    </row>
    <row r="9" spans="1:8" x14ac:dyDescent="0.25">
      <c r="A9" s="241" t="s">
        <v>770</v>
      </c>
      <c r="B9" s="242">
        <v>1</v>
      </c>
      <c r="C9" s="243" t="s">
        <v>771</v>
      </c>
      <c r="D9" s="243" t="s">
        <v>162</v>
      </c>
      <c r="E9" s="228"/>
      <c r="F9" s="228"/>
      <c r="G9" s="228"/>
      <c r="H9" s="228"/>
    </row>
    <row r="10" spans="1:8" x14ac:dyDescent="0.25">
      <c r="A10" s="241" t="s">
        <v>772</v>
      </c>
      <c r="B10" s="242">
        <v>1</v>
      </c>
      <c r="C10" s="243" t="s">
        <v>763</v>
      </c>
      <c r="D10" s="243" t="s">
        <v>162</v>
      </c>
      <c r="E10" s="228"/>
      <c r="F10" s="228"/>
      <c r="G10" s="228"/>
      <c r="H10" s="228"/>
    </row>
    <row r="11" spans="1:8" x14ac:dyDescent="0.25">
      <c r="A11" s="241" t="s">
        <v>773</v>
      </c>
      <c r="B11" s="242">
        <v>1</v>
      </c>
      <c r="C11" s="243" t="s">
        <v>774</v>
      </c>
      <c r="D11" s="243" t="s">
        <v>162</v>
      </c>
      <c r="E11" s="228"/>
      <c r="F11" s="228"/>
      <c r="G11" s="228"/>
      <c r="H11" s="228"/>
    </row>
    <row r="12" spans="1:8" x14ac:dyDescent="0.25">
      <c r="A12" s="241" t="s">
        <v>775</v>
      </c>
      <c r="B12" s="242">
        <v>1</v>
      </c>
      <c r="C12" s="243" t="s">
        <v>776</v>
      </c>
      <c r="D12" s="243" t="s">
        <v>162</v>
      </c>
      <c r="E12" s="228"/>
      <c r="F12" s="228"/>
      <c r="G12" s="228"/>
      <c r="H12" s="228"/>
    </row>
    <row r="13" spans="1:8" x14ac:dyDescent="0.25">
      <c r="A13" s="241" t="s">
        <v>777</v>
      </c>
      <c r="B13" s="242">
        <v>1</v>
      </c>
      <c r="C13" s="243" t="s">
        <v>778</v>
      </c>
      <c r="D13" s="243" t="s">
        <v>162</v>
      </c>
      <c r="E13" s="228"/>
      <c r="F13" s="228"/>
      <c r="G13" s="228"/>
      <c r="H13" s="228"/>
    </row>
    <row r="14" spans="1:8" x14ac:dyDescent="0.25">
      <c r="A14" s="241" t="s">
        <v>779</v>
      </c>
      <c r="B14" s="242">
        <v>1</v>
      </c>
      <c r="C14" s="243"/>
      <c r="D14" s="243"/>
      <c r="E14" s="228"/>
      <c r="F14" s="228"/>
      <c r="G14" s="228"/>
      <c r="H14" s="228"/>
    </row>
    <row r="15" spans="1:8" x14ac:dyDescent="0.25">
      <c r="A15" s="167"/>
      <c r="B15" s="127"/>
      <c r="C15" s="127"/>
      <c r="D15" s="127"/>
    </row>
    <row r="16" spans="1:8" x14ac:dyDescent="0.25">
      <c r="A16" s="167"/>
      <c r="B16" s="127"/>
      <c r="C16" s="127"/>
      <c r="D16" s="127"/>
    </row>
    <row r="17" spans="1:4" x14ac:dyDescent="0.25">
      <c r="A17" s="167"/>
      <c r="B17" s="127"/>
      <c r="C17" s="127"/>
      <c r="D17" s="127"/>
    </row>
    <row r="18" spans="1:4" x14ac:dyDescent="0.25">
      <c r="A18" s="167"/>
      <c r="B18" s="127"/>
      <c r="C18" s="127"/>
      <c r="D18" s="127"/>
    </row>
    <row r="19" spans="1:4" x14ac:dyDescent="0.25">
      <c r="A19" s="167"/>
      <c r="B19" s="127"/>
      <c r="C19" s="127"/>
      <c r="D19" s="127"/>
    </row>
    <row r="20" spans="1:4" x14ac:dyDescent="0.25">
      <c r="A20" s="167"/>
      <c r="B20" s="127"/>
      <c r="C20" s="127"/>
      <c r="D20" s="127"/>
    </row>
    <row r="21" spans="1:4" x14ac:dyDescent="0.25">
      <c r="A21" s="167"/>
      <c r="B21" s="127"/>
      <c r="C21" s="127"/>
      <c r="D21" s="127"/>
    </row>
    <row r="22" spans="1:4" x14ac:dyDescent="0.25">
      <c r="A22" s="167"/>
      <c r="B22" s="127"/>
      <c r="C22" s="127"/>
      <c r="D22" s="127"/>
    </row>
    <row r="23" spans="1:4" x14ac:dyDescent="0.25">
      <c r="A23" s="167"/>
      <c r="B23" s="127"/>
      <c r="C23" s="127"/>
      <c r="D23" s="127"/>
    </row>
    <row r="24" spans="1:4" x14ac:dyDescent="0.25">
      <c r="A24" s="167"/>
      <c r="B24" s="127"/>
      <c r="C24" s="127"/>
      <c r="D24" s="127"/>
    </row>
    <row r="25" spans="1:4" x14ac:dyDescent="0.25">
      <c r="A25" s="167"/>
      <c r="B25" s="127"/>
      <c r="C25" s="127"/>
      <c r="D25" s="127"/>
    </row>
    <row r="26" spans="1:4" x14ac:dyDescent="0.25">
      <c r="A26" s="167"/>
      <c r="B26" s="127"/>
      <c r="C26" s="127"/>
      <c r="D26" s="127"/>
    </row>
    <row r="27" spans="1:4" x14ac:dyDescent="0.25">
      <c r="A27" s="167"/>
      <c r="B27" s="127"/>
      <c r="C27" s="127"/>
      <c r="D27" s="127"/>
    </row>
    <row r="28" spans="1:4" x14ac:dyDescent="0.25">
      <c r="A28" s="167"/>
      <c r="B28" s="127"/>
      <c r="C28" s="127"/>
      <c r="D28" s="127"/>
    </row>
    <row r="29" spans="1:4" x14ac:dyDescent="0.25">
      <c r="A29" s="167"/>
      <c r="B29" s="127"/>
      <c r="C29" s="127"/>
      <c r="D29" s="127"/>
    </row>
    <row r="30" spans="1:4" x14ac:dyDescent="0.25">
      <c r="A30" s="167"/>
      <c r="B30" s="127"/>
      <c r="C30" s="127"/>
      <c r="D30" s="127"/>
    </row>
    <row r="31" spans="1:4" x14ac:dyDescent="0.25">
      <c r="A31" s="167"/>
      <c r="B31" s="127"/>
      <c r="C31" s="127"/>
      <c r="D31" s="127"/>
    </row>
    <row r="32" spans="1:4" x14ac:dyDescent="0.25">
      <c r="A32" s="167"/>
      <c r="B32" s="127"/>
      <c r="C32" s="127"/>
      <c r="D32" s="127"/>
    </row>
    <row r="33" spans="1:4" x14ac:dyDescent="0.25">
      <c r="A33" s="167"/>
      <c r="B33" s="127"/>
      <c r="C33" s="127"/>
      <c r="D33" s="127"/>
    </row>
    <row r="34" spans="1:4" x14ac:dyDescent="0.25">
      <c r="A34" s="167"/>
      <c r="B34" s="127"/>
      <c r="C34" s="127"/>
      <c r="D34" s="127"/>
    </row>
    <row r="35" spans="1:4" x14ac:dyDescent="0.25">
      <c r="A35" s="167"/>
      <c r="B35" s="127"/>
      <c r="C35" s="127"/>
      <c r="D35" s="127"/>
    </row>
    <row r="36" spans="1:4" x14ac:dyDescent="0.25">
      <c r="A36" s="167"/>
      <c r="B36" s="127"/>
      <c r="C36" s="127"/>
      <c r="D36" s="127"/>
    </row>
    <row r="37" spans="1:4" x14ac:dyDescent="0.25">
      <c r="A37" s="167"/>
      <c r="B37" s="127"/>
      <c r="C37" s="127"/>
      <c r="D37" s="127"/>
    </row>
    <row r="38" spans="1:4" x14ac:dyDescent="0.25">
      <c r="A38" s="167"/>
      <c r="B38" s="127"/>
      <c r="C38" s="127"/>
      <c r="D38" s="127"/>
    </row>
    <row r="39" spans="1:4" x14ac:dyDescent="0.25">
      <c r="A39" s="167"/>
      <c r="B39" s="127"/>
      <c r="C39" s="127"/>
      <c r="D39" s="127"/>
    </row>
    <row r="40" spans="1:4" x14ac:dyDescent="0.25">
      <c r="A40" s="167"/>
      <c r="B40" s="127"/>
      <c r="C40" s="127"/>
      <c r="D40" s="127"/>
    </row>
    <row r="41" spans="1:4" x14ac:dyDescent="0.25">
      <c r="A41" s="167"/>
      <c r="B41" s="127"/>
      <c r="C41" s="127"/>
      <c r="D41" s="127"/>
    </row>
    <row r="42" spans="1:4" x14ac:dyDescent="0.25">
      <c r="A42" s="167"/>
      <c r="B42" s="127"/>
      <c r="C42" s="127"/>
      <c r="D42" s="127"/>
    </row>
    <row r="43" spans="1:4" x14ac:dyDescent="0.25">
      <c r="A43" s="167"/>
      <c r="B43" s="127"/>
      <c r="C43" s="127"/>
      <c r="D43" s="127"/>
    </row>
    <row r="44" spans="1:4" x14ac:dyDescent="0.25">
      <c r="A44" s="167"/>
      <c r="B44" s="127"/>
      <c r="C44" s="127"/>
      <c r="D44" s="127"/>
    </row>
    <row r="45" spans="1:4" x14ac:dyDescent="0.25">
      <c r="A45" s="167"/>
      <c r="B45" s="127"/>
      <c r="C45" s="127"/>
      <c r="D45" s="127"/>
    </row>
    <row r="46" spans="1:4" x14ac:dyDescent="0.25">
      <c r="A46" s="167"/>
      <c r="B46" s="127"/>
      <c r="C46" s="127"/>
      <c r="D46" s="127"/>
    </row>
    <row r="47" spans="1:4" x14ac:dyDescent="0.25">
      <c r="A47" s="167"/>
      <c r="B47" s="127"/>
      <c r="C47" s="127"/>
      <c r="D47" s="127"/>
    </row>
    <row r="48" spans="1:4" x14ac:dyDescent="0.25">
      <c r="A48" s="167"/>
      <c r="B48" s="127"/>
      <c r="C48" s="127"/>
      <c r="D48" s="127"/>
    </row>
    <row r="49" spans="1:4" x14ac:dyDescent="0.25">
      <c r="A49" s="167"/>
      <c r="B49" s="127"/>
      <c r="C49" s="127"/>
      <c r="D49" s="127"/>
    </row>
    <row r="50" spans="1:4" x14ac:dyDescent="0.25">
      <c r="A50" s="168"/>
      <c r="B50" s="169"/>
      <c r="C50" s="127"/>
      <c r="D50" s="127"/>
    </row>
    <row r="51" spans="1:4" x14ac:dyDescent="0.25">
      <c r="A51" s="167"/>
      <c r="B51" s="168"/>
      <c r="C51" s="127"/>
      <c r="D51" s="127"/>
    </row>
    <row r="52" spans="1:4" x14ac:dyDescent="0.25">
      <c r="A52" s="167"/>
      <c r="B52" s="127"/>
      <c r="C52" s="127"/>
      <c r="D52" s="127"/>
    </row>
    <row r="53" spans="1:4" x14ac:dyDescent="0.25">
      <c r="A53" s="167"/>
      <c r="B53" s="127"/>
      <c r="C53" s="127"/>
      <c r="D53" s="127"/>
    </row>
    <row r="54" spans="1:4" x14ac:dyDescent="0.25">
      <c r="A54" s="167"/>
      <c r="B54" s="168"/>
      <c r="C54" s="127"/>
      <c r="D54" s="127"/>
    </row>
    <row r="55" spans="1:4" x14ac:dyDescent="0.25">
      <c r="A55" s="167"/>
      <c r="B55" s="127"/>
      <c r="C55" s="127"/>
      <c r="D55" s="127"/>
    </row>
    <row r="56" spans="1:4" x14ac:dyDescent="0.25">
      <c r="A56" s="167"/>
      <c r="B56" s="127"/>
      <c r="C56" s="127"/>
      <c r="D56" s="127"/>
    </row>
    <row r="57" spans="1:4" x14ac:dyDescent="0.25">
      <c r="A57" s="167"/>
      <c r="B57" s="127"/>
      <c r="C57" s="127"/>
      <c r="D57" s="127"/>
    </row>
    <row r="58" spans="1:4" x14ac:dyDescent="0.25">
      <c r="A58" s="167"/>
      <c r="B58" s="127"/>
      <c r="C58" s="127"/>
      <c r="D58" s="127"/>
    </row>
    <row r="59" spans="1:4" x14ac:dyDescent="0.25">
      <c r="A59" s="167"/>
      <c r="B59" s="127"/>
      <c r="C59" s="127"/>
      <c r="D59" s="12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A26F-1ABA-4211-B3B3-0B4197240F60}">
  <sheetPr codeName="Planilha19">
    <tabColor rgb="FFFF0000"/>
  </sheetPr>
  <dimension ref="A1:H1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0.140625" customWidth="1"/>
    <col min="2" max="2" width="19" customWidth="1"/>
    <col min="3" max="3" width="14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6" t="s">
        <v>313</v>
      </c>
      <c r="B2" s="71">
        <v>1</v>
      </c>
      <c r="C2" s="184">
        <v>662250</v>
      </c>
      <c r="D2" s="74" t="s">
        <v>501</v>
      </c>
      <c r="E2" s="228"/>
      <c r="F2" s="228"/>
      <c r="G2" s="228"/>
      <c r="H2" s="228"/>
    </row>
    <row r="3" spans="1:8" x14ac:dyDescent="0.25">
      <c r="A3" s="66" t="s">
        <v>768</v>
      </c>
      <c r="B3" s="71">
        <v>1</v>
      </c>
      <c r="C3" s="75" t="s">
        <v>769</v>
      </c>
      <c r="D3" s="74" t="s">
        <v>162</v>
      </c>
      <c r="E3" s="228"/>
      <c r="F3" s="228"/>
      <c r="G3" s="228"/>
      <c r="H3" s="228"/>
    </row>
    <row r="4" spans="1:8" x14ac:dyDescent="0.25">
      <c r="A4" s="66" t="s">
        <v>780</v>
      </c>
      <c r="B4" s="71">
        <v>1</v>
      </c>
      <c r="C4" s="75" t="s">
        <v>781</v>
      </c>
      <c r="D4" s="74" t="s">
        <v>162</v>
      </c>
      <c r="E4" s="228"/>
      <c r="F4" s="228"/>
      <c r="G4" s="228"/>
      <c r="H4" s="228"/>
    </row>
    <row r="5" spans="1:8" x14ac:dyDescent="0.25">
      <c r="A5" s="66" t="s">
        <v>782</v>
      </c>
      <c r="B5" s="71">
        <v>1</v>
      </c>
      <c r="C5" s="75" t="s">
        <v>783</v>
      </c>
      <c r="D5" s="74" t="s">
        <v>162</v>
      </c>
      <c r="E5" s="228"/>
      <c r="F5" s="228"/>
      <c r="G5" s="228"/>
      <c r="H5" s="228"/>
    </row>
    <row r="6" spans="1:8" x14ac:dyDescent="0.25">
      <c r="A6" s="66" t="s">
        <v>784</v>
      </c>
      <c r="B6" s="71">
        <v>1</v>
      </c>
      <c r="C6" s="75" t="s">
        <v>785</v>
      </c>
      <c r="D6" s="74" t="s">
        <v>162</v>
      </c>
      <c r="E6" s="228"/>
      <c r="F6" s="228"/>
      <c r="G6" s="228"/>
      <c r="H6" s="228"/>
    </row>
    <row r="7" spans="1:8" x14ac:dyDescent="0.25">
      <c r="A7" s="66" t="s">
        <v>770</v>
      </c>
      <c r="B7" s="71">
        <v>1</v>
      </c>
      <c r="C7" s="75" t="s">
        <v>771</v>
      </c>
      <c r="D7" s="74" t="s">
        <v>162</v>
      </c>
      <c r="E7" s="228"/>
      <c r="F7" s="228"/>
      <c r="G7" s="228"/>
      <c r="H7" s="228"/>
    </row>
    <row r="8" spans="1:8" x14ac:dyDescent="0.25">
      <c r="A8" s="66" t="s">
        <v>786</v>
      </c>
      <c r="B8" s="71">
        <v>1</v>
      </c>
      <c r="C8" s="75" t="s">
        <v>787</v>
      </c>
      <c r="D8" s="74" t="s">
        <v>162</v>
      </c>
      <c r="E8" s="228"/>
      <c r="F8" s="228"/>
      <c r="G8" s="228"/>
      <c r="H8" s="228"/>
    </row>
    <row r="9" spans="1:8" x14ac:dyDescent="0.25">
      <c r="A9" s="66" t="s">
        <v>788</v>
      </c>
      <c r="B9" s="71">
        <v>1</v>
      </c>
      <c r="C9" s="75">
        <v>277</v>
      </c>
      <c r="D9" s="74" t="s">
        <v>162</v>
      </c>
      <c r="E9" s="228"/>
      <c r="F9" s="228"/>
      <c r="G9" s="228"/>
      <c r="H9" s="228"/>
    </row>
    <row r="10" spans="1:8" x14ac:dyDescent="0.25">
      <c r="A10" s="76" t="s">
        <v>789</v>
      </c>
      <c r="B10" s="77">
        <v>1</v>
      </c>
      <c r="C10" s="79" t="s">
        <v>790</v>
      </c>
      <c r="D10" s="210" t="s">
        <v>162</v>
      </c>
      <c r="E10" s="228"/>
      <c r="F10" s="228"/>
      <c r="G10" s="228"/>
      <c r="H10" s="2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E9A-C117-42A7-A9DE-3F3944755DF9}">
  <sheetPr codeName="Planilha20">
    <tabColor rgb="FFFF0000"/>
  </sheetPr>
  <dimension ref="A1:H6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" customWidth="1"/>
    <col min="2" max="2" width="20.140625" customWidth="1"/>
    <col min="3" max="3" width="14.85546875" customWidth="1"/>
    <col min="4" max="4" width="18.710937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313</v>
      </c>
      <c r="B2" s="32">
        <v>1</v>
      </c>
      <c r="C2" s="13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1" t="s">
        <v>791</v>
      </c>
      <c r="B3" s="32">
        <v>1</v>
      </c>
      <c r="C3" s="26" t="s">
        <v>792</v>
      </c>
      <c r="D3" s="112" t="s">
        <v>162</v>
      </c>
      <c r="E3" s="228"/>
      <c r="F3" s="228"/>
      <c r="G3" s="228"/>
      <c r="H3" s="228"/>
    </row>
    <row r="4" spans="1:8" x14ac:dyDescent="0.25">
      <c r="A4" s="1" t="s">
        <v>793</v>
      </c>
      <c r="B4" s="32">
        <v>1</v>
      </c>
      <c r="C4" s="26" t="s">
        <v>794</v>
      </c>
      <c r="D4" s="112" t="s">
        <v>162</v>
      </c>
      <c r="E4" s="228"/>
      <c r="F4" s="228"/>
      <c r="G4" s="228"/>
      <c r="H4" s="228"/>
    </row>
    <row r="5" spans="1:8" x14ac:dyDescent="0.25">
      <c r="A5" s="1" t="s">
        <v>795</v>
      </c>
      <c r="B5" s="32">
        <v>1</v>
      </c>
      <c r="C5" s="26" t="s">
        <v>796</v>
      </c>
      <c r="D5" s="112" t="s">
        <v>162</v>
      </c>
      <c r="E5" s="228"/>
      <c r="F5" s="228"/>
      <c r="G5" s="228"/>
      <c r="H5" s="228"/>
    </row>
    <row r="6" spans="1:8" x14ac:dyDescent="0.25">
      <c r="A6" s="1" t="s">
        <v>797</v>
      </c>
      <c r="B6" s="32">
        <v>1</v>
      </c>
      <c r="C6" s="26" t="s">
        <v>798</v>
      </c>
      <c r="D6" s="112" t="s">
        <v>162</v>
      </c>
      <c r="E6" s="228"/>
      <c r="F6" s="228"/>
      <c r="G6" s="228"/>
      <c r="H6" s="2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12D-662D-4D04-A363-6597F88A4A15}">
  <sheetPr codeName="Planilha21">
    <tabColor rgb="FF92D050"/>
  </sheetPr>
  <dimension ref="A1:H6"/>
  <sheetViews>
    <sheetView workbookViewId="0">
      <pane ySplit="1" topLeftCell="A2" activePane="bottomLeft" state="frozen"/>
      <selection activeCell="A53" sqref="A53"/>
      <selection pane="bottomLeft" activeCell="L15" sqref="L15"/>
    </sheetView>
  </sheetViews>
  <sheetFormatPr defaultRowHeight="15" x14ac:dyDescent="0.25"/>
  <cols>
    <col min="1" max="1" width="31" customWidth="1"/>
    <col min="2" max="2" width="23.5703125" customWidth="1"/>
    <col min="3" max="3" width="16.85546875" customWidth="1"/>
    <col min="4" max="4" width="23.140625" customWidth="1"/>
    <col min="6" max="6" width="12.85546875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5" t="s">
        <v>481</v>
      </c>
      <c r="B2" s="32">
        <v>1</v>
      </c>
      <c r="C2" s="13">
        <v>662290</v>
      </c>
      <c r="D2" s="112" t="s">
        <v>501</v>
      </c>
      <c r="E2" s="228"/>
      <c r="F2" s="228"/>
      <c r="G2" s="228"/>
      <c r="H2" s="228"/>
    </row>
    <row r="3" spans="1:8" x14ac:dyDescent="0.25">
      <c r="A3" s="425" t="s">
        <v>799</v>
      </c>
      <c r="B3" s="32">
        <v>1</v>
      </c>
      <c r="C3" s="26" t="s">
        <v>800</v>
      </c>
      <c r="D3" s="112" t="s">
        <v>10</v>
      </c>
      <c r="E3" s="228"/>
      <c r="F3" s="228" t="s">
        <v>2203</v>
      </c>
      <c r="G3" s="228"/>
      <c r="H3" s="228"/>
    </row>
    <row r="4" spans="1:8" x14ac:dyDescent="0.25">
      <c r="A4" s="1" t="s">
        <v>801</v>
      </c>
      <c r="B4" s="32">
        <v>1</v>
      </c>
      <c r="C4" s="26" t="s">
        <v>802</v>
      </c>
      <c r="D4" s="112" t="s">
        <v>10</v>
      </c>
      <c r="E4" s="228"/>
      <c r="F4" s="373" t="s">
        <v>2202</v>
      </c>
      <c r="G4" s="228"/>
      <c r="H4" s="228"/>
    </row>
    <row r="5" spans="1:8" x14ac:dyDescent="0.25">
      <c r="A5" s="1" t="s">
        <v>803</v>
      </c>
      <c r="B5" s="32">
        <v>1</v>
      </c>
      <c r="C5" s="26" t="s">
        <v>804</v>
      </c>
      <c r="D5" s="112" t="s">
        <v>10</v>
      </c>
      <c r="E5" s="228"/>
      <c r="F5" s="373" t="s">
        <v>2201</v>
      </c>
      <c r="G5" s="228"/>
      <c r="H5" s="228"/>
    </row>
    <row r="6" spans="1:8" x14ac:dyDescent="0.25">
      <c r="A6" s="425" t="s">
        <v>805</v>
      </c>
      <c r="B6" s="32">
        <v>1</v>
      </c>
      <c r="C6" s="26" t="s">
        <v>806</v>
      </c>
      <c r="D6" s="112" t="s">
        <v>10</v>
      </c>
      <c r="E6" s="228"/>
      <c r="F6" s="228" t="s">
        <v>2200</v>
      </c>
      <c r="G6" s="228"/>
      <c r="H6" s="228"/>
    </row>
  </sheetData>
  <sortState xmlns:xlrd2="http://schemas.microsoft.com/office/spreadsheetml/2017/richdata2" ref="A2:D6">
    <sortCondition ref="A1:A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2B7-6B7E-42FB-9C28-40204A943BC6}">
  <sheetPr codeName="Planilha22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29.5703125" customWidth="1"/>
    <col min="2" max="2" width="19" customWidth="1"/>
    <col min="3" max="3" width="14.85546875" customWidth="1"/>
    <col min="4" max="4" width="18.4257812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ht="15" customHeight="1" x14ac:dyDescent="0.25">
      <c r="A2" s="1" t="s">
        <v>313</v>
      </c>
      <c r="B2" s="32">
        <v>1</v>
      </c>
      <c r="C2" s="13">
        <v>662250</v>
      </c>
      <c r="D2" s="112" t="s">
        <v>501</v>
      </c>
      <c r="E2" s="228"/>
      <c r="F2" s="228"/>
      <c r="G2" s="228"/>
      <c r="H2" s="228"/>
    </row>
    <row r="3" spans="1:8" ht="15" customHeight="1" x14ac:dyDescent="0.25">
      <c r="A3" s="81" t="s">
        <v>807</v>
      </c>
      <c r="B3" s="55">
        <v>1</v>
      </c>
      <c r="C3" s="82" t="s">
        <v>808</v>
      </c>
      <c r="D3" s="74" t="s">
        <v>162</v>
      </c>
      <c r="E3" s="228"/>
      <c r="F3" s="228"/>
      <c r="G3" s="228"/>
      <c r="H3" s="228"/>
    </row>
    <row r="4" spans="1:8" ht="15" customHeight="1" x14ac:dyDescent="0.25">
      <c r="A4" s="83" t="s">
        <v>809</v>
      </c>
      <c r="B4" s="55">
        <v>1</v>
      </c>
      <c r="C4" s="82" t="s">
        <v>810</v>
      </c>
      <c r="D4" s="74" t="s">
        <v>162</v>
      </c>
      <c r="E4" s="228"/>
      <c r="F4" s="228"/>
      <c r="G4" s="228"/>
      <c r="H4" s="228"/>
    </row>
    <row r="5" spans="1:8" ht="15" customHeight="1" x14ac:dyDescent="0.25">
      <c r="A5" s="84" t="s">
        <v>811</v>
      </c>
      <c r="B5" s="55">
        <v>1</v>
      </c>
      <c r="C5" s="85" t="s">
        <v>812</v>
      </c>
      <c r="D5" s="74" t="s">
        <v>162</v>
      </c>
      <c r="E5" s="228"/>
      <c r="F5" s="228"/>
      <c r="G5" s="228"/>
      <c r="H5" s="22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6966-7EC1-446D-B401-EA79F95607DF}">
  <sheetPr codeName="Planilha23">
    <tabColor rgb="FFFF0000"/>
  </sheetPr>
  <dimension ref="A1:H8"/>
  <sheetViews>
    <sheetView workbookViewId="0">
      <selection activeCell="A53" sqref="A53"/>
    </sheetView>
  </sheetViews>
  <sheetFormatPr defaultRowHeight="15" x14ac:dyDescent="0.25"/>
  <cols>
    <col min="1" max="1" width="27.28515625" customWidth="1"/>
    <col min="2" max="2" width="22.28515625" customWidth="1"/>
    <col min="3" max="3" width="16.140625" customWidth="1"/>
    <col min="4" max="4" width="27.85546875" customWidth="1"/>
  </cols>
  <sheetData>
    <row r="1" spans="1:8" ht="15.75" x14ac:dyDescent="0.25">
      <c r="A1" s="101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8" t="s">
        <v>481</v>
      </c>
      <c r="B2" s="36">
        <v>1</v>
      </c>
      <c r="C2" s="244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8" t="s">
        <v>813</v>
      </c>
      <c r="B3" s="36">
        <v>1</v>
      </c>
      <c r="C3" s="245" t="s">
        <v>814</v>
      </c>
      <c r="D3" s="74" t="s">
        <v>815</v>
      </c>
      <c r="E3" s="228"/>
      <c r="F3" s="228"/>
      <c r="G3" s="228"/>
      <c r="H3" s="228"/>
    </row>
    <row r="4" spans="1:8" x14ac:dyDescent="0.25">
      <c r="A4" s="8" t="s">
        <v>816</v>
      </c>
      <c r="B4" s="36">
        <v>1</v>
      </c>
      <c r="C4" s="245">
        <v>228</v>
      </c>
      <c r="D4" s="74" t="s">
        <v>815</v>
      </c>
      <c r="E4" s="228"/>
      <c r="F4" s="228"/>
      <c r="G4" s="228"/>
      <c r="H4" s="228"/>
    </row>
    <row r="5" spans="1:8" x14ac:dyDescent="0.25">
      <c r="A5" s="8" t="s">
        <v>817</v>
      </c>
      <c r="B5" s="36">
        <v>1</v>
      </c>
      <c r="C5" s="245">
        <v>118</v>
      </c>
      <c r="D5" s="74" t="s">
        <v>815</v>
      </c>
      <c r="E5" s="228"/>
      <c r="F5" s="228"/>
      <c r="G5" s="228"/>
      <c r="H5" s="228"/>
    </row>
    <row r="6" spans="1:8" x14ac:dyDescent="0.25">
      <c r="A6" s="8" t="s">
        <v>818</v>
      </c>
      <c r="B6" s="36">
        <v>1</v>
      </c>
      <c r="C6" s="245">
        <v>121</v>
      </c>
      <c r="D6" s="74" t="s">
        <v>815</v>
      </c>
      <c r="E6" s="228"/>
      <c r="F6" s="228"/>
      <c r="G6" s="228"/>
      <c r="H6" s="228"/>
    </row>
    <row r="7" spans="1:8" x14ac:dyDescent="0.25">
      <c r="A7" s="8" t="s">
        <v>819</v>
      </c>
      <c r="B7" s="36">
        <v>1</v>
      </c>
      <c r="C7" s="245">
        <v>69</v>
      </c>
      <c r="D7" s="74" t="s">
        <v>815</v>
      </c>
      <c r="E7" s="228"/>
      <c r="F7" s="228"/>
      <c r="G7" s="228"/>
      <c r="H7" s="228"/>
    </row>
    <row r="8" spans="1:8" x14ac:dyDescent="0.25">
      <c r="A8" s="8" t="s">
        <v>820</v>
      </c>
      <c r="B8" s="36">
        <v>1</v>
      </c>
      <c r="C8" s="245">
        <v>180</v>
      </c>
      <c r="D8" s="74" t="s">
        <v>815</v>
      </c>
      <c r="E8" s="228"/>
      <c r="F8" s="228"/>
      <c r="G8" s="228"/>
      <c r="H8" s="22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58C-2994-4C15-855F-9FA593CEF956}">
  <sheetPr codeName="Planilha24">
    <tabColor theme="8" tint="-0.249977111117893"/>
  </sheetPr>
  <dimension ref="A1:H16"/>
  <sheetViews>
    <sheetView workbookViewId="0">
      <pane ySplit="1" topLeftCell="A2" activePane="bottomLeft" state="frozen"/>
      <selection activeCell="A53" sqref="A53"/>
      <selection pane="bottomLeft" activeCell="F7" sqref="F7"/>
    </sheetView>
  </sheetViews>
  <sheetFormatPr defaultRowHeight="15" x14ac:dyDescent="0.25"/>
  <cols>
    <col min="1" max="1" width="35.140625" customWidth="1"/>
    <col min="2" max="2" width="26.7109375" customWidth="1"/>
    <col min="3" max="3" width="17.5703125" customWidth="1"/>
    <col min="4" max="4" width="19.2851562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822</v>
      </c>
      <c r="B2" s="32">
        <v>1</v>
      </c>
      <c r="C2" s="26">
        <v>2058</v>
      </c>
      <c r="D2" s="112" t="s">
        <v>4</v>
      </c>
      <c r="E2" s="228"/>
      <c r="F2" s="9" t="s">
        <v>1790</v>
      </c>
      <c r="G2" s="228"/>
      <c r="H2" s="228"/>
    </row>
    <row r="3" spans="1:8" x14ac:dyDescent="0.25">
      <c r="A3" s="1" t="s">
        <v>823</v>
      </c>
      <c r="B3" s="32">
        <v>1</v>
      </c>
      <c r="C3" s="26">
        <v>2059</v>
      </c>
      <c r="D3" s="112" t="s">
        <v>4</v>
      </c>
      <c r="E3" s="228"/>
      <c r="F3" s="9" t="s">
        <v>1791</v>
      </c>
      <c r="G3" s="228"/>
      <c r="H3" s="228"/>
    </row>
    <row r="4" spans="1:8" x14ac:dyDescent="0.25">
      <c r="A4" s="1" t="s">
        <v>824</v>
      </c>
      <c r="B4" s="32">
        <v>1</v>
      </c>
      <c r="C4" s="26">
        <v>2061</v>
      </c>
      <c r="D4" s="112" t="s">
        <v>4</v>
      </c>
      <c r="E4" s="228"/>
      <c r="F4" s="9" t="s">
        <v>1792</v>
      </c>
      <c r="G4" s="228"/>
      <c r="H4" s="228"/>
    </row>
    <row r="5" spans="1:8" x14ac:dyDescent="0.25">
      <c r="A5" s="1" t="s">
        <v>825</v>
      </c>
      <c r="B5" s="32">
        <v>1</v>
      </c>
      <c r="C5" s="26">
        <v>2063</v>
      </c>
      <c r="D5" s="112" t="s">
        <v>4</v>
      </c>
      <c r="E5" s="228"/>
      <c r="F5" s="9" t="s">
        <v>1793</v>
      </c>
      <c r="G5" s="228"/>
      <c r="H5" s="228"/>
    </row>
    <row r="6" spans="1:8" x14ac:dyDescent="0.25">
      <c r="A6" s="427" t="s">
        <v>831</v>
      </c>
      <c r="B6" s="55">
        <v>1</v>
      </c>
      <c r="C6" s="42">
        <v>223100</v>
      </c>
      <c r="D6" s="74" t="s">
        <v>162</v>
      </c>
      <c r="E6" s="228"/>
      <c r="F6" s="228"/>
      <c r="G6" s="228"/>
      <c r="H6" s="228"/>
    </row>
    <row r="7" spans="1:8" x14ac:dyDescent="0.25">
      <c r="A7" s="425" t="s">
        <v>481</v>
      </c>
      <c r="B7" s="32">
        <v>1</v>
      </c>
      <c r="C7" s="54">
        <v>662550</v>
      </c>
      <c r="D7" s="112" t="s">
        <v>501</v>
      </c>
      <c r="E7" s="228"/>
      <c r="F7" s="541" t="s">
        <v>2144</v>
      </c>
      <c r="G7" s="228"/>
      <c r="H7" s="228"/>
    </row>
    <row r="8" spans="1:8" x14ac:dyDescent="0.25">
      <c r="A8" s="425" t="s">
        <v>826</v>
      </c>
      <c r="B8" s="32">
        <v>1</v>
      </c>
      <c r="C8" s="26">
        <v>2195</v>
      </c>
      <c r="D8" s="112" t="s">
        <v>4</v>
      </c>
      <c r="E8" s="228"/>
      <c r="F8" s="228"/>
      <c r="G8" s="228"/>
      <c r="H8" s="228"/>
    </row>
    <row r="9" spans="1:8" x14ac:dyDescent="0.25">
      <c r="A9" s="425" t="s">
        <v>830</v>
      </c>
      <c r="B9" s="32">
        <v>1</v>
      </c>
      <c r="C9" s="26">
        <v>4912</v>
      </c>
      <c r="D9" s="112" t="s">
        <v>4</v>
      </c>
      <c r="E9" s="228"/>
      <c r="F9" s="228"/>
      <c r="G9" s="228"/>
      <c r="H9" s="228"/>
    </row>
    <row r="10" spans="1:8" x14ac:dyDescent="0.25">
      <c r="A10" s="425" t="s">
        <v>832</v>
      </c>
      <c r="B10" s="32">
        <v>1</v>
      </c>
      <c r="C10" s="26">
        <v>2556</v>
      </c>
      <c r="D10" s="112" t="s">
        <v>4</v>
      </c>
      <c r="E10" s="228"/>
      <c r="F10" s="228"/>
      <c r="G10" s="228"/>
      <c r="H10" s="228"/>
    </row>
    <row r="11" spans="1:8" x14ac:dyDescent="0.25">
      <c r="A11" s="425" t="s">
        <v>833</v>
      </c>
      <c r="B11" s="32">
        <v>1</v>
      </c>
      <c r="C11" s="26">
        <v>2556</v>
      </c>
      <c r="D11" s="112" t="s">
        <v>4</v>
      </c>
      <c r="E11" s="228"/>
      <c r="F11" s="228"/>
      <c r="G11" s="228"/>
      <c r="H11" s="228"/>
    </row>
    <row r="12" spans="1:8" x14ac:dyDescent="0.25">
      <c r="A12" s="425" t="s">
        <v>834</v>
      </c>
      <c r="B12" s="32">
        <v>1</v>
      </c>
      <c r="C12" s="26">
        <v>2556</v>
      </c>
      <c r="D12" s="112" t="s">
        <v>4</v>
      </c>
      <c r="E12" s="228"/>
      <c r="F12" s="228"/>
      <c r="G12" s="228"/>
      <c r="H12" s="228"/>
    </row>
    <row r="13" spans="1:8" x14ac:dyDescent="0.25">
      <c r="A13" s="425" t="s">
        <v>827</v>
      </c>
      <c r="B13" s="32">
        <v>1</v>
      </c>
      <c r="C13" s="26">
        <v>2625</v>
      </c>
      <c r="D13" s="112" t="s">
        <v>4</v>
      </c>
      <c r="E13" s="228"/>
      <c r="F13" s="228"/>
      <c r="G13" s="228"/>
      <c r="H13" s="228"/>
    </row>
    <row r="14" spans="1:8" x14ac:dyDescent="0.25">
      <c r="A14" s="425" t="s">
        <v>828</v>
      </c>
      <c r="B14" s="32">
        <v>1</v>
      </c>
      <c r="C14" s="26">
        <v>3462</v>
      </c>
      <c r="D14" s="112" t="s">
        <v>4</v>
      </c>
      <c r="E14" s="228"/>
      <c r="F14" s="228"/>
      <c r="G14" s="228"/>
      <c r="H14" s="228"/>
    </row>
    <row r="15" spans="1:8" x14ac:dyDescent="0.25">
      <c r="A15" s="425" t="s">
        <v>821</v>
      </c>
      <c r="B15" s="32">
        <v>1</v>
      </c>
      <c r="C15" s="26">
        <v>1440</v>
      </c>
      <c r="D15" s="112" t="s">
        <v>4</v>
      </c>
      <c r="E15" s="228"/>
      <c r="F15" s="228"/>
      <c r="G15" s="228"/>
      <c r="H15" s="228"/>
    </row>
    <row r="16" spans="1:8" x14ac:dyDescent="0.25">
      <c r="A16" s="425" t="s">
        <v>829</v>
      </c>
      <c r="B16" s="32">
        <v>1</v>
      </c>
      <c r="C16" s="26">
        <v>4871</v>
      </c>
      <c r="D16" s="112" t="s">
        <v>4</v>
      </c>
      <c r="E16" s="228"/>
      <c r="F16" s="228"/>
      <c r="G16" s="228"/>
      <c r="H16" s="228"/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17-87F5-457D-8A15-00729602AF4E}">
  <sheetPr codeName="Planilha25">
    <tabColor theme="0"/>
  </sheetPr>
  <dimension ref="A1:H35"/>
  <sheetViews>
    <sheetView workbookViewId="0">
      <pane ySplit="1" topLeftCell="A11" activePane="bottomLeft" state="frozen"/>
      <selection activeCell="A53" sqref="A53"/>
      <selection pane="bottomLeft" activeCell="A37" sqref="A37"/>
    </sheetView>
  </sheetViews>
  <sheetFormatPr defaultRowHeight="15" x14ac:dyDescent="0.25"/>
  <cols>
    <col min="1" max="1" width="46.42578125" customWidth="1"/>
    <col min="2" max="2" width="17.42578125" customWidth="1"/>
    <col min="3" max="3" width="16.85546875" customWidth="1"/>
    <col min="4" max="4" width="18.42578125" customWidth="1"/>
    <col min="6" max="6" width="17" customWidth="1"/>
  </cols>
  <sheetData>
    <row r="1" spans="1:8" ht="18.75" customHeight="1" x14ac:dyDescent="0.25">
      <c r="A1" s="97" t="s">
        <v>0</v>
      </c>
      <c r="B1" s="48" t="s">
        <v>305</v>
      </c>
      <c r="C1" s="99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835</v>
      </c>
      <c r="B2" s="45">
        <v>2</v>
      </c>
      <c r="C2" s="53" t="s">
        <v>9</v>
      </c>
      <c r="D2" s="112" t="s">
        <v>10</v>
      </c>
      <c r="E2" s="228"/>
      <c r="F2" s="228" t="s">
        <v>1756</v>
      </c>
      <c r="G2" s="228"/>
      <c r="H2" s="228"/>
    </row>
    <row r="3" spans="1:8" x14ac:dyDescent="0.25">
      <c r="A3" s="3" t="s">
        <v>836</v>
      </c>
      <c r="B3" s="45">
        <v>2</v>
      </c>
      <c r="C3" s="53" t="s">
        <v>695</v>
      </c>
      <c r="D3" s="112" t="s">
        <v>10</v>
      </c>
      <c r="E3" s="228"/>
      <c r="F3" s="228" t="s">
        <v>1767</v>
      </c>
      <c r="G3" s="228"/>
      <c r="H3" s="228"/>
    </row>
    <row r="4" spans="1:8" s="18" customFormat="1" x14ac:dyDescent="0.25">
      <c r="A4" s="519" t="s">
        <v>313</v>
      </c>
      <c r="B4" s="71">
        <v>1</v>
      </c>
      <c r="C4" s="75">
        <v>662550</v>
      </c>
      <c r="D4" s="74" t="s">
        <v>501</v>
      </c>
      <c r="E4" s="248"/>
      <c r="F4" s="248"/>
      <c r="G4" s="248"/>
      <c r="H4" s="248"/>
    </row>
    <row r="5" spans="1:8" s="18" customFormat="1" x14ac:dyDescent="0.25">
      <c r="A5" s="66" t="s">
        <v>837</v>
      </c>
      <c r="B5" s="71">
        <v>2</v>
      </c>
      <c r="C5" s="75" t="s">
        <v>838</v>
      </c>
      <c r="D5" s="74" t="s">
        <v>10</v>
      </c>
      <c r="E5" s="248"/>
      <c r="F5" s="248" t="s">
        <v>1871</v>
      </c>
      <c r="G5" s="248"/>
      <c r="H5" s="248"/>
    </row>
    <row r="6" spans="1:8" s="18" customFormat="1" x14ac:dyDescent="0.25">
      <c r="A6" s="66" t="s">
        <v>839</v>
      </c>
      <c r="B6" s="71">
        <v>2</v>
      </c>
      <c r="C6" s="75" t="s">
        <v>840</v>
      </c>
      <c r="D6" s="74" t="s">
        <v>10</v>
      </c>
      <c r="E6" s="248"/>
      <c r="F6" s="248" t="s">
        <v>1872</v>
      </c>
      <c r="G6" s="248"/>
      <c r="H6" s="248"/>
    </row>
    <row r="7" spans="1:8" x14ac:dyDescent="0.25">
      <c r="A7" s="66" t="s">
        <v>159</v>
      </c>
      <c r="B7" s="71">
        <v>1</v>
      </c>
      <c r="C7" s="75" t="s">
        <v>702</v>
      </c>
      <c r="D7" s="74" t="s">
        <v>10</v>
      </c>
      <c r="E7" s="228"/>
      <c r="F7" s="228" t="s">
        <v>1880</v>
      </c>
      <c r="G7" s="228"/>
      <c r="H7" s="228"/>
    </row>
    <row r="8" spans="1:8" x14ac:dyDescent="0.25">
      <c r="A8" s="66" t="s">
        <v>703</v>
      </c>
      <c r="B8" s="71">
        <v>2</v>
      </c>
      <c r="C8" s="75" t="s">
        <v>31</v>
      </c>
      <c r="D8" s="74" t="s">
        <v>10</v>
      </c>
      <c r="E8" s="228"/>
      <c r="F8" s="228" t="s">
        <v>1754</v>
      </c>
      <c r="G8" s="228"/>
      <c r="H8" s="228"/>
    </row>
    <row r="9" spans="1:8" x14ac:dyDescent="0.25">
      <c r="A9" s="66" t="s">
        <v>841</v>
      </c>
      <c r="B9" s="71">
        <v>1</v>
      </c>
      <c r="C9" s="75" t="s">
        <v>842</v>
      </c>
      <c r="D9" s="74" t="s">
        <v>10</v>
      </c>
      <c r="E9" s="228"/>
      <c r="F9" s="228" t="s">
        <v>2079</v>
      </c>
      <c r="G9" s="228"/>
      <c r="H9" s="228"/>
    </row>
    <row r="10" spans="1:8" x14ac:dyDescent="0.25">
      <c r="A10" s="66" t="s">
        <v>704</v>
      </c>
      <c r="B10" s="71">
        <v>2</v>
      </c>
      <c r="C10" s="75" t="s">
        <v>34</v>
      </c>
      <c r="D10" s="74" t="s">
        <v>10</v>
      </c>
      <c r="E10" s="228"/>
      <c r="F10" s="228" t="s">
        <v>1753</v>
      </c>
      <c r="G10" s="228"/>
      <c r="H10" s="228"/>
    </row>
    <row r="11" spans="1:8" x14ac:dyDescent="0.25">
      <c r="A11" s="66" t="s">
        <v>843</v>
      </c>
      <c r="B11" s="71">
        <v>6</v>
      </c>
      <c r="C11" s="75" t="s">
        <v>37</v>
      </c>
      <c r="D11" s="74" t="s">
        <v>10</v>
      </c>
      <c r="E11" s="228"/>
      <c r="F11" s="228" t="s">
        <v>1881</v>
      </c>
      <c r="G11" s="228"/>
      <c r="H11" s="228"/>
    </row>
    <row r="12" spans="1:8" x14ac:dyDescent="0.25">
      <c r="A12" s="66" t="s">
        <v>42</v>
      </c>
      <c r="B12" s="71">
        <v>1</v>
      </c>
      <c r="C12" s="75" t="s">
        <v>844</v>
      </c>
      <c r="D12" s="74" t="s">
        <v>10</v>
      </c>
      <c r="E12" s="228"/>
      <c r="F12" s="228" t="s">
        <v>1885</v>
      </c>
      <c r="G12" s="228"/>
      <c r="H12" s="228"/>
    </row>
    <row r="13" spans="1:8" x14ac:dyDescent="0.25">
      <c r="A13" s="66" t="s">
        <v>707</v>
      </c>
      <c r="B13" s="71">
        <v>10</v>
      </c>
      <c r="C13" s="75" t="s">
        <v>605</v>
      </c>
      <c r="D13" s="74" t="s">
        <v>8</v>
      </c>
      <c r="E13" s="228"/>
      <c r="F13" s="228" t="s">
        <v>1895</v>
      </c>
      <c r="G13" s="228"/>
      <c r="H13" s="228"/>
    </row>
    <row r="14" spans="1:8" x14ac:dyDescent="0.25">
      <c r="A14" s="66" t="s">
        <v>845</v>
      </c>
      <c r="B14" s="71">
        <v>1</v>
      </c>
      <c r="C14" s="75" t="s">
        <v>53</v>
      </c>
      <c r="D14" s="74" t="s">
        <v>8</v>
      </c>
      <c r="E14" s="228"/>
      <c r="F14" s="228" t="s">
        <v>1900</v>
      </c>
      <c r="G14" s="228"/>
      <c r="H14" s="228"/>
    </row>
    <row r="15" spans="1:8" x14ac:dyDescent="0.25">
      <c r="A15" s="66" t="s">
        <v>56</v>
      </c>
      <c r="B15" s="71">
        <v>2</v>
      </c>
      <c r="C15" s="75" t="s">
        <v>742</v>
      </c>
      <c r="D15" s="74" t="s">
        <v>10</v>
      </c>
      <c r="E15" s="228"/>
      <c r="F15" s="228" t="s">
        <v>1911</v>
      </c>
      <c r="G15" s="228"/>
      <c r="H15" s="228"/>
    </row>
    <row r="16" spans="1:8" x14ac:dyDescent="0.25">
      <c r="A16" s="66" t="s">
        <v>108</v>
      </c>
      <c r="B16" s="71">
        <v>1</v>
      </c>
      <c r="C16" s="75" t="s">
        <v>109</v>
      </c>
      <c r="D16" s="74" t="s">
        <v>10</v>
      </c>
      <c r="E16" s="228"/>
      <c r="F16" s="228" t="s">
        <v>1924</v>
      </c>
      <c r="G16" s="228"/>
      <c r="H16" s="228"/>
    </row>
    <row r="17" spans="1:8" x14ac:dyDescent="0.25">
      <c r="A17" s="66" t="s">
        <v>846</v>
      </c>
      <c r="B17" s="71">
        <v>6</v>
      </c>
      <c r="C17" s="75" t="s">
        <v>747</v>
      </c>
      <c r="D17" s="74" t="s">
        <v>10</v>
      </c>
      <c r="E17" s="228"/>
      <c r="F17" s="228" t="s">
        <v>1930</v>
      </c>
      <c r="G17" s="228"/>
      <c r="H17" s="228"/>
    </row>
    <row r="18" spans="1:8" x14ac:dyDescent="0.25">
      <c r="A18" s="66" t="s">
        <v>72</v>
      </c>
      <c r="B18" s="71">
        <v>2</v>
      </c>
      <c r="C18" s="75" t="s">
        <v>74</v>
      </c>
      <c r="D18" s="74" t="s">
        <v>10</v>
      </c>
      <c r="E18" s="228"/>
      <c r="F18" s="228" t="s">
        <v>1937</v>
      </c>
      <c r="G18" s="228"/>
      <c r="H18" s="228"/>
    </row>
    <row r="19" spans="1:8" x14ac:dyDescent="0.25">
      <c r="A19" s="66" t="s">
        <v>847</v>
      </c>
      <c r="B19" s="71">
        <v>2</v>
      </c>
      <c r="C19" s="75" t="s">
        <v>74</v>
      </c>
      <c r="D19" s="74" t="s">
        <v>10</v>
      </c>
      <c r="E19" s="228"/>
      <c r="F19" s="228" t="s">
        <v>1936</v>
      </c>
      <c r="G19" s="228"/>
      <c r="H19" s="228"/>
    </row>
    <row r="20" spans="1:8" x14ac:dyDescent="0.25">
      <c r="A20" s="66" t="s">
        <v>708</v>
      </c>
      <c r="B20" s="71">
        <v>8</v>
      </c>
      <c r="C20" s="75" t="s">
        <v>616</v>
      </c>
      <c r="D20" s="74" t="s">
        <v>10</v>
      </c>
      <c r="E20" s="228"/>
      <c r="F20" s="228" t="s">
        <v>1877</v>
      </c>
      <c r="G20" s="228"/>
      <c r="H20" s="228"/>
    </row>
    <row r="21" spans="1:8" x14ac:dyDescent="0.25">
      <c r="A21" s="66" t="s">
        <v>848</v>
      </c>
      <c r="B21" s="71">
        <v>4</v>
      </c>
      <c r="C21" s="75" t="s">
        <v>618</v>
      </c>
      <c r="D21" s="74" t="s">
        <v>10</v>
      </c>
      <c r="E21" s="228"/>
      <c r="F21" s="228" t="s">
        <v>1878</v>
      </c>
      <c r="G21" s="228"/>
      <c r="H21" s="228"/>
    </row>
    <row r="22" spans="1:8" x14ac:dyDescent="0.25">
      <c r="A22" s="66" t="s">
        <v>849</v>
      </c>
      <c r="B22" s="71">
        <v>2</v>
      </c>
      <c r="C22" s="75" t="s">
        <v>346</v>
      </c>
      <c r="D22" s="74" t="s">
        <v>10</v>
      </c>
      <c r="E22" s="228"/>
      <c r="F22" s="228" t="s">
        <v>1879</v>
      </c>
      <c r="G22" s="228"/>
      <c r="H22" s="228"/>
    </row>
    <row r="23" spans="1:8" x14ac:dyDescent="0.25">
      <c r="A23" s="66" t="s">
        <v>853</v>
      </c>
      <c r="B23" s="71">
        <v>2</v>
      </c>
      <c r="C23" s="75" t="s">
        <v>715</v>
      </c>
      <c r="D23" s="74" t="s">
        <v>10</v>
      </c>
      <c r="E23" s="228"/>
      <c r="F23" s="372" t="s">
        <v>1960</v>
      </c>
      <c r="G23" s="228"/>
      <c r="H23" s="228"/>
    </row>
    <row r="24" spans="1:8" x14ac:dyDescent="0.25">
      <c r="A24" s="66" t="s">
        <v>854</v>
      </c>
      <c r="B24" s="71">
        <v>2</v>
      </c>
      <c r="C24" s="75" t="s">
        <v>90</v>
      </c>
      <c r="D24" s="74" t="s">
        <v>10</v>
      </c>
      <c r="E24" s="228"/>
      <c r="F24" s="372" t="s">
        <v>1961</v>
      </c>
      <c r="G24" s="228"/>
      <c r="H24" s="228"/>
    </row>
    <row r="25" spans="1:8" x14ac:dyDescent="0.25">
      <c r="A25" s="66" t="s">
        <v>856</v>
      </c>
      <c r="B25" s="71">
        <v>1</v>
      </c>
      <c r="C25" s="75" t="s">
        <v>92</v>
      </c>
      <c r="D25" s="74" t="s">
        <v>10</v>
      </c>
      <c r="E25" s="228"/>
      <c r="F25" s="372" t="s">
        <v>1962</v>
      </c>
      <c r="G25" s="228"/>
      <c r="H25" s="228"/>
    </row>
    <row r="26" spans="1:8" x14ac:dyDescent="0.25">
      <c r="A26" s="66" t="s">
        <v>93</v>
      </c>
      <c r="B26" s="71">
        <v>1</v>
      </c>
      <c r="C26" s="75" t="s">
        <v>94</v>
      </c>
      <c r="D26" s="74" t="s">
        <v>10</v>
      </c>
      <c r="E26" s="228"/>
      <c r="F26" s="377" t="s">
        <v>1963</v>
      </c>
      <c r="G26" s="228"/>
      <c r="H26" s="228"/>
    </row>
    <row r="27" spans="1:8" x14ac:dyDescent="0.25">
      <c r="A27" s="66" t="s">
        <v>850</v>
      </c>
      <c r="B27" s="71">
        <v>1</v>
      </c>
      <c r="C27" s="75" t="s">
        <v>753</v>
      </c>
      <c r="D27" s="74" t="s">
        <v>10</v>
      </c>
      <c r="E27" s="228"/>
      <c r="F27" s="377" t="s">
        <v>1971</v>
      </c>
      <c r="G27" s="228"/>
      <c r="H27" s="228"/>
    </row>
    <row r="28" spans="1:8" x14ac:dyDescent="0.25">
      <c r="A28" s="66" t="s">
        <v>851</v>
      </c>
      <c r="B28" s="71">
        <v>1</v>
      </c>
      <c r="C28" s="75" t="s">
        <v>852</v>
      </c>
      <c r="D28" s="74" t="s">
        <v>10</v>
      </c>
      <c r="E28" s="228"/>
      <c r="F28" s="377" t="s">
        <v>1972</v>
      </c>
      <c r="G28" s="228"/>
      <c r="H28" s="228"/>
    </row>
    <row r="29" spans="1:8" x14ac:dyDescent="0.25">
      <c r="A29" s="66" t="s">
        <v>857</v>
      </c>
      <c r="B29" s="71">
        <v>2</v>
      </c>
      <c r="C29" s="75" t="s">
        <v>119</v>
      </c>
      <c r="D29" s="74" t="s">
        <v>10</v>
      </c>
      <c r="E29" s="228"/>
      <c r="F29" s="374" t="s">
        <v>1993</v>
      </c>
      <c r="G29" s="228"/>
      <c r="H29" s="228"/>
    </row>
    <row r="30" spans="1:8" x14ac:dyDescent="0.25">
      <c r="A30" s="66" t="s">
        <v>120</v>
      </c>
      <c r="B30" s="86">
        <v>2</v>
      </c>
      <c r="C30" s="204" t="s">
        <v>121</v>
      </c>
      <c r="D30" s="74" t="s">
        <v>10</v>
      </c>
      <c r="E30" s="228"/>
      <c r="F30" s="374" t="s">
        <v>2000</v>
      </c>
      <c r="G30" s="228"/>
      <c r="H30" s="228"/>
    </row>
    <row r="31" spans="1:8" x14ac:dyDescent="0.25">
      <c r="A31" s="72" t="s">
        <v>718</v>
      </c>
      <c r="B31" s="87">
        <v>1</v>
      </c>
      <c r="C31" s="246" t="s">
        <v>858</v>
      </c>
      <c r="D31" s="74" t="s">
        <v>10</v>
      </c>
      <c r="E31" s="228"/>
      <c r="F31" s="373" t="s">
        <v>2002</v>
      </c>
      <c r="G31" s="228"/>
      <c r="H31" s="228"/>
    </row>
    <row r="32" spans="1:8" x14ac:dyDescent="0.25">
      <c r="A32" s="72" t="s">
        <v>859</v>
      </c>
      <c r="B32" s="87">
        <v>2</v>
      </c>
      <c r="C32" s="247" t="s">
        <v>860</v>
      </c>
      <c r="D32" s="74" t="s">
        <v>10</v>
      </c>
      <c r="E32" s="228"/>
      <c r="F32" s="375" t="s">
        <v>1994</v>
      </c>
      <c r="G32" s="228"/>
      <c r="H32" s="228"/>
    </row>
    <row r="33" spans="1:8" x14ac:dyDescent="0.25">
      <c r="A33" s="72" t="s">
        <v>861</v>
      </c>
      <c r="B33" s="87">
        <v>2</v>
      </c>
      <c r="C33" s="152" t="s">
        <v>103</v>
      </c>
      <c r="D33" s="74" t="s">
        <v>10</v>
      </c>
      <c r="E33" s="228"/>
      <c r="F33" s="374" t="s">
        <v>2004</v>
      </c>
      <c r="G33" s="228"/>
      <c r="H33" s="228"/>
    </row>
    <row r="34" spans="1:8" x14ac:dyDescent="0.25">
      <c r="A34" s="72" t="s">
        <v>99</v>
      </c>
      <c r="B34" s="87">
        <v>2</v>
      </c>
      <c r="C34" s="152" t="s">
        <v>100</v>
      </c>
      <c r="D34" s="74" t="s">
        <v>10</v>
      </c>
      <c r="E34" s="228"/>
      <c r="F34" s="373" t="s">
        <v>2006</v>
      </c>
      <c r="G34" s="228"/>
      <c r="H34" s="228"/>
    </row>
    <row r="35" spans="1:8" x14ac:dyDescent="0.25">
      <c r="A35" s="146" t="s">
        <v>519</v>
      </c>
      <c r="B35" s="70">
        <v>1</v>
      </c>
      <c r="C35" s="79" t="s">
        <v>105</v>
      </c>
      <c r="D35" s="74" t="s">
        <v>10</v>
      </c>
      <c r="E35" s="228"/>
      <c r="F35" s="373" t="s">
        <v>2007</v>
      </c>
      <c r="G35" s="228"/>
      <c r="H35" s="228"/>
    </row>
  </sheetData>
  <sortState xmlns:xlrd2="http://schemas.microsoft.com/office/spreadsheetml/2017/richdata2" ref="A2:D35">
    <sortCondition ref="A1:A35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D41F-3306-4283-B0F1-CC61DE6A468F}">
  <sheetPr codeName="Planilha26">
    <tabColor theme="8" tint="-0.249977111117893"/>
  </sheetPr>
  <dimension ref="A1:H32"/>
  <sheetViews>
    <sheetView workbookViewId="0">
      <pane ySplit="1" topLeftCell="A2" activePane="bottomLeft" state="frozen"/>
      <selection activeCell="A53" sqref="A53"/>
      <selection pane="bottomLeft" activeCell="C11" sqref="C11"/>
    </sheetView>
  </sheetViews>
  <sheetFormatPr defaultRowHeight="15" x14ac:dyDescent="0.25"/>
  <cols>
    <col min="1" max="1" width="39.85546875" customWidth="1"/>
    <col min="2" max="2" width="21.5703125" customWidth="1"/>
    <col min="3" max="3" width="19" customWidth="1"/>
    <col min="4" max="4" width="19.140625" customWidth="1"/>
    <col min="6" max="6" width="15.5703125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9" t="s">
        <v>865</v>
      </c>
      <c r="B2" s="36">
        <v>1</v>
      </c>
      <c r="C2" s="131" t="s">
        <v>866</v>
      </c>
      <c r="D2" s="112" t="s">
        <v>10</v>
      </c>
      <c r="E2" s="228"/>
      <c r="F2" s="228" t="s">
        <v>1749</v>
      </c>
      <c r="G2" s="228"/>
      <c r="H2" s="228"/>
    </row>
    <row r="3" spans="1:8" x14ac:dyDescent="0.25">
      <c r="A3" s="520" t="s">
        <v>867</v>
      </c>
      <c r="B3" s="36">
        <v>1</v>
      </c>
      <c r="C3" s="131" t="s">
        <v>868</v>
      </c>
      <c r="D3" s="112" t="s">
        <v>10</v>
      </c>
      <c r="E3" s="228"/>
      <c r="F3" s="228"/>
      <c r="G3" s="228"/>
      <c r="H3" s="228"/>
    </row>
    <row r="4" spans="1:8" x14ac:dyDescent="0.25">
      <c r="A4" s="88" t="s">
        <v>908</v>
      </c>
      <c r="B4" s="68">
        <v>1</v>
      </c>
      <c r="C4" s="152" t="s">
        <v>909</v>
      </c>
      <c r="D4" s="74" t="s">
        <v>10</v>
      </c>
      <c r="E4" s="228"/>
      <c r="F4" s="484" t="s">
        <v>1760</v>
      </c>
      <c r="G4" s="228"/>
      <c r="H4" s="228"/>
    </row>
    <row r="5" spans="1:8" x14ac:dyDescent="0.25">
      <c r="A5" s="521" t="s">
        <v>869</v>
      </c>
      <c r="B5" s="68">
        <v>1</v>
      </c>
      <c r="C5" s="152">
        <v>1866</v>
      </c>
      <c r="D5" s="74" t="s">
        <v>4</v>
      </c>
      <c r="E5" s="228"/>
      <c r="F5" s="228"/>
      <c r="G5" s="228"/>
      <c r="H5" s="228"/>
    </row>
    <row r="6" spans="1:8" x14ac:dyDescent="0.25">
      <c r="A6" s="521" t="s">
        <v>870</v>
      </c>
      <c r="B6" s="68">
        <v>1</v>
      </c>
      <c r="C6" s="184"/>
      <c r="D6" s="74" t="s">
        <v>146</v>
      </c>
      <c r="E6" s="228"/>
      <c r="F6" s="228"/>
      <c r="G6" s="228"/>
      <c r="H6" s="228"/>
    </row>
    <row r="7" spans="1:8" x14ac:dyDescent="0.25">
      <c r="A7" s="521" t="s">
        <v>311</v>
      </c>
      <c r="B7" s="68">
        <v>1</v>
      </c>
      <c r="C7" s="255">
        <v>1999</v>
      </c>
      <c r="D7" s="74" t="s">
        <v>4</v>
      </c>
      <c r="E7" s="228"/>
      <c r="F7" s="228"/>
      <c r="G7" s="228"/>
      <c r="H7" s="228"/>
    </row>
    <row r="8" spans="1:8" x14ac:dyDescent="0.25">
      <c r="A8" s="88" t="s">
        <v>871</v>
      </c>
      <c r="B8" s="68">
        <v>1</v>
      </c>
      <c r="C8" s="152">
        <v>2049</v>
      </c>
      <c r="D8" s="74" t="s">
        <v>4</v>
      </c>
      <c r="E8" s="228"/>
      <c r="F8" s="228" t="s">
        <v>1796</v>
      </c>
      <c r="G8" s="228"/>
      <c r="H8" s="228"/>
    </row>
    <row r="9" spans="1:8" x14ac:dyDescent="0.25">
      <c r="A9" s="88" t="s">
        <v>872</v>
      </c>
      <c r="B9" s="68">
        <v>1</v>
      </c>
      <c r="C9" s="152">
        <v>2050</v>
      </c>
      <c r="D9" s="74" t="s">
        <v>4</v>
      </c>
      <c r="E9" s="228"/>
      <c r="F9" s="228" t="s">
        <v>1797</v>
      </c>
      <c r="G9" s="228"/>
      <c r="H9" s="228"/>
    </row>
    <row r="10" spans="1:8" x14ac:dyDescent="0.25">
      <c r="A10" s="9" t="s">
        <v>873</v>
      </c>
      <c r="B10" s="36">
        <v>1</v>
      </c>
      <c r="C10" s="131" t="s">
        <v>874</v>
      </c>
      <c r="D10" s="112" t="s">
        <v>10</v>
      </c>
      <c r="E10" s="228"/>
      <c r="F10" s="228" t="s">
        <v>2080</v>
      </c>
      <c r="G10" s="228"/>
      <c r="H10" s="228"/>
    </row>
    <row r="11" spans="1:8" x14ac:dyDescent="0.25">
      <c r="A11" s="520" t="s">
        <v>361</v>
      </c>
      <c r="B11" s="36">
        <v>1</v>
      </c>
      <c r="C11" s="119">
        <v>662590</v>
      </c>
      <c r="D11" s="112" t="s">
        <v>875</v>
      </c>
      <c r="E11" s="228"/>
      <c r="F11" s="228"/>
      <c r="G11" s="228"/>
      <c r="H11" s="228"/>
    </row>
    <row r="12" spans="1:8" x14ac:dyDescent="0.25">
      <c r="A12" s="9" t="s">
        <v>876</v>
      </c>
      <c r="B12" s="36">
        <v>1</v>
      </c>
      <c r="C12" s="131" t="s">
        <v>877</v>
      </c>
      <c r="D12" s="112" t="s">
        <v>10</v>
      </c>
      <c r="E12" s="228"/>
      <c r="F12" s="228" t="s">
        <v>2081</v>
      </c>
      <c r="G12" s="228"/>
      <c r="H12" s="228"/>
    </row>
    <row r="13" spans="1:8" s="18" customFormat="1" x14ac:dyDescent="0.25">
      <c r="A13" s="521" t="s">
        <v>878</v>
      </c>
      <c r="B13" s="68">
        <v>1</v>
      </c>
      <c r="C13" s="152">
        <v>479100</v>
      </c>
      <c r="D13" s="74" t="s">
        <v>162</v>
      </c>
      <c r="E13" s="228"/>
      <c r="F13" s="228"/>
      <c r="G13" s="248"/>
      <c r="H13" s="248"/>
    </row>
    <row r="14" spans="1:8" x14ac:dyDescent="0.25">
      <c r="A14" s="88" t="s">
        <v>879</v>
      </c>
      <c r="B14" s="68">
        <v>1</v>
      </c>
      <c r="C14" s="152" t="s">
        <v>393</v>
      </c>
      <c r="D14" s="74" t="s">
        <v>10</v>
      </c>
      <c r="E14" s="248"/>
      <c r="F14" s="248" t="s">
        <v>2082</v>
      </c>
      <c r="G14" s="228"/>
      <c r="H14" s="228"/>
    </row>
    <row r="15" spans="1:8" x14ac:dyDescent="0.25">
      <c r="A15" s="521" t="s">
        <v>880</v>
      </c>
      <c r="B15" s="68">
        <v>1</v>
      </c>
      <c r="C15" s="152" t="s">
        <v>881</v>
      </c>
      <c r="D15" s="74" t="s">
        <v>10</v>
      </c>
      <c r="E15" s="228"/>
      <c r="F15" s="228"/>
      <c r="G15" s="228"/>
      <c r="H15" s="228"/>
    </row>
    <row r="16" spans="1:8" x14ac:dyDescent="0.25">
      <c r="A16" s="9" t="s">
        <v>882</v>
      </c>
      <c r="B16" s="36">
        <v>1</v>
      </c>
      <c r="C16" s="131" t="s">
        <v>883</v>
      </c>
      <c r="D16" s="112" t="s">
        <v>10</v>
      </c>
      <c r="E16" s="228"/>
      <c r="F16" s="228" t="s">
        <v>2083</v>
      </c>
      <c r="G16" s="228"/>
      <c r="H16" s="228"/>
    </row>
    <row r="17" spans="1:8" x14ac:dyDescent="0.25">
      <c r="A17" s="520" t="s">
        <v>884</v>
      </c>
      <c r="B17" s="36">
        <v>1</v>
      </c>
      <c r="C17" s="131" t="s">
        <v>885</v>
      </c>
      <c r="D17" s="112" t="s">
        <v>10</v>
      </c>
      <c r="E17" s="228"/>
      <c r="F17" s="228"/>
      <c r="G17" s="228"/>
      <c r="H17" s="228"/>
    </row>
    <row r="18" spans="1:8" x14ac:dyDescent="0.25">
      <c r="A18" s="520" t="s">
        <v>886</v>
      </c>
      <c r="B18" s="36">
        <v>1</v>
      </c>
      <c r="C18" s="131" t="s">
        <v>887</v>
      </c>
      <c r="D18" s="112" t="s">
        <v>10</v>
      </c>
      <c r="E18" s="228"/>
      <c r="F18" s="228"/>
      <c r="G18" s="228"/>
      <c r="H18" s="228"/>
    </row>
    <row r="19" spans="1:8" x14ac:dyDescent="0.25">
      <c r="A19" s="88" t="s">
        <v>892</v>
      </c>
      <c r="B19" s="68">
        <v>1</v>
      </c>
      <c r="C19" s="152" t="s">
        <v>893</v>
      </c>
      <c r="D19" s="74" t="s">
        <v>8</v>
      </c>
      <c r="E19" s="228"/>
      <c r="F19" s="228" t="s">
        <v>2067</v>
      </c>
      <c r="G19" s="228"/>
      <c r="H19" s="228"/>
    </row>
    <row r="20" spans="1:8" x14ac:dyDescent="0.25">
      <c r="A20" s="88" t="s">
        <v>888</v>
      </c>
      <c r="B20" s="68">
        <v>1</v>
      </c>
      <c r="C20" s="152" t="s">
        <v>889</v>
      </c>
      <c r="D20" s="74" t="s">
        <v>8</v>
      </c>
      <c r="E20" s="228"/>
      <c r="F20" s="228" t="s">
        <v>2084</v>
      </c>
      <c r="G20" s="228"/>
      <c r="H20" s="228"/>
    </row>
    <row r="21" spans="1:8" x14ac:dyDescent="0.25">
      <c r="A21" s="88" t="s">
        <v>890</v>
      </c>
      <c r="B21" s="68">
        <v>1</v>
      </c>
      <c r="C21" s="152" t="s">
        <v>891</v>
      </c>
      <c r="D21" s="74" t="s">
        <v>8</v>
      </c>
      <c r="E21" s="228"/>
      <c r="F21" s="228" t="s">
        <v>2066</v>
      </c>
      <c r="G21" s="228"/>
      <c r="H21" s="228"/>
    </row>
    <row r="22" spans="1:8" x14ac:dyDescent="0.25">
      <c r="A22" s="9" t="s">
        <v>894</v>
      </c>
      <c r="B22" s="36">
        <v>1</v>
      </c>
      <c r="C22" s="131" t="s">
        <v>838</v>
      </c>
      <c r="D22" s="112" t="s">
        <v>10</v>
      </c>
      <c r="E22" s="228"/>
      <c r="F22" s="228" t="s">
        <v>1871</v>
      </c>
      <c r="G22" s="228"/>
      <c r="H22" s="228"/>
    </row>
    <row r="23" spans="1:8" x14ac:dyDescent="0.25">
      <c r="A23" s="9" t="s">
        <v>895</v>
      </c>
      <c r="B23" s="36">
        <v>1</v>
      </c>
      <c r="C23" s="131" t="s">
        <v>896</v>
      </c>
      <c r="D23" s="112" t="s">
        <v>10</v>
      </c>
      <c r="E23" s="228"/>
      <c r="F23" s="314" t="s">
        <v>2085</v>
      </c>
      <c r="G23" s="228"/>
      <c r="H23" s="228"/>
    </row>
    <row r="24" spans="1:8" x14ac:dyDescent="0.25">
      <c r="A24" s="88" t="s">
        <v>897</v>
      </c>
      <c r="B24" s="68">
        <v>1</v>
      </c>
      <c r="C24" s="152" t="s">
        <v>898</v>
      </c>
      <c r="D24" s="74" t="s">
        <v>10</v>
      </c>
      <c r="E24" s="228"/>
      <c r="F24" s="24" t="s">
        <v>2022</v>
      </c>
      <c r="G24" s="228"/>
      <c r="H24" s="228"/>
    </row>
    <row r="25" spans="1:8" x14ac:dyDescent="0.25">
      <c r="A25" s="9" t="s">
        <v>155</v>
      </c>
      <c r="B25" s="36">
        <v>1</v>
      </c>
      <c r="C25" s="131" t="s">
        <v>899</v>
      </c>
      <c r="D25" s="112" t="s">
        <v>10</v>
      </c>
      <c r="E25" s="228"/>
      <c r="F25" s="264" t="s">
        <v>1898</v>
      </c>
      <c r="G25" s="228"/>
      <c r="H25" s="228"/>
    </row>
    <row r="26" spans="1:8" x14ac:dyDescent="0.25">
      <c r="A26" s="9" t="s">
        <v>900</v>
      </c>
      <c r="B26" s="36">
        <v>1</v>
      </c>
      <c r="C26" s="131" t="s">
        <v>901</v>
      </c>
      <c r="D26" s="112" t="s">
        <v>10</v>
      </c>
      <c r="E26" s="228"/>
      <c r="F26" s="314" t="s">
        <v>2086</v>
      </c>
      <c r="G26" s="228"/>
      <c r="H26" s="228"/>
    </row>
    <row r="27" spans="1:8" x14ac:dyDescent="0.25">
      <c r="A27" s="9" t="s">
        <v>902</v>
      </c>
      <c r="B27" s="36">
        <v>1</v>
      </c>
      <c r="C27" s="131" t="s">
        <v>903</v>
      </c>
      <c r="D27" s="112" t="s">
        <v>10</v>
      </c>
      <c r="E27" s="228"/>
      <c r="F27" s="1" t="s">
        <v>1980</v>
      </c>
      <c r="G27" s="228"/>
      <c r="H27" s="228"/>
    </row>
    <row r="28" spans="1:8" x14ac:dyDescent="0.25">
      <c r="A28" s="88" t="s">
        <v>904</v>
      </c>
      <c r="B28" s="68">
        <v>1</v>
      </c>
      <c r="C28" s="152" t="s">
        <v>905</v>
      </c>
      <c r="D28" s="74" t="s">
        <v>10</v>
      </c>
      <c r="E28" s="228"/>
      <c r="F28" s="24" t="s">
        <v>1981</v>
      </c>
      <c r="G28" s="228"/>
      <c r="H28" s="228"/>
    </row>
    <row r="29" spans="1:8" x14ac:dyDescent="0.25">
      <c r="A29" s="88" t="s">
        <v>906</v>
      </c>
      <c r="B29" s="68">
        <v>1</v>
      </c>
      <c r="C29" s="152" t="s">
        <v>907</v>
      </c>
      <c r="D29" s="74" t="s">
        <v>10</v>
      </c>
      <c r="E29" s="228"/>
      <c r="F29" s="61" t="s">
        <v>1982</v>
      </c>
      <c r="G29" s="228"/>
      <c r="H29" s="228"/>
    </row>
    <row r="30" spans="1:8" x14ac:dyDescent="0.25">
      <c r="A30" s="521" t="s">
        <v>910</v>
      </c>
      <c r="B30" s="68">
        <v>1</v>
      </c>
      <c r="C30" s="152">
        <v>513200</v>
      </c>
      <c r="D30" s="74" t="s">
        <v>162</v>
      </c>
      <c r="E30" s="228" t="s">
        <v>2056</v>
      </c>
      <c r="F30" s="539" t="s">
        <v>2127</v>
      </c>
      <c r="G30" s="228"/>
      <c r="H30" s="538">
        <v>220</v>
      </c>
    </row>
    <row r="31" spans="1:8" ht="14.25" customHeight="1" x14ac:dyDescent="0.25">
      <c r="A31" s="88" t="s">
        <v>911</v>
      </c>
      <c r="B31" s="68">
        <v>1</v>
      </c>
      <c r="C31" s="152" t="s">
        <v>912</v>
      </c>
      <c r="D31" s="74" t="s">
        <v>10</v>
      </c>
      <c r="E31" s="228"/>
      <c r="F31" s="24" t="s">
        <v>1990</v>
      </c>
      <c r="G31" s="228"/>
      <c r="H31" s="228"/>
    </row>
    <row r="32" spans="1:8" x14ac:dyDescent="0.25">
      <c r="A32" s="163" t="s">
        <v>913</v>
      </c>
      <c r="B32" s="70">
        <v>1</v>
      </c>
      <c r="C32" s="79" t="s">
        <v>914</v>
      </c>
      <c r="D32" s="210" t="s">
        <v>10</v>
      </c>
      <c r="E32" s="228"/>
      <c r="F32" s="12" t="s">
        <v>1999</v>
      </c>
      <c r="G32" s="228"/>
      <c r="H32" s="228"/>
    </row>
  </sheetData>
  <sortState xmlns:xlrd2="http://schemas.microsoft.com/office/spreadsheetml/2017/richdata2" ref="A2:F32">
    <sortCondition ref="A1:A32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245-9839-4FD9-9C79-368BCF4725CB}">
  <sheetPr codeName="Planilha27">
    <tabColor theme="8" tint="-0.249977111117893"/>
  </sheetPr>
  <dimension ref="A1:H60"/>
  <sheetViews>
    <sheetView workbookViewId="0">
      <pane ySplit="1" topLeftCell="A45" activePane="bottomLeft" state="frozen"/>
      <selection activeCell="A53" sqref="A53"/>
      <selection pane="bottomLeft" activeCell="E26" sqref="E26"/>
    </sheetView>
  </sheetViews>
  <sheetFormatPr defaultRowHeight="15" x14ac:dyDescent="0.25"/>
  <cols>
    <col min="1" max="1" width="52.42578125" customWidth="1"/>
    <col min="2" max="2" width="26.28515625" customWidth="1"/>
    <col min="3" max="3" width="21.140625" style="27" customWidth="1"/>
    <col min="4" max="4" width="20.855468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" t="s">
        <v>163</v>
      </c>
      <c r="B2" s="32">
        <v>1</v>
      </c>
      <c r="C2" s="53" t="s">
        <v>909</v>
      </c>
      <c r="D2" s="112" t="s">
        <v>10</v>
      </c>
      <c r="E2" s="228"/>
      <c r="F2" s="425" t="s">
        <v>1760</v>
      </c>
      <c r="G2" s="228"/>
      <c r="H2" s="228"/>
    </row>
    <row r="3" spans="1:8" x14ac:dyDescent="0.25">
      <c r="A3" s="1" t="s">
        <v>918</v>
      </c>
      <c r="B3" s="32">
        <v>1</v>
      </c>
      <c r="C3" s="249">
        <v>586040</v>
      </c>
      <c r="D3" s="112" t="s">
        <v>162</v>
      </c>
      <c r="E3" s="228"/>
      <c r="F3" s="1"/>
      <c r="G3" s="228"/>
      <c r="H3" s="228"/>
    </row>
    <row r="4" spans="1:8" x14ac:dyDescent="0.25">
      <c r="A4" s="1" t="s">
        <v>919</v>
      </c>
      <c r="B4" s="32">
        <v>1</v>
      </c>
      <c r="C4" s="249">
        <v>586030</v>
      </c>
      <c r="D4" s="112" t="s">
        <v>162</v>
      </c>
      <c r="E4" s="228"/>
      <c r="F4" s="1"/>
      <c r="G4" s="228"/>
      <c r="H4" s="228"/>
    </row>
    <row r="5" spans="1:8" x14ac:dyDescent="0.25">
      <c r="A5" s="24" t="s">
        <v>164</v>
      </c>
      <c r="B5" s="55">
        <v>2</v>
      </c>
      <c r="C5" s="490">
        <v>2000</v>
      </c>
      <c r="D5" s="74" t="s">
        <v>4</v>
      </c>
      <c r="E5" s="228"/>
      <c r="F5" s="24"/>
      <c r="G5" s="228"/>
      <c r="H5" s="228"/>
    </row>
    <row r="6" spans="1:8" x14ac:dyDescent="0.25">
      <c r="A6" s="24" t="s">
        <v>921</v>
      </c>
      <c r="B6" s="55">
        <v>1</v>
      </c>
      <c r="C6" s="250">
        <v>2049</v>
      </c>
      <c r="D6" s="74" t="s">
        <v>4</v>
      </c>
      <c r="E6" s="228"/>
      <c r="F6" s="24" t="s">
        <v>1796</v>
      </c>
      <c r="G6" s="228"/>
      <c r="H6" s="228"/>
    </row>
    <row r="7" spans="1:8" x14ac:dyDescent="0.25">
      <c r="A7" s="24" t="s">
        <v>922</v>
      </c>
      <c r="B7" s="55">
        <v>1</v>
      </c>
      <c r="C7" s="250">
        <v>2050</v>
      </c>
      <c r="D7" s="74" t="s">
        <v>4</v>
      </c>
      <c r="E7" s="228"/>
      <c r="F7" s="300" t="s">
        <v>1797</v>
      </c>
      <c r="G7" s="228"/>
      <c r="H7" s="228"/>
    </row>
    <row r="8" spans="1:8" x14ac:dyDescent="0.25">
      <c r="A8" s="425" t="s">
        <v>313</v>
      </c>
      <c r="B8" s="32">
        <v>1</v>
      </c>
      <c r="C8" s="249">
        <v>662250</v>
      </c>
      <c r="D8" s="112" t="s">
        <v>875</v>
      </c>
      <c r="E8" s="228"/>
      <c r="F8" s="1"/>
      <c r="G8" s="228"/>
      <c r="H8" s="228"/>
    </row>
    <row r="9" spans="1:8" x14ac:dyDescent="0.25">
      <c r="A9" s="425" t="s">
        <v>925</v>
      </c>
      <c r="B9" s="32">
        <v>1</v>
      </c>
      <c r="C9" s="249">
        <v>628712</v>
      </c>
      <c r="D9" s="112" t="s">
        <v>162</v>
      </c>
      <c r="E9" s="228"/>
      <c r="F9" s="1"/>
      <c r="G9" s="228"/>
      <c r="H9" s="228"/>
    </row>
    <row r="10" spans="1:8" x14ac:dyDescent="0.25">
      <c r="A10" s="427" t="s">
        <v>926</v>
      </c>
      <c r="B10" s="55">
        <v>1</v>
      </c>
      <c r="C10" s="250">
        <v>628714</v>
      </c>
      <c r="D10" s="74" t="s">
        <v>162</v>
      </c>
      <c r="E10" s="228"/>
      <c r="F10" s="24"/>
      <c r="G10" s="228"/>
      <c r="H10" s="228"/>
    </row>
    <row r="11" spans="1:8" x14ac:dyDescent="0.25">
      <c r="A11" s="1" t="s">
        <v>157</v>
      </c>
      <c r="B11" s="32">
        <v>1</v>
      </c>
      <c r="C11" s="53" t="s">
        <v>917</v>
      </c>
      <c r="D11" s="112" t="s">
        <v>10</v>
      </c>
      <c r="E11" s="228"/>
      <c r="F11" s="1" t="s">
        <v>1825</v>
      </c>
      <c r="G11" s="228"/>
      <c r="H11" s="228"/>
    </row>
    <row r="12" spans="1:8" x14ac:dyDescent="0.25">
      <c r="A12" s="24" t="s">
        <v>161</v>
      </c>
      <c r="B12" s="55">
        <v>1</v>
      </c>
      <c r="C12" s="250">
        <v>479100</v>
      </c>
      <c r="D12" s="74" t="s">
        <v>162</v>
      </c>
      <c r="E12" s="228"/>
      <c r="F12" s="427" t="s">
        <v>2021</v>
      </c>
      <c r="G12" s="228"/>
      <c r="H12" s="228"/>
    </row>
    <row r="13" spans="1:8" x14ac:dyDescent="0.25">
      <c r="A13" s="427" t="s">
        <v>935</v>
      </c>
      <c r="B13" s="55">
        <v>1</v>
      </c>
      <c r="C13" s="250">
        <v>488603</v>
      </c>
      <c r="D13" s="74" t="s">
        <v>162</v>
      </c>
      <c r="E13" s="228"/>
      <c r="F13" s="24"/>
      <c r="G13" s="228"/>
      <c r="H13" s="228"/>
    </row>
    <row r="14" spans="1:8" x14ac:dyDescent="0.25">
      <c r="A14" s="427" t="s">
        <v>936</v>
      </c>
      <c r="B14" s="55">
        <v>1</v>
      </c>
      <c r="C14" s="250">
        <v>488004</v>
      </c>
      <c r="D14" s="74" t="s">
        <v>162</v>
      </c>
      <c r="E14" s="228"/>
      <c r="F14" s="24"/>
      <c r="G14" s="228"/>
      <c r="H14" s="228"/>
    </row>
    <row r="15" spans="1:8" x14ac:dyDescent="0.25">
      <c r="A15" s="427" t="s">
        <v>937</v>
      </c>
      <c r="B15" s="55">
        <v>1</v>
      </c>
      <c r="C15" s="275">
        <v>488002</v>
      </c>
      <c r="D15" s="74" t="s">
        <v>162</v>
      </c>
      <c r="E15" s="228"/>
      <c r="F15" s="24"/>
      <c r="G15" s="228"/>
      <c r="H15" s="228"/>
    </row>
    <row r="16" spans="1:8" x14ac:dyDescent="0.25">
      <c r="A16" s="427" t="s">
        <v>933</v>
      </c>
      <c r="B16" s="55">
        <v>1</v>
      </c>
      <c r="C16" s="250">
        <v>400500</v>
      </c>
      <c r="D16" s="74" t="s">
        <v>162</v>
      </c>
      <c r="E16" s="228"/>
      <c r="F16" s="24"/>
      <c r="G16" s="228"/>
      <c r="H16" s="228"/>
    </row>
    <row r="17" spans="1:8" x14ac:dyDescent="0.25">
      <c r="A17" s="24" t="s">
        <v>924</v>
      </c>
      <c r="B17" s="55">
        <v>1</v>
      </c>
      <c r="C17" s="250">
        <v>174200</v>
      </c>
      <c r="D17" s="74" t="s">
        <v>162</v>
      </c>
      <c r="E17" s="228"/>
      <c r="F17" s="427" t="s">
        <v>2024</v>
      </c>
      <c r="G17" s="228"/>
      <c r="H17" s="228"/>
    </row>
    <row r="18" spans="1:8" x14ac:dyDescent="0.25">
      <c r="A18" s="128" t="s">
        <v>967</v>
      </c>
      <c r="B18" s="336">
        <v>1</v>
      </c>
      <c r="C18" s="249">
        <v>673004</v>
      </c>
      <c r="D18" s="210" t="s">
        <v>162</v>
      </c>
      <c r="E18" s="228"/>
      <c r="F18" s="24" t="s">
        <v>2087</v>
      </c>
      <c r="G18" s="228"/>
      <c r="H18" s="228"/>
    </row>
    <row r="19" spans="1:8" x14ac:dyDescent="0.25">
      <c r="A19" s="128" t="s">
        <v>968</v>
      </c>
      <c r="B19" s="336">
        <v>1</v>
      </c>
      <c r="C19" s="249">
        <v>673004</v>
      </c>
      <c r="D19" s="210" t="s">
        <v>162</v>
      </c>
      <c r="E19" s="228"/>
      <c r="F19" s="24" t="s">
        <v>2088</v>
      </c>
      <c r="G19" s="228"/>
      <c r="H19" s="228"/>
    </row>
    <row r="20" spans="1:8" x14ac:dyDescent="0.25">
      <c r="A20" s="1" t="s">
        <v>159</v>
      </c>
      <c r="B20" s="32">
        <v>1</v>
      </c>
      <c r="C20" s="53" t="s">
        <v>702</v>
      </c>
      <c r="D20" s="112" t="s">
        <v>10</v>
      </c>
      <c r="E20" s="228"/>
      <c r="F20" s="1" t="s">
        <v>1880</v>
      </c>
      <c r="G20" s="228"/>
      <c r="H20" s="228"/>
    </row>
    <row r="21" spans="1:8" x14ac:dyDescent="0.25">
      <c r="A21" s="1" t="s">
        <v>703</v>
      </c>
      <c r="B21" s="32">
        <v>1</v>
      </c>
      <c r="C21" s="53" t="s">
        <v>31</v>
      </c>
      <c r="D21" s="112" t="s">
        <v>10</v>
      </c>
      <c r="E21" s="228"/>
      <c r="F21" s="1" t="s">
        <v>1754</v>
      </c>
      <c r="G21" s="228"/>
      <c r="H21" s="228"/>
    </row>
    <row r="22" spans="1:8" x14ac:dyDescent="0.25">
      <c r="A22" s="1" t="s">
        <v>704</v>
      </c>
      <c r="B22" s="32">
        <v>1</v>
      </c>
      <c r="C22" s="207" t="s">
        <v>34</v>
      </c>
      <c r="D22" s="112" t="s">
        <v>10</v>
      </c>
      <c r="E22" s="228"/>
      <c r="F22" s="24" t="s">
        <v>1753</v>
      </c>
      <c r="G22" s="228"/>
      <c r="H22" s="228"/>
    </row>
    <row r="23" spans="1:8" x14ac:dyDescent="0.25">
      <c r="A23" s="425" t="s">
        <v>965</v>
      </c>
      <c r="B23" s="40">
        <v>1</v>
      </c>
      <c r="C23" s="489">
        <v>459036</v>
      </c>
      <c r="D23" s="112" t="s">
        <v>162</v>
      </c>
      <c r="E23" s="228"/>
      <c r="F23" s="1"/>
      <c r="G23" s="228"/>
      <c r="H23" s="228"/>
    </row>
    <row r="24" spans="1:8" x14ac:dyDescent="0.25">
      <c r="A24" s="425" t="s">
        <v>966</v>
      </c>
      <c r="B24" s="40">
        <v>1</v>
      </c>
      <c r="C24" s="489">
        <v>459016</v>
      </c>
      <c r="D24" s="112" t="s">
        <v>162</v>
      </c>
      <c r="E24" s="228"/>
      <c r="F24" s="1"/>
      <c r="G24" s="228"/>
      <c r="H24" s="228"/>
    </row>
    <row r="25" spans="1:8" x14ac:dyDescent="0.25">
      <c r="A25" s="1" t="s">
        <v>306</v>
      </c>
      <c r="B25" s="32">
        <v>2</v>
      </c>
      <c r="C25" s="249">
        <v>971</v>
      </c>
      <c r="D25" s="112" t="s">
        <v>4</v>
      </c>
      <c r="E25" s="228"/>
      <c r="F25" s="3" t="s">
        <v>1896</v>
      </c>
      <c r="G25" s="228"/>
      <c r="H25" s="228"/>
    </row>
    <row r="26" spans="1:8" ht="30" x14ac:dyDescent="0.25">
      <c r="A26" s="1" t="s">
        <v>308</v>
      </c>
      <c r="B26" s="32">
        <v>2</v>
      </c>
      <c r="C26" s="249">
        <v>957</v>
      </c>
      <c r="D26" s="112" t="s">
        <v>4</v>
      </c>
      <c r="E26" s="228"/>
      <c r="F26" s="12" t="s">
        <v>1895</v>
      </c>
      <c r="G26" s="228"/>
      <c r="H26" s="228"/>
    </row>
    <row r="27" spans="1:8" x14ac:dyDescent="0.25">
      <c r="A27" s="1" t="s">
        <v>155</v>
      </c>
      <c r="B27" s="32">
        <v>2</v>
      </c>
      <c r="C27" s="53" t="s">
        <v>156</v>
      </c>
      <c r="D27" s="112" t="s">
        <v>8</v>
      </c>
      <c r="E27" s="228"/>
      <c r="F27" s="1" t="s">
        <v>1898</v>
      </c>
      <c r="G27" s="228"/>
      <c r="H27" s="228"/>
    </row>
    <row r="28" spans="1:8" x14ac:dyDescent="0.25">
      <c r="A28" s="427" t="s">
        <v>947</v>
      </c>
      <c r="B28" s="55">
        <v>1</v>
      </c>
      <c r="C28" s="75" t="s">
        <v>948</v>
      </c>
      <c r="D28" s="74" t="s">
        <v>162</v>
      </c>
      <c r="E28" s="228"/>
      <c r="F28" s="69"/>
      <c r="G28" s="228"/>
      <c r="H28" s="228"/>
    </row>
    <row r="29" spans="1:8" x14ac:dyDescent="0.25">
      <c r="A29" s="425" t="s">
        <v>949</v>
      </c>
      <c r="B29" s="32">
        <v>1</v>
      </c>
      <c r="C29" s="53" t="s">
        <v>950</v>
      </c>
      <c r="D29" s="112" t="s">
        <v>162</v>
      </c>
      <c r="E29" s="228"/>
      <c r="F29" s="264"/>
      <c r="G29" s="228"/>
      <c r="H29" s="228"/>
    </row>
    <row r="30" spans="1:8" x14ac:dyDescent="0.25">
      <c r="A30" s="425" t="s">
        <v>951</v>
      </c>
      <c r="B30" s="32">
        <v>1</v>
      </c>
      <c r="C30" s="53" t="s">
        <v>952</v>
      </c>
      <c r="D30" s="216" t="s">
        <v>162</v>
      </c>
      <c r="E30" s="228"/>
      <c r="F30" s="1"/>
      <c r="G30" s="228"/>
      <c r="H30" s="228"/>
    </row>
    <row r="31" spans="1:8" x14ac:dyDescent="0.25">
      <c r="A31" s="1" t="s">
        <v>938</v>
      </c>
      <c r="B31" s="32">
        <v>1</v>
      </c>
      <c r="C31" s="53" t="s">
        <v>334</v>
      </c>
      <c r="D31" s="112" t="s">
        <v>10</v>
      </c>
      <c r="E31" s="228"/>
      <c r="F31" s="1" t="s">
        <v>2089</v>
      </c>
      <c r="G31" s="228"/>
      <c r="H31" s="228"/>
    </row>
    <row r="32" spans="1:8" x14ac:dyDescent="0.25">
      <c r="A32" s="425" t="s">
        <v>944</v>
      </c>
      <c r="B32" s="32">
        <v>1</v>
      </c>
      <c r="C32" s="249">
        <v>651020</v>
      </c>
      <c r="D32" s="112" t="s">
        <v>162</v>
      </c>
      <c r="E32" s="228"/>
      <c r="F32" s="1"/>
      <c r="G32" s="228"/>
      <c r="H32" s="228"/>
    </row>
    <row r="33" spans="1:8" x14ac:dyDescent="0.25">
      <c r="A33" s="425" t="s">
        <v>945</v>
      </c>
      <c r="B33" s="32">
        <v>1</v>
      </c>
      <c r="C33" s="249">
        <v>651010</v>
      </c>
      <c r="D33" s="112" t="s">
        <v>162</v>
      </c>
      <c r="E33" s="228"/>
      <c r="F33" s="1"/>
      <c r="G33" s="228"/>
      <c r="H33" s="228"/>
    </row>
    <row r="34" spans="1:8" x14ac:dyDescent="0.25">
      <c r="A34" s="425" t="s">
        <v>960</v>
      </c>
      <c r="B34" s="32">
        <v>1</v>
      </c>
      <c r="C34" s="53" t="s">
        <v>961</v>
      </c>
      <c r="D34" s="112" t="s">
        <v>162</v>
      </c>
      <c r="E34" s="228"/>
      <c r="F34" s="1"/>
      <c r="G34" s="228"/>
      <c r="H34" s="228"/>
    </row>
    <row r="35" spans="1:8" x14ac:dyDescent="0.25">
      <c r="A35" s="425" t="s">
        <v>962</v>
      </c>
      <c r="B35" s="32">
        <v>1</v>
      </c>
      <c r="C35" s="53" t="s">
        <v>963</v>
      </c>
      <c r="D35" s="112" t="s">
        <v>162</v>
      </c>
      <c r="E35" s="228"/>
      <c r="F35" s="1"/>
      <c r="G35" s="228"/>
      <c r="H35" s="228"/>
    </row>
    <row r="36" spans="1:8" x14ac:dyDescent="0.25">
      <c r="A36" s="425" t="s">
        <v>953</v>
      </c>
      <c r="B36" s="32">
        <v>1</v>
      </c>
      <c r="C36" s="53" t="s">
        <v>954</v>
      </c>
      <c r="D36" s="112" t="s">
        <v>162</v>
      </c>
      <c r="E36" s="228"/>
      <c r="F36" s="1"/>
      <c r="G36" s="228"/>
      <c r="H36" s="228"/>
    </row>
    <row r="37" spans="1:8" x14ac:dyDescent="0.25">
      <c r="A37" s="427" t="s">
        <v>939</v>
      </c>
      <c r="B37" s="55">
        <v>1</v>
      </c>
      <c r="C37" s="250">
        <v>455400</v>
      </c>
      <c r="D37" s="74" t="s">
        <v>162</v>
      </c>
      <c r="E37" s="228"/>
      <c r="F37" s="24"/>
      <c r="G37" s="228"/>
      <c r="H37" s="228"/>
    </row>
    <row r="38" spans="1:8" x14ac:dyDescent="0.25">
      <c r="A38" s="427" t="s">
        <v>940</v>
      </c>
      <c r="B38" s="55">
        <v>1</v>
      </c>
      <c r="C38" s="250">
        <v>428002</v>
      </c>
      <c r="D38" s="74" t="s">
        <v>162</v>
      </c>
      <c r="E38" s="228"/>
      <c r="F38" s="24"/>
      <c r="G38" s="228"/>
      <c r="H38" s="228"/>
    </row>
    <row r="39" spans="1:8" x14ac:dyDescent="0.25">
      <c r="A39" s="1" t="s">
        <v>915</v>
      </c>
      <c r="B39" s="32">
        <v>2</v>
      </c>
      <c r="C39" s="53" t="s">
        <v>916</v>
      </c>
      <c r="D39" s="112" t="s">
        <v>10</v>
      </c>
      <c r="E39" s="228"/>
      <c r="F39" s="312" t="s">
        <v>1933</v>
      </c>
      <c r="G39" s="228"/>
      <c r="H39" s="228"/>
    </row>
    <row r="40" spans="1:8" x14ac:dyDescent="0.25">
      <c r="A40" s="315" t="s">
        <v>970</v>
      </c>
      <c r="B40" s="336">
        <v>1</v>
      </c>
      <c r="C40" s="485" t="s">
        <v>971</v>
      </c>
      <c r="D40" s="210" t="s">
        <v>363</v>
      </c>
      <c r="E40" s="228"/>
      <c r="F40" s="522" t="s">
        <v>2090</v>
      </c>
      <c r="G40" s="228"/>
      <c r="H40" s="228"/>
    </row>
    <row r="41" spans="1:8" x14ac:dyDescent="0.25">
      <c r="A41" s="315" t="s">
        <v>972</v>
      </c>
      <c r="B41" s="336">
        <v>1</v>
      </c>
      <c r="C41" s="485" t="s">
        <v>973</v>
      </c>
      <c r="D41" s="210" t="s">
        <v>363</v>
      </c>
      <c r="E41" s="228"/>
      <c r="F41" s="522" t="s">
        <v>2091</v>
      </c>
      <c r="G41" s="228"/>
      <c r="H41" s="228"/>
    </row>
    <row r="42" spans="1:8" x14ac:dyDescent="0.25">
      <c r="A42" s="315" t="s">
        <v>974</v>
      </c>
      <c r="B42" s="336">
        <v>1</v>
      </c>
      <c r="C42" s="485" t="s">
        <v>975</v>
      </c>
      <c r="D42" s="210" t="s">
        <v>363</v>
      </c>
      <c r="E42" s="228"/>
      <c r="F42" s="522" t="s">
        <v>2092</v>
      </c>
      <c r="G42" s="228"/>
      <c r="H42" s="228"/>
    </row>
    <row r="43" spans="1:8" x14ac:dyDescent="0.25">
      <c r="A43" s="425" t="s">
        <v>955</v>
      </c>
      <c r="B43" s="32">
        <v>1</v>
      </c>
      <c r="C43" s="53" t="s">
        <v>956</v>
      </c>
      <c r="D43" s="112" t="s">
        <v>162</v>
      </c>
      <c r="E43" s="228"/>
      <c r="F43" s="1"/>
      <c r="G43" s="228"/>
      <c r="H43" s="228"/>
    </row>
    <row r="44" spans="1:8" x14ac:dyDescent="0.25">
      <c r="A44" s="427" t="s">
        <v>957</v>
      </c>
      <c r="B44" s="55">
        <v>1</v>
      </c>
      <c r="C44" s="75" t="s">
        <v>958</v>
      </c>
      <c r="D44" s="74" t="s">
        <v>162</v>
      </c>
      <c r="E44" s="228"/>
      <c r="F44" s="24"/>
      <c r="G44" s="228"/>
      <c r="H44" s="228"/>
    </row>
    <row r="45" spans="1:8" x14ac:dyDescent="0.25">
      <c r="A45" s="425" t="s">
        <v>964</v>
      </c>
      <c r="B45" s="32">
        <v>1</v>
      </c>
      <c r="C45" s="249">
        <v>651060</v>
      </c>
      <c r="D45" s="112" t="s">
        <v>162</v>
      </c>
      <c r="E45" s="228"/>
      <c r="F45" s="1"/>
      <c r="G45" s="228"/>
      <c r="H45" s="228"/>
    </row>
    <row r="46" spans="1:8" x14ac:dyDescent="0.25">
      <c r="A46" s="425" t="s">
        <v>959</v>
      </c>
      <c r="B46" s="32">
        <v>1</v>
      </c>
      <c r="C46" s="249">
        <v>651055</v>
      </c>
      <c r="D46" s="112" t="s">
        <v>162</v>
      </c>
      <c r="E46" s="228"/>
      <c r="F46" s="1"/>
      <c r="G46" s="228"/>
      <c r="H46" s="228"/>
    </row>
    <row r="47" spans="1:8" x14ac:dyDescent="0.25">
      <c r="A47" s="425" t="s">
        <v>946</v>
      </c>
      <c r="B47" s="32">
        <v>1</v>
      </c>
      <c r="C47" s="249">
        <v>653005</v>
      </c>
      <c r="D47" s="112" t="s">
        <v>162</v>
      </c>
      <c r="E47" s="228"/>
      <c r="F47" s="1"/>
      <c r="G47" s="228"/>
      <c r="H47" s="228"/>
    </row>
    <row r="48" spans="1:8" x14ac:dyDescent="0.25">
      <c r="A48" s="24" t="s">
        <v>942</v>
      </c>
      <c r="B48" s="55">
        <v>1</v>
      </c>
      <c r="C48" s="75" t="s">
        <v>943</v>
      </c>
      <c r="D48" s="74" t="s">
        <v>10</v>
      </c>
      <c r="E48" s="228"/>
      <c r="F48" s="24" t="s">
        <v>2093</v>
      </c>
      <c r="G48" s="228"/>
      <c r="H48" s="228"/>
    </row>
    <row r="49" spans="1:8" x14ac:dyDescent="0.25">
      <c r="A49" s="1" t="s">
        <v>941</v>
      </c>
      <c r="B49" s="32">
        <v>1</v>
      </c>
      <c r="C49" s="249">
        <v>455500</v>
      </c>
      <c r="D49" s="112" t="s">
        <v>162</v>
      </c>
      <c r="E49" s="228"/>
      <c r="F49" s="9" t="s">
        <v>2086</v>
      </c>
      <c r="G49" s="228"/>
      <c r="H49" s="228"/>
    </row>
    <row r="50" spans="1:8" x14ac:dyDescent="0.25">
      <c r="A50" s="1" t="s">
        <v>920</v>
      </c>
      <c r="B50" s="32">
        <v>1</v>
      </c>
      <c r="C50" s="53" t="s">
        <v>753</v>
      </c>
      <c r="D50" s="112" t="s">
        <v>10</v>
      </c>
      <c r="E50" s="228"/>
      <c r="F50" s="194" t="s">
        <v>1960</v>
      </c>
      <c r="G50" s="228"/>
      <c r="H50" s="228"/>
    </row>
    <row r="51" spans="1:8" x14ac:dyDescent="0.25">
      <c r="A51" s="425" t="s">
        <v>923</v>
      </c>
      <c r="B51" s="32">
        <v>1</v>
      </c>
      <c r="C51" s="249">
        <v>629820</v>
      </c>
      <c r="D51" s="112" t="s">
        <v>162</v>
      </c>
      <c r="E51" s="228"/>
      <c r="F51" s="9"/>
      <c r="G51" s="228"/>
      <c r="H51" s="228"/>
    </row>
    <row r="52" spans="1:8" x14ac:dyDescent="0.25">
      <c r="A52" s="427" t="s">
        <v>934</v>
      </c>
      <c r="B52" s="55">
        <v>1</v>
      </c>
      <c r="C52" s="250">
        <v>513200</v>
      </c>
      <c r="D52" s="74" t="s">
        <v>162</v>
      </c>
      <c r="E52" s="228"/>
      <c r="F52" s="88"/>
      <c r="G52" s="228"/>
      <c r="H52" s="228"/>
    </row>
    <row r="53" spans="1:8" x14ac:dyDescent="0.25">
      <c r="A53" s="24" t="s">
        <v>927</v>
      </c>
      <c r="B53" s="55">
        <v>1</v>
      </c>
      <c r="C53" s="75" t="s">
        <v>928</v>
      </c>
      <c r="D53" s="74" t="s">
        <v>10</v>
      </c>
      <c r="E53" s="228"/>
      <c r="F53" s="88" t="s">
        <v>1995</v>
      </c>
      <c r="G53" s="228"/>
      <c r="H53" s="228"/>
    </row>
    <row r="54" spans="1:8" x14ac:dyDescent="0.25">
      <c r="A54" s="427" t="s">
        <v>930</v>
      </c>
      <c r="B54" s="68">
        <v>1</v>
      </c>
      <c r="C54" s="353" t="s">
        <v>914</v>
      </c>
      <c r="D54" s="74" t="s">
        <v>162</v>
      </c>
      <c r="E54" s="228"/>
      <c r="F54" s="88"/>
      <c r="G54" s="228"/>
      <c r="H54" s="228"/>
    </row>
    <row r="55" spans="1:8" x14ac:dyDescent="0.25">
      <c r="A55" s="427" t="s">
        <v>931</v>
      </c>
      <c r="B55" s="68">
        <v>1</v>
      </c>
      <c r="C55" s="75" t="s">
        <v>932</v>
      </c>
      <c r="D55" s="74" t="s">
        <v>162</v>
      </c>
      <c r="E55" s="228"/>
      <c r="F55" s="88"/>
      <c r="G55" s="228"/>
      <c r="H55" s="228"/>
    </row>
    <row r="56" spans="1:8" x14ac:dyDescent="0.25">
      <c r="A56" s="69" t="s">
        <v>716</v>
      </c>
      <c r="B56" s="442">
        <v>1</v>
      </c>
      <c r="C56" s="487" t="s">
        <v>119</v>
      </c>
      <c r="D56" s="74" t="s">
        <v>10</v>
      </c>
      <c r="E56" s="228"/>
      <c r="F56" s="19" t="s">
        <v>1993</v>
      </c>
      <c r="G56" s="228"/>
      <c r="H56" s="228"/>
    </row>
    <row r="57" spans="1:8" x14ac:dyDescent="0.25">
      <c r="A57" s="88" t="s">
        <v>717</v>
      </c>
      <c r="B57" s="68">
        <v>1</v>
      </c>
      <c r="C57" s="359" t="s">
        <v>121</v>
      </c>
      <c r="D57" s="74" t="s">
        <v>10</v>
      </c>
      <c r="E57" s="228"/>
      <c r="F57" s="19" t="s">
        <v>2000</v>
      </c>
      <c r="G57" s="228"/>
      <c r="H57" s="228"/>
    </row>
    <row r="58" spans="1:8" x14ac:dyDescent="0.25">
      <c r="A58" s="88" t="s">
        <v>929</v>
      </c>
      <c r="B58" s="68">
        <v>1</v>
      </c>
      <c r="C58" s="488" t="s">
        <v>858</v>
      </c>
      <c r="D58" s="74" t="s">
        <v>10</v>
      </c>
      <c r="E58" s="228"/>
      <c r="F58" s="19" t="s">
        <v>2004</v>
      </c>
      <c r="G58" s="228"/>
      <c r="H58" s="228"/>
    </row>
    <row r="59" spans="1:8" x14ac:dyDescent="0.25">
      <c r="A59" s="523" t="s">
        <v>969</v>
      </c>
      <c r="B59" s="70">
        <v>1</v>
      </c>
      <c r="C59" s="486">
        <v>449201</v>
      </c>
      <c r="D59" s="210" t="s">
        <v>162</v>
      </c>
      <c r="E59" s="228"/>
      <c r="F59" s="88"/>
      <c r="G59" s="228"/>
      <c r="H59" s="228"/>
    </row>
    <row r="60" spans="1:8" x14ac:dyDescent="0.25">
      <c r="A60" s="23" t="s">
        <v>304</v>
      </c>
      <c r="B60" s="15">
        <f>SUM(B2:B59)</f>
        <v>63</v>
      </c>
    </row>
  </sheetData>
  <sortState xmlns:xlrd2="http://schemas.microsoft.com/office/spreadsheetml/2017/richdata2" ref="A2:D60">
    <sortCondition ref="A1:A60"/>
  </sortState>
  <phoneticPr fontId="3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1C8C-93B8-40A6-985B-74080CB00A33}">
  <sheetPr codeName="Planilha28">
    <tabColor rgb="FFFF0000"/>
  </sheetPr>
  <dimension ref="A1:H29"/>
  <sheetViews>
    <sheetView workbookViewId="0">
      <pane ySplit="1" topLeftCell="A5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8.85546875" customWidth="1"/>
    <col min="2" max="2" width="24.140625" customWidth="1"/>
    <col min="3" max="3" width="16.5703125" customWidth="1"/>
    <col min="4" max="4" width="21.42578125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9" t="s">
        <v>976</v>
      </c>
      <c r="B2" s="113">
        <v>1</v>
      </c>
      <c r="C2" s="53">
        <v>662250</v>
      </c>
      <c r="D2" s="112" t="s">
        <v>501</v>
      </c>
      <c r="E2" s="228"/>
      <c r="F2" s="228"/>
      <c r="G2" s="228"/>
      <c r="H2" s="228"/>
    </row>
    <row r="3" spans="1:8" x14ac:dyDescent="0.25">
      <c r="A3" s="111" t="s">
        <v>977</v>
      </c>
      <c r="B3" s="114">
        <v>2</v>
      </c>
      <c r="C3" s="131" t="s">
        <v>978</v>
      </c>
      <c r="D3" s="112" t="s">
        <v>162</v>
      </c>
      <c r="E3" s="228"/>
      <c r="F3" s="228"/>
      <c r="G3" s="228"/>
      <c r="H3" s="228"/>
    </row>
    <row r="4" spans="1:8" x14ac:dyDescent="0.25">
      <c r="A4" s="21" t="s">
        <v>979</v>
      </c>
      <c r="B4" s="115">
        <v>4</v>
      </c>
      <c r="C4" s="251" t="s">
        <v>980</v>
      </c>
      <c r="D4" s="112" t="s">
        <v>162</v>
      </c>
      <c r="E4" s="228"/>
      <c r="F4" s="228"/>
      <c r="G4" s="228"/>
      <c r="H4" s="228"/>
    </row>
    <row r="5" spans="1:8" x14ac:dyDescent="0.25">
      <c r="A5" s="3" t="s">
        <v>981</v>
      </c>
      <c r="B5" s="45">
        <v>1</v>
      </c>
      <c r="C5" s="205" t="s">
        <v>982</v>
      </c>
      <c r="D5" s="112" t="s">
        <v>162</v>
      </c>
      <c r="E5" s="228"/>
      <c r="F5" s="228"/>
      <c r="G5" s="228"/>
      <c r="H5" s="228"/>
    </row>
    <row r="6" spans="1:8" x14ac:dyDescent="0.25">
      <c r="A6" s="3" t="s">
        <v>983</v>
      </c>
      <c r="B6" s="45">
        <v>1</v>
      </c>
      <c r="C6" s="181" t="s">
        <v>984</v>
      </c>
      <c r="D6" s="112" t="s">
        <v>162</v>
      </c>
      <c r="E6" s="228"/>
      <c r="F6" s="228"/>
      <c r="G6" s="228"/>
      <c r="H6" s="228"/>
    </row>
    <row r="7" spans="1:8" x14ac:dyDescent="0.25">
      <c r="A7" s="3" t="s">
        <v>985</v>
      </c>
      <c r="B7" s="45">
        <v>2</v>
      </c>
      <c r="C7" s="181" t="s">
        <v>986</v>
      </c>
      <c r="D7" s="112" t="s">
        <v>162</v>
      </c>
      <c r="E7" s="228"/>
      <c r="F7" s="228"/>
      <c r="G7" s="228"/>
      <c r="H7" s="228"/>
    </row>
    <row r="8" spans="1:8" x14ac:dyDescent="0.25">
      <c r="A8" s="3" t="s">
        <v>987</v>
      </c>
      <c r="B8" s="45">
        <v>2</v>
      </c>
      <c r="C8" s="181" t="s">
        <v>988</v>
      </c>
      <c r="D8" s="112" t="s">
        <v>162</v>
      </c>
      <c r="E8" s="228"/>
      <c r="F8" s="228"/>
      <c r="G8" s="228"/>
      <c r="H8" s="228"/>
    </row>
    <row r="9" spans="1:8" x14ac:dyDescent="0.25">
      <c r="A9" s="147" t="s">
        <v>989</v>
      </c>
      <c r="B9" s="148">
        <v>1</v>
      </c>
      <c r="C9" s="252" t="s">
        <v>990</v>
      </c>
      <c r="D9" s="74" t="s">
        <v>162</v>
      </c>
      <c r="E9" s="228"/>
      <c r="F9" s="228"/>
      <c r="G9" s="228"/>
      <c r="H9" s="228"/>
    </row>
    <row r="10" spans="1:8" x14ac:dyDescent="0.25">
      <c r="A10" s="116" t="s">
        <v>991</v>
      </c>
      <c r="B10" s="71">
        <v>2</v>
      </c>
      <c r="C10" s="214" t="s">
        <v>992</v>
      </c>
      <c r="D10" s="253" t="s">
        <v>162</v>
      </c>
      <c r="E10" s="228"/>
      <c r="F10" s="228"/>
      <c r="G10" s="228"/>
      <c r="H10" s="228"/>
    </row>
    <row r="11" spans="1:8" x14ac:dyDescent="0.25">
      <c r="A11" s="3" t="s">
        <v>993</v>
      </c>
      <c r="B11" s="45">
        <v>4</v>
      </c>
      <c r="C11" s="213" t="s">
        <v>994</v>
      </c>
      <c r="D11" s="112" t="s">
        <v>162</v>
      </c>
      <c r="E11" s="228"/>
      <c r="F11" s="228"/>
      <c r="G11" s="228"/>
      <c r="H11" s="228"/>
    </row>
    <row r="12" spans="1:8" x14ac:dyDescent="0.25">
      <c r="A12" s="3" t="s">
        <v>995</v>
      </c>
      <c r="B12" s="45">
        <v>4</v>
      </c>
      <c r="C12" s="181" t="s">
        <v>996</v>
      </c>
      <c r="D12" s="112" t="s">
        <v>162</v>
      </c>
      <c r="E12" s="228"/>
      <c r="F12" s="228"/>
      <c r="G12" s="228"/>
      <c r="H12" s="228"/>
    </row>
    <row r="13" spans="1:8" x14ac:dyDescent="0.25">
      <c r="A13" s="3" t="s">
        <v>997</v>
      </c>
      <c r="B13" s="45">
        <v>1</v>
      </c>
      <c r="C13" s="181" t="s">
        <v>998</v>
      </c>
      <c r="D13" s="112" t="s">
        <v>162</v>
      </c>
      <c r="E13" s="228"/>
      <c r="F13" s="228"/>
      <c r="G13" s="228"/>
      <c r="H13" s="228"/>
    </row>
    <row r="14" spans="1:8" x14ac:dyDescent="0.25">
      <c r="A14" s="66" t="s">
        <v>999</v>
      </c>
      <c r="B14" s="71">
        <v>1</v>
      </c>
      <c r="C14" s="206" t="s">
        <v>1000</v>
      </c>
      <c r="D14" s="74" t="s">
        <v>162</v>
      </c>
      <c r="E14" s="228"/>
      <c r="F14" s="228"/>
      <c r="G14" s="228"/>
      <c r="H14" s="228"/>
    </row>
    <row r="15" spans="1:8" x14ac:dyDescent="0.25">
      <c r="A15" s="3" t="s">
        <v>1001</v>
      </c>
      <c r="B15" s="45">
        <v>2</v>
      </c>
      <c r="C15" s="181" t="s">
        <v>1002</v>
      </c>
      <c r="D15" s="112" t="s">
        <v>162</v>
      </c>
      <c r="E15" s="228"/>
      <c r="F15" s="228"/>
      <c r="G15" s="228"/>
      <c r="H15" s="228"/>
    </row>
    <row r="16" spans="1:8" x14ac:dyDescent="0.25">
      <c r="A16" s="3" t="s">
        <v>1003</v>
      </c>
      <c r="B16" s="45">
        <v>1</v>
      </c>
      <c r="C16" s="181" t="s">
        <v>1004</v>
      </c>
      <c r="D16" s="112" t="s">
        <v>162</v>
      </c>
      <c r="E16" s="228"/>
      <c r="F16" s="228"/>
      <c r="G16" s="228"/>
      <c r="H16" s="228"/>
    </row>
    <row r="17" spans="1:8" x14ac:dyDescent="0.25">
      <c r="A17" s="66" t="s">
        <v>1005</v>
      </c>
      <c r="B17" s="71">
        <v>1</v>
      </c>
      <c r="C17" s="206" t="s">
        <v>1006</v>
      </c>
      <c r="D17" s="74" t="s">
        <v>162</v>
      </c>
      <c r="E17" s="228"/>
      <c r="F17" s="228"/>
      <c r="G17" s="228"/>
      <c r="H17" s="228"/>
    </row>
    <row r="18" spans="1:8" x14ac:dyDescent="0.25">
      <c r="A18" s="3" t="s">
        <v>1007</v>
      </c>
      <c r="B18" s="45">
        <v>1</v>
      </c>
      <c r="C18" s="181" t="s">
        <v>1008</v>
      </c>
      <c r="D18" s="112" t="s">
        <v>162</v>
      </c>
      <c r="E18" s="228"/>
      <c r="F18" s="228"/>
      <c r="G18" s="228"/>
      <c r="H18" s="228"/>
    </row>
    <row r="19" spans="1:8" x14ac:dyDescent="0.25">
      <c r="A19" s="3" t="s">
        <v>1009</v>
      </c>
      <c r="B19" s="45">
        <v>1</v>
      </c>
      <c r="C19" s="181" t="s">
        <v>1010</v>
      </c>
      <c r="D19" s="112" t="s">
        <v>162</v>
      </c>
      <c r="E19" s="228"/>
      <c r="F19" s="228"/>
      <c r="G19" s="228"/>
      <c r="H19" s="228"/>
    </row>
    <row r="20" spans="1:8" x14ac:dyDescent="0.25">
      <c r="A20" s="66" t="s">
        <v>1011</v>
      </c>
      <c r="B20" s="71">
        <v>1</v>
      </c>
      <c r="C20" s="214" t="s">
        <v>1012</v>
      </c>
      <c r="D20" s="253" t="s">
        <v>162</v>
      </c>
      <c r="E20" s="228"/>
      <c r="F20" s="228"/>
      <c r="G20" s="228"/>
      <c r="H20" s="228"/>
    </row>
    <row r="21" spans="1:8" x14ac:dyDescent="0.25">
      <c r="A21" s="3" t="s">
        <v>1013</v>
      </c>
      <c r="B21" s="45">
        <v>1</v>
      </c>
      <c r="C21" s="181" t="s">
        <v>1014</v>
      </c>
      <c r="D21" s="112" t="s">
        <v>162</v>
      </c>
      <c r="E21" s="228"/>
      <c r="F21" s="228"/>
      <c r="G21" s="228"/>
      <c r="H21" s="228"/>
    </row>
    <row r="22" spans="1:8" x14ac:dyDescent="0.25">
      <c r="A22" s="3" t="s">
        <v>1015</v>
      </c>
      <c r="B22" s="45">
        <v>1</v>
      </c>
      <c r="C22" s="181" t="s">
        <v>1016</v>
      </c>
      <c r="D22" s="112" t="s">
        <v>162</v>
      </c>
      <c r="E22" s="228"/>
      <c r="F22" s="228"/>
      <c r="G22" s="228"/>
      <c r="H22" s="228"/>
    </row>
    <row r="23" spans="1:8" x14ac:dyDescent="0.25">
      <c r="A23" s="66" t="s">
        <v>1017</v>
      </c>
      <c r="B23" s="71">
        <v>1</v>
      </c>
      <c r="C23" s="206">
        <v>33133</v>
      </c>
      <c r="D23" s="74" t="s">
        <v>162</v>
      </c>
      <c r="E23" s="228"/>
      <c r="F23" s="228"/>
      <c r="G23" s="228"/>
      <c r="H23" s="228"/>
    </row>
    <row r="24" spans="1:8" x14ac:dyDescent="0.25">
      <c r="A24" s="66" t="s">
        <v>1018</v>
      </c>
      <c r="B24" s="71">
        <v>5</v>
      </c>
      <c r="C24" s="206">
        <v>33123</v>
      </c>
      <c r="D24" s="74" t="s">
        <v>162</v>
      </c>
      <c r="E24" s="228"/>
      <c r="F24" s="228"/>
      <c r="G24" s="228"/>
      <c r="H24" s="228"/>
    </row>
    <row r="25" spans="1:8" x14ac:dyDescent="0.25">
      <c r="A25" s="66" t="s">
        <v>1019</v>
      </c>
      <c r="B25" s="71">
        <v>6</v>
      </c>
      <c r="C25" s="206">
        <v>33121</v>
      </c>
      <c r="D25" s="74" t="s">
        <v>162</v>
      </c>
      <c r="E25" s="228"/>
      <c r="F25" s="228"/>
      <c r="G25" s="228"/>
      <c r="H25" s="228"/>
    </row>
    <row r="26" spans="1:8" x14ac:dyDescent="0.25">
      <c r="A26" s="66" t="s">
        <v>1020</v>
      </c>
      <c r="B26" s="71">
        <v>11</v>
      </c>
      <c r="C26" s="206">
        <v>33500</v>
      </c>
      <c r="D26" s="74" t="s">
        <v>162</v>
      </c>
      <c r="E26" s="228"/>
      <c r="F26" s="228"/>
      <c r="G26" s="228"/>
      <c r="H26" s="228"/>
    </row>
    <row r="27" spans="1:8" x14ac:dyDescent="0.25">
      <c r="A27" s="3" t="s">
        <v>1021</v>
      </c>
      <c r="B27" s="45">
        <v>1</v>
      </c>
      <c r="C27" s="181">
        <v>33300</v>
      </c>
      <c r="D27" s="112" t="s">
        <v>162</v>
      </c>
      <c r="E27" s="228"/>
      <c r="F27" s="228"/>
      <c r="G27" s="228"/>
      <c r="H27" s="228"/>
    </row>
    <row r="28" spans="1:8" x14ac:dyDescent="0.25">
      <c r="A28" s="3" t="s">
        <v>1022</v>
      </c>
      <c r="B28" s="45">
        <v>1</v>
      </c>
      <c r="C28" s="181" t="s">
        <v>1023</v>
      </c>
      <c r="D28" s="112" t="s">
        <v>162</v>
      </c>
      <c r="E28" s="228"/>
      <c r="F28" s="228"/>
      <c r="G28" s="228"/>
      <c r="H28" s="228"/>
    </row>
    <row r="29" spans="1:8" x14ac:dyDescent="0.25">
      <c r="A29" s="3" t="s">
        <v>1024</v>
      </c>
      <c r="B29" s="45">
        <v>1</v>
      </c>
      <c r="C29" s="181" t="s">
        <v>1025</v>
      </c>
      <c r="D29" s="112" t="s">
        <v>162</v>
      </c>
      <c r="E29" s="228"/>
      <c r="F29" s="228"/>
      <c r="G29" s="228"/>
      <c r="H29" s="22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DB3-0226-4C5D-8C1E-D8DBEE7A62F4}">
  <sheetPr codeName="Planilha29">
    <tabColor theme="0"/>
  </sheetPr>
  <dimension ref="A1:H15"/>
  <sheetViews>
    <sheetView workbookViewId="0">
      <pane ySplit="1" topLeftCell="A2" activePane="bottomLeft" state="frozen"/>
      <selection activeCell="A53" sqref="A53"/>
      <selection pane="bottomLeft" activeCell="B2" sqref="B2:B15"/>
    </sheetView>
  </sheetViews>
  <sheetFormatPr defaultRowHeight="15" x14ac:dyDescent="0.25"/>
  <cols>
    <col min="1" max="1" width="36.5703125" bestFit="1" customWidth="1"/>
    <col min="2" max="2" width="19.140625" customWidth="1"/>
    <col min="3" max="3" width="16" customWidth="1"/>
    <col min="4" max="4" width="19.855468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17" t="s">
        <v>481</v>
      </c>
      <c r="B2" s="45">
        <v>1</v>
      </c>
      <c r="C2" s="244">
        <v>662550</v>
      </c>
      <c r="D2" s="112" t="s">
        <v>501</v>
      </c>
      <c r="E2" s="228"/>
      <c r="F2" s="541" t="s">
        <v>2144</v>
      </c>
      <c r="G2" s="228"/>
      <c r="H2" s="228"/>
    </row>
    <row r="3" spans="1:8" x14ac:dyDescent="0.25">
      <c r="A3" s="51" t="s">
        <v>704</v>
      </c>
      <c r="B3" s="91">
        <v>1</v>
      </c>
      <c r="C3" s="90" t="s">
        <v>33</v>
      </c>
      <c r="D3" s="216" t="s">
        <v>8</v>
      </c>
      <c r="E3" s="228"/>
      <c r="F3" s="300" t="s">
        <v>1753</v>
      </c>
      <c r="G3" s="228"/>
      <c r="H3" s="228"/>
    </row>
    <row r="4" spans="1:8" x14ac:dyDescent="0.25">
      <c r="A4" s="51" t="s">
        <v>306</v>
      </c>
      <c r="B4" s="91">
        <v>2</v>
      </c>
      <c r="C4" s="90">
        <v>971</v>
      </c>
      <c r="D4" s="216" t="s">
        <v>4</v>
      </c>
      <c r="E4" s="228"/>
      <c r="F4" s="302" t="s">
        <v>1896</v>
      </c>
      <c r="G4" s="228"/>
      <c r="H4" s="228"/>
    </row>
    <row r="5" spans="1:8" ht="30" x14ac:dyDescent="0.25">
      <c r="A5" s="51" t="s">
        <v>308</v>
      </c>
      <c r="B5" s="91">
        <v>2</v>
      </c>
      <c r="C5" s="90">
        <v>957</v>
      </c>
      <c r="D5" s="216" t="s">
        <v>4</v>
      </c>
      <c r="E5" s="228"/>
      <c r="F5" s="193" t="s">
        <v>1895</v>
      </c>
      <c r="G5" s="228"/>
      <c r="H5" s="228"/>
    </row>
    <row r="6" spans="1:8" x14ac:dyDescent="0.25">
      <c r="A6" s="517" t="s">
        <v>1028</v>
      </c>
      <c r="B6" s="45">
        <v>1</v>
      </c>
      <c r="C6" s="53" t="s">
        <v>1029</v>
      </c>
      <c r="D6" s="112" t="s">
        <v>8</v>
      </c>
      <c r="E6" s="228" t="s">
        <v>2056</v>
      </c>
      <c r="F6" s="539" t="s">
        <v>2128</v>
      </c>
      <c r="G6" s="228"/>
      <c r="H6" s="538">
        <v>450</v>
      </c>
    </row>
    <row r="7" spans="1:8" ht="40.5" x14ac:dyDescent="0.25">
      <c r="A7" s="519" t="s">
        <v>1030</v>
      </c>
      <c r="B7" s="71">
        <v>1</v>
      </c>
      <c r="C7" s="53" t="s">
        <v>1031</v>
      </c>
      <c r="D7" s="112" t="s">
        <v>8</v>
      </c>
      <c r="E7" s="228"/>
      <c r="F7" s="241" t="s">
        <v>2129</v>
      </c>
      <c r="G7" s="228"/>
      <c r="H7" s="228"/>
    </row>
    <row r="8" spans="1:8" x14ac:dyDescent="0.25">
      <c r="A8" s="3" t="s">
        <v>1032</v>
      </c>
      <c r="B8" s="45">
        <v>1</v>
      </c>
      <c r="C8" s="53" t="s">
        <v>1033</v>
      </c>
      <c r="D8" s="112" t="s">
        <v>8</v>
      </c>
      <c r="E8" s="228"/>
      <c r="F8" s="302" t="s">
        <v>1939</v>
      </c>
      <c r="G8" s="228"/>
      <c r="H8" s="228"/>
    </row>
    <row r="9" spans="1:8" x14ac:dyDescent="0.25">
      <c r="A9" s="3" t="s">
        <v>615</v>
      </c>
      <c r="B9" s="45">
        <v>2</v>
      </c>
      <c r="C9" s="53" t="s">
        <v>24</v>
      </c>
      <c r="D9" s="112" t="s">
        <v>8</v>
      </c>
      <c r="E9" s="228"/>
      <c r="F9" s="302" t="s">
        <v>1877</v>
      </c>
      <c r="G9" s="228"/>
      <c r="H9" s="228"/>
    </row>
    <row r="10" spans="1:8" x14ac:dyDescent="0.25">
      <c r="A10" s="3" t="s">
        <v>1034</v>
      </c>
      <c r="B10" s="45">
        <v>2</v>
      </c>
      <c r="C10" s="53" t="s">
        <v>26</v>
      </c>
      <c r="D10" s="112" t="s">
        <v>8</v>
      </c>
      <c r="E10" s="228"/>
      <c r="F10" s="264" t="s">
        <v>1878</v>
      </c>
      <c r="G10" s="228"/>
      <c r="H10" s="228"/>
    </row>
    <row r="11" spans="1:8" x14ac:dyDescent="0.25">
      <c r="A11" s="3" t="s">
        <v>1035</v>
      </c>
      <c r="B11" s="45">
        <v>1</v>
      </c>
      <c r="C11" s="53" t="s">
        <v>711</v>
      </c>
      <c r="D11" s="112" t="s">
        <v>8</v>
      </c>
      <c r="E11" s="228"/>
      <c r="F11" s="302" t="s">
        <v>1945</v>
      </c>
      <c r="G11" s="228"/>
      <c r="H11" s="228"/>
    </row>
    <row r="12" spans="1:8" x14ac:dyDescent="0.25">
      <c r="A12" s="3" t="s">
        <v>714</v>
      </c>
      <c r="B12" s="45">
        <v>1</v>
      </c>
      <c r="C12" s="53" t="s">
        <v>88</v>
      </c>
      <c r="D12" s="112" t="s">
        <v>8</v>
      </c>
      <c r="E12" s="228"/>
      <c r="F12" s="322" t="s">
        <v>1960</v>
      </c>
      <c r="G12" s="228"/>
      <c r="H12" s="228"/>
    </row>
    <row r="13" spans="1:8" x14ac:dyDescent="0.25">
      <c r="A13" s="51" t="s">
        <v>1026</v>
      </c>
      <c r="B13" s="91">
        <v>1</v>
      </c>
      <c r="C13" s="90" t="s">
        <v>667</v>
      </c>
      <c r="D13" s="216" t="s">
        <v>8</v>
      </c>
      <c r="E13" s="228"/>
      <c r="F13" s="302" t="s">
        <v>1993</v>
      </c>
      <c r="G13" s="228"/>
      <c r="H13" s="228"/>
    </row>
    <row r="14" spans="1:8" x14ac:dyDescent="0.25">
      <c r="A14" s="491" t="s">
        <v>1027</v>
      </c>
      <c r="B14" s="492">
        <v>1</v>
      </c>
      <c r="C14" s="493" t="s">
        <v>665</v>
      </c>
      <c r="D14" s="216" t="s">
        <v>8</v>
      </c>
      <c r="E14" s="228"/>
      <c r="F14" s="302" t="s">
        <v>2000</v>
      </c>
      <c r="G14" s="228"/>
      <c r="H14" s="228"/>
    </row>
    <row r="15" spans="1:8" ht="15.75" customHeight="1" x14ac:dyDescent="0.25">
      <c r="A15" s="117" t="s">
        <v>1036</v>
      </c>
      <c r="B15" s="118">
        <v>1</v>
      </c>
      <c r="C15" s="254" t="s">
        <v>662</v>
      </c>
      <c r="D15" s="112" t="s">
        <v>8</v>
      </c>
      <c r="E15" s="228"/>
      <c r="F15" s="264" t="s">
        <v>2006</v>
      </c>
      <c r="G15" s="228"/>
      <c r="H15" s="228"/>
    </row>
  </sheetData>
  <sortState xmlns:xlrd2="http://schemas.microsoft.com/office/spreadsheetml/2017/richdata2" ref="A2:D15">
    <sortCondition ref="A1:A15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DB7-52A8-40FA-AB33-09564910B8E1}">
  <sheetPr codeName="Planilha30">
    <tabColor theme="0"/>
  </sheetPr>
  <dimension ref="A1:H31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30.28515625" customWidth="1"/>
    <col min="2" max="2" width="21.5703125" customWidth="1"/>
    <col min="3" max="3" width="15.855468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10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7" t="s">
        <v>481</v>
      </c>
      <c r="B2" s="55">
        <v>1</v>
      </c>
      <c r="C2" s="120">
        <v>662550</v>
      </c>
      <c r="D2" s="253" t="s">
        <v>501</v>
      </c>
      <c r="E2" s="228"/>
      <c r="F2" s="541" t="s">
        <v>2144</v>
      </c>
      <c r="G2" s="228"/>
      <c r="H2" s="228"/>
    </row>
    <row r="3" spans="1:8" x14ac:dyDescent="0.25">
      <c r="A3" s="24" t="s">
        <v>1037</v>
      </c>
      <c r="B3" s="55">
        <v>1</v>
      </c>
      <c r="C3" s="121" t="s">
        <v>1038</v>
      </c>
      <c r="D3" s="253" t="s">
        <v>8</v>
      </c>
      <c r="E3" s="228"/>
      <c r="F3" s="300" t="s">
        <v>2027</v>
      </c>
      <c r="G3" s="228"/>
      <c r="H3" s="228"/>
    </row>
    <row r="4" spans="1:8" x14ac:dyDescent="0.25">
      <c r="A4" s="24" t="s">
        <v>1039</v>
      </c>
      <c r="B4" s="55">
        <v>1</v>
      </c>
      <c r="C4" s="121" t="s">
        <v>1040</v>
      </c>
      <c r="D4" s="253" t="s">
        <v>8</v>
      </c>
      <c r="E4" s="228"/>
      <c r="F4" s="300" t="s">
        <v>2037</v>
      </c>
      <c r="G4" s="228"/>
      <c r="H4" s="228"/>
    </row>
    <row r="5" spans="1:8" x14ac:dyDescent="0.25">
      <c r="A5" s="24" t="s">
        <v>1041</v>
      </c>
      <c r="B5" s="55">
        <v>1</v>
      </c>
      <c r="C5" s="121" t="s">
        <v>1042</v>
      </c>
      <c r="D5" s="253" t="s">
        <v>8</v>
      </c>
      <c r="E5" s="228"/>
      <c r="F5" s="300" t="s">
        <v>2029</v>
      </c>
      <c r="G5" s="228"/>
      <c r="H5" s="228"/>
    </row>
    <row r="6" spans="1:8" x14ac:dyDescent="0.25">
      <c r="A6" s="24" t="s">
        <v>1043</v>
      </c>
      <c r="B6" s="55">
        <v>1</v>
      </c>
      <c r="C6" s="121" t="s">
        <v>1044</v>
      </c>
      <c r="D6" s="253" t="s">
        <v>8</v>
      </c>
      <c r="E6" s="228"/>
      <c r="F6" s="300" t="s">
        <v>2039</v>
      </c>
      <c r="G6" s="228"/>
      <c r="H6" s="228"/>
    </row>
    <row r="7" spans="1:8" x14ac:dyDescent="0.25">
      <c r="A7" s="24" t="s">
        <v>1045</v>
      </c>
      <c r="B7" s="55">
        <v>1</v>
      </c>
      <c r="C7" s="121" t="s">
        <v>1046</v>
      </c>
      <c r="D7" s="253" t="s">
        <v>8</v>
      </c>
      <c r="E7" s="228"/>
      <c r="F7" s="300" t="s">
        <v>2030</v>
      </c>
      <c r="G7" s="228"/>
      <c r="H7" s="228"/>
    </row>
    <row r="8" spans="1:8" x14ac:dyDescent="0.25">
      <c r="A8" s="24" t="s">
        <v>1047</v>
      </c>
      <c r="B8" s="55">
        <v>1</v>
      </c>
      <c r="C8" s="121" t="s">
        <v>1048</v>
      </c>
      <c r="D8" s="253" t="s">
        <v>8</v>
      </c>
      <c r="E8" s="228"/>
      <c r="F8" s="300" t="s">
        <v>2040</v>
      </c>
      <c r="G8" s="228"/>
      <c r="H8" s="228"/>
    </row>
    <row r="9" spans="1:8" x14ac:dyDescent="0.25">
      <c r="A9" s="24" t="s">
        <v>1049</v>
      </c>
      <c r="B9" s="55">
        <v>1</v>
      </c>
      <c r="C9" s="121" t="s">
        <v>1050</v>
      </c>
      <c r="D9" s="253" t="s">
        <v>8</v>
      </c>
      <c r="E9" s="228"/>
      <c r="F9" s="300" t="s">
        <v>2036</v>
      </c>
      <c r="G9" s="228"/>
      <c r="H9" s="228"/>
    </row>
    <row r="10" spans="1:8" x14ac:dyDescent="0.25">
      <c r="A10" s="24" t="s">
        <v>1051</v>
      </c>
      <c r="B10" s="55">
        <v>1</v>
      </c>
      <c r="C10" s="121" t="s">
        <v>1052</v>
      </c>
      <c r="D10" s="253" t="s">
        <v>8</v>
      </c>
      <c r="E10" s="228"/>
      <c r="F10" s="300" t="s">
        <v>2041</v>
      </c>
      <c r="G10" s="228"/>
      <c r="H10" s="228"/>
    </row>
    <row r="11" spans="1:8" x14ac:dyDescent="0.25">
      <c r="A11" s="24" t="s">
        <v>1053</v>
      </c>
      <c r="B11" s="55">
        <v>1</v>
      </c>
      <c r="C11" s="121" t="s">
        <v>1054</v>
      </c>
      <c r="D11" s="253" t="s">
        <v>8</v>
      </c>
      <c r="E11" s="228"/>
      <c r="F11" s="300" t="s">
        <v>2035</v>
      </c>
      <c r="G11" s="228"/>
      <c r="H11" s="228"/>
    </row>
    <row r="12" spans="1:8" x14ac:dyDescent="0.25">
      <c r="A12" s="24" t="s">
        <v>1055</v>
      </c>
      <c r="B12" s="55">
        <v>1</v>
      </c>
      <c r="C12" s="121" t="s">
        <v>1056</v>
      </c>
      <c r="D12" s="253" t="s">
        <v>8</v>
      </c>
      <c r="E12" s="228"/>
      <c r="F12" s="300" t="s">
        <v>2042</v>
      </c>
      <c r="G12" s="228"/>
      <c r="H12" s="228"/>
    </row>
    <row r="13" spans="1:8" x14ac:dyDescent="0.25">
      <c r="A13" s="24" t="s">
        <v>1057</v>
      </c>
      <c r="B13" s="55">
        <v>1</v>
      </c>
      <c r="C13" s="121" t="s">
        <v>1058</v>
      </c>
      <c r="D13" s="253" t="s">
        <v>8</v>
      </c>
      <c r="E13" s="228"/>
      <c r="F13" s="300" t="s">
        <v>2034</v>
      </c>
      <c r="G13" s="228"/>
      <c r="H13" s="228"/>
    </row>
    <row r="14" spans="1:8" x14ac:dyDescent="0.25">
      <c r="A14" s="24" t="s">
        <v>1059</v>
      </c>
      <c r="B14" s="55">
        <v>1</v>
      </c>
      <c r="C14" s="121" t="s">
        <v>1060</v>
      </c>
      <c r="D14" s="253" t="s">
        <v>8</v>
      </c>
      <c r="E14" s="228"/>
      <c r="F14" s="300" t="s">
        <v>2043</v>
      </c>
      <c r="G14" s="228"/>
      <c r="H14" s="228"/>
    </row>
    <row r="15" spans="1:8" x14ac:dyDescent="0.25">
      <c r="A15" s="24" t="s">
        <v>1061</v>
      </c>
      <c r="B15" s="55">
        <v>1</v>
      </c>
      <c r="C15" s="121" t="s">
        <v>1062</v>
      </c>
      <c r="D15" s="253" t="s">
        <v>8</v>
      </c>
      <c r="E15" s="228"/>
      <c r="F15" s="300" t="s">
        <v>2033</v>
      </c>
      <c r="G15" s="228"/>
      <c r="H15" s="228"/>
    </row>
    <row r="16" spans="1:8" x14ac:dyDescent="0.25">
      <c r="A16" s="24" t="s">
        <v>1063</v>
      </c>
      <c r="B16" s="55">
        <v>1</v>
      </c>
      <c r="C16" s="121" t="s">
        <v>1064</v>
      </c>
      <c r="D16" s="253" t="s">
        <v>8</v>
      </c>
      <c r="E16" s="228"/>
      <c r="F16" s="300" t="s">
        <v>2044</v>
      </c>
      <c r="G16" s="228"/>
      <c r="H16" s="228"/>
    </row>
    <row r="17" spans="1:8" x14ac:dyDescent="0.25">
      <c r="A17" s="24" t="s">
        <v>1065</v>
      </c>
      <c r="B17" s="55">
        <v>1</v>
      </c>
      <c r="C17" s="121" t="s">
        <v>1066</v>
      </c>
      <c r="D17" s="253" t="s">
        <v>8</v>
      </c>
      <c r="E17" s="228"/>
      <c r="F17" s="300" t="s">
        <v>2032</v>
      </c>
      <c r="G17" s="228"/>
      <c r="H17" s="228"/>
    </row>
    <row r="18" spans="1:8" x14ac:dyDescent="0.25">
      <c r="A18" s="24" t="s">
        <v>1067</v>
      </c>
      <c r="B18" s="55">
        <v>1</v>
      </c>
      <c r="C18" s="121" t="s">
        <v>1068</v>
      </c>
      <c r="D18" s="253" t="s">
        <v>8</v>
      </c>
      <c r="E18" s="228"/>
      <c r="F18" s="300" t="s">
        <v>2045</v>
      </c>
      <c r="G18" s="228"/>
      <c r="H18" s="228"/>
    </row>
    <row r="19" spans="1:8" x14ac:dyDescent="0.25">
      <c r="A19" s="24" t="s">
        <v>1069</v>
      </c>
      <c r="B19" s="55">
        <v>1</v>
      </c>
      <c r="C19" s="121" t="s">
        <v>1070</v>
      </c>
      <c r="D19" s="253" t="s">
        <v>8</v>
      </c>
      <c r="E19" s="228"/>
      <c r="F19" s="300" t="s">
        <v>2031</v>
      </c>
      <c r="G19" s="228"/>
      <c r="H19" s="228"/>
    </row>
    <row r="20" spans="1:8" x14ac:dyDescent="0.25">
      <c r="A20" s="24" t="s">
        <v>1071</v>
      </c>
      <c r="B20" s="55">
        <v>1</v>
      </c>
      <c r="C20" s="121" t="s">
        <v>1072</v>
      </c>
      <c r="D20" s="253" t="s">
        <v>8</v>
      </c>
      <c r="E20" s="228"/>
      <c r="F20" s="300" t="s">
        <v>2046</v>
      </c>
      <c r="G20" s="228"/>
      <c r="H20" s="228"/>
    </row>
    <row r="21" spans="1:8" x14ac:dyDescent="0.25">
      <c r="A21" s="24" t="s">
        <v>1073</v>
      </c>
      <c r="B21" s="55">
        <v>1</v>
      </c>
      <c r="C21" s="121" t="s">
        <v>1074</v>
      </c>
      <c r="D21" s="253" t="s">
        <v>8</v>
      </c>
      <c r="E21" s="228"/>
      <c r="F21" s="300" t="s">
        <v>2028</v>
      </c>
      <c r="G21" s="228"/>
      <c r="H21" s="228"/>
    </row>
    <row r="22" spans="1:8" x14ac:dyDescent="0.25">
      <c r="A22" s="24" t="s">
        <v>1075</v>
      </c>
      <c r="B22" s="55">
        <v>1</v>
      </c>
      <c r="C22" s="121" t="s">
        <v>1076</v>
      </c>
      <c r="D22" s="253" t="s">
        <v>8</v>
      </c>
      <c r="E22" s="228"/>
      <c r="F22" s="300" t="s">
        <v>2038</v>
      </c>
      <c r="G22" s="228"/>
      <c r="H22" s="228"/>
    </row>
    <row r="23" spans="1:8" x14ac:dyDescent="0.25">
      <c r="A23" s="24" t="s">
        <v>1077</v>
      </c>
      <c r="B23" s="55">
        <v>1</v>
      </c>
      <c r="C23" s="121" t="s">
        <v>1078</v>
      </c>
      <c r="D23" s="74" t="s">
        <v>8</v>
      </c>
      <c r="E23" s="228"/>
      <c r="F23" s="300" t="s">
        <v>1848</v>
      </c>
      <c r="G23" s="228"/>
      <c r="H23" s="228"/>
    </row>
    <row r="24" spans="1:8" x14ac:dyDescent="0.25">
      <c r="A24" s="24" t="s">
        <v>1079</v>
      </c>
      <c r="B24" s="55">
        <v>1</v>
      </c>
      <c r="C24" s="121" t="s">
        <v>1080</v>
      </c>
      <c r="D24" s="74" t="s">
        <v>8</v>
      </c>
      <c r="E24" s="228"/>
      <c r="F24" s="300" t="s">
        <v>1856</v>
      </c>
      <c r="G24" s="228"/>
      <c r="H24" s="228"/>
    </row>
    <row r="25" spans="1:8" x14ac:dyDescent="0.25">
      <c r="A25" s="24" t="s">
        <v>1081</v>
      </c>
      <c r="B25" s="55">
        <v>1</v>
      </c>
      <c r="C25" s="121" t="s">
        <v>1082</v>
      </c>
      <c r="D25" s="74" t="s">
        <v>8</v>
      </c>
      <c r="E25" s="228"/>
      <c r="F25" s="300" t="s">
        <v>1849</v>
      </c>
      <c r="G25" s="228"/>
      <c r="H25" s="228"/>
    </row>
    <row r="26" spans="1:8" x14ac:dyDescent="0.25">
      <c r="A26" s="24" t="s">
        <v>1083</v>
      </c>
      <c r="B26" s="55">
        <v>1</v>
      </c>
      <c r="C26" s="121" t="s">
        <v>1084</v>
      </c>
      <c r="D26" s="74" t="s">
        <v>8</v>
      </c>
      <c r="E26" s="228"/>
      <c r="F26" s="300" t="s">
        <v>1850</v>
      </c>
      <c r="G26" s="228"/>
      <c r="H26" s="228"/>
    </row>
    <row r="27" spans="1:8" x14ac:dyDescent="0.25">
      <c r="A27" s="24" t="s">
        <v>1085</v>
      </c>
      <c r="B27" s="55">
        <v>1</v>
      </c>
      <c r="C27" s="121" t="s">
        <v>1086</v>
      </c>
      <c r="D27" s="74" t="s">
        <v>8</v>
      </c>
      <c r="E27" s="228"/>
      <c r="F27" s="300" t="s">
        <v>1851</v>
      </c>
      <c r="G27" s="228"/>
      <c r="H27" s="228"/>
    </row>
    <row r="28" spans="1:8" x14ac:dyDescent="0.25">
      <c r="A28" s="24" t="s">
        <v>1087</v>
      </c>
      <c r="B28" s="55">
        <v>1</v>
      </c>
      <c r="C28" s="121" t="s">
        <v>1088</v>
      </c>
      <c r="D28" s="74" t="s">
        <v>8</v>
      </c>
      <c r="E28" s="228"/>
      <c r="F28" s="300" t="s">
        <v>1852</v>
      </c>
      <c r="G28" s="228"/>
      <c r="H28" s="228"/>
    </row>
    <row r="29" spans="1:8" x14ac:dyDescent="0.25">
      <c r="A29" s="24" t="s">
        <v>1089</v>
      </c>
      <c r="B29" s="55">
        <v>1</v>
      </c>
      <c r="C29" s="121" t="s">
        <v>1090</v>
      </c>
      <c r="D29" s="74" t="s">
        <v>8</v>
      </c>
      <c r="E29" s="228"/>
      <c r="F29" s="300" t="s">
        <v>1853</v>
      </c>
      <c r="G29" s="228"/>
      <c r="H29" s="228"/>
    </row>
    <row r="30" spans="1:8" x14ac:dyDescent="0.25">
      <c r="A30" s="69" t="s">
        <v>1091</v>
      </c>
      <c r="B30" s="55">
        <v>1</v>
      </c>
      <c r="C30" s="122" t="s">
        <v>1092</v>
      </c>
      <c r="D30" s="253" t="s">
        <v>8</v>
      </c>
      <c r="E30" s="228"/>
      <c r="F30" s="300" t="s">
        <v>1854</v>
      </c>
      <c r="G30" s="228"/>
      <c r="H30" s="228"/>
    </row>
    <row r="31" spans="1:8" x14ac:dyDescent="0.25">
      <c r="A31" s="123" t="s">
        <v>1093</v>
      </c>
      <c r="B31" s="124">
        <v>1</v>
      </c>
      <c r="C31" s="122" t="s">
        <v>1094</v>
      </c>
      <c r="D31" s="253" t="s">
        <v>8</v>
      </c>
      <c r="E31" s="228"/>
      <c r="F31" s="300" t="s">
        <v>1855</v>
      </c>
      <c r="G31" s="228"/>
      <c r="H31" s="228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4E1-9EF2-4559-B281-56D02F86D2C5}">
  <sheetPr codeName="Planilha31">
    <tabColor theme="0"/>
  </sheetPr>
  <dimension ref="A1:H10"/>
  <sheetViews>
    <sheetView workbookViewId="0">
      <pane ySplit="1" topLeftCell="A2" activePane="bottomLeft" state="frozen"/>
      <selection activeCell="A53" sqref="A53"/>
      <selection pane="bottomLeft" activeCell="F2" sqref="F2"/>
    </sheetView>
  </sheetViews>
  <sheetFormatPr defaultRowHeight="15" x14ac:dyDescent="0.25"/>
  <cols>
    <col min="1" max="1" width="25.5703125" customWidth="1"/>
    <col min="2" max="2" width="23.42578125" customWidth="1"/>
    <col min="3" max="3" width="21.85546875" customWidth="1"/>
    <col min="4" max="4" width="21" customWidth="1"/>
  </cols>
  <sheetData>
    <row r="1" spans="1:8" ht="15.75" x14ac:dyDescent="0.25">
      <c r="A1" s="125" t="s">
        <v>0</v>
      </c>
      <c r="B1" s="126" t="s">
        <v>305</v>
      </c>
      <c r="C1" s="10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427" t="s">
        <v>481</v>
      </c>
      <c r="B2" s="124">
        <v>1</v>
      </c>
      <c r="C2" s="120">
        <v>662550</v>
      </c>
      <c r="D2" s="253" t="s">
        <v>501</v>
      </c>
      <c r="E2" s="228"/>
      <c r="F2" s="541" t="s">
        <v>2144</v>
      </c>
      <c r="G2" s="228"/>
      <c r="H2" s="228"/>
    </row>
    <row r="3" spans="1:8" x14ac:dyDescent="0.25">
      <c r="A3" s="128" t="s">
        <v>1095</v>
      </c>
      <c r="B3" s="124">
        <v>1</v>
      </c>
      <c r="C3" s="122" t="s">
        <v>1096</v>
      </c>
      <c r="D3" s="253" t="s">
        <v>8</v>
      </c>
      <c r="E3" s="228"/>
      <c r="F3" s="300" t="s">
        <v>1840</v>
      </c>
      <c r="G3" s="228"/>
      <c r="H3" s="228"/>
    </row>
    <row r="4" spans="1:8" x14ac:dyDescent="0.25">
      <c r="A4" s="128" t="s">
        <v>1097</v>
      </c>
      <c r="B4" s="124">
        <v>1</v>
      </c>
      <c r="C4" s="122" t="s">
        <v>1098</v>
      </c>
      <c r="D4" s="253" t="s">
        <v>8</v>
      </c>
      <c r="E4" s="228"/>
      <c r="F4" s="300" t="s">
        <v>1841</v>
      </c>
      <c r="G4" s="228"/>
      <c r="H4" s="228"/>
    </row>
    <row r="5" spans="1:8" x14ac:dyDescent="0.25">
      <c r="A5" s="128" t="s">
        <v>1099</v>
      </c>
      <c r="B5" s="124">
        <v>1</v>
      </c>
      <c r="C5" s="122" t="s">
        <v>1100</v>
      </c>
      <c r="D5" s="253" t="s">
        <v>8</v>
      </c>
      <c r="E5" s="228"/>
      <c r="F5" s="300" t="s">
        <v>1842</v>
      </c>
      <c r="G5" s="228"/>
      <c r="H5" s="228"/>
    </row>
    <row r="6" spans="1:8" x14ac:dyDescent="0.25">
      <c r="A6" s="128" t="s">
        <v>1101</v>
      </c>
      <c r="B6" s="124">
        <v>1</v>
      </c>
      <c r="C6" s="122" t="s">
        <v>1102</v>
      </c>
      <c r="D6" s="253" t="s">
        <v>8</v>
      </c>
      <c r="E6" s="228"/>
      <c r="F6" s="300" t="s">
        <v>1843</v>
      </c>
      <c r="G6" s="228"/>
      <c r="H6" s="228"/>
    </row>
    <row r="7" spans="1:8" x14ac:dyDescent="0.25">
      <c r="A7" s="128" t="s">
        <v>1103</v>
      </c>
      <c r="B7" s="124">
        <v>1</v>
      </c>
      <c r="C7" s="122" t="s">
        <v>1104</v>
      </c>
      <c r="D7" s="253" t="s">
        <v>8</v>
      </c>
      <c r="E7" s="228"/>
      <c r="F7" s="300" t="s">
        <v>1844</v>
      </c>
      <c r="G7" s="228"/>
      <c r="H7" s="228"/>
    </row>
    <row r="8" spans="1:8" x14ac:dyDescent="0.25">
      <c r="A8" s="128" t="s">
        <v>1105</v>
      </c>
      <c r="B8" s="124">
        <v>1</v>
      </c>
      <c r="C8" s="122" t="s">
        <v>1106</v>
      </c>
      <c r="D8" s="253" t="s">
        <v>8</v>
      </c>
      <c r="E8" s="228"/>
      <c r="F8" s="300" t="s">
        <v>1845</v>
      </c>
      <c r="G8" s="228"/>
      <c r="H8" s="228"/>
    </row>
    <row r="9" spans="1:8" x14ac:dyDescent="0.25">
      <c r="A9" s="128" t="s">
        <v>1107</v>
      </c>
      <c r="B9" s="124">
        <v>1</v>
      </c>
      <c r="C9" s="122" t="s">
        <v>1108</v>
      </c>
      <c r="D9" s="253" t="s">
        <v>8</v>
      </c>
      <c r="E9" s="228"/>
      <c r="F9" s="300" t="s">
        <v>1846</v>
      </c>
      <c r="G9" s="228"/>
      <c r="H9" s="228"/>
    </row>
    <row r="10" spans="1:8" x14ac:dyDescent="0.25">
      <c r="A10" s="128" t="s">
        <v>1109</v>
      </c>
      <c r="B10" s="124">
        <v>1</v>
      </c>
      <c r="C10" s="122" t="s">
        <v>1110</v>
      </c>
      <c r="D10" s="253" t="s">
        <v>8</v>
      </c>
      <c r="E10" s="228"/>
      <c r="F10" s="402" t="s">
        <v>1847</v>
      </c>
      <c r="G10" s="228"/>
      <c r="H10" s="22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A31C-0F7F-4C47-ADAE-F8C64EA9C643}">
  <sheetPr codeName="Planilha32">
    <tabColor rgb="FFFF0000"/>
  </sheetPr>
  <dimension ref="A1:G2"/>
  <sheetViews>
    <sheetView workbookViewId="0">
      <selection activeCell="A53" sqref="A53"/>
    </sheetView>
  </sheetViews>
  <sheetFormatPr defaultRowHeight="15" x14ac:dyDescent="0.25"/>
  <cols>
    <col min="1" max="1" width="17.5703125" customWidth="1"/>
    <col min="2" max="2" width="25" customWidth="1"/>
    <col min="3" max="3" width="17.85546875" customWidth="1"/>
  </cols>
  <sheetData>
    <row r="1" spans="1:7" ht="15.75" x14ac:dyDescent="0.25">
      <c r="A1" s="6" t="s">
        <v>0</v>
      </c>
      <c r="B1" s="7" t="s">
        <v>360</v>
      </c>
      <c r="C1" s="232" t="s">
        <v>1723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" t="s">
        <v>1111</v>
      </c>
      <c r="B2" s="26" t="s">
        <v>1112</v>
      </c>
      <c r="C2" s="112" t="s">
        <v>455</v>
      </c>
      <c r="D2" s="228"/>
      <c r="E2" s="228"/>
      <c r="F2" s="228"/>
      <c r="G2" s="22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E9DF-FE8C-4E83-8E62-7AA89ACECFA4}">
  <sheetPr codeName="Planilha33">
    <tabColor rgb="FFFF0000"/>
  </sheetPr>
  <dimension ref="A1:H8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.85546875" customWidth="1"/>
    <col min="2" max="2" width="22.42578125" customWidth="1"/>
    <col min="3" max="3" width="27.7109375" customWidth="1"/>
    <col min="4" max="4" width="22.140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1" t="s">
        <v>1113</v>
      </c>
      <c r="B2" s="17">
        <v>1</v>
      </c>
      <c r="C2" s="53" t="s">
        <v>1114</v>
      </c>
      <c r="D2" s="112" t="s">
        <v>1115</v>
      </c>
      <c r="E2" s="228"/>
      <c r="F2" s="228"/>
      <c r="G2" s="228"/>
      <c r="H2" s="228"/>
    </row>
    <row r="3" spans="1:8" x14ac:dyDescent="0.25">
      <c r="A3" s="5" t="s">
        <v>1116</v>
      </c>
      <c r="B3" s="2">
        <v>1</v>
      </c>
      <c r="C3" s="53" t="s">
        <v>1117</v>
      </c>
      <c r="D3" s="112" t="s">
        <v>1115</v>
      </c>
      <c r="E3" s="228"/>
      <c r="F3" s="228"/>
      <c r="G3" s="228"/>
      <c r="H3" s="228"/>
    </row>
    <row r="4" spans="1:8" x14ac:dyDescent="0.25">
      <c r="A4" s="5" t="s">
        <v>1118</v>
      </c>
      <c r="B4" s="2">
        <v>1</v>
      </c>
      <c r="C4" s="53" t="s">
        <v>1119</v>
      </c>
      <c r="D4" s="112" t="s">
        <v>1115</v>
      </c>
      <c r="E4" s="228"/>
      <c r="F4" s="228"/>
      <c r="G4" s="228"/>
      <c r="H4" s="228"/>
    </row>
    <row r="5" spans="1:8" x14ac:dyDescent="0.25">
      <c r="A5" s="5" t="s">
        <v>1120</v>
      </c>
      <c r="B5" s="2">
        <v>1</v>
      </c>
      <c r="C5" s="53" t="s">
        <v>1121</v>
      </c>
      <c r="D5" s="112" t="s">
        <v>1115</v>
      </c>
      <c r="E5" s="228"/>
      <c r="F5" s="228"/>
      <c r="G5" s="228"/>
      <c r="H5" s="228"/>
    </row>
    <row r="6" spans="1:8" x14ac:dyDescent="0.25">
      <c r="A6" s="5" t="s">
        <v>1122</v>
      </c>
      <c r="B6" s="2">
        <v>1</v>
      </c>
      <c r="C6" s="53" t="s">
        <v>1123</v>
      </c>
      <c r="D6" s="112" t="s">
        <v>1115</v>
      </c>
      <c r="E6" s="228"/>
      <c r="F6" s="228"/>
      <c r="G6" s="228"/>
      <c r="H6" s="228"/>
    </row>
    <row r="7" spans="1:8" x14ac:dyDescent="0.25">
      <c r="A7" s="5" t="s">
        <v>1124</v>
      </c>
      <c r="B7" s="2">
        <v>1</v>
      </c>
      <c r="C7" s="53" t="s">
        <v>1125</v>
      </c>
      <c r="D7" s="112" t="s">
        <v>1115</v>
      </c>
      <c r="E7" s="228"/>
      <c r="F7" s="228"/>
      <c r="G7" s="228"/>
      <c r="H7" s="228"/>
    </row>
    <row r="8" spans="1:8" x14ac:dyDescent="0.25">
      <c r="A8" s="5" t="s">
        <v>1126</v>
      </c>
      <c r="B8" s="2">
        <v>1</v>
      </c>
      <c r="C8" s="53" t="s">
        <v>1127</v>
      </c>
      <c r="D8" s="112" t="s">
        <v>1115</v>
      </c>
      <c r="E8" s="228"/>
      <c r="F8" s="228"/>
      <c r="G8" s="228"/>
      <c r="H8" s="22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49E2-D24E-4B54-8172-C8C10A87ECF7}">
  <sheetPr codeName="Planilha34">
    <tabColor theme="0"/>
  </sheetPr>
  <dimension ref="A1:H9"/>
  <sheetViews>
    <sheetView workbookViewId="0">
      <pane ySplit="1" topLeftCell="A2" activePane="bottomLeft" state="frozen"/>
      <selection activeCell="A53" sqref="A53"/>
      <selection pane="bottomLeft" activeCell="F3" sqref="F3"/>
    </sheetView>
  </sheetViews>
  <sheetFormatPr defaultRowHeight="15" x14ac:dyDescent="0.25"/>
  <cols>
    <col min="1" max="1" width="34.42578125" customWidth="1"/>
    <col min="2" max="2" width="23.42578125" customWidth="1"/>
    <col min="3" max="3" width="16.7109375" customWidth="1"/>
    <col min="4" max="4" width="19.5703125" customWidth="1"/>
    <col min="6" max="6" width="13.28515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1132</v>
      </c>
      <c r="B2" s="130">
        <v>1</v>
      </c>
      <c r="C2" s="53">
        <v>2049</v>
      </c>
      <c r="D2" s="112" t="s">
        <v>4</v>
      </c>
      <c r="E2" s="228"/>
      <c r="F2" s="24" t="s">
        <v>1796</v>
      </c>
      <c r="G2" s="228"/>
      <c r="H2" s="228"/>
    </row>
    <row r="3" spans="1:8" x14ac:dyDescent="0.25">
      <c r="A3" s="517" t="s">
        <v>481</v>
      </c>
      <c r="B3" s="45">
        <v>1</v>
      </c>
      <c r="C3" s="490">
        <v>662550</v>
      </c>
      <c r="D3" s="253" t="s">
        <v>501</v>
      </c>
      <c r="E3" s="228"/>
      <c r="F3" s="541" t="s">
        <v>2144</v>
      </c>
      <c r="G3" s="228"/>
      <c r="H3" s="228"/>
    </row>
    <row r="4" spans="1:8" x14ac:dyDescent="0.25">
      <c r="A4" s="12" t="s">
        <v>1128</v>
      </c>
      <c r="B4" s="45">
        <v>1</v>
      </c>
      <c r="C4" s="53" t="s">
        <v>1129</v>
      </c>
      <c r="D4" s="112" t="s">
        <v>8</v>
      </c>
      <c r="E4" s="228"/>
      <c r="F4" s="66" t="s">
        <v>1834</v>
      </c>
      <c r="G4" s="228"/>
      <c r="H4" s="228"/>
    </row>
    <row r="5" spans="1:8" x14ac:dyDescent="0.25">
      <c r="A5" s="12" t="s">
        <v>1130</v>
      </c>
      <c r="B5" s="45">
        <v>1</v>
      </c>
      <c r="C5" s="53" t="s">
        <v>1131</v>
      </c>
      <c r="D5" s="112" t="s">
        <v>8</v>
      </c>
      <c r="E5" s="228"/>
      <c r="F5" s="12" t="s">
        <v>1835</v>
      </c>
      <c r="G5" s="228"/>
      <c r="H5" s="228"/>
    </row>
    <row r="6" spans="1:8" x14ac:dyDescent="0.25">
      <c r="A6" s="3" t="s">
        <v>1135</v>
      </c>
      <c r="B6" s="45">
        <v>1</v>
      </c>
      <c r="C6" s="53" t="s">
        <v>405</v>
      </c>
      <c r="D6" s="112" t="s">
        <v>8</v>
      </c>
      <c r="E6" s="228"/>
      <c r="F6" s="5" t="s">
        <v>1891</v>
      </c>
      <c r="G6" s="228"/>
      <c r="H6" s="228"/>
    </row>
    <row r="7" spans="1:8" x14ac:dyDescent="0.25">
      <c r="A7" s="3" t="s">
        <v>1136</v>
      </c>
      <c r="B7" s="45">
        <v>1</v>
      </c>
      <c r="C7" s="53" t="s">
        <v>331</v>
      </c>
      <c r="D7" s="112" t="s">
        <v>8</v>
      </c>
      <c r="E7" s="228"/>
      <c r="F7" s="3" t="s">
        <v>1897</v>
      </c>
      <c r="G7" s="228"/>
      <c r="H7" s="228"/>
    </row>
    <row r="8" spans="1:8" x14ac:dyDescent="0.25">
      <c r="A8" s="272" t="s">
        <v>1133</v>
      </c>
      <c r="B8" s="494">
        <v>1</v>
      </c>
      <c r="C8" s="207" t="s">
        <v>411</v>
      </c>
      <c r="D8" s="112" t="s">
        <v>8</v>
      </c>
      <c r="E8" s="228"/>
      <c r="F8" s="12" t="s">
        <v>1954</v>
      </c>
      <c r="G8" s="228"/>
      <c r="H8" s="228"/>
    </row>
    <row r="9" spans="1:8" x14ac:dyDescent="0.25">
      <c r="A9" s="21" t="s">
        <v>1134</v>
      </c>
      <c r="B9" s="113">
        <v>1</v>
      </c>
      <c r="C9" s="131" t="s">
        <v>413</v>
      </c>
      <c r="D9" s="112" t="s">
        <v>8</v>
      </c>
      <c r="E9" s="228"/>
      <c r="F9" s="12" t="s">
        <v>1955</v>
      </c>
      <c r="G9" s="228"/>
      <c r="H9" s="228"/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A660-427B-4704-9053-7EC662FD3E20}">
  <sheetPr codeName="Planilha35">
    <tabColor rgb="FFFF0000"/>
  </sheetPr>
  <dimension ref="A1:H40"/>
  <sheetViews>
    <sheetView workbookViewId="0">
      <pane ySplit="1" topLeftCell="A13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9.42578125" customWidth="1"/>
    <col min="2" max="2" width="22.5703125" customWidth="1"/>
    <col min="3" max="3" width="20.28515625" customWidth="1"/>
    <col min="4" max="4" width="21.85546875" customWidth="1"/>
  </cols>
  <sheetData>
    <row r="1" spans="1:8" ht="15.75" x14ac:dyDescent="0.25">
      <c r="A1" s="97" t="s">
        <v>0</v>
      </c>
      <c r="B1" s="104" t="s">
        <v>305</v>
      </c>
      <c r="C1" s="12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1137</v>
      </c>
      <c r="B2" s="23">
        <v>1</v>
      </c>
      <c r="C2" s="137" t="s">
        <v>1138</v>
      </c>
      <c r="D2" s="258" t="s">
        <v>356</v>
      </c>
      <c r="E2" s="228"/>
      <c r="F2" s="228"/>
      <c r="G2" s="228"/>
      <c r="H2" s="228"/>
    </row>
    <row r="3" spans="1:8" x14ac:dyDescent="0.25">
      <c r="A3" s="12" t="s">
        <v>1139</v>
      </c>
      <c r="B3" s="23">
        <v>1</v>
      </c>
      <c r="C3" s="137" t="s">
        <v>1138</v>
      </c>
      <c r="D3" s="258" t="s">
        <v>356</v>
      </c>
      <c r="E3" s="228"/>
      <c r="F3" s="228"/>
      <c r="G3" s="228"/>
      <c r="H3" s="228"/>
    </row>
    <row r="4" spans="1:8" x14ac:dyDescent="0.25">
      <c r="A4" s="12" t="s">
        <v>1140</v>
      </c>
      <c r="B4" s="23">
        <v>1</v>
      </c>
      <c r="C4" s="137" t="s">
        <v>1141</v>
      </c>
      <c r="D4" s="258" t="s">
        <v>356</v>
      </c>
      <c r="E4" s="228"/>
      <c r="F4" s="228"/>
      <c r="G4" s="228"/>
      <c r="H4" s="228"/>
    </row>
    <row r="5" spans="1:8" x14ac:dyDescent="0.25">
      <c r="A5" s="12" t="s">
        <v>1142</v>
      </c>
      <c r="B5" s="23">
        <v>1</v>
      </c>
      <c r="C5" s="137" t="s">
        <v>1143</v>
      </c>
      <c r="D5" s="258" t="s">
        <v>356</v>
      </c>
      <c r="E5" s="228"/>
      <c r="F5" s="228"/>
      <c r="G5" s="228"/>
      <c r="H5" s="228"/>
    </row>
    <row r="6" spans="1:8" x14ac:dyDescent="0.25">
      <c r="A6" s="12" t="s">
        <v>1144</v>
      </c>
      <c r="B6" s="23">
        <v>1</v>
      </c>
      <c r="C6" s="137" t="s">
        <v>1145</v>
      </c>
      <c r="D6" s="258" t="s">
        <v>356</v>
      </c>
      <c r="E6" s="228"/>
      <c r="F6" s="228"/>
      <c r="G6" s="228"/>
      <c r="H6" s="228"/>
    </row>
    <row r="7" spans="1:8" x14ac:dyDescent="0.25">
      <c r="A7" s="12" t="s">
        <v>1146</v>
      </c>
      <c r="B7" s="23">
        <v>1</v>
      </c>
      <c r="C7" s="137" t="s">
        <v>1147</v>
      </c>
      <c r="D7" s="258" t="s">
        <v>356</v>
      </c>
      <c r="E7" s="228"/>
      <c r="F7" s="228"/>
      <c r="G7" s="228"/>
      <c r="H7" s="228"/>
    </row>
    <row r="8" spans="1:8" x14ac:dyDescent="0.25">
      <c r="A8" s="12" t="s">
        <v>1148</v>
      </c>
      <c r="B8" s="23">
        <v>1</v>
      </c>
      <c r="C8" s="137" t="s">
        <v>1149</v>
      </c>
      <c r="D8" s="258" t="s">
        <v>356</v>
      </c>
      <c r="E8" s="228"/>
      <c r="F8" s="228"/>
      <c r="G8" s="228"/>
      <c r="H8" s="228"/>
    </row>
    <row r="9" spans="1:8" x14ac:dyDescent="0.25">
      <c r="A9" s="12" t="s">
        <v>1150</v>
      </c>
      <c r="B9" s="23">
        <v>1</v>
      </c>
      <c r="C9" s="137" t="s">
        <v>1151</v>
      </c>
      <c r="D9" s="258" t="s">
        <v>356</v>
      </c>
      <c r="E9" s="228"/>
      <c r="F9" s="228"/>
      <c r="G9" s="228"/>
      <c r="H9" s="228"/>
    </row>
    <row r="10" spans="1:8" x14ac:dyDescent="0.25">
      <c r="A10" s="12" t="s">
        <v>1152</v>
      </c>
      <c r="B10" s="23">
        <v>1</v>
      </c>
      <c r="C10" s="137" t="s">
        <v>1153</v>
      </c>
      <c r="D10" s="258" t="s">
        <v>356</v>
      </c>
      <c r="E10" s="228"/>
      <c r="F10" s="228"/>
      <c r="G10" s="228"/>
      <c r="H10" s="228"/>
    </row>
    <row r="11" spans="1:8" x14ac:dyDescent="0.25">
      <c r="A11" s="12" t="s">
        <v>1154</v>
      </c>
      <c r="B11" s="23">
        <v>1</v>
      </c>
      <c r="C11" s="259" t="s">
        <v>1155</v>
      </c>
      <c r="D11" s="258" t="s">
        <v>356</v>
      </c>
      <c r="E11" s="228"/>
      <c r="F11" s="228"/>
      <c r="G11" s="228"/>
      <c r="H11" s="228"/>
    </row>
    <row r="12" spans="1:8" x14ac:dyDescent="0.25">
      <c r="A12" s="12" t="s">
        <v>1156</v>
      </c>
      <c r="B12" s="23">
        <v>1</v>
      </c>
      <c r="C12" s="259" t="s">
        <v>1157</v>
      </c>
      <c r="D12" s="258" t="s">
        <v>356</v>
      </c>
      <c r="E12" s="228"/>
      <c r="F12" s="228"/>
      <c r="G12" s="228"/>
      <c r="H12" s="228"/>
    </row>
    <row r="13" spans="1:8" x14ac:dyDescent="0.25">
      <c r="A13" s="12" t="s">
        <v>1158</v>
      </c>
      <c r="B13" s="23">
        <v>1</v>
      </c>
      <c r="C13" s="259" t="s">
        <v>1159</v>
      </c>
      <c r="D13" s="258" t="s">
        <v>356</v>
      </c>
      <c r="E13" s="228"/>
      <c r="F13" s="228"/>
      <c r="G13" s="228"/>
      <c r="H13" s="228"/>
    </row>
    <row r="14" spans="1:8" x14ac:dyDescent="0.25">
      <c r="A14" s="12" t="s">
        <v>1160</v>
      </c>
      <c r="B14" s="23">
        <v>1</v>
      </c>
      <c r="C14" s="259" t="s">
        <v>1161</v>
      </c>
      <c r="D14" s="258" t="s">
        <v>356</v>
      </c>
      <c r="E14" s="228"/>
      <c r="F14" s="228"/>
      <c r="G14" s="228"/>
      <c r="H14" s="228"/>
    </row>
    <row r="15" spans="1:8" x14ac:dyDescent="0.25">
      <c r="A15" s="12" t="s">
        <v>1162</v>
      </c>
      <c r="B15" s="23">
        <v>1</v>
      </c>
      <c r="C15" s="259" t="s">
        <v>1163</v>
      </c>
      <c r="D15" s="258" t="s">
        <v>356</v>
      </c>
      <c r="E15" s="228"/>
      <c r="F15" s="228"/>
      <c r="G15" s="228"/>
      <c r="H15" s="228"/>
    </row>
    <row r="16" spans="1:8" x14ac:dyDescent="0.25">
      <c r="A16" s="12" t="s">
        <v>1164</v>
      </c>
      <c r="B16" s="23">
        <v>1</v>
      </c>
      <c r="C16" s="137" t="s">
        <v>1165</v>
      </c>
      <c r="D16" s="258" t="s">
        <v>356</v>
      </c>
      <c r="E16" s="228"/>
      <c r="F16" s="228"/>
      <c r="G16" s="228"/>
      <c r="H16" s="228"/>
    </row>
    <row r="17" spans="1:8" x14ac:dyDescent="0.25">
      <c r="A17" s="12" t="s">
        <v>1166</v>
      </c>
      <c r="B17" s="23">
        <v>1</v>
      </c>
      <c r="C17" s="137" t="s">
        <v>1165</v>
      </c>
      <c r="D17" s="258" t="s">
        <v>356</v>
      </c>
      <c r="E17" s="228"/>
      <c r="F17" s="228"/>
      <c r="G17" s="228"/>
      <c r="H17" s="228"/>
    </row>
    <row r="18" spans="1:8" x14ac:dyDescent="0.25">
      <c r="A18" s="12" t="s">
        <v>1167</v>
      </c>
      <c r="B18" s="23">
        <v>2</v>
      </c>
      <c r="C18" s="137" t="s">
        <v>1165</v>
      </c>
      <c r="D18" s="258" t="s">
        <v>356</v>
      </c>
      <c r="E18" s="228"/>
      <c r="F18" s="228"/>
      <c r="G18" s="228"/>
      <c r="H18" s="228"/>
    </row>
    <row r="19" spans="1:8" x14ac:dyDescent="0.25">
      <c r="A19" s="12" t="s">
        <v>1168</v>
      </c>
      <c r="B19" s="23">
        <v>1</v>
      </c>
      <c r="C19" s="137" t="s">
        <v>1169</v>
      </c>
      <c r="D19" s="258" t="s">
        <v>356</v>
      </c>
      <c r="E19" s="228"/>
      <c r="F19" s="228"/>
      <c r="G19" s="228"/>
      <c r="H19" s="228"/>
    </row>
    <row r="20" spans="1:8" x14ac:dyDescent="0.25">
      <c r="A20" s="12" t="s">
        <v>1168</v>
      </c>
      <c r="B20" s="23">
        <v>1</v>
      </c>
      <c r="C20" s="137" t="s">
        <v>1170</v>
      </c>
      <c r="D20" s="258" t="s">
        <v>356</v>
      </c>
      <c r="E20" s="228"/>
      <c r="F20" s="228"/>
      <c r="G20" s="228"/>
      <c r="H20" s="228"/>
    </row>
    <row r="21" spans="1:8" x14ac:dyDescent="0.25">
      <c r="A21" s="12" t="s">
        <v>1171</v>
      </c>
      <c r="B21" s="23">
        <v>1</v>
      </c>
      <c r="C21" s="137" t="s">
        <v>1172</v>
      </c>
      <c r="D21" s="258" t="s">
        <v>356</v>
      </c>
      <c r="E21" s="228"/>
      <c r="F21" s="228"/>
      <c r="G21" s="228"/>
      <c r="H21" s="228"/>
    </row>
    <row r="22" spans="1:8" x14ac:dyDescent="0.25">
      <c r="A22" s="12" t="s">
        <v>1173</v>
      </c>
      <c r="B22" s="23">
        <v>1</v>
      </c>
      <c r="C22" s="137" t="s">
        <v>1174</v>
      </c>
      <c r="D22" s="258" t="s">
        <v>356</v>
      </c>
      <c r="E22" s="228"/>
      <c r="F22" s="228"/>
      <c r="G22" s="228"/>
      <c r="H22" s="228"/>
    </row>
    <row r="23" spans="1:8" x14ac:dyDescent="0.25">
      <c r="A23" s="12" t="s">
        <v>1175</v>
      </c>
      <c r="B23" s="23">
        <v>1</v>
      </c>
      <c r="C23" s="137" t="s">
        <v>1176</v>
      </c>
      <c r="D23" s="258" t="s">
        <v>356</v>
      </c>
      <c r="E23" s="228"/>
      <c r="F23" s="228"/>
      <c r="G23" s="228"/>
      <c r="H23" s="228"/>
    </row>
    <row r="24" spans="1:8" x14ac:dyDescent="0.25">
      <c r="A24" s="12" t="s">
        <v>1177</v>
      </c>
      <c r="B24" s="23">
        <v>1</v>
      </c>
      <c r="C24" s="137" t="s">
        <v>1178</v>
      </c>
      <c r="D24" s="258" t="s">
        <v>356</v>
      </c>
      <c r="E24" s="228"/>
      <c r="F24" s="228"/>
      <c r="G24" s="228"/>
      <c r="H24" s="228"/>
    </row>
    <row r="25" spans="1:8" x14ac:dyDescent="0.25">
      <c r="A25" s="12" t="s">
        <v>1179</v>
      </c>
      <c r="B25" s="23">
        <v>1</v>
      </c>
      <c r="C25" s="137" t="s">
        <v>1180</v>
      </c>
      <c r="D25" s="258" t="s">
        <v>356</v>
      </c>
      <c r="E25" s="228"/>
      <c r="F25" s="228"/>
      <c r="G25" s="228"/>
      <c r="H25" s="228"/>
    </row>
    <row r="26" spans="1:8" x14ac:dyDescent="0.25">
      <c r="A26" s="12" t="s">
        <v>1181</v>
      </c>
      <c r="B26" s="23">
        <v>1</v>
      </c>
      <c r="C26" s="137" t="s">
        <v>1182</v>
      </c>
      <c r="D26" s="258" t="s">
        <v>356</v>
      </c>
      <c r="E26" s="228"/>
      <c r="F26" s="228"/>
      <c r="G26" s="228"/>
      <c r="H26" s="228"/>
    </row>
    <row r="27" spans="1:8" x14ac:dyDescent="0.25">
      <c r="A27" s="12" t="s">
        <v>1183</v>
      </c>
      <c r="B27" s="23">
        <v>1</v>
      </c>
      <c r="C27" s="137" t="s">
        <v>1184</v>
      </c>
      <c r="D27" s="258" t="s">
        <v>356</v>
      </c>
      <c r="E27" s="228"/>
      <c r="F27" s="228"/>
      <c r="G27" s="228"/>
      <c r="H27" s="228"/>
    </row>
    <row r="28" spans="1:8" x14ac:dyDescent="0.25">
      <c r="A28" s="12" t="s">
        <v>1185</v>
      </c>
      <c r="B28" s="23">
        <v>1</v>
      </c>
      <c r="C28" s="137" t="s">
        <v>1186</v>
      </c>
      <c r="D28" s="258" t="s">
        <v>356</v>
      </c>
      <c r="E28" s="228"/>
      <c r="F28" s="228"/>
      <c r="G28" s="228"/>
      <c r="H28" s="228"/>
    </row>
    <row r="29" spans="1:8" x14ac:dyDescent="0.25">
      <c r="A29" s="12" t="s">
        <v>1187</v>
      </c>
      <c r="B29" s="23">
        <v>1</v>
      </c>
      <c r="C29" s="137" t="s">
        <v>1188</v>
      </c>
      <c r="D29" s="258" t="s">
        <v>356</v>
      </c>
      <c r="E29" s="228"/>
      <c r="F29" s="228"/>
      <c r="G29" s="228"/>
      <c r="H29" s="228"/>
    </row>
    <row r="30" spans="1:8" x14ac:dyDescent="0.25">
      <c r="A30" s="12" t="s">
        <v>1189</v>
      </c>
      <c r="B30" s="23">
        <v>1</v>
      </c>
      <c r="C30" s="137" t="s">
        <v>1190</v>
      </c>
      <c r="D30" s="258" t="s">
        <v>356</v>
      </c>
      <c r="E30" s="228"/>
      <c r="F30" s="228"/>
      <c r="G30" s="228"/>
      <c r="H30" s="228"/>
    </row>
    <row r="31" spans="1:8" x14ac:dyDescent="0.25">
      <c r="A31" s="12" t="s">
        <v>1191</v>
      </c>
      <c r="B31" s="23">
        <v>1</v>
      </c>
      <c r="C31" s="137" t="s">
        <v>1192</v>
      </c>
      <c r="D31" s="258" t="s">
        <v>356</v>
      </c>
      <c r="E31" s="228"/>
      <c r="F31" s="228"/>
      <c r="G31" s="228"/>
      <c r="H31" s="228"/>
    </row>
    <row r="32" spans="1:8" x14ac:dyDescent="0.25">
      <c r="A32" s="12" t="s">
        <v>1193</v>
      </c>
      <c r="B32" s="23">
        <v>1</v>
      </c>
      <c r="C32" s="137" t="s">
        <v>1194</v>
      </c>
      <c r="D32" s="258" t="s">
        <v>356</v>
      </c>
      <c r="E32" s="228"/>
      <c r="F32" s="228"/>
      <c r="G32" s="228"/>
      <c r="H32" s="228"/>
    </row>
    <row r="33" spans="1:8" x14ac:dyDescent="0.25">
      <c r="A33" s="12" t="s">
        <v>1195</v>
      </c>
      <c r="B33" s="23">
        <v>1</v>
      </c>
      <c r="C33" s="137" t="s">
        <v>1196</v>
      </c>
      <c r="D33" s="258" t="s">
        <v>356</v>
      </c>
      <c r="E33" s="228"/>
      <c r="F33" s="228"/>
      <c r="G33" s="228"/>
      <c r="H33" s="228"/>
    </row>
    <row r="34" spans="1:8" x14ac:dyDescent="0.25">
      <c r="A34" s="12" t="s">
        <v>1197</v>
      </c>
      <c r="B34" s="23">
        <v>1</v>
      </c>
      <c r="C34" s="137" t="s">
        <v>1198</v>
      </c>
      <c r="D34" s="258" t="s">
        <v>356</v>
      </c>
      <c r="E34" s="228"/>
      <c r="F34" s="228"/>
      <c r="G34" s="228"/>
      <c r="H34" s="228"/>
    </row>
    <row r="35" spans="1:8" x14ac:dyDescent="0.25">
      <c r="A35" s="12" t="s">
        <v>1199</v>
      </c>
      <c r="B35" s="23">
        <v>1</v>
      </c>
      <c r="C35" s="137" t="s">
        <v>1200</v>
      </c>
      <c r="D35" s="258" t="s">
        <v>356</v>
      </c>
      <c r="E35" s="228"/>
      <c r="F35" s="228"/>
      <c r="G35" s="228"/>
      <c r="H35" s="228"/>
    </row>
    <row r="36" spans="1:8" x14ac:dyDescent="0.25">
      <c r="A36" s="12" t="s">
        <v>1201</v>
      </c>
      <c r="B36" s="23">
        <v>1</v>
      </c>
      <c r="C36" s="137" t="s">
        <v>1202</v>
      </c>
      <c r="D36" s="258" t="s">
        <v>356</v>
      </c>
      <c r="E36" s="228"/>
      <c r="F36" s="228"/>
      <c r="G36" s="228"/>
      <c r="H36" s="228"/>
    </row>
    <row r="37" spans="1:8" x14ac:dyDescent="0.25">
      <c r="A37" s="12" t="s">
        <v>1203</v>
      </c>
      <c r="B37" s="23">
        <v>1</v>
      </c>
      <c r="C37" s="137" t="s">
        <v>1204</v>
      </c>
      <c r="D37" s="258" t="s">
        <v>356</v>
      </c>
      <c r="E37" s="228"/>
      <c r="F37" s="228"/>
      <c r="G37" s="228"/>
      <c r="H37" s="228"/>
    </row>
    <row r="38" spans="1:8" x14ac:dyDescent="0.25">
      <c r="A38" s="12" t="s">
        <v>1205</v>
      </c>
      <c r="B38" s="23">
        <v>1</v>
      </c>
      <c r="C38" s="137" t="s">
        <v>1206</v>
      </c>
      <c r="D38" s="258" t="s">
        <v>356</v>
      </c>
      <c r="E38" s="228"/>
      <c r="F38" s="228"/>
      <c r="G38" s="228"/>
      <c r="H38" s="228"/>
    </row>
    <row r="39" spans="1:8" x14ac:dyDescent="0.25">
      <c r="A39" s="12" t="s">
        <v>1207</v>
      </c>
      <c r="B39" s="23">
        <v>1</v>
      </c>
      <c r="C39" s="137" t="s">
        <v>1208</v>
      </c>
      <c r="D39" s="258" t="s">
        <v>356</v>
      </c>
      <c r="E39" s="228"/>
      <c r="F39" s="228"/>
      <c r="G39" s="228"/>
      <c r="H39" s="228"/>
    </row>
    <row r="40" spans="1:8" x14ac:dyDescent="0.25">
      <c r="A40" s="12" t="s">
        <v>779</v>
      </c>
      <c r="B40" s="23">
        <v>1</v>
      </c>
      <c r="C40" s="255">
        <v>662550</v>
      </c>
      <c r="D40" s="253" t="s">
        <v>501</v>
      </c>
      <c r="E40" s="228"/>
      <c r="F40" s="228"/>
      <c r="G40" s="228"/>
      <c r="H40" s="22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6F7-4148-4CCE-A2C3-3ACF6F0004AC}">
  <sheetPr codeName="Planilha36">
    <tabColor rgb="FF92D050"/>
  </sheetPr>
  <dimension ref="A1:H57"/>
  <sheetViews>
    <sheetView workbookViewId="0">
      <pane ySplit="1" topLeftCell="A45" activePane="bottomLeft" state="frozen"/>
      <selection activeCell="A53" sqref="A53"/>
      <selection pane="bottomLeft" activeCell="F57" sqref="F57"/>
    </sheetView>
  </sheetViews>
  <sheetFormatPr defaultRowHeight="15" x14ac:dyDescent="0.25"/>
  <cols>
    <col min="1" max="1" width="51.85546875" customWidth="1"/>
    <col min="2" max="2" width="13" customWidth="1"/>
    <col min="3" max="3" width="17.140625" customWidth="1"/>
    <col min="4" max="4" width="30.85546875" customWidth="1"/>
    <col min="6" max="6" width="15.7109375" customWidth="1"/>
  </cols>
  <sheetData>
    <row r="1" spans="1:8" ht="31.5" x14ac:dyDescent="0.25">
      <c r="A1" s="160" t="s">
        <v>0</v>
      </c>
      <c r="B1" s="170" t="s">
        <v>305</v>
      </c>
      <c r="C1" s="171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3" t="s">
        <v>195</v>
      </c>
      <c r="B2" s="174">
        <v>1</v>
      </c>
      <c r="C2" s="158" t="s">
        <v>198</v>
      </c>
      <c r="D2" s="253" t="s">
        <v>8</v>
      </c>
      <c r="E2" s="228"/>
      <c r="F2" s="228" t="s">
        <v>1759</v>
      </c>
      <c r="G2" s="228"/>
      <c r="H2" s="228"/>
    </row>
    <row r="3" spans="1:8" x14ac:dyDescent="0.25">
      <c r="A3" s="159" t="s">
        <v>1209</v>
      </c>
      <c r="B3" s="172">
        <v>2</v>
      </c>
      <c r="C3" s="119" t="s">
        <v>14</v>
      </c>
      <c r="D3" s="216" t="s">
        <v>8</v>
      </c>
      <c r="E3" s="228"/>
      <c r="F3" s="228" t="s">
        <v>1756</v>
      </c>
      <c r="G3" s="228"/>
      <c r="H3" s="228"/>
    </row>
    <row r="4" spans="1:8" x14ac:dyDescent="0.25">
      <c r="A4" s="159" t="s">
        <v>1210</v>
      </c>
      <c r="B4" s="172">
        <v>2</v>
      </c>
      <c r="C4" s="119" t="s">
        <v>22</v>
      </c>
      <c r="D4" s="216" t="s">
        <v>8</v>
      </c>
      <c r="E4" s="228"/>
      <c r="F4" s="228" t="s">
        <v>1779</v>
      </c>
      <c r="G4" s="228"/>
      <c r="H4" s="228"/>
    </row>
    <row r="5" spans="1:8" x14ac:dyDescent="0.25">
      <c r="A5" s="520" t="s">
        <v>976</v>
      </c>
      <c r="B5" s="172"/>
      <c r="C5" s="119" t="s">
        <v>307</v>
      </c>
      <c r="D5" s="216" t="s">
        <v>501</v>
      </c>
      <c r="E5" s="228"/>
      <c r="F5" s="228"/>
      <c r="G5" s="228"/>
      <c r="H5" s="228"/>
    </row>
    <row r="6" spans="1:8" x14ac:dyDescent="0.25">
      <c r="A6" s="123" t="s">
        <v>1211</v>
      </c>
      <c r="B6" s="174">
        <v>1</v>
      </c>
      <c r="C6" s="158" t="s">
        <v>1212</v>
      </c>
      <c r="D6" s="253" t="s">
        <v>8</v>
      </c>
      <c r="E6" s="228"/>
      <c r="F6" s="228" t="s">
        <v>2095</v>
      </c>
      <c r="G6" s="228"/>
      <c r="H6" s="228"/>
    </row>
    <row r="7" spans="1:8" x14ac:dyDescent="0.25">
      <c r="A7" s="123" t="s">
        <v>1213</v>
      </c>
      <c r="B7" s="174">
        <v>1</v>
      </c>
      <c r="C7" s="158" t="s">
        <v>1214</v>
      </c>
      <c r="D7" s="253" t="s">
        <v>8</v>
      </c>
      <c r="E7" s="228"/>
      <c r="F7" s="228" t="s">
        <v>2094</v>
      </c>
      <c r="G7" s="228"/>
      <c r="H7" s="228"/>
    </row>
    <row r="8" spans="1:8" x14ac:dyDescent="0.25">
      <c r="A8" s="159" t="s">
        <v>1215</v>
      </c>
      <c r="B8" s="172">
        <v>1</v>
      </c>
      <c r="C8" s="119" t="s">
        <v>542</v>
      </c>
      <c r="D8" s="216" t="s">
        <v>8</v>
      </c>
      <c r="E8" s="228"/>
      <c r="F8" s="228" t="s">
        <v>1870</v>
      </c>
      <c r="G8" s="228"/>
      <c r="H8" s="228"/>
    </row>
    <row r="9" spans="1:8" x14ac:dyDescent="0.25">
      <c r="A9" s="159" t="s">
        <v>1216</v>
      </c>
      <c r="B9" s="172">
        <v>1</v>
      </c>
      <c r="C9" s="119" t="s">
        <v>544</v>
      </c>
      <c r="D9" s="216" t="s">
        <v>8</v>
      </c>
      <c r="E9" s="228"/>
      <c r="F9" s="228" t="s">
        <v>1868</v>
      </c>
      <c r="G9" s="228"/>
      <c r="H9" s="228"/>
    </row>
    <row r="10" spans="1:8" x14ac:dyDescent="0.25">
      <c r="A10" s="521" t="s">
        <v>1217</v>
      </c>
      <c r="B10" s="174">
        <v>2</v>
      </c>
      <c r="C10" s="158" t="s">
        <v>1218</v>
      </c>
      <c r="D10" s="253" t="s">
        <v>363</v>
      </c>
      <c r="E10" s="228"/>
      <c r="F10" s="228" t="s">
        <v>2204</v>
      </c>
      <c r="G10" s="228"/>
      <c r="H10" s="228"/>
    </row>
    <row r="11" spans="1:8" x14ac:dyDescent="0.25">
      <c r="A11" s="159" t="s">
        <v>703</v>
      </c>
      <c r="B11" s="172">
        <v>2</v>
      </c>
      <c r="C11" s="119" t="s">
        <v>601</v>
      </c>
      <c r="D11" s="216" t="s">
        <v>8</v>
      </c>
      <c r="E11" s="228"/>
      <c r="F11" s="228" t="s">
        <v>1754</v>
      </c>
      <c r="G11" s="228"/>
      <c r="H11" s="228"/>
    </row>
    <row r="12" spans="1:8" x14ac:dyDescent="0.25">
      <c r="A12" s="159" t="s">
        <v>704</v>
      </c>
      <c r="B12" s="172">
        <v>2</v>
      </c>
      <c r="C12" s="119" t="s">
        <v>33</v>
      </c>
      <c r="D12" s="216" t="s">
        <v>8</v>
      </c>
      <c r="E12" s="228"/>
      <c r="F12" s="228" t="s">
        <v>1753</v>
      </c>
      <c r="G12" s="228"/>
      <c r="H12" s="228"/>
    </row>
    <row r="13" spans="1:8" x14ac:dyDescent="0.25">
      <c r="A13" s="159" t="s">
        <v>1219</v>
      </c>
      <c r="B13" s="172">
        <v>4</v>
      </c>
      <c r="C13" s="119" t="s">
        <v>39</v>
      </c>
      <c r="D13" s="216" t="s">
        <v>8</v>
      </c>
      <c r="E13" s="228"/>
      <c r="F13" s="228" t="s">
        <v>1883</v>
      </c>
      <c r="G13" s="228"/>
      <c r="H13" s="228"/>
    </row>
    <row r="14" spans="1:8" x14ac:dyDescent="0.25">
      <c r="A14" s="159" t="s">
        <v>705</v>
      </c>
      <c r="B14" s="172">
        <v>5</v>
      </c>
      <c r="C14" s="119" t="s">
        <v>36</v>
      </c>
      <c r="D14" s="216" t="s">
        <v>8</v>
      </c>
      <c r="E14" s="228"/>
      <c r="F14" s="228" t="s">
        <v>1881</v>
      </c>
      <c r="G14" s="228"/>
      <c r="H14" s="228"/>
    </row>
    <row r="15" spans="1:8" x14ac:dyDescent="0.25">
      <c r="A15" s="159" t="s">
        <v>706</v>
      </c>
      <c r="B15" s="172">
        <v>2</v>
      </c>
      <c r="C15" s="119" t="s">
        <v>678</v>
      </c>
      <c r="D15" s="216" t="s">
        <v>8</v>
      </c>
      <c r="E15" s="228"/>
      <c r="F15" s="228" t="s">
        <v>1887</v>
      </c>
      <c r="G15" s="228"/>
      <c r="H15" s="228"/>
    </row>
    <row r="16" spans="1:8" x14ac:dyDescent="0.25">
      <c r="A16" s="159" t="s">
        <v>46</v>
      </c>
      <c r="B16" s="172">
        <v>2</v>
      </c>
      <c r="C16" s="119" t="s">
        <v>47</v>
      </c>
      <c r="D16" s="216" t="s">
        <v>8</v>
      </c>
      <c r="E16" s="228"/>
      <c r="F16" s="228" t="s">
        <v>1889</v>
      </c>
      <c r="G16" s="228"/>
      <c r="H16" s="228"/>
    </row>
    <row r="17" spans="1:8" x14ac:dyDescent="0.25">
      <c r="A17" s="159" t="s">
        <v>50</v>
      </c>
      <c r="B17" s="172">
        <v>1</v>
      </c>
      <c r="C17" s="119" t="s">
        <v>51</v>
      </c>
      <c r="D17" s="216" t="s">
        <v>8</v>
      </c>
      <c r="E17" s="228"/>
      <c r="F17" s="228" t="s">
        <v>1890</v>
      </c>
      <c r="G17" s="228"/>
      <c r="H17" s="228"/>
    </row>
    <row r="18" spans="1:8" x14ac:dyDescent="0.25">
      <c r="A18" s="159" t="s">
        <v>308</v>
      </c>
      <c r="B18" s="172">
        <v>4</v>
      </c>
      <c r="C18" s="119">
        <v>957</v>
      </c>
      <c r="D18" s="216" t="s">
        <v>4</v>
      </c>
      <c r="E18" s="228"/>
      <c r="F18" s="228" t="s">
        <v>1895</v>
      </c>
      <c r="G18" s="228"/>
      <c r="H18" s="228"/>
    </row>
    <row r="19" spans="1:8" x14ac:dyDescent="0.25">
      <c r="A19" s="159" t="s">
        <v>1220</v>
      </c>
      <c r="B19" s="172">
        <v>1</v>
      </c>
      <c r="C19" s="119" t="s">
        <v>53</v>
      </c>
      <c r="D19" s="216" t="s">
        <v>8</v>
      </c>
      <c r="E19" s="228"/>
      <c r="F19" s="228" t="s">
        <v>1900</v>
      </c>
      <c r="G19" s="228"/>
      <c r="H19" s="228"/>
    </row>
    <row r="20" spans="1:8" x14ac:dyDescent="0.25">
      <c r="A20" s="159" t="s">
        <v>1221</v>
      </c>
      <c r="B20" s="172">
        <v>2</v>
      </c>
      <c r="C20" s="119" t="s">
        <v>262</v>
      </c>
      <c r="D20" s="216" t="s">
        <v>8</v>
      </c>
      <c r="E20" s="228"/>
      <c r="F20" s="228" t="s">
        <v>2096</v>
      </c>
      <c r="G20" s="228"/>
      <c r="H20" s="228"/>
    </row>
    <row r="21" spans="1:8" x14ac:dyDescent="0.25">
      <c r="A21" s="159" t="s">
        <v>56</v>
      </c>
      <c r="B21" s="172">
        <v>1</v>
      </c>
      <c r="C21" s="119" t="s">
        <v>57</v>
      </c>
      <c r="D21" s="216" t="s">
        <v>8</v>
      </c>
      <c r="E21" s="228"/>
      <c r="F21" s="228" t="s">
        <v>1911</v>
      </c>
      <c r="G21" s="228"/>
      <c r="H21" s="228"/>
    </row>
    <row r="22" spans="1:8" x14ac:dyDescent="0.25">
      <c r="A22" s="159" t="s">
        <v>1222</v>
      </c>
      <c r="B22" s="172">
        <v>1</v>
      </c>
      <c r="C22" s="119" t="s">
        <v>683</v>
      </c>
      <c r="D22" s="216" t="s">
        <v>8</v>
      </c>
      <c r="E22" s="228"/>
      <c r="F22" s="228" t="s">
        <v>1914</v>
      </c>
      <c r="G22" s="228"/>
      <c r="H22" s="228"/>
    </row>
    <row r="23" spans="1:8" x14ac:dyDescent="0.25">
      <c r="A23" s="159" t="s">
        <v>58</v>
      </c>
      <c r="B23" s="172">
        <v>2</v>
      </c>
      <c r="C23" s="119" t="s">
        <v>59</v>
      </c>
      <c r="D23" s="216" t="s">
        <v>8</v>
      </c>
      <c r="E23" s="228"/>
      <c r="F23" s="228" t="s">
        <v>1915</v>
      </c>
      <c r="G23" s="228"/>
      <c r="H23" s="228"/>
    </row>
    <row r="24" spans="1:8" x14ac:dyDescent="0.25">
      <c r="A24" s="159" t="s">
        <v>60</v>
      </c>
      <c r="B24" s="172">
        <v>1</v>
      </c>
      <c r="C24" s="119" t="s">
        <v>61</v>
      </c>
      <c r="D24" s="216" t="s">
        <v>8</v>
      </c>
      <c r="E24" s="228"/>
      <c r="F24" s="228" t="s">
        <v>1912</v>
      </c>
      <c r="G24" s="228"/>
      <c r="H24" s="228"/>
    </row>
    <row r="25" spans="1:8" x14ac:dyDescent="0.25">
      <c r="A25" s="159" t="s">
        <v>62</v>
      </c>
      <c r="B25" s="172">
        <v>1</v>
      </c>
      <c r="C25" s="119" t="s">
        <v>63</v>
      </c>
      <c r="D25" s="216" t="s">
        <v>8</v>
      </c>
      <c r="E25" s="228"/>
      <c r="F25" s="228" t="s">
        <v>1913</v>
      </c>
      <c r="G25" s="228"/>
      <c r="H25" s="228"/>
    </row>
    <row r="26" spans="1:8" x14ac:dyDescent="0.25">
      <c r="A26" s="159" t="s">
        <v>1223</v>
      </c>
      <c r="B26" s="172">
        <v>1</v>
      </c>
      <c r="C26" s="119" t="s">
        <v>1224</v>
      </c>
      <c r="D26" s="216" t="s">
        <v>8</v>
      </c>
      <c r="E26" s="228"/>
      <c r="F26" s="228" t="s">
        <v>2097</v>
      </c>
      <c r="G26" s="228"/>
      <c r="H26" s="228"/>
    </row>
    <row r="27" spans="1:8" x14ac:dyDescent="0.25">
      <c r="A27" s="159" t="s">
        <v>1225</v>
      </c>
      <c r="B27" s="172">
        <v>6</v>
      </c>
      <c r="C27" s="119" t="s">
        <v>1226</v>
      </c>
      <c r="D27" s="216" t="s">
        <v>8</v>
      </c>
      <c r="E27" s="228"/>
      <c r="F27" s="228" t="s">
        <v>2098</v>
      </c>
      <c r="G27" s="228"/>
      <c r="H27" s="228"/>
    </row>
    <row r="28" spans="1:8" x14ac:dyDescent="0.25">
      <c r="A28" s="159" t="s">
        <v>1227</v>
      </c>
      <c r="B28" s="172">
        <v>1</v>
      </c>
      <c r="C28" s="119" t="s">
        <v>1228</v>
      </c>
      <c r="D28" s="216" t="s">
        <v>8</v>
      </c>
      <c r="E28" s="228"/>
      <c r="F28" s="228" t="s">
        <v>2099</v>
      </c>
      <c r="G28" s="228"/>
      <c r="H28" s="228"/>
    </row>
    <row r="29" spans="1:8" x14ac:dyDescent="0.25">
      <c r="A29" s="159" t="s">
        <v>1229</v>
      </c>
      <c r="B29" s="172">
        <v>1</v>
      </c>
      <c r="C29" s="119" t="s">
        <v>1230</v>
      </c>
      <c r="D29" s="216" t="s">
        <v>8</v>
      </c>
      <c r="E29" s="228"/>
      <c r="F29" s="228" t="s">
        <v>1917</v>
      </c>
      <c r="G29" s="228"/>
      <c r="H29" s="228"/>
    </row>
    <row r="30" spans="1:8" x14ac:dyDescent="0.25">
      <c r="A30" s="159" t="s">
        <v>1231</v>
      </c>
      <c r="B30" s="172">
        <v>6</v>
      </c>
      <c r="C30" s="119" t="s">
        <v>26</v>
      </c>
      <c r="D30" s="216" t="s">
        <v>8</v>
      </c>
      <c r="E30" s="228"/>
      <c r="F30" s="228" t="s">
        <v>1878</v>
      </c>
      <c r="G30" s="228"/>
      <c r="H30" s="228"/>
    </row>
    <row r="31" spans="1:8" x14ac:dyDescent="0.25">
      <c r="A31" s="159" t="s">
        <v>338</v>
      </c>
      <c r="B31" s="172">
        <v>8</v>
      </c>
      <c r="C31" s="119" t="s">
        <v>66</v>
      </c>
      <c r="D31" s="216" t="s">
        <v>8</v>
      </c>
      <c r="E31" s="228"/>
      <c r="F31" s="228" t="s">
        <v>1931</v>
      </c>
      <c r="G31" s="228"/>
      <c r="H31" s="228"/>
    </row>
    <row r="32" spans="1:8" x14ac:dyDescent="0.25">
      <c r="A32" s="159" t="s">
        <v>339</v>
      </c>
      <c r="B32" s="172">
        <v>4</v>
      </c>
      <c r="C32" s="119" t="s">
        <v>68</v>
      </c>
      <c r="D32" s="216" t="s">
        <v>8</v>
      </c>
      <c r="E32" s="228"/>
      <c r="F32" s="228" t="s">
        <v>1932</v>
      </c>
      <c r="G32" s="228"/>
      <c r="H32" s="228"/>
    </row>
    <row r="33" spans="1:8" x14ac:dyDescent="0.25">
      <c r="A33" s="159" t="s">
        <v>1232</v>
      </c>
      <c r="B33" s="172">
        <v>6</v>
      </c>
      <c r="C33" s="119" t="s">
        <v>684</v>
      </c>
      <c r="D33" s="216" t="s">
        <v>8</v>
      </c>
      <c r="E33" s="228"/>
      <c r="F33" s="228" t="s">
        <v>1934</v>
      </c>
      <c r="G33" s="228"/>
      <c r="H33" s="228"/>
    </row>
    <row r="34" spans="1:8" x14ac:dyDescent="0.25">
      <c r="A34" s="159" t="s">
        <v>72</v>
      </c>
      <c r="B34" s="172">
        <v>5</v>
      </c>
      <c r="C34" s="119" t="s">
        <v>73</v>
      </c>
      <c r="D34" s="216" t="s">
        <v>8</v>
      </c>
      <c r="E34" s="228"/>
      <c r="F34" s="228" t="s">
        <v>1937</v>
      </c>
      <c r="G34" s="228"/>
      <c r="H34" s="228"/>
    </row>
    <row r="35" spans="1:8" x14ac:dyDescent="0.25">
      <c r="A35" s="159" t="s">
        <v>77</v>
      </c>
      <c r="B35" s="172">
        <v>3</v>
      </c>
      <c r="C35" s="119" t="s">
        <v>78</v>
      </c>
      <c r="D35" s="216" t="s">
        <v>8</v>
      </c>
      <c r="E35" s="228"/>
      <c r="F35" s="373" t="s">
        <v>1936</v>
      </c>
      <c r="G35" s="228"/>
      <c r="H35" s="228"/>
    </row>
    <row r="36" spans="1:8" x14ac:dyDescent="0.25">
      <c r="A36" s="123" t="s">
        <v>1233</v>
      </c>
      <c r="B36" s="174">
        <v>2</v>
      </c>
      <c r="C36" s="260" t="s">
        <v>84</v>
      </c>
      <c r="D36" s="253" t="s">
        <v>8</v>
      </c>
      <c r="E36" s="228"/>
      <c r="F36" s="376" t="s">
        <v>1940</v>
      </c>
      <c r="G36" s="228"/>
      <c r="H36" s="228"/>
    </row>
    <row r="37" spans="1:8" x14ac:dyDescent="0.25">
      <c r="A37" s="123" t="s">
        <v>1234</v>
      </c>
      <c r="B37" s="174">
        <v>4</v>
      </c>
      <c r="C37" s="260" t="s">
        <v>1235</v>
      </c>
      <c r="D37" s="253" t="s">
        <v>8</v>
      </c>
      <c r="E37" s="228"/>
      <c r="F37" s="376" t="s">
        <v>1942</v>
      </c>
      <c r="G37" s="228"/>
      <c r="H37" s="228"/>
    </row>
    <row r="38" spans="1:8" x14ac:dyDescent="0.25">
      <c r="A38" s="159" t="s">
        <v>1236</v>
      </c>
      <c r="B38" s="172">
        <v>6</v>
      </c>
      <c r="C38" s="119" t="s">
        <v>24</v>
      </c>
      <c r="D38" s="216" t="s">
        <v>8</v>
      </c>
      <c r="E38" s="228"/>
      <c r="F38" s="373" t="s">
        <v>1877</v>
      </c>
      <c r="G38" s="228"/>
      <c r="H38" s="228"/>
    </row>
    <row r="39" spans="1:8" x14ac:dyDescent="0.25">
      <c r="A39" s="159" t="s">
        <v>549</v>
      </c>
      <c r="B39" s="172">
        <v>1</v>
      </c>
      <c r="C39" s="119" t="s">
        <v>550</v>
      </c>
      <c r="D39" s="216" t="s">
        <v>8</v>
      </c>
      <c r="E39" s="228"/>
      <c r="F39" s="373" t="s">
        <v>1943</v>
      </c>
      <c r="G39" s="228"/>
      <c r="H39" s="228"/>
    </row>
    <row r="40" spans="1:8" x14ac:dyDescent="0.25">
      <c r="A40" s="159" t="s">
        <v>527</v>
      </c>
      <c r="B40" s="172">
        <v>1</v>
      </c>
      <c r="C40" s="119" t="s">
        <v>252</v>
      </c>
      <c r="D40" s="216" t="s">
        <v>8</v>
      </c>
      <c r="E40" s="228"/>
      <c r="F40" s="9" t="s">
        <v>1947</v>
      </c>
      <c r="G40" s="228"/>
      <c r="H40" s="228"/>
    </row>
    <row r="41" spans="1:8" x14ac:dyDescent="0.25">
      <c r="A41" s="159" t="s">
        <v>920</v>
      </c>
      <c r="B41" s="172">
        <v>2</v>
      </c>
      <c r="C41" s="119" t="s">
        <v>88</v>
      </c>
      <c r="D41" s="216" t="s">
        <v>8</v>
      </c>
      <c r="E41" s="228"/>
      <c r="F41" s="194" t="s">
        <v>1960</v>
      </c>
      <c r="G41" s="228"/>
      <c r="H41" s="228"/>
    </row>
    <row r="42" spans="1:8" x14ac:dyDescent="0.25">
      <c r="A42" s="159" t="s">
        <v>1239</v>
      </c>
      <c r="B42" s="172">
        <v>1</v>
      </c>
      <c r="C42" s="119" t="s">
        <v>111</v>
      </c>
      <c r="D42" s="216" t="s">
        <v>8</v>
      </c>
      <c r="E42" s="228"/>
      <c r="F42" s="9" t="s">
        <v>1968</v>
      </c>
      <c r="G42" s="228"/>
      <c r="H42" s="228"/>
    </row>
    <row r="43" spans="1:8" x14ac:dyDescent="0.25">
      <c r="A43" s="123" t="s">
        <v>1237</v>
      </c>
      <c r="B43" s="174">
        <v>1</v>
      </c>
      <c r="C43" s="158" t="s">
        <v>113</v>
      </c>
      <c r="D43" s="253" t="s">
        <v>8</v>
      </c>
      <c r="E43" s="228"/>
      <c r="F43" s="88" t="s">
        <v>1967</v>
      </c>
      <c r="G43" s="228"/>
      <c r="H43" s="228"/>
    </row>
    <row r="44" spans="1:8" x14ac:dyDescent="0.25">
      <c r="A44" s="159" t="s">
        <v>348</v>
      </c>
      <c r="B44" s="172">
        <v>3</v>
      </c>
      <c r="C44" s="119" t="s">
        <v>115</v>
      </c>
      <c r="D44" s="216" t="s">
        <v>8</v>
      </c>
      <c r="E44" s="228"/>
      <c r="F44" s="19" t="s">
        <v>1966</v>
      </c>
      <c r="G44" s="228"/>
      <c r="H44" s="228"/>
    </row>
    <row r="45" spans="1:8" x14ac:dyDescent="0.25">
      <c r="A45" s="123" t="s">
        <v>1238</v>
      </c>
      <c r="B45" s="174">
        <v>1</v>
      </c>
      <c r="C45" s="158" t="s">
        <v>117</v>
      </c>
      <c r="D45" s="253" t="s">
        <v>8</v>
      </c>
      <c r="E45" s="228"/>
      <c r="F45" s="88" t="s">
        <v>1969</v>
      </c>
      <c r="G45" s="228"/>
      <c r="H45" s="228"/>
    </row>
    <row r="46" spans="1:8" x14ac:dyDescent="0.25">
      <c r="A46" s="159" t="s">
        <v>1240</v>
      </c>
      <c r="B46" s="172">
        <v>1</v>
      </c>
      <c r="C46" s="119" t="s">
        <v>1241</v>
      </c>
      <c r="D46" s="216" t="s">
        <v>8</v>
      </c>
      <c r="E46" s="228"/>
      <c r="F46" s="9" t="s">
        <v>1987</v>
      </c>
      <c r="G46" s="228"/>
      <c r="H46" s="228"/>
    </row>
    <row r="47" spans="1:8" x14ac:dyDescent="0.25">
      <c r="A47" s="159" t="s">
        <v>95</v>
      </c>
      <c r="B47" s="172">
        <v>1</v>
      </c>
      <c r="C47" s="119" t="s">
        <v>96</v>
      </c>
      <c r="D47" s="216" t="s">
        <v>8</v>
      </c>
      <c r="E47" s="228"/>
      <c r="F47" s="19" t="s">
        <v>2003</v>
      </c>
      <c r="G47" s="228"/>
      <c r="H47" s="228"/>
    </row>
    <row r="48" spans="1:8" x14ac:dyDescent="0.25">
      <c r="A48" s="159" t="s">
        <v>1242</v>
      </c>
      <c r="B48" s="172">
        <v>1</v>
      </c>
      <c r="C48" s="119" t="s">
        <v>660</v>
      </c>
      <c r="D48" s="216" t="s">
        <v>8</v>
      </c>
      <c r="E48" s="228"/>
      <c r="F48" s="317" t="s">
        <v>1994</v>
      </c>
      <c r="G48" s="228"/>
      <c r="H48" s="228"/>
    </row>
    <row r="49" spans="1:8" x14ac:dyDescent="0.25">
      <c r="A49" s="123" t="s">
        <v>929</v>
      </c>
      <c r="B49" s="174">
        <v>1</v>
      </c>
      <c r="C49" s="158" t="s">
        <v>862</v>
      </c>
      <c r="D49" s="253" t="s">
        <v>363</v>
      </c>
      <c r="E49" s="228"/>
      <c r="F49" s="19" t="s">
        <v>2004</v>
      </c>
      <c r="G49" s="228"/>
      <c r="H49" s="228"/>
    </row>
    <row r="50" spans="1:8" x14ac:dyDescent="0.25">
      <c r="A50" s="123" t="s">
        <v>99</v>
      </c>
      <c r="B50" s="190">
        <v>1</v>
      </c>
      <c r="C50" s="158" t="s">
        <v>863</v>
      </c>
      <c r="D50" s="253" t="s">
        <v>363</v>
      </c>
      <c r="E50" s="228"/>
      <c r="F50" s="9" t="s">
        <v>2006</v>
      </c>
      <c r="G50" s="228"/>
      <c r="H50" s="228"/>
    </row>
    <row r="51" spans="1:8" x14ac:dyDescent="0.25">
      <c r="A51" s="123" t="s">
        <v>519</v>
      </c>
      <c r="B51" s="174">
        <v>2</v>
      </c>
      <c r="C51" s="158" t="s">
        <v>864</v>
      </c>
      <c r="D51" s="253" t="s">
        <v>363</v>
      </c>
      <c r="E51" s="228"/>
      <c r="F51" s="9" t="s">
        <v>2007</v>
      </c>
      <c r="G51" s="228"/>
      <c r="H51" s="228"/>
    </row>
    <row r="52" spans="1:8" x14ac:dyDescent="0.25">
      <c r="A52" s="123" t="s">
        <v>517</v>
      </c>
      <c r="B52" s="174">
        <v>2</v>
      </c>
      <c r="C52" s="158" t="s">
        <v>1243</v>
      </c>
      <c r="D52" s="253" t="s">
        <v>363</v>
      </c>
      <c r="E52" s="228"/>
      <c r="F52" s="9" t="s">
        <v>2008</v>
      </c>
      <c r="G52" s="228"/>
      <c r="H52" s="228"/>
    </row>
    <row r="53" spans="1:8" x14ac:dyDescent="0.25">
      <c r="A53" s="123" t="s">
        <v>1244</v>
      </c>
      <c r="B53" s="174">
        <v>1</v>
      </c>
      <c r="C53" s="261" t="s">
        <v>1245</v>
      </c>
      <c r="D53" s="253" t="s">
        <v>363</v>
      </c>
      <c r="E53" s="228"/>
      <c r="F53" s="88" t="s">
        <v>1998</v>
      </c>
      <c r="G53" s="228"/>
      <c r="H53" s="228"/>
    </row>
    <row r="54" spans="1:8" x14ac:dyDescent="0.25">
      <c r="A54" s="123" t="s">
        <v>1246</v>
      </c>
      <c r="B54" s="174">
        <v>1</v>
      </c>
      <c r="C54" s="158" t="s">
        <v>133</v>
      </c>
      <c r="D54" s="253" t="s">
        <v>8</v>
      </c>
      <c r="E54" s="228"/>
      <c r="F54" s="88" t="s">
        <v>1857</v>
      </c>
      <c r="G54" s="228"/>
      <c r="H54" s="228"/>
    </row>
    <row r="55" spans="1:8" x14ac:dyDescent="0.25">
      <c r="A55" s="123" t="s">
        <v>1247</v>
      </c>
      <c r="B55" s="174">
        <v>2</v>
      </c>
      <c r="C55" s="158" t="s">
        <v>143</v>
      </c>
      <c r="D55" s="253" t="s">
        <v>8</v>
      </c>
      <c r="E55" s="228"/>
      <c r="F55" s="88" t="s">
        <v>1861</v>
      </c>
      <c r="G55" s="228"/>
      <c r="H55" s="228"/>
    </row>
    <row r="56" spans="1:8" x14ac:dyDescent="0.25">
      <c r="A56" s="123" t="s">
        <v>1248</v>
      </c>
      <c r="B56" s="174">
        <v>2</v>
      </c>
      <c r="C56" s="158" t="s">
        <v>141</v>
      </c>
      <c r="D56" s="253" t="s">
        <v>8</v>
      </c>
      <c r="E56" s="228"/>
      <c r="F56" s="21" t="s">
        <v>1858</v>
      </c>
      <c r="G56" s="228"/>
      <c r="H56" s="228"/>
    </row>
    <row r="57" spans="1:8" x14ac:dyDescent="0.25">
      <c r="A57" s="521" t="s">
        <v>1249</v>
      </c>
      <c r="B57" s="174">
        <v>1</v>
      </c>
      <c r="C57" s="158" t="s">
        <v>1250</v>
      </c>
      <c r="D57" s="253" t="s">
        <v>10</v>
      </c>
      <c r="E57" s="228"/>
      <c r="F57" s="88" t="s">
        <v>2205</v>
      </c>
      <c r="G57" s="228"/>
      <c r="H57" s="228"/>
    </row>
  </sheetData>
  <sortState xmlns:xlrd2="http://schemas.microsoft.com/office/spreadsheetml/2017/richdata2" ref="A2:D57">
    <sortCondition ref="A1:A57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3AC-A35A-408C-B604-2B3729CE9517}">
  <sheetPr codeName="Planilha37">
    <tabColor theme="8" tint="-0.249977111117893"/>
  </sheetPr>
  <dimension ref="A1:H50"/>
  <sheetViews>
    <sheetView workbookViewId="0">
      <pane ySplit="1" topLeftCell="A37" activePane="bottomLeft" state="frozen"/>
      <selection activeCell="A53" sqref="A53"/>
      <selection pane="bottomLeft" activeCell="D48" sqref="D48"/>
    </sheetView>
  </sheetViews>
  <sheetFormatPr defaultRowHeight="15" x14ac:dyDescent="0.25"/>
  <cols>
    <col min="1" max="1" width="46.28515625" customWidth="1"/>
    <col min="2" max="2" width="19.85546875" customWidth="1"/>
    <col min="3" max="3" width="19.42578125" style="27" customWidth="1"/>
    <col min="4" max="4" width="23.85546875" customWidth="1"/>
    <col min="6" max="6" width="12.71093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524" t="s">
        <v>1269</v>
      </c>
      <c r="B2" s="130">
        <v>1</v>
      </c>
      <c r="C2" s="131">
        <v>2047</v>
      </c>
      <c r="D2" s="112" t="s">
        <v>4</v>
      </c>
      <c r="E2" s="228"/>
      <c r="F2" s="228"/>
      <c r="G2" s="228"/>
      <c r="H2" s="228"/>
    </row>
    <row r="3" spans="1:8" x14ac:dyDescent="0.25">
      <c r="A3" s="524" t="s">
        <v>1269</v>
      </c>
      <c r="B3" s="130">
        <v>1</v>
      </c>
      <c r="C3" s="53">
        <v>2049</v>
      </c>
      <c r="D3" s="112" t="s">
        <v>4</v>
      </c>
      <c r="E3" s="228"/>
      <c r="F3" s="228"/>
      <c r="G3" s="228"/>
      <c r="H3" s="228"/>
    </row>
    <row r="4" spans="1:8" x14ac:dyDescent="0.25">
      <c r="A4" s="524" t="s">
        <v>1269</v>
      </c>
      <c r="B4" s="130">
        <v>1</v>
      </c>
      <c r="C4" s="53">
        <v>2050</v>
      </c>
      <c r="D4" s="112" t="s">
        <v>4</v>
      </c>
      <c r="E4" s="228"/>
      <c r="F4" s="228"/>
      <c r="G4" s="228"/>
      <c r="H4" s="228"/>
    </row>
    <row r="5" spans="1:8" x14ac:dyDescent="0.25">
      <c r="A5" s="524" t="s">
        <v>1268</v>
      </c>
      <c r="B5" s="130">
        <v>1</v>
      </c>
      <c r="C5" s="53">
        <v>1999</v>
      </c>
      <c r="D5" s="112" t="s">
        <v>4</v>
      </c>
      <c r="E5" s="228"/>
      <c r="F5" s="228"/>
      <c r="G5" s="228"/>
      <c r="H5" s="228"/>
    </row>
    <row r="6" spans="1:8" x14ac:dyDescent="0.25">
      <c r="A6" s="524" t="s">
        <v>1268</v>
      </c>
      <c r="B6" s="130">
        <v>1</v>
      </c>
      <c r="C6" s="53">
        <v>2000</v>
      </c>
      <c r="D6" s="112" t="s">
        <v>4</v>
      </c>
      <c r="E6" s="228"/>
      <c r="F6" s="228"/>
      <c r="G6" s="228"/>
      <c r="H6" s="228"/>
    </row>
    <row r="7" spans="1:8" x14ac:dyDescent="0.25">
      <c r="A7" s="524" t="s">
        <v>1267</v>
      </c>
      <c r="B7" s="130">
        <v>1</v>
      </c>
      <c r="C7" s="53">
        <v>2006</v>
      </c>
      <c r="D7" s="112" t="s">
        <v>4</v>
      </c>
      <c r="E7" s="228"/>
      <c r="F7" s="228"/>
      <c r="G7" s="228"/>
      <c r="H7" s="228"/>
    </row>
    <row r="8" spans="1:8" x14ac:dyDescent="0.25">
      <c r="A8" s="524" t="s">
        <v>313</v>
      </c>
      <c r="B8" s="130">
        <v>1</v>
      </c>
      <c r="C8" s="490">
        <v>662550</v>
      </c>
      <c r="D8" s="253" t="s">
        <v>501</v>
      </c>
      <c r="E8" s="228"/>
      <c r="F8" s="228"/>
      <c r="G8" s="228"/>
      <c r="H8" s="228"/>
    </row>
    <row r="9" spans="1:8" x14ac:dyDescent="0.25">
      <c r="A9" s="524" t="s">
        <v>1275</v>
      </c>
      <c r="B9" s="130">
        <v>1</v>
      </c>
      <c r="C9" s="53">
        <v>3430</v>
      </c>
      <c r="D9" s="112" t="s">
        <v>4</v>
      </c>
      <c r="E9" s="228"/>
      <c r="F9" s="228"/>
      <c r="G9" s="228"/>
      <c r="H9" s="228"/>
    </row>
    <row r="10" spans="1:8" x14ac:dyDescent="0.25">
      <c r="A10" s="524" t="s">
        <v>1273</v>
      </c>
      <c r="B10" s="130">
        <v>1</v>
      </c>
      <c r="C10" s="53">
        <v>2423</v>
      </c>
      <c r="D10" s="112" t="s">
        <v>4</v>
      </c>
      <c r="E10" s="228"/>
      <c r="F10" s="228"/>
      <c r="G10" s="228"/>
      <c r="H10" s="228"/>
    </row>
    <row r="11" spans="1:8" x14ac:dyDescent="0.25">
      <c r="A11" s="12" t="s">
        <v>436</v>
      </c>
      <c r="B11" s="130">
        <v>1</v>
      </c>
      <c r="C11" s="53">
        <v>2438</v>
      </c>
      <c r="D11" s="112" t="s">
        <v>4</v>
      </c>
      <c r="E11" s="228"/>
      <c r="F11" s="76" t="s">
        <v>1825</v>
      </c>
      <c r="G11" s="228"/>
      <c r="H11" s="228"/>
    </row>
    <row r="12" spans="1:8" x14ac:dyDescent="0.25">
      <c r="A12" s="12" t="s">
        <v>1270</v>
      </c>
      <c r="B12" s="130">
        <v>1</v>
      </c>
      <c r="C12" s="53" t="s">
        <v>170</v>
      </c>
      <c r="D12" s="112" t="s">
        <v>4</v>
      </c>
      <c r="E12" s="228"/>
      <c r="F12" s="21" t="s">
        <v>1836</v>
      </c>
      <c r="G12" s="228"/>
      <c r="H12" s="228"/>
    </row>
    <row r="13" spans="1:8" x14ac:dyDescent="0.25">
      <c r="A13" s="12" t="s">
        <v>1271</v>
      </c>
      <c r="B13" s="130">
        <v>1</v>
      </c>
      <c r="C13" s="53" t="s">
        <v>172</v>
      </c>
      <c r="D13" s="112" t="s">
        <v>4</v>
      </c>
      <c r="E13" s="228"/>
      <c r="F13" s="194" t="s">
        <v>1837</v>
      </c>
      <c r="G13" s="228"/>
      <c r="H13" s="228"/>
    </row>
    <row r="14" spans="1:8" x14ac:dyDescent="0.25">
      <c r="A14" s="12" t="s">
        <v>1272</v>
      </c>
      <c r="B14" s="130">
        <v>1</v>
      </c>
      <c r="C14" s="53" t="s">
        <v>174</v>
      </c>
      <c r="D14" s="112" t="s">
        <v>4</v>
      </c>
      <c r="E14" s="228"/>
      <c r="F14" s="194" t="s">
        <v>1838</v>
      </c>
      <c r="G14" s="228"/>
      <c r="H14" s="228"/>
    </row>
    <row r="15" spans="1:8" x14ac:dyDescent="0.25">
      <c r="A15" s="524" t="s">
        <v>1274</v>
      </c>
      <c r="B15" s="130">
        <v>1</v>
      </c>
      <c r="C15" s="53">
        <v>3467</v>
      </c>
      <c r="D15" s="112" t="s">
        <v>4</v>
      </c>
      <c r="E15" s="228"/>
      <c r="F15" s="21"/>
      <c r="G15" s="228"/>
      <c r="H15" s="228"/>
    </row>
    <row r="16" spans="1:8" x14ac:dyDescent="0.25">
      <c r="A16" s="12" t="s">
        <v>1276</v>
      </c>
      <c r="B16" s="130">
        <v>1</v>
      </c>
      <c r="C16" s="53">
        <v>2766</v>
      </c>
      <c r="D16" s="112" t="s">
        <v>4</v>
      </c>
      <c r="E16" s="228"/>
      <c r="F16" s="432" t="s">
        <v>2024</v>
      </c>
      <c r="G16" s="228"/>
      <c r="H16" s="228"/>
    </row>
    <row r="17" spans="1:8" x14ac:dyDescent="0.25">
      <c r="A17" s="524" t="s">
        <v>1282</v>
      </c>
      <c r="B17" s="130">
        <v>1</v>
      </c>
      <c r="C17" s="53">
        <v>2893</v>
      </c>
      <c r="D17" s="112" t="s">
        <v>4</v>
      </c>
      <c r="E17" s="228"/>
      <c r="F17" s="21"/>
      <c r="G17" s="228"/>
      <c r="H17" s="228"/>
    </row>
    <row r="18" spans="1:8" x14ac:dyDescent="0.25">
      <c r="A18" s="12" t="s">
        <v>1254</v>
      </c>
      <c r="B18" s="130">
        <v>1</v>
      </c>
      <c r="C18" s="53">
        <v>2835</v>
      </c>
      <c r="D18" s="112" t="s">
        <v>4</v>
      </c>
      <c r="E18" s="228"/>
      <c r="F18" s="21" t="s">
        <v>1880</v>
      </c>
      <c r="G18" s="228"/>
      <c r="H18" s="228"/>
    </row>
    <row r="19" spans="1:8" x14ac:dyDescent="0.25">
      <c r="A19" s="12" t="s">
        <v>1252</v>
      </c>
      <c r="B19" s="130">
        <v>1</v>
      </c>
      <c r="C19" s="53">
        <v>2834</v>
      </c>
      <c r="D19" s="112" t="s">
        <v>4</v>
      </c>
      <c r="E19" s="228"/>
      <c r="F19" s="21" t="s">
        <v>1754</v>
      </c>
      <c r="G19" s="228"/>
      <c r="H19" s="228"/>
    </row>
    <row r="20" spans="1:8" x14ac:dyDescent="0.25">
      <c r="A20" s="12" t="s">
        <v>1253</v>
      </c>
      <c r="B20" s="130">
        <v>1</v>
      </c>
      <c r="C20" s="53">
        <v>2833</v>
      </c>
      <c r="D20" s="112" t="s">
        <v>4</v>
      </c>
      <c r="E20" s="228"/>
      <c r="F20" s="21" t="s">
        <v>1753</v>
      </c>
      <c r="G20" s="228"/>
      <c r="H20" s="228"/>
    </row>
    <row r="21" spans="1:8" x14ac:dyDescent="0.25">
      <c r="A21" s="12" t="s">
        <v>1265</v>
      </c>
      <c r="B21" s="130">
        <v>4</v>
      </c>
      <c r="C21" s="53">
        <v>957</v>
      </c>
      <c r="D21" s="112" t="s">
        <v>4</v>
      </c>
      <c r="E21" s="228"/>
      <c r="F21" s="21" t="s">
        <v>1895</v>
      </c>
      <c r="G21" s="228"/>
      <c r="H21" s="228"/>
    </row>
    <row r="22" spans="1:8" x14ac:dyDescent="0.25">
      <c r="A22" s="12" t="s">
        <v>1251</v>
      </c>
      <c r="B22" s="130">
        <v>2</v>
      </c>
      <c r="C22" s="53">
        <v>2827</v>
      </c>
      <c r="D22" s="112" t="s">
        <v>4</v>
      </c>
      <c r="E22" s="228"/>
      <c r="F22" s="21" t="s">
        <v>1897</v>
      </c>
      <c r="G22" s="228"/>
      <c r="H22" s="228"/>
    </row>
    <row r="23" spans="1:8" x14ac:dyDescent="0.25">
      <c r="A23" s="524" t="s">
        <v>1285</v>
      </c>
      <c r="B23" s="130">
        <v>1</v>
      </c>
      <c r="C23" s="53">
        <v>3220</v>
      </c>
      <c r="D23" s="112" t="s">
        <v>4</v>
      </c>
      <c r="E23" s="228"/>
      <c r="F23" s="21"/>
      <c r="G23" s="228"/>
      <c r="H23" s="228"/>
    </row>
    <row r="24" spans="1:8" x14ac:dyDescent="0.25">
      <c r="A24" s="524" t="s">
        <v>1284</v>
      </c>
      <c r="B24" s="130">
        <v>1</v>
      </c>
      <c r="C24" s="53">
        <v>3232</v>
      </c>
      <c r="D24" s="112" t="s">
        <v>4</v>
      </c>
      <c r="E24" s="228"/>
      <c r="F24" s="21"/>
      <c r="G24" s="228"/>
      <c r="H24" s="228"/>
    </row>
    <row r="25" spans="1:8" x14ac:dyDescent="0.25">
      <c r="A25" s="524" t="s">
        <v>1289</v>
      </c>
      <c r="B25" s="130">
        <v>1</v>
      </c>
      <c r="C25" s="53">
        <v>3059</v>
      </c>
      <c r="D25" s="112" t="s">
        <v>4</v>
      </c>
      <c r="E25" s="228"/>
      <c r="F25" s="21"/>
      <c r="G25" s="228"/>
      <c r="H25" s="228"/>
    </row>
    <row r="26" spans="1:8" x14ac:dyDescent="0.25">
      <c r="A26" s="524" t="s">
        <v>1281</v>
      </c>
      <c r="B26" s="130">
        <v>1</v>
      </c>
      <c r="C26" s="53">
        <v>3064</v>
      </c>
      <c r="D26" s="112" t="s">
        <v>4</v>
      </c>
      <c r="E26" s="228"/>
      <c r="F26" s="21"/>
      <c r="G26" s="228"/>
      <c r="H26" s="228"/>
    </row>
    <row r="27" spans="1:8" x14ac:dyDescent="0.25">
      <c r="A27" s="524" t="s">
        <v>1280</v>
      </c>
      <c r="B27" s="130">
        <v>1</v>
      </c>
      <c r="C27" s="53">
        <v>3065</v>
      </c>
      <c r="D27" s="112" t="s">
        <v>4</v>
      </c>
      <c r="E27" s="228"/>
      <c r="F27" s="383"/>
      <c r="G27" s="228"/>
      <c r="H27" s="228"/>
    </row>
    <row r="28" spans="1:8" x14ac:dyDescent="0.25">
      <c r="A28" s="524" t="s">
        <v>1293</v>
      </c>
      <c r="B28" s="130">
        <v>1</v>
      </c>
      <c r="C28" s="215">
        <v>3257</v>
      </c>
      <c r="D28" s="112" t="s">
        <v>4</v>
      </c>
      <c r="E28" s="228"/>
      <c r="F28" s="383"/>
      <c r="G28" s="228"/>
      <c r="H28" s="228"/>
    </row>
    <row r="29" spans="1:8" x14ac:dyDescent="0.25">
      <c r="A29" s="12" t="s">
        <v>746</v>
      </c>
      <c r="B29" s="130">
        <v>1</v>
      </c>
      <c r="C29" s="53">
        <v>1317</v>
      </c>
      <c r="D29" s="112" t="s">
        <v>4</v>
      </c>
      <c r="E29" s="228"/>
      <c r="F29" s="426" t="s">
        <v>1930</v>
      </c>
      <c r="G29" s="228"/>
      <c r="H29" s="228"/>
    </row>
    <row r="30" spans="1:8" x14ac:dyDescent="0.25">
      <c r="A30" s="12" t="s">
        <v>1259</v>
      </c>
      <c r="B30" s="130">
        <v>1</v>
      </c>
      <c r="C30" s="53" t="s">
        <v>1260</v>
      </c>
      <c r="D30" s="112" t="s">
        <v>4</v>
      </c>
      <c r="E30" s="228"/>
      <c r="F30" s="313" t="s">
        <v>1933</v>
      </c>
      <c r="G30" s="228"/>
      <c r="H30" s="228"/>
    </row>
    <row r="31" spans="1:8" x14ac:dyDescent="0.25">
      <c r="A31" s="524" t="s">
        <v>1277</v>
      </c>
      <c r="B31" s="130">
        <v>1</v>
      </c>
      <c r="C31" s="215">
        <v>3153</v>
      </c>
      <c r="D31" s="112" t="s">
        <v>4</v>
      </c>
      <c r="E31" s="228"/>
      <c r="F31" s="95"/>
      <c r="G31" s="228"/>
      <c r="H31" s="228"/>
    </row>
    <row r="32" spans="1:8" x14ac:dyDescent="0.25">
      <c r="A32" s="524" t="s">
        <v>1290</v>
      </c>
      <c r="B32" s="130">
        <v>1</v>
      </c>
      <c r="C32" s="53">
        <v>3263</v>
      </c>
      <c r="D32" s="112" t="s">
        <v>4</v>
      </c>
      <c r="E32" s="228"/>
      <c r="F32" s="95"/>
      <c r="G32" s="228"/>
      <c r="H32" s="228"/>
    </row>
    <row r="33" spans="1:8" x14ac:dyDescent="0.25">
      <c r="A33" s="12" t="s">
        <v>1283</v>
      </c>
      <c r="B33" s="130">
        <v>1</v>
      </c>
      <c r="C33" s="53">
        <v>3247</v>
      </c>
      <c r="D33" s="112" t="s">
        <v>4</v>
      </c>
      <c r="E33" s="228"/>
      <c r="F33" s="95" t="s">
        <v>1899</v>
      </c>
      <c r="G33" s="228"/>
      <c r="H33" s="228"/>
    </row>
    <row r="34" spans="1:8" x14ac:dyDescent="0.25">
      <c r="A34" s="524" t="s">
        <v>1291</v>
      </c>
      <c r="B34" s="130">
        <v>1</v>
      </c>
      <c r="C34" s="215">
        <v>3261</v>
      </c>
      <c r="D34" s="112" t="s">
        <v>4</v>
      </c>
      <c r="E34" s="228"/>
      <c r="F34" s="95"/>
      <c r="G34" s="228"/>
      <c r="H34" s="228"/>
    </row>
    <row r="35" spans="1:8" x14ac:dyDescent="0.25">
      <c r="A35" s="524" t="s">
        <v>1288</v>
      </c>
      <c r="B35" s="130">
        <v>1</v>
      </c>
      <c r="C35" s="53">
        <v>3256</v>
      </c>
      <c r="D35" s="112" t="s">
        <v>4</v>
      </c>
      <c r="E35" s="228"/>
      <c r="F35" s="95"/>
      <c r="G35" s="228"/>
      <c r="H35" s="228"/>
    </row>
    <row r="36" spans="1:8" x14ac:dyDescent="0.25">
      <c r="A36" s="12" t="s">
        <v>1287</v>
      </c>
      <c r="B36" s="130">
        <v>1</v>
      </c>
      <c r="C36" s="53">
        <v>3254</v>
      </c>
      <c r="D36" s="112" t="s">
        <v>4</v>
      </c>
      <c r="E36" s="228"/>
      <c r="F36" s="95" t="s">
        <v>2086</v>
      </c>
      <c r="G36" s="228"/>
      <c r="H36" s="228"/>
    </row>
    <row r="37" spans="1:8" x14ac:dyDescent="0.25">
      <c r="A37" s="524" t="s">
        <v>1286</v>
      </c>
      <c r="B37" s="130">
        <v>1</v>
      </c>
      <c r="C37" s="53">
        <v>3255</v>
      </c>
      <c r="D37" s="112" t="s">
        <v>4</v>
      </c>
      <c r="E37" s="228"/>
      <c r="F37" s="95"/>
      <c r="G37" s="228"/>
      <c r="H37" s="228"/>
    </row>
    <row r="38" spans="1:8" x14ac:dyDescent="0.25">
      <c r="A38" s="524" t="s">
        <v>1257</v>
      </c>
      <c r="B38" s="130">
        <v>1</v>
      </c>
      <c r="C38" s="53" t="s">
        <v>1258</v>
      </c>
      <c r="D38" s="112" t="s">
        <v>4</v>
      </c>
      <c r="E38" s="228"/>
      <c r="F38" s="95"/>
      <c r="G38" s="228"/>
      <c r="H38" s="228"/>
    </row>
    <row r="39" spans="1:8" x14ac:dyDescent="0.25">
      <c r="A39" s="12" t="s">
        <v>1255</v>
      </c>
      <c r="B39" s="130">
        <v>1</v>
      </c>
      <c r="C39" s="53" t="s">
        <v>1256</v>
      </c>
      <c r="D39" s="112" t="s">
        <v>4</v>
      </c>
      <c r="E39" s="228"/>
      <c r="F39" s="72" t="s">
        <v>1965</v>
      </c>
      <c r="G39" s="228"/>
      <c r="H39" s="228"/>
    </row>
    <row r="40" spans="1:8" x14ac:dyDescent="0.25">
      <c r="A40" s="12" t="s">
        <v>1292</v>
      </c>
      <c r="B40" s="130">
        <v>1</v>
      </c>
      <c r="C40" s="53">
        <v>3261</v>
      </c>
      <c r="D40" s="112" t="s">
        <v>4</v>
      </c>
      <c r="E40" s="228"/>
      <c r="F40" s="95"/>
      <c r="G40" s="228"/>
      <c r="H40" s="228"/>
    </row>
    <row r="41" spans="1:8" x14ac:dyDescent="0.25">
      <c r="A41" s="12" t="s">
        <v>1266</v>
      </c>
      <c r="B41" s="130">
        <v>1</v>
      </c>
      <c r="C41" s="53">
        <v>2906</v>
      </c>
      <c r="D41" s="112" t="s">
        <v>4</v>
      </c>
      <c r="E41" s="228"/>
      <c r="F41" s="321"/>
      <c r="G41" s="228"/>
      <c r="H41" s="228"/>
    </row>
    <row r="42" spans="1:8" x14ac:dyDescent="0.25">
      <c r="A42" s="12" t="s">
        <v>1264</v>
      </c>
      <c r="B42" s="130">
        <v>1</v>
      </c>
      <c r="C42" s="53">
        <v>3367</v>
      </c>
      <c r="D42" s="112" t="s">
        <v>4</v>
      </c>
      <c r="E42" s="228"/>
      <c r="F42" s="193"/>
      <c r="G42" s="228"/>
      <c r="H42" s="228"/>
    </row>
    <row r="43" spans="1:8" x14ac:dyDescent="0.25">
      <c r="A43" s="12" t="s">
        <v>1279</v>
      </c>
      <c r="B43" s="130">
        <v>2</v>
      </c>
      <c r="C43" s="53">
        <v>3358</v>
      </c>
      <c r="D43" s="112" t="s">
        <v>4</v>
      </c>
      <c r="E43" s="228"/>
      <c r="F43" s="362" t="s">
        <v>1999</v>
      </c>
      <c r="G43" s="228"/>
      <c r="H43" s="228"/>
    </row>
    <row r="44" spans="1:8" x14ac:dyDescent="0.25">
      <c r="A44" s="12" t="s">
        <v>1026</v>
      </c>
      <c r="B44" s="130">
        <v>1</v>
      </c>
      <c r="C44" s="53">
        <v>3320</v>
      </c>
      <c r="D44" s="112" t="s">
        <v>4</v>
      </c>
      <c r="E44" s="228"/>
      <c r="F44" s="374" t="s">
        <v>1993</v>
      </c>
      <c r="G44" s="228"/>
      <c r="H44" s="228"/>
    </row>
    <row r="45" spans="1:8" x14ac:dyDescent="0.25">
      <c r="A45" s="12" t="s">
        <v>1027</v>
      </c>
      <c r="B45" s="130">
        <v>1</v>
      </c>
      <c r="C45" s="53">
        <v>3316</v>
      </c>
      <c r="D45" s="112" t="s">
        <v>4</v>
      </c>
      <c r="E45" s="228"/>
      <c r="F45" s="384" t="s">
        <v>2000</v>
      </c>
      <c r="G45" s="228"/>
      <c r="H45" s="228"/>
    </row>
    <row r="46" spans="1:8" x14ac:dyDescent="0.25">
      <c r="A46" s="12" t="s">
        <v>1261</v>
      </c>
      <c r="B46" s="130">
        <v>1</v>
      </c>
      <c r="C46" s="53">
        <v>3356</v>
      </c>
      <c r="D46" s="112" t="s">
        <v>4</v>
      </c>
      <c r="E46" s="228"/>
      <c r="F46" s="384" t="s">
        <v>2003</v>
      </c>
      <c r="G46" s="228"/>
      <c r="H46" s="228"/>
    </row>
    <row r="47" spans="1:8" x14ac:dyDescent="0.25">
      <c r="A47" s="12" t="s">
        <v>755</v>
      </c>
      <c r="B47" s="130">
        <v>1</v>
      </c>
      <c r="C47" s="53">
        <v>3354</v>
      </c>
      <c r="D47" s="112" t="s">
        <v>4</v>
      </c>
      <c r="E47" s="228"/>
      <c r="F47" s="385" t="s">
        <v>1994</v>
      </c>
      <c r="G47" s="228"/>
      <c r="H47" s="228"/>
    </row>
    <row r="48" spans="1:8" x14ac:dyDescent="0.25">
      <c r="A48" s="12" t="s">
        <v>1263</v>
      </c>
      <c r="B48" s="130">
        <v>1</v>
      </c>
      <c r="C48" s="53">
        <v>3322</v>
      </c>
      <c r="D48" s="112" t="s">
        <v>4</v>
      </c>
      <c r="E48" s="228"/>
      <c r="F48" s="357" t="s">
        <v>2006</v>
      </c>
      <c r="G48" s="228"/>
      <c r="H48" s="228"/>
    </row>
    <row r="49" spans="1:8" x14ac:dyDescent="0.25">
      <c r="A49" s="12" t="s">
        <v>1262</v>
      </c>
      <c r="B49" s="130">
        <v>1</v>
      </c>
      <c r="C49" s="53">
        <v>3322</v>
      </c>
      <c r="D49" s="112" t="s">
        <v>4</v>
      </c>
      <c r="E49" s="228"/>
      <c r="F49" s="362" t="s">
        <v>2009</v>
      </c>
      <c r="G49" s="228"/>
      <c r="H49" s="228"/>
    </row>
    <row r="50" spans="1:8" x14ac:dyDescent="0.25">
      <c r="A50" s="524" t="s">
        <v>1278</v>
      </c>
      <c r="B50" s="130">
        <v>1</v>
      </c>
      <c r="C50" s="53">
        <v>3392</v>
      </c>
      <c r="D50" s="112" t="s">
        <v>4</v>
      </c>
      <c r="E50" s="228"/>
      <c r="F50" s="362"/>
      <c r="G50" s="228"/>
      <c r="H50" s="228"/>
    </row>
  </sheetData>
  <sortState xmlns:xlrd2="http://schemas.microsoft.com/office/spreadsheetml/2017/richdata2" ref="A2:D50">
    <sortCondition ref="A1:A50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4B87-F7FA-4699-8FE4-950AF85E2A1B}">
  <sheetPr codeName="Planilha38">
    <tabColor theme="8" tint="-0.249977111117893"/>
  </sheetPr>
  <dimension ref="A1:I28"/>
  <sheetViews>
    <sheetView workbookViewId="0">
      <pane ySplit="1" topLeftCell="A2" activePane="bottomLeft" state="frozen"/>
      <selection activeCell="A53" sqref="A53"/>
      <selection pane="bottomLeft" activeCell="K22" sqref="K22"/>
    </sheetView>
  </sheetViews>
  <sheetFormatPr defaultRowHeight="15" x14ac:dyDescent="0.25"/>
  <cols>
    <col min="1" max="1" width="42.140625" customWidth="1"/>
    <col min="2" max="2" width="23.5703125" customWidth="1"/>
    <col min="3" max="3" width="17.5703125" customWidth="1"/>
    <col min="4" max="4" width="15.85546875" customWidth="1"/>
    <col min="6" max="6" width="12.85546875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3" t="s">
        <v>1296</v>
      </c>
      <c r="B2" s="150">
        <v>2</v>
      </c>
      <c r="C2" s="144" t="s">
        <v>1297</v>
      </c>
      <c r="D2" s="263" t="s">
        <v>10</v>
      </c>
      <c r="E2" s="228"/>
      <c r="F2" s="419" t="s">
        <v>1757</v>
      </c>
      <c r="G2" s="228"/>
      <c r="H2" s="228"/>
    </row>
    <row r="3" spans="1:8" x14ac:dyDescent="0.25">
      <c r="A3" s="3" t="s">
        <v>1294</v>
      </c>
      <c r="B3" s="150">
        <v>2</v>
      </c>
      <c r="C3" s="144" t="s">
        <v>1295</v>
      </c>
      <c r="D3" s="263" t="s">
        <v>10</v>
      </c>
      <c r="E3" s="228"/>
      <c r="F3" s="525" t="s">
        <v>2100</v>
      </c>
      <c r="G3" s="228"/>
      <c r="H3" s="228"/>
    </row>
    <row r="4" spans="1:8" x14ac:dyDescent="0.25">
      <c r="A4" s="3" t="s">
        <v>1298</v>
      </c>
      <c r="B4" s="150">
        <v>2</v>
      </c>
      <c r="C4" s="144" t="s">
        <v>22</v>
      </c>
      <c r="D4" s="263" t="s">
        <v>8</v>
      </c>
      <c r="E4" s="228"/>
      <c r="F4" s="376" t="s">
        <v>1779</v>
      </c>
      <c r="G4" s="228"/>
      <c r="H4" s="228"/>
    </row>
    <row r="5" spans="1:8" x14ac:dyDescent="0.25">
      <c r="A5" s="3" t="s">
        <v>1299</v>
      </c>
      <c r="B5" s="150">
        <v>2</v>
      </c>
      <c r="C5" s="144" t="s">
        <v>1300</v>
      </c>
      <c r="D5" s="263" t="s">
        <v>10</v>
      </c>
      <c r="E5" s="228"/>
      <c r="F5" s="374" t="s">
        <v>2153</v>
      </c>
      <c r="G5" s="228"/>
      <c r="H5" s="228"/>
    </row>
    <row r="6" spans="1:8" x14ac:dyDescent="0.25">
      <c r="A6" s="3" t="s">
        <v>1132</v>
      </c>
      <c r="B6" s="150">
        <v>1</v>
      </c>
      <c r="C6" s="144">
        <v>2049</v>
      </c>
      <c r="D6" s="263" t="s">
        <v>4</v>
      </c>
      <c r="E6" s="228"/>
      <c r="F6" s="376" t="s">
        <v>1796</v>
      </c>
      <c r="G6" s="228"/>
      <c r="H6" s="228"/>
    </row>
    <row r="7" spans="1:8" x14ac:dyDescent="0.25">
      <c r="A7" s="3" t="s">
        <v>1301</v>
      </c>
      <c r="B7" s="150">
        <v>2</v>
      </c>
      <c r="C7" s="144" t="s">
        <v>1302</v>
      </c>
      <c r="D7" s="263" t="s">
        <v>10</v>
      </c>
      <c r="E7" s="228"/>
      <c r="F7" s="374" t="s">
        <v>2014</v>
      </c>
      <c r="G7" s="228"/>
      <c r="H7" s="228"/>
    </row>
    <row r="8" spans="1:8" x14ac:dyDescent="0.25">
      <c r="A8" s="3" t="s">
        <v>1303</v>
      </c>
      <c r="B8" s="150">
        <v>2</v>
      </c>
      <c r="C8" s="144" t="s">
        <v>1304</v>
      </c>
      <c r="D8" s="263" t="s">
        <v>10</v>
      </c>
      <c r="E8" s="228"/>
      <c r="F8" s="374" t="s">
        <v>2015</v>
      </c>
      <c r="G8" s="228"/>
      <c r="H8" s="228"/>
    </row>
    <row r="9" spans="1:8" x14ac:dyDescent="0.25">
      <c r="A9" s="3" t="s">
        <v>1318</v>
      </c>
      <c r="B9" s="150">
        <v>1</v>
      </c>
      <c r="C9" s="144" t="s">
        <v>1319</v>
      </c>
      <c r="D9" s="263" t="s">
        <v>10</v>
      </c>
      <c r="E9" s="228"/>
      <c r="F9" s="419" t="s">
        <v>1809</v>
      </c>
      <c r="G9" s="228"/>
      <c r="H9" s="228"/>
    </row>
    <row r="10" spans="1:8" x14ac:dyDescent="0.25">
      <c r="A10" s="517" t="s">
        <v>1316</v>
      </c>
      <c r="B10" s="150">
        <v>1</v>
      </c>
      <c r="C10" s="144" t="s">
        <v>1317</v>
      </c>
      <c r="D10" s="263" t="s">
        <v>10</v>
      </c>
      <c r="E10" s="228"/>
      <c r="F10" s="374"/>
      <c r="G10" s="228"/>
      <c r="H10" s="228"/>
    </row>
    <row r="11" spans="1:8" x14ac:dyDescent="0.25">
      <c r="A11" s="3" t="s">
        <v>1314</v>
      </c>
      <c r="B11" s="150">
        <v>1</v>
      </c>
      <c r="C11" s="144" t="s">
        <v>1315</v>
      </c>
      <c r="D11" s="263" t="s">
        <v>10</v>
      </c>
      <c r="E11" s="228"/>
      <c r="F11" s="419" t="s">
        <v>1810</v>
      </c>
      <c r="G11" s="228"/>
      <c r="H11" s="228"/>
    </row>
    <row r="12" spans="1:8" x14ac:dyDescent="0.25">
      <c r="A12" s="3" t="s">
        <v>1312</v>
      </c>
      <c r="B12" s="150">
        <v>1</v>
      </c>
      <c r="C12" s="144" t="s">
        <v>1313</v>
      </c>
      <c r="D12" s="263" t="s">
        <v>10</v>
      </c>
      <c r="E12" s="228"/>
      <c r="F12" s="374" t="s">
        <v>1813</v>
      </c>
      <c r="G12" s="228"/>
      <c r="H12" s="228"/>
    </row>
    <row r="13" spans="1:8" x14ac:dyDescent="0.25">
      <c r="A13" s="3" t="s">
        <v>1310</v>
      </c>
      <c r="B13" s="150">
        <v>1</v>
      </c>
      <c r="C13" s="144" t="s">
        <v>1311</v>
      </c>
      <c r="D13" s="263" t="s">
        <v>10</v>
      </c>
      <c r="E13" s="228"/>
      <c r="F13" s="374" t="s">
        <v>1812</v>
      </c>
      <c r="G13" s="228"/>
      <c r="H13" s="228"/>
    </row>
    <row r="14" spans="1:8" x14ac:dyDescent="0.25">
      <c r="A14" s="517" t="s">
        <v>1337</v>
      </c>
      <c r="B14" s="150">
        <v>1</v>
      </c>
      <c r="C14" s="144"/>
      <c r="D14" s="263"/>
      <c r="E14" s="228"/>
      <c r="F14" s="374"/>
      <c r="G14" s="228"/>
      <c r="H14" s="228"/>
    </row>
    <row r="15" spans="1:8" x14ac:dyDescent="0.25">
      <c r="A15" s="517" t="s">
        <v>1308</v>
      </c>
      <c r="B15" s="150">
        <v>1</v>
      </c>
      <c r="C15" s="144" t="s">
        <v>1309</v>
      </c>
      <c r="D15" s="263" t="s">
        <v>10</v>
      </c>
      <c r="E15" s="228"/>
      <c r="F15" s="374"/>
      <c r="G15" s="228"/>
      <c r="H15" s="228"/>
    </row>
    <row r="16" spans="1:8" x14ac:dyDescent="0.25">
      <c r="A16" s="517" t="s">
        <v>1320</v>
      </c>
      <c r="B16" s="150">
        <v>1</v>
      </c>
      <c r="C16" s="144" t="s">
        <v>1321</v>
      </c>
      <c r="D16" s="263" t="s">
        <v>10</v>
      </c>
      <c r="E16" s="228"/>
      <c r="F16" s="374"/>
      <c r="G16" s="228"/>
      <c r="H16" s="228"/>
    </row>
    <row r="17" spans="1:9" x14ac:dyDescent="0.25">
      <c r="A17" s="517" t="s">
        <v>1322</v>
      </c>
      <c r="B17" s="150">
        <v>1</v>
      </c>
      <c r="C17" s="144" t="s">
        <v>1323</v>
      </c>
      <c r="D17" s="263" t="s">
        <v>10</v>
      </c>
      <c r="E17" s="228"/>
      <c r="F17" s="374"/>
      <c r="G17" s="228"/>
      <c r="H17" s="228"/>
    </row>
    <row r="18" spans="1:9" x14ac:dyDescent="0.25">
      <c r="A18" s="3" t="s">
        <v>1305</v>
      </c>
      <c r="B18" s="150">
        <v>1</v>
      </c>
      <c r="C18" s="144" t="s">
        <v>1306</v>
      </c>
      <c r="D18" s="263" t="s">
        <v>10</v>
      </c>
      <c r="E18" s="228"/>
      <c r="F18" s="374" t="s">
        <v>1922</v>
      </c>
      <c r="G18" s="228"/>
      <c r="H18" s="228"/>
    </row>
    <row r="19" spans="1:9" x14ac:dyDescent="0.25">
      <c r="A19" s="517" t="s">
        <v>1324</v>
      </c>
      <c r="B19" s="150">
        <v>1</v>
      </c>
      <c r="C19" s="144" t="s">
        <v>1325</v>
      </c>
      <c r="D19" s="263" t="s">
        <v>10</v>
      </c>
      <c r="E19" s="228"/>
      <c r="F19" s="374"/>
      <c r="G19" s="228"/>
      <c r="H19" s="228"/>
    </row>
    <row r="20" spans="1:9" x14ac:dyDescent="0.25">
      <c r="A20" s="3" t="s">
        <v>1307</v>
      </c>
      <c r="B20" s="150">
        <v>1</v>
      </c>
      <c r="C20" s="144" t="s">
        <v>738</v>
      </c>
      <c r="D20" s="263" t="s">
        <v>10</v>
      </c>
      <c r="E20" s="228"/>
      <c r="F20" s="374" t="s">
        <v>1904</v>
      </c>
      <c r="G20" s="228"/>
      <c r="H20" s="228"/>
      <c r="I20" t="s">
        <v>2101</v>
      </c>
    </row>
    <row r="21" spans="1:9" x14ac:dyDescent="0.25">
      <c r="A21" s="517" t="s">
        <v>1326</v>
      </c>
      <c r="B21" s="150">
        <v>1</v>
      </c>
      <c r="C21" s="144" t="s">
        <v>1327</v>
      </c>
      <c r="D21" s="263" t="s">
        <v>8</v>
      </c>
      <c r="E21" s="228"/>
      <c r="F21" t="s">
        <v>2206</v>
      </c>
      <c r="G21" s="228"/>
      <c r="H21" s="228"/>
    </row>
    <row r="22" spans="1:9" x14ac:dyDescent="0.25">
      <c r="A22" s="3" t="s">
        <v>1328</v>
      </c>
      <c r="B22" s="150">
        <v>2</v>
      </c>
      <c r="C22" s="144" t="s">
        <v>1329</v>
      </c>
      <c r="D22" s="263" t="s">
        <v>10</v>
      </c>
      <c r="E22" s="228"/>
      <c r="F22" s="374" t="s">
        <v>1975</v>
      </c>
      <c r="G22" s="228"/>
      <c r="H22" s="228"/>
    </row>
    <row r="23" spans="1:9" x14ac:dyDescent="0.25">
      <c r="A23" s="3" t="s">
        <v>1332</v>
      </c>
      <c r="B23" s="150">
        <v>1</v>
      </c>
      <c r="C23" s="144" t="s">
        <v>1333</v>
      </c>
      <c r="D23" s="263" t="s">
        <v>10</v>
      </c>
      <c r="E23" s="228"/>
      <c r="F23" s="374" t="s">
        <v>1975</v>
      </c>
      <c r="G23" s="228"/>
      <c r="H23" s="228"/>
    </row>
    <row r="24" spans="1:9" x14ac:dyDescent="0.25">
      <c r="A24" s="3" t="s">
        <v>1330</v>
      </c>
      <c r="B24" s="150">
        <v>1</v>
      </c>
      <c r="C24" s="144" t="s">
        <v>1331</v>
      </c>
      <c r="D24" s="263" t="s">
        <v>10</v>
      </c>
      <c r="E24" s="228"/>
      <c r="F24" s="374" t="s">
        <v>1976</v>
      </c>
      <c r="G24" s="228"/>
      <c r="H24" s="228"/>
    </row>
    <row r="25" spans="1:9" x14ac:dyDescent="0.25">
      <c r="A25" s="3" t="s">
        <v>1336</v>
      </c>
      <c r="B25" s="150">
        <v>1</v>
      </c>
      <c r="C25" s="145" t="s">
        <v>640</v>
      </c>
      <c r="D25" s="263" t="s">
        <v>10</v>
      </c>
      <c r="E25" s="228"/>
      <c r="F25" s="374" t="s">
        <v>2010</v>
      </c>
      <c r="G25" s="228"/>
      <c r="H25" s="228"/>
    </row>
    <row r="26" spans="1:9" x14ac:dyDescent="0.25">
      <c r="A26" s="20" t="s">
        <v>1334</v>
      </c>
      <c r="B26" s="151">
        <v>1</v>
      </c>
      <c r="C26" s="149" t="s">
        <v>1335</v>
      </c>
      <c r="D26" s="262" t="s">
        <v>10</v>
      </c>
      <c r="F26" s="374" t="s">
        <v>2011</v>
      </c>
    </row>
    <row r="27" spans="1:9" x14ac:dyDescent="0.25">
      <c r="A27" s="110" t="s">
        <v>304</v>
      </c>
      <c r="B27" s="15">
        <f>SUM(B2:B26)</f>
        <v>32</v>
      </c>
      <c r="C27" s="27"/>
      <c r="D27" s="27"/>
    </row>
    <row r="28" spans="1:9" x14ac:dyDescent="0.25">
      <c r="C28" s="27"/>
      <c r="D28" s="27"/>
    </row>
  </sheetData>
  <sortState xmlns:xlrd2="http://schemas.microsoft.com/office/spreadsheetml/2017/richdata2" ref="A2:D28">
    <sortCondition ref="A1:A28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EB35-A849-4CD5-9DEB-63E797B71A85}">
  <sheetPr codeName="Planilha39">
    <tabColor theme="0"/>
  </sheetPr>
  <dimension ref="A1:H75"/>
  <sheetViews>
    <sheetView workbookViewId="0">
      <pane ySplit="1" topLeftCell="A2" activePane="bottomLeft" state="frozen"/>
      <selection activeCell="A53" sqref="A53"/>
      <selection pane="bottomLeft" activeCell="F59" sqref="F59"/>
    </sheetView>
  </sheetViews>
  <sheetFormatPr defaultRowHeight="15" x14ac:dyDescent="0.25"/>
  <cols>
    <col min="1" max="1" width="39.140625" customWidth="1"/>
    <col min="2" max="2" width="26.140625" customWidth="1"/>
    <col min="3" max="3" width="19" customWidth="1"/>
    <col min="4" max="4" width="15.85546875" customWidth="1"/>
    <col min="6" max="6" width="15.42578125" customWidth="1"/>
  </cols>
  <sheetData>
    <row r="1" spans="1:8" ht="15.75" x14ac:dyDescent="0.25">
      <c r="A1" s="97" t="s">
        <v>0</v>
      </c>
      <c r="B1" s="104" t="s">
        <v>305</v>
      </c>
      <c r="C1" s="96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ht="15" customHeight="1" x14ac:dyDescent="0.25">
      <c r="A2" s="1" t="s">
        <v>835</v>
      </c>
      <c r="B2" s="39">
        <v>2</v>
      </c>
      <c r="C2" s="95" t="s">
        <v>14</v>
      </c>
      <c r="D2" s="264" t="s">
        <v>8</v>
      </c>
      <c r="E2" s="228"/>
      <c r="F2" s="228" t="s">
        <v>1756</v>
      </c>
      <c r="G2" s="228"/>
      <c r="H2" s="228"/>
    </row>
    <row r="3" spans="1:8" ht="15" customHeight="1" x14ac:dyDescent="0.25">
      <c r="A3" s="1" t="s">
        <v>1349</v>
      </c>
      <c r="B3" s="39">
        <v>2</v>
      </c>
      <c r="C3" s="95" t="s">
        <v>16</v>
      </c>
      <c r="D3" s="264" t="s">
        <v>8</v>
      </c>
      <c r="E3" s="228"/>
      <c r="F3" s="228" t="s">
        <v>1769</v>
      </c>
      <c r="G3" s="228"/>
      <c r="H3" s="228"/>
    </row>
    <row r="4" spans="1:8" ht="15" customHeight="1" x14ac:dyDescent="0.25">
      <c r="A4" s="1" t="s">
        <v>1345</v>
      </c>
      <c r="B4" s="39">
        <v>2</v>
      </c>
      <c r="C4" s="95" t="s">
        <v>204</v>
      </c>
      <c r="D4" s="264" t="s">
        <v>8</v>
      </c>
      <c r="E4" s="228"/>
      <c r="F4" s="228" t="s">
        <v>1774</v>
      </c>
      <c r="G4" s="228"/>
      <c r="H4" s="228"/>
    </row>
    <row r="5" spans="1:8" ht="15" customHeight="1" x14ac:dyDescent="0.25">
      <c r="A5" s="1" t="s">
        <v>1344</v>
      </c>
      <c r="B5" s="39">
        <v>2</v>
      </c>
      <c r="C5" s="95" t="s">
        <v>202</v>
      </c>
      <c r="D5" s="264" t="s">
        <v>8</v>
      </c>
      <c r="E5" s="228"/>
      <c r="F5" s="228" t="s">
        <v>1773</v>
      </c>
      <c r="G5" s="228"/>
      <c r="H5" s="228"/>
    </row>
    <row r="6" spans="1:8" ht="15" customHeight="1" x14ac:dyDescent="0.25">
      <c r="A6" s="1" t="s">
        <v>1342</v>
      </c>
      <c r="B6" s="39">
        <v>2</v>
      </c>
      <c r="C6" s="95" t="s">
        <v>22</v>
      </c>
      <c r="D6" s="264" t="s">
        <v>8</v>
      </c>
      <c r="E6" s="228"/>
      <c r="F6" s="228" t="s">
        <v>1779</v>
      </c>
      <c r="G6" s="228"/>
      <c r="H6" s="228"/>
    </row>
    <row r="7" spans="1:8" ht="15" customHeight="1" x14ac:dyDescent="0.25">
      <c r="A7" s="1" t="s">
        <v>1343</v>
      </c>
      <c r="B7" s="39">
        <v>2</v>
      </c>
      <c r="C7" s="95" t="s">
        <v>20</v>
      </c>
      <c r="D7" s="264" t="s">
        <v>8</v>
      </c>
      <c r="E7" s="228"/>
      <c r="F7" s="228" t="s">
        <v>1781</v>
      </c>
      <c r="G7" s="228"/>
      <c r="H7" s="228"/>
    </row>
    <row r="8" spans="1:8" ht="15" customHeight="1" x14ac:dyDescent="0.25">
      <c r="A8" s="1" t="s">
        <v>1346</v>
      </c>
      <c r="B8" s="39">
        <v>2</v>
      </c>
      <c r="C8" s="95" t="s">
        <v>228</v>
      </c>
      <c r="D8" s="264" t="s">
        <v>8</v>
      </c>
      <c r="E8" s="228"/>
      <c r="F8" s="228" t="s">
        <v>1782</v>
      </c>
      <c r="G8" s="228"/>
      <c r="H8" s="228"/>
    </row>
    <row r="9" spans="1:8" ht="15" customHeight="1" x14ac:dyDescent="0.25">
      <c r="A9" s="1" t="s">
        <v>1347</v>
      </c>
      <c r="B9" s="39">
        <v>2</v>
      </c>
      <c r="C9" s="95" t="s">
        <v>1348</v>
      </c>
      <c r="D9" s="264" t="s">
        <v>8</v>
      </c>
      <c r="E9" s="228"/>
      <c r="F9" s="228" t="s">
        <v>2102</v>
      </c>
      <c r="G9" s="228"/>
      <c r="H9" s="228"/>
    </row>
    <row r="10" spans="1:8" ht="15" customHeight="1" x14ac:dyDescent="0.25">
      <c r="A10" s="425" t="s">
        <v>1398</v>
      </c>
      <c r="B10" s="39">
        <v>1</v>
      </c>
      <c r="C10" s="8"/>
      <c r="D10" s="264"/>
      <c r="E10" s="228"/>
      <c r="F10" s="228"/>
      <c r="G10" s="228"/>
      <c r="H10" s="228"/>
    </row>
    <row r="11" spans="1:8" ht="15" customHeight="1" x14ac:dyDescent="0.25">
      <c r="A11" s="1" t="s">
        <v>1368</v>
      </c>
      <c r="B11" s="39">
        <v>2</v>
      </c>
      <c r="C11" s="95" t="s">
        <v>601</v>
      </c>
      <c r="D11" s="264" t="s">
        <v>8</v>
      </c>
      <c r="E11" s="228"/>
      <c r="F11" s="228" t="s">
        <v>1754</v>
      </c>
      <c r="G11" s="228"/>
      <c r="H11" s="228"/>
    </row>
    <row r="12" spans="1:8" ht="15" customHeight="1" x14ac:dyDescent="0.25">
      <c r="A12" s="1" t="s">
        <v>1369</v>
      </c>
      <c r="B12" s="39">
        <v>1</v>
      </c>
      <c r="C12" s="95" t="s">
        <v>33</v>
      </c>
      <c r="D12" s="264" t="s">
        <v>8</v>
      </c>
      <c r="E12" s="228"/>
      <c r="F12" s="228" t="s">
        <v>1753</v>
      </c>
      <c r="G12" s="228"/>
      <c r="H12" s="228"/>
    </row>
    <row r="13" spans="1:8" ht="15" customHeight="1" x14ac:dyDescent="0.25">
      <c r="A13" s="1" t="s">
        <v>1377</v>
      </c>
      <c r="B13" s="39">
        <v>6</v>
      </c>
      <c r="C13" s="95" t="s">
        <v>39</v>
      </c>
      <c r="D13" s="264" t="s">
        <v>8</v>
      </c>
      <c r="E13" s="228"/>
      <c r="F13" s="373" t="s">
        <v>1883</v>
      </c>
      <c r="G13" s="228"/>
      <c r="H13" s="228"/>
    </row>
    <row r="14" spans="1:8" ht="15" customHeight="1" x14ac:dyDescent="0.25">
      <c r="A14" s="1" t="s">
        <v>1376</v>
      </c>
      <c r="B14" s="39">
        <v>6</v>
      </c>
      <c r="C14" s="95" t="s">
        <v>39</v>
      </c>
      <c r="D14" s="264" t="s">
        <v>8</v>
      </c>
      <c r="E14" s="228"/>
      <c r="F14" s="228" t="s">
        <v>1882</v>
      </c>
      <c r="G14" s="228"/>
      <c r="H14" s="228"/>
    </row>
    <row r="15" spans="1:8" ht="15" customHeight="1" x14ac:dyDescent="0.25">
      <c r="A15" s="1" t="s">
        <v>1356</v>
      </c>
      <c r="B15" s="39">
        <v>1</v>
      </c>
      <c r="C15" s="95" t="s">
        <v>45</v>
      </c>
      <c r="D15" s="264" t="s">
        <v>8</v>
      </c>
      <c r="E15" s="228"/>
      <c r="F15" s="228" t="s">
        <v>1886</v>
      </c>
      <c r="G15" s="228"/>
      <c r="H15" s="228"/>
    </row>
    <row r="16" spans="1:8" ht="15" customHeight="1" x14ac:dyDescent="0.25">
      <c r="A16" s="1" t="s">
        <v>1357</v>
      </c>
      <c r="B16" s="39">
        <v>2</v>
      </c>
      <c r="C16" s="95" t="s">
        <v>47</v>
      </c>
      <c r="D16" s="264" t="s">
        <v>8</v>
      </c>
      <c r="E16" s="228"/>
      <c r="F16" s="228" t="s">
        <v>1889</v>
      </c>
      <c r="G16" s="228"/>
      <c r="H16" s="228"/>
    </row>
    <row r="17" spans="1:8" x14ac:dyDescent="0.25">
      <c r="A17" s="1" t="s">
        <v>1358</v>
      </c>
      <c r="B17" s="39">
        <v>1</v>
      </c>
      <c r="C17" s="95" t="s">
        <v>51</v>
      </c>
      <c r="D17" s="264" t="s">
        <v>8</v>
      </c>
      <c r="E17" s="228"/>
      <c r="F17" s="228" t="s">
        <v>1890</v>
      </c>
      <c r="G17" s="228"/>
      <c r="H17" s="228"/>
    </row>
    <row r="18" spans="1:8" x14ac:dyDescent="0.25">
      <c r="A18" s="1" t="s">
        <v>1372</v>
      </c>
      <c r="B18" s="39">
        <v>2</v>
      </c>
      <c r="C18" s="95" t="s">
        <v>84</v>
      </c>
      <c r="D18" s="264" t="s">
        <v>8</v>
      </c>
      <c r="E18" s="248"/>
      <c r="F18" s="228" t="s">
        <v>1894</v>
      </c>
      <c r="G18" s="228"/>
      <c r="H18" s="228"/>
    </row>
    <row r="19" spans="1:8" x14ac:dyDescent="0.25">
      <c r="A19" s="1" t="s">
        <v>1383</v>
      </c>
      <c r="B19" s="39">
        <v>8</v>
      </c>
      <c r="C19" s="495">
        <v>957</v>
      </c>
      <c r="D19" s="264" t="s">
        <v>4</v>
      </c>
      <c r="E19" s="228"/>
      <c r="F19" s="362" t="s">
        <v>1895</v>
      </c>
      <c r="G19" s="228"/>
      <c r="H19" s="228"/>
    </row>
    <row r="20" spans="1:8" x14ac:dyDescent="0.25">
      <c r="A20" s="1" t="s">
        <v>1374</v>
      </c>
      <c r="B20" s="39">
        <v>4</v>
      </c>
      <c r="C20" s="95" t="s">
        <v>1375</v>
      </c>
      <c r="D20" s="264" t="s">
        <v>8</v>
      </c>
      <c r="E20" s="228"/>
      <c r="F20" s="228" t="s">
        <v>2103</v>
      </c>
      <c r="G20" s="228"/>
      <c r="H20" s="228"/>
    </row>
    <row r="21" spans="1:8" x14ac:dyDescent="0.25">
      <c r="A21" s="1" t="s">
        <v>1355</v>
      </c>
      <c r="B21" s="39">
        <v>1</v>
      </c>
      <c r="C21" s="95" t="s">
        <v>53</v>
      </c>
      <c r="D21" s="264" t="s">
        <v>8</v>
      </c>
      <c r="E21" s="228"/>
      <c r="F21" s="228" t="s">
        <v>1900</v>
      </c>
      <c r="G21" s="228"/>
      <c r="H21" s="228"/>
    </row>
    <row r="22" spans="1:8" x14ac:dyDescent="0.25">
      <c r="A22" s="1" t="s">
        <v>1350</v>
      </c>
      <c r="B22" s="39">
        <v>1</v>
      </c>
      <c r="C22" s="95" t="s">
        <v>736</v>
      </c>
      <c r="D22" s="264" t="s">
        <v>8</v>
      </c>
      <c r="E22" s="228"/>
      <c r="F22" s="228" t="s">
        <v>1901</v>
      </c>
      <c r="G22" s="228"/>
      <c r="H22" s="228"/>
    </row>
    <row r="23" spans="1:8" x14ac:dyDescent="0.25">
      <c r="A23" s="1" t="s">
        <v>1362</v>
      </c>
      <c r="B23" s="39">
        <v>2</v>
      </c>
      <c r="C23" s="95" t="s">
        <v>1363</v>
      </c>
      <c r="D23" s="264" t="s">
        <v>8</v>
      </c>
      <c r="E23" s="228"/>
      <c r="F23" s="228" t="s">
        <v>2050</v>
      </c>
      <c r="G23" s="228"/>
      <c r="H23" s="228"/>
    </row>
    <row r="24" spans="1:8" x14ac:dyDescent="0.25">
      <c r="A24" s="1" t="s">
        <v>1364</v>
      </c>
      <c r="B24" s="39">
        <v>1</v>
      </c>
      <c r="C24" s="95" t="s">
        <v>1365</v>
      </c>
      <c r="D24" s="264" t="s">
        <v>8</v>
      </c>
      <c r="E24" s="228"/>
      <c r="F24" s="228" t="s">
        <v>2051</v>
      </c>
      <c r="G24" s="228"/>
      <c r="H24" s="228"/>
    </row>
    <row r="25" spans="1:8" x14ac:dyDescent="0.25">
      <c r="A25" s="1" t="s">
        <v>1366</v>
      </c>
      <c r="B25" s="39">
        <v>2</v>
      </c>
      <c r="C25" s="95" t="s">
        <v>1367</v>
      </c>
      <c r="D25" s="264" t="s">
        <v>8</v>
      </c>
      <c r="E25" s="228"/>
      <c r="F25" s="228" t="s">
        <v>2104</v>
      </c>
      <c r="G25" s="228"/>
      <c r="H25" s="228"/>
    </row>
    <row r="26" spans="1:8" x14ac:dyDescent="0.25">
      <c r="A26" s="1" t="s">
        <v>1361</v>
      </c>
      <c r="B26" s="39">
        <v>1</v>
      </c>
      <c r="C26" s="95" t="s">
        <v>61</v>
      </c>
      <c r="D26" s="264" t="s">
        <v>8</v>
      </c>
      <c r="E26" s="228"/>
      <c r="F26" s="228" t="s">
        <v>1912</v>
      </c>
      <c r="G26" s="228"/>
      <c r="H26" s="228"/>
    </row>
    <row r="27" spans="1:8" x14ac:dyDescent="0.25">
      <c r="A27" s="1" t="s">
        <v>1359</v>
      </c>
      <c r="B27" s="39">
        <v>1</v>
      </c>
      <c r="C27" s="95" t="s">
        <v>57</v>
      </c>
      <c r="D27" s="264" t="s">
        <v>8</v>
      </c>
      <c r="E27" s="228"/>
      <c r="F27" s="228" t="s">
        <v>1911</v>
      </c>
      <c r="G27" s="228"/>
      <c r="H27" s="228"/>
    </row>
    <row r="28" spans="1:8" x14ac:dyDescent="0.25">
      <c r="A28" s="1" t="s">
        <v>1360</v>
      </c>
      <c r="B28" s="39">
        <v>2</v>
      </c>
      <c r="C28" s="95" t="s">
        <v>59</v>
      </c>
      <c r="D28" s="264" t="s">
        <v>8</v>
      </c>
      <c r="E28" s="228"/>
      <c r="F28" s="228" t="s">
        <v>1915</v>
      </c>
      <c r="G28" s="228"/>
      <c r="H28" s="228"/>
    </row>
    <row r="29" spans="1:8" s="18" customFormat="1" x14ac:dyDescent="0.25">
      <c r="A29" s="1" t="s">
        <v>1351</v>
      </c>
      <c r="B29" s="39">
        <v>1</v>
      </c>
      <c r="C29" s="95" t="s">
        <v>1352</v>
      </c>
      <c r="D29" s="264" t="s">
        <v>8</v>
      </c>
      <c r="E29" s="228"/>
      <c r="F29" s="248" t="s">
        <v>1917</v>
      </c>
      <c r="G29" s="248"/>
      <c r="H29" s="248"/>
    </row>
    <row r="30" spans="1:8" s="18" customFormat="1" x14ac:dyDescent="0.25">
      <c r="A30" s="1" t="s">
        <v>1353</v>
      </c>
      <c r="B30" s="39">
        <v>1</v>
      </c>
      <c r="C30" s="95" t="s">
        <v>1354</v>
      </c>
      <c r="D30" s="264" t="s">
        <v>8</v>
      </c>
      <c r="E30" s="228"/>
      <c r="F30" s="248" t="s">
        <v>1919</v>
      </c>
      <c r="G30" s="248"/>
      <c r="H30" s="248"/>
    </row>
    <row r="31" spans="1:8" s="18" customFormat="1" x14ac:dyDescent="0.25">
      <c r="A31" s="1" t="s">
        <v>1382</v>
      </c>
      <c r="B31" s="39">
        <v>10</v>
      </c>
      <c r="C31" s="95" t="s">
        <v>24</v>
      </c>
      <c r="D31" s="264" t="s">
        <v>8</v>
      </c>
      <c r="E31" s="228"/>
      <c r="F31" s="373" t="s">
        <v>1877</v>
      </c>
      <c r="G31" s="248"/>
      <c r="H31" s="248"/>
    </row>
    <row r="32" spans="1:8" x14ac:dyDescent="0.25">
      <c r="A32" s="1" t="s">
        <v>1381</v>
      </c>
      <c r="B32" s="39">
        <v>6</v>
      </c>
      <c r="C32" s="95" t="s">
        <v>26</v>
      </c>
      <c r="D32" s="264" t="s">
        <v>8</v>
      </c>
      <c r="E32" s="228"/>
      <c r="F32" s="373" t="s">
        <v>1878</v>
      </c>
      <c r="G32" s="228"/>
      <c r="H32" s="228"/>
    </row>
    <row r="33" spans="1:8" x14ac:dyDescent="0.25">
      <c r="A33" s="1" t="s">
        <v>1380</v>
      </c>
      <c r="B33" s="39">
        <v>10</v>
      </c>
      <c r="C33" s="95" t="s">
        <v>65</v>
      </c>
      <c r="D33" s="264" t="s">
        <v>8</v>
      </c>
      <c r="E33" s="228"/>
      <c r="F33" s="375" t="s">
        <v>1930</v>
      </c>
      <c r="G33" s="228"/>
      <c r="H33" s="228"/>
    </row>
    <row r="34" spans="1:8" x14ac:dyDescent="0.25">
      <c r="A34" s="1" t="s">
        <v>1379</v>
      </c>
      <c r="B34" s="39">
        <v>4</v>
      </c>
      <c r="C34" s="95" t="s">
        <v>69</v>
      </c>
      <c r="D34" s="264" t="s">
        <v>8</v>
      </c>
      <c r="E34" s="228"/>
      <c r="F34" s="372" t="s">
        <v>1933</v>
      </c>
      <c r="G34" s="228"/>
      <c r="H34" s="228"/>
    </row>
    <row r="35" spans="1:8" x14ac:dyDescent="0.25">
      <c r="A35" s="1" t="s">
        <v>1378</v>
      </c>
      <c r="B35" s="39">
        <v>4</v>
      </c>
      <c r="C35" s="1" t="s">
        <v>73</v>
      </c>
      <c r="D35" s="264" t="s">
        <v>8</v>
      </c>
      <c r="E35" s="228"/>
      <c r="F35" s="373" t="s">
        <v>1937</v>
      </c>
      <c r="G35" s="228"/>
      <c r="H35" s="228"/>
    </row>
    <row r="36" spans="1:8" x14ac:dyDescent="0.25">
      <c r="A36" s="1" t="s">
        <v>1371</v>
      </c>
      <c r="B36" s="39">
        <v>2</v>
      </c>
      <c r="C36" s="95" t="s">
        <v>82</v>
      </c>
      <c r="D36" s="264" t="s">
        <v>8</v>
      </c>
      <c r="E36" s="248"/>
      <c r="F36" s="228" t="s">
        <v>1940</v>
      </c>
      <c r="G36" s="228"/>
      <c r="H36" s="228"/>
    </row>
    <row r="37" spans="1:8" x14ac:dyDescent="0.25">
      <c r="A37" s="1" t="s">
        <v>1370</v>
      </c>
      <c r="B37" s="39">
        <v>2</v>
      </c>
      <c r="C37" s="95" t="s">
        <v>1235</v>
      </c>
      <c r="D37" s="264" t="s">
        <v>8</v>
      </c>
      <c r="E37" s="228"/>
      <c r="F37" s="228" t="s">
        <v>1942</v>
      </c>
      <c r="G37" s="228"/>
      <c r="H37" s="228"/>
    </row>
    <row r="38" spans="1:8" x14ac:dyDescent="0.25">
      <c r="A38" s="1" t="s">
        <v>1397</v>
      </c>
      <c r="B38" s="39">
        <v>1</v>
      </c>
      <c r="C38" s="8" t="s">
        <v>252</v>
      </c>
      <c r="D38" s="264" t="s">
        <v>8</v>
      </c>
      <c r="E38" s="228"/>
      <c r="F38" s="373" t="s">
        <v>1947</v>
      </c>
      <c r="G38" s="228"/>
      <c r="H38" s="228"/>
    </row>
    <row r="39" spans="1:8" x14ac:dyDescent="0.25">
      <c r="A39" s="1" t="s">
        <v>1373</v>
      </c>
      <c r="B39" s="39">
        <v>2</v>
      </c>
      <c r="C39" s="95" t="s">
        <v>28</v>
      </c>
      <c r="D39" s="264" t="s">
        <v>8</v>
      </c>
      <c r="E39" s="248"/>
      <c r="F39" s="228" t="s">
        <v>1947</v>
      </c>
      <c r="G39" s="228"/>
      <c r="H39" s="228"/>
    </row>
    <row r="40" spans="1:8" x14ac:dyDescent="0.25">
      <c r="A40" s="526" t="s">
        <v>1395</v>
      </c>
      <c r="B40" s="39">
        <v>1</v>
      </c>
      <c r="C40" s="1" t="s">
        <v>1396</v>
      </c>
      <c r="D40" s="264" t="s">
        <v>363</v>
      </c>
      <c r="E40" s="228"/>
      <c r="F40" s="527" t="s">
        <v>2105</v>
      </c>
      <c r="G40" s="228"/>
      <c r="H40" s="228"/>
    </row>
    <row r="41" spans="1:8" s="18" customFormat="1" x14ac:dyDescent="0.25">
      <c r="A41" s="1" t="s">
        <v>1387</v>
      </c>
      <c r="B41" s="39">
        <v>2</v>
      </c>
      <c r="C41" s="8" t="s">
        <v>111</v>
      </c>
      <c r="D41" s="264" t="s">
        <v>8</v>
      </c>
      <c r="E41" s="228"/>
      <c r="F41" s="377" t="s">
        <v>1965</v>
      </c>
      <c r="G41" s="248"/>
      <c r="H41" s="248"/>
    </row>
    <row r="42" spans="1:8" x14ac:dyDescent="0.25">
      <c r="A42" s="1" t="s">
        <v>1389</v>
      </c>
      <c r="B42" s="39">
        <v>2</v>
      </c>
      <c r="C42" s="8" t="s">
        <v>113</v>
      </c>
      <c r="D42" s="264" t="s">
        <v>8</v>
      </c>
      <c r="E42" s="228"/>
      <c r="F42" s="373" t="s">
        <v>1967</v>
      </c>
      <c r="G42" s="228"/>
      <c r="H42" s="228"/>
    </row>
    <row r="43" spans="1:8" x14ac:dyDescent="0.25">
      <c r="A43" s="1" t="s">
        <v>1388</v>
      </c>
      <c r="B43" s="39">
        <v>1</v>
      </c>
      <c r="C43" s="8" t="s">
        <v>115</v>
      </c>
      <c r="D43" s="264" t="s">
        <v>8</v>
      </c>
      <c r="E43" s="228"/>
      <c r="F43" s="373" t="s">
        <v>1966</v>
      </c>
      <c r="G43" s="228"/>
      <c r="H43" s="228"/>
    </row>
    <row r="44" spans="1:8" x14ac:dyDescent="0.25">
      <c r="A44" s="1" t="s">
        <v>1390</v>
      </c>
      <c r="B44" s="39">
        <v>2</v>
      </c>
      <c r="C44" s="8" t="s">
        <v>1391</v>
      </c>
      <c r="D44" s="264" t="s">
        <v>8</v>
      </c>
      <c r="E44" s="228"/>
      <c r="F44" s="373" t="s">
        <v>1977</v>
      </c>
      <c r="G44" s="228"/>
      <c r="H44" s="228"/>
    </row>
    <row r="45" spans="1:8" x14ac:dyDescent="0.25">
      <c r="A45" s="1" t="s">
        <v>1392</v>
      </c>
      <c r="B45" s="39">
        <v>1</v>
      </c>
      <c r="C45" s="8" t="s">
        <v>627</v>
      </c>
      <c r="D45" s="264" t="s">
        <v>8</v>
      </c>
      <c r="E45" s="228"/>
      <c r="F45" s="373" t="s">
        <v>1978</v>
      </c>
      <c r="G45" s="228"/>
      <c r="H45" s="228"/>
    </row>
    <row r="46" spans="1:8" x14ac:dyDescent="0.25">
      <c r="A46" s="1" t="s">
        <v>1393</v>
      </c>
      <c r="B46" s="39">
        <v>1</v>
      </c>
      <c r="C46" s="8" t="s">
        <v>1394</v>
      </c>
      <c r="D46" s="264" t="s">
        <v>8</v>
      </c>
      <c r="E46" s="228"/>
      <c r="F46" s="373" t="s">
        <v>1979</v>
      </c>
      <c r="G46" s="228"/>
      <c r="H46" s="228"/>
    </row>
    <row r="47" spans="1:8" x14ac:dyDescent="0.25">
      <c r="A47" s="1" t="s">
        <v>1386</v>
      </c>
      <c r="B47" s="39">
        <v>1</v>
      </c>
      <c r="C47" s="12" t="s">
        <v>96</v>
      </c>
      <c r="D47" s="264" t="s">
        <v>8</v>
      </c>
      <c r="E47" s="228"/>
      <c r="F47" s="373" t="s">
        <v>2002</v>
      </c>
      <c r="G47" s="228"/>
      <c r="H47" s="228"/>
    </row>
    <row r="48" spans="1:8" x14ac:dyDescent="0.25">
      <c r="A48" s="1" t="s">
        <v>1242</v>
      </c>
      <c r="B48" s="39">
        <v>1</v>
      </c>
      <c r="C48" s="12" t="s">
        <v>98</v>
      </c>
      <c r="D48" s="264" t="s">
        <v>8</v>
      </c>
      <c r="E48" s="228"/>
      <c r="F48" s="375" t="s">
        <v>1994</v>
      </c>
      <c r="G48" s="228"/>
      <c r="H48" s="228"/>
    </row>
    <row r="49" spans="1:8" x14ac:dyDescent="0.25">
      <c r="A49" s="1" t="s">
        <v>1385</v>
      </c>
      <c r="B49" s="39">
        <v>1</v>
      </c>
      <c r="C49" s="12" t="s">
        <v>635</v>
      </c>
      <c r="D49" s="264" t="s">
        <v>8</v>
      </c>
      <c r="E49" s="228"/>
      <c r="F49" s="373" t="s">
        <v>2005</v>
      </c>
      <c r="G49" s="228"/>
      <c r="H49" s="228"/>
    </row>
    <row r="50" spans="1:8" x14ac:dyDescent="0.25">
      <c r="A50" s="1" t="s">
        <v>1384</v>
      </c>
      <c r="B50" s="39">
        <v>1</v>
      </c>
      <c r="C50" s="12" t="s">
        <v>662</v>
      </c>
      <c r="D50" s="264" t="s">
        <v>8</v>
      </c>
      <c r="E50" s="228"/>
      <c r="F50" s="373" t="s">
        <v>2006</v>
      </c>
      <c r="G50" s="228"/>
      <c r="H50" s="228"/>
    </row>
    <row r="51" spans="1:8" x14ac:dyDescent="0.25">
      <c r="A51" s="1" t="s">
        <v>104</v>
      </c>
      <c r="B51" s="39">
        <v>2</v>
      </c>
      <c r="C51" s="12" t="s">
        <v>520</v>
      </c>
      <c r="D51" s="264" t="s">
        <v>8</v>
      </c>
      <c r="E51" s="228"/>
      <c r="F51" s="373" t="s">
        <v>2007</v>
      </c>
      <c r="G51" s="228"/>
      <c r="H51" s="228"/>
    </row>
    <row r="52" spans="1:8" x14ac:dyDescent="0.25">
      <c r="A52" s="1" t="s">
        <v>106</v>
      </c>
      <c r="B52" s="39">
        <v>1</v>
      </c>
      <c r="C52" s="12" t="s">
        <v>518</v>
      </c>
      <c r="D52" s="264" t="s">
        <v>8</v>
      </c>
      <c r="E52" s="248"/>
      <c r="F52" s="373" t="s">
        <v>2008</v>
      </c>
      <c r="G52" s="228"/>
      <c r="H52" s="228"/>
    </row>
    <row r="53" spans="1:8" x14ac:dyDescent="0.25">
      <c r="A53" s="1" t="s">
        <v>1338</v>
      </c>
      <c r="B53" s="39">
        <v>1</v>
      </c>
      <c r="C53" s="12" t="s">
        <v>143</v>
      </c>
      <c r="D53" s="264" t="s">
        <v>8</v>
      </c>
      <c r="E53" s="228"/>
      <c r="F53" s="228" t="s">
        <v>1861</v>
      </c>
      <c r="G53" s="228"/>
      <c r="H53" s="228"/>
    </row>
    <row r="54" spans="1:8" x14ac:dyDescent="0.25">
      <c r="A54" s="134" t="s">
        <v>1339</v>
      </c>
      <c r="B54" s="265">
        <v>1</v>
      </c>
      <c r="C54" s="272" t="s">
        <v>141</v>
      </c>
      <c r="D54" s="266" t="s">
        <v>8</v>
      </c>
      <c r="E54" s="267"/>
      <c r="F54" s="267" t="s">
        <v>1858</v>
      </c>
      <c r="G54" s="267"/>
      <c r="H54" s="267"/>
    </row>
    <row r="55" spans="1:8" x14ac:dyDescent="0.25">
      <c r="A55" s="264" t="s">
        <v>1340</v>
      </c>
      <c r="B55" s="268">
        <v>1</v>
      </c>
      <c r="C55" s="193" t="s">
        <v>1341</v>
      </c>
      <c r="D55" s="264" t="s">
        <v>8</v>
      </c>
      <c r="E55" s="228"/>
      <c r="F55" s="228" t="s">
        <v>1862</v>
      </c>
      <c r="G55" s="228"/>
      <c r="H55" s="228"/>
    </row>
    <row r="56" spans="1:8" x14ac:dyDescent="0.25">
      <c r="A56" s="132"/>
      <c r="B56" s="132"/>
      <c r="C56" s="132"/>
      <c r="D56" s="132"/>
    </row>
    <row r="57" spans="1:8" x14ac:dyDescent="0.25">
      <c r="A57" s="133"/>
      <c r="C57" s="132"/>
    </row>
    <row r="58" spans="1:8" x14ac:dyDescent="0.25">
      <c r="A58" s="93"/>
    </row>
    <row r="59" spans="1:8" x14ac:dyDescent="0.25">
      <c r="A59" s="93"/>
    </row>
    <row r="60" spans="1:8" x14ac:dyDescent="0.25">
      <c r="A60" s="93"/>
    </row>
    <row r="61" spans="1:8" x14ac:dyDescent="0.25">
      <c r="A61" s="93"/>
    </row>
    <row r="62" spans="1:8" x14ac:dyDescent="0.25">
      <c r="A62" s="93"/>
    </row>
    <row r="63" spans="1:8" x14ac:dyDescent="0.25">
      <c r="A63" s="93"/>
    </row>
    <row r="64" spans="1:8" x14ac:dyDescent="0.25">
      <c r="A64" s="93"/>
    </row>
    <row r="65" spans="1:1" x14ac:dyDescent="0.25">
      <c r="A65" s="93"/>
    </row>
    <row r="66" spans="1:1" x14ac:dyDescent="0.25">
      <c r="A66" s="93"/>
    </row>
    <row r="67" spans="1:1" x14ac:dyDescent="0.25">
      <c r="A67" s="93"/>
    </row>
    <row r="68" spans="1:1" x14ac:dyDescent="0.25">
      <c r="A68" s="93"/>
    </row>
    <row r="69" spans="1:1" x14ac:dyDescent="0.25">
      <c r="A69" s="93"/>
    </row>
    <row r="70" spans="1:1" x14ac:dyDescent="0.25">
      <c r="A70" s="93"/>
    </row>
    <row r="71" spans="1:1" x14ac:dyDescent="0.25">
      <c r="A71" s="93"/>
    </row>
    <row r="72" spans="1:1" x14ac:dyDescent="0.25">
      <c r="A72" s="93"/>
    </row>
    <row r="73" spans="1:1" x14ac:dyDescent="0.25">
      <c r="A73" s="93"/>
    </row>
    <row r="74" spans="1:1" x14ac:dyDescent="0.25">
      <c r="A74" s="93"/>
    </row>
    <row r="75" spans="1:1" x14ac:dyDescent="0.25">
      <c r="A75" s="93"/>
    </row>
  </sheetData>
  <sortState xmlns:xlrd2="http://schemas.microsoft.com/office/spreadsheetml/2017/richdata2" ref="A2:E75">
    <sortCondition ref="A1:A75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7E1F-7DF3-4BE2-99BB-0910DE01AC7B}">
  <sheetPr codeName="Planilha40">
    <tabColor rgb="FF92D050"/>
  </sheetPr>
  <dimension ref="A1:K24"/>
  <sheetViews>
    <sheetView workbookViewId="0">
      <pane ySplit="1" topLeftCell="A5" activePane="bottomLeft" state="frozen"/>
      <selection activeCell="A53" sqref="A53"/>
      <selection pane="bottomLeft" activeCell="M12" sqref="M12"/>
    </sheetView>
  </sheetViews>
  <sheetFormatPr defaultRowHeight="15" x14ac:dyDescent="0.25"/>
  <cols>
    <col min="1" max="1" width="41.7109375" customWidth="1"/>
    <col min="2" max="2" width="23.140625" customWidth="1"/>
    <col min="3" max="3" width="20.28515625" customWidth="1"/>
    <col min="4" max="4" width="17.5703125" customWidth="1"/>
    <col min="6" max="6" width="12.85546875" bestFit="1" customWidth="1"/>
  </cols>
  <sheetData>
    <row r="1" spans="1:11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11" x14ac:dyDescent="0.25">
      <c r="A2" s="524" t="s">
        <v>976</v>
      </c>
      <c r="B2" s="173">
        <v>1</v>
      </c>
      <c r="C2" s="137" t="s">
        <v>307</v>
      </c>
      <c r="D2" s="191"/>
      <c r="E2" s="228"/>
      <c r="F2" s="228"/>
      <c r="G2" s="228"/>
      <c r="H2" s="228"/>
    </row>
    <row r="3" spans="1:11" x14ac:dyDescent="0.25">
      <c r="A3" s="12" t="s">
        <v>1418</v>
      </c>
      <c r="B3" s="173">
        <v>1</v>
      </c>
      <c r="C3" s="137" t="s">
        <v>1419</v>
      </c>
      <c r="D3" s="191" t="s">
        <v>8</v>
      </c>
      <c r="E3" s="228"/>
      <c r="F3" s="362" t="s">
        <v>2016</v>
      </c>
      <c r="G3" s="228"/>
      <c r="H3" s="228"/>
    </row>
    <row r="4" spans="1:11" x14ac:dyDescent="0.25">
      <c r="A4" s="510" t="s">
        <v>1429</v>
      </c>
      <c r="B4" s="528">
        <v>1</v>
      </c>
      <c r="C4" s="529"/>
      <c r="D4" s="192" t="s">
        <v>10</v>
      </c>
      <c r="E4" s="208" t="s">
        <v>146</v>
      </c>
      <c r="F4" s="574">
        <v>3245</v>
      </c>
      <c r="G4" s="228"/>
      <c r="H4" s="538">
        <v>545</v>
      </c>
    </row>
    <row r="5" spans="1:11" x14ac:dyDescent="0.25">
      <c r="A5" s="510" t="s">
        <v>1430</v>
      </c>
      <c r="B5" s="528">
        <v>1</v>
      </c>
      <c r="C5" s="529"/>
      <c r="D5" s="192" t="s">
        <v>10</v>
      </c>
      <c r="E5" s="208" t="s">
        <v>146</v>
      </c>
      <c r="F5" s="574">
        <v>3247</v>
      </c>
      <c r="G5" s="228"/>
      <c r="H5" s="538">
        <v>545</v>
      </c>
    </row>
    <row r="6" spans="1:11" x14ac:dyDescent="0.25">
      <c r="A6" s="186" t="s">
        <v>1416</v>
      </c>
      <c r="B6" s="528">
        <v>1</v>
      </c>
      <c r="C6" s="529" t="s">
        <v>1417</v>
      </c>
      <c r="D6" s="192" t="s">
        <v>10</v>
      </c>
      <c r="E6" s="248"/>
      <c r="F6" s="431" t="s">
        <v>1814</v>
      </c>
      <c r="G6" s="228"/>
      <c r="H6" s="228"/>
    </row>
    <row r="7" spans="1:11" ht="30" x14ac:dyDescent="0.25">
      <c r="A7" s="524" t="s">
        <v>1399</v>
      </c>
      <c r="B7" s="173">
        <v>1</v>
      </c>
      <c r="C7" s="137" t="s">
        <v>1400</v>
      </c>
      <c r="D7" s="191" t="s">
        <v>363</v>
      </c>
      <c r="E7" s="228"/>
      <c r="F7" s="362" t="s">
        <v>2153</v>
      </c>
      <c r="G7" s="228"/>
      <c r="H7" s="228"/>
    </row>
    <row r="8" spans="1:11" x14ac:dyDescent="0.25">
      <c r="A8" s="12" t="s">
        <v>1420</v>
      </c>
      <c r="B8" s="173">
        <v>1</v>
      </c>
      <c r="C8" s="137" t="s">
        <v>1421</v>
      </c>
      <c r="D8" s="191" t="s">
        <v>8</v>
      </c>
      <c r="E8" s="228"/>
      <c r="F8" s="362" t="s">
        <v>1875</v>
      </c>
      <c r="G8" s="228"/>
      <c r="H8" s="228"/>
    </row>
    <row r="9" spans="1:11" x14ac:dyDescent="0.25">
      <c r="A9" s="12" t="s">
        <v>1412</v>
      </c>
      <c r="B9" s="173">
        <v>1</v>
      </c>
      <c r="C9" s="137" t="s">
        <v>1413</v>
      </c>
      <c r="D9" s="191" t="s">
        <v>8</v>
      </c>
      <c r="E9" s="228"/>
      <c r="F9" s="362" t="s">
        <v>1925</v>
      </c>
      <c r="G9" s="228"/>
      <c r="H9" s="228"/>
      <c r="K9" s="43"/>
    </row>
    <row r="10" spans="1:11" x14ac:dyDescent="0.25">
      <c r="A10" s="12" t="s">
        <v>1410</v>
      </c>
      <c r="B10" s="173">
        <v>1</v>
      </c>
      <c r="C10" s="137" t="s">
        <v>1411</v>
      </c>
      <c r="D10" s="191" t="s">
        <v>8</v>
      </c>
      <c r="E10" s="228"/>
      <c r="F10" s="193" t="s">
        <v>1926</v>
      </c>
      <c r="G10" s="228"/>
      <c r="H10" s="228"/>
    </row>
    <row r="11" spans="1:11" x14ac:dyDescent="0.25">
      <c r="A11" s="12" t="s">
        <v>1407</v>
      </c>
      <c r="B11" s="173">
        <v>1</v>
      </c>
      <c r="C11" s="137" t="s">
        <v>553</v>
      </c>
      <c r="D11" s="191" t="s">
        <v>8</v>
      </c>
      <c r="E11" s="228"/>
      <c r="F11" s="193" t="s">
        <v>1927</v>
      </c>
      <c r="G11" s="228"/>
      <c r="H11" s="228"/>
    </row>
    <row r="12" spans="1:11" x14ac:dyDescent="0.25">
      <c r="A12" s="12" t="s">
        <v>1408</v>
      </c>
      <c r="B12" s="173">
        <v>1</v>
      </c>
      <c r="C12" s="137" t="s">
        <v>1409</v>
      </c>
      <c r="D12" s="191" t="s">
        <v>8</v>
      </c>
      <c r="E12" s="228"/>
      <c r="F12" s="193" t="s">
        <v>1928</v>
      </c>
      <c r="G12" s="228"/>
      <c r="H12" s="228"/>
    </row>
    <row r="13" spans="1:11" x14ac:dyDescent="0.25">
      <c r="A13" s="12" t="s">
        <v>1405</v>
      </c>
      <c r="B13" s="173">
        <v>1</v>
      </c>
      <c r="C13" s="137" t="s">
        <v>1406</v>
      </c>
      <c r="D13" s="191" t="s">
        <v>8</v>
      </c>
      <c r="E13" s="228"/>
      <c r="F13" s="193" t="s">
        <v>1929</v>
      </c>
      <c r="G13" s="228"/>
      <c r="H13" s="228"/>
    </row>
    <row r="14" spans="1:11" x14ac:dyDescent="0.25">
      <c r="A14" s="524" t="s">
        <v>1401</v>
      </c>
      <c r="B14" s="173">
        <v>1</v>
      </c>
      <c r="C14" s="137" t="s">
        <v>1402</v>
      </c>
      <c r="D14" s="191" t="s">
        <v>10</v>
      </c>
      <c r="E14" s="228"/>
      <c r="F14" s="193" t="s">
        <v>2207</v>
      </c>
      <c r="G14" s="228"/>
      <c r="H14" s="228"/>
    </row>
    <row r="15" spans="1:11" x14ac:dyDescent="0.25">
      <c r="A15" s="524" t="s">
        <v>1403</v>
      </c>
      <c r="B15" s="173">
        <v>1</v>
      </c>
      <c r="C15" s="137" t="s">
        <v>1404</v>
      </c>
      <c r="D15" s="191" t="s">
        <v>10</v>
      </c>
      <c r="E15" s="228"/>
      <c r="F15" s="193" t="s">
        <v>2208</v>
      </c>
      <c r="G15" s="228"/>
      <c r="H15" s="228"/>
    </row>
    <row r="16" spans="1:11" x14ac:dyDescent="0.25">
      <c r="A16" s="12" t="s">
        <v>1414</v>
      </c>
      <c r="B16" s="173">
        <v>1</v>
      </c>
      <c r="C16" s="137" t="s">
        <v>1415</v>
      </c>
      <c r="D16" s="191" t="s">
        <v>8</v>
      </c>
      <c r="E16" s="228"/>
      <c r="F16" s="193" t="s">
        <v>1957</v>
      </c>
      <c r="G16" s="228"/>
      <c r="H16" s="228"/>
    </row>
    <row r="17" spans="1:8" x14ac:dyDescent="0.25">
      <c r="A17" s="12" t="s">
        <v>1422</v>
      </c>
      <c r="B17" s="173">
        <v>1</v>
      </c>
      <c r="C17" s="137" t="s">
        <v>1423</v>
      </c>
      <c r="D17" s="191" t="s">
        <v>8</v>
      </c>
      <c r="E17" s="228"/>
      <c r="F17" s="362" t="s">
        <v>1983</v>
      </c>
      <c r="G17" s="228"/>
      <c r="H17" s="228"/>
    </row>
    <row r="18" spans="1:8" x14ac:dyDescent="0.25">
      <c r="A18" s="12" t="s">
        <v>1424</v>
      </c>
      <c r="B18" s="173">
        <v>1</v>
      </c>
      <c r="C18" s="137" t="s">
        <v>1425</v>
      </c>
      <c r="D18" s="191" t="s">
        <v>8</v>
      </c>
      <c r="E18" s="228"/>
      <c r="F18" s="362" t="s">
        <v>1984</v>
      </c>
      <c r="G18" s="228"/>
      <c r="H18" s="228"/>
    </row>
    <row r="19" spans="1:8" x14ac:dyDescent="0.25">
      <c r="A19" s="272" t="s">
        <v>1426</v>
      </c>
      <c r="B19" s="498">
        <v>1</v>
      </c>
      <c r="C19" s="500" t="s">
        <v>416</v>
      </c>
      <c r="D19" s="191" t="s">
        <v>8</v>
      </c>
      <c r="E19" s="228"/>
      <c r="F19" s="362" t="s">
        <v>1985</v>
      </c>
      <c r="G19" s="228"/>
      <c r="H19" s="228"/>
    </row>
    <row r="20" spans="1:8" x14ac:dyDescent="0.25">
      <c r="A20" s="496" t="s">
        <v>1427</v>
      </c>
      <c r="B20" s="497">
        <v>1</v>
      </c>
      <c r="C20" s="499" t="s">
        <v>1428</v>
      </c>
      <c r="D20" s="192" t="s">
        <v>8</v>
      </c>
      <c r="E20" s="228"/>
      <c r="F20" s="431" t="s">
        <v>1986</v>
      </c>
      <c r="G20" s="228"/>
      <c r="H20" s="228"/>
    </row>
    <row r="21" spans="1:8" x14ac:dyDescent="0.25">
      <c r="A21" s="135"/>
      <c r="B21" s="135"/>
      <c r="C21" s="138"/>
      <c r="D21" s="138"/>
    </row>
    <row r="22" spans="1:8" x14ac:dyDescent="0.25">
      <c r="A22" s="135"/>
      <c r="B22" s="135"/>
      <c r="C22" s="138"/>
      <c r="D22" s="138"/>
    </row>
    <row r="23" spans="1:8" x14ac:dyDescent="0.25">
      <c r="A23" s="135"/>
      <c r="B23" s="135"/>
      <c r="C23" s="138"/>
      <c r="D23" s="138"/>
    </row>
    <row r="24" spans="1:8" x14ac:dyDescent="0.25">
      <c r="A24" s="135"/>
      <c r="B24" s="135"/>
      <c r="C24" s="138"/>
      <c r="D24" s="138"/>
    </row>
  </sheetData>
  <sortState xmlns:xlrd2="http://schemas.microsoft.com/office/spreadsheetml/2017/richdata2" ref="A2:D24">
    <sortCondition ref="A1:A24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67-7498-4074-9E4E-989D9DDED83E}">
  <sheetPr codeName="Planilha41">
    <tabColor theme="0"/>
  </sheetPr>
  <dimension ref="A1:I39"/>
  <sheetViews>
    <sheetView workbookViewId="0">
      <pane ySplit="1" topLeftCell="A2" activePane="bottomLeft" state="frozen"/>
      <selection activeCell="A53" sqref="A53"/>
      <selection pane="bottomLeft" activeCell="J25" sqref="J25"/>
    </sheetView>
  </sheetViews>
  <sheetFormatPr defaultRowHeight="15" x14ac:dyDescent="0.25"/>
  <cols>
    <col min="1" max="1" width="43.7109375" customWidth="1"/>
    <col min="2" max="2" width="22.7109375" style="43" customWidth="1"/>
    <col min="3" max="3" width="20.7109375" customWidth="1"/>
    <col min="4" max="4" width="17.5703125" customWidth="1"/>
    <col min="6" max="6" width="15.7109375" customWidth="1"/>
  </cols>
  <sheetData>
    <row r="1" spans="1:8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1" t="s">
        <v>1437</v>
      </c>
      <c r="B2" s="115">
        <v>1</v>
      </c>
      <c r="C2" s="162" t="s">
        <v>601</v>
      </c>
      <c r="D2" s="191" t="s">
        <v>8</v>
      </c>
      <c r="E2" s="228"/>
      <c r="F2" s="362" t="s">
        <v>1754</v>
      </c>
      <c r="G2" s="228"/>
      <c r="H2" s="228"/>
    </row>
    <row r="3" spans="1:8" x14ac:dyDescent="0.25">
      <c r="A3" s="21" t="s">
        <v>1438</v>
      </c>
      <c r="B3" s="115">
        <v>1</v>
      </c>
      <c r="C3" s="162" t="s">
        <v>33</v>
      </c>
      <c r="D3" s="191" t="s">
        <v>8</v>
      </c>
      <c r="E3" s="228"/>
      <c r="F3" s="362" t="s">
        <v>1753</v>
      </c>
      <c r="G3" s="228"/>
      <c r="H3" s="228"/>
    </row>
    <row r="4" spans="1:8" x14ac:dyDescent="0.25">
      <c r="A4" s="21" t="s">
        <v>1435</v>
      </c>
      <c r="B4" s="115">
        <v>2</v>
      </c>
      <c r="C4" s="162" t="s">
        <v>14</v>
      </c>
      <c r="D4" s="191" t="s">
        <v>8</v>
      </c>
      <c r="E4" s="228"/>
      <c r="F4" s="362" t="s">
        <v>1756</v>
      </c>
      <c r="G4" s="228"/>
      <c r="H4" s="228"/>
    </row>
    <row r="5" spans="1:8" x14ac:dyDescent="0.25">
      <c r="A5" s="432" t="s">
        <v>1449</v>
      </c>
      <c r="B5" s="115">
        <f>SUM(B4)</f>
        <v>2</v>
      </c>
      <c r="C5" s="162"/>
      <c r="D5" s="191"/>
      <c r="E5" s="228"/>
      <c r="F5" s="362"/>
      <c r="G5" s="228"/>
      <c r="H5" s="228"/>
    </row>
    <row r="6" spans="1:8" x14ac:dyDescent="0.25">
      <c r="A6" s="21" t="s">
        <v>1434</v>
      </c>
      <c r="B6" s="115">
        <v>1</v>
      </c>
      <c r="C6" s="162" t="s">
        <v>544</v>
      </c>
      <c r="D6" s="191" t="s">
        <v>8</v>
      </c>
      <c r="E6" s="228"/>
      <c r="F6" s="362" t="s">
        <v>1868</v>
      </c>
      <c r="G6" s="228"/>
      <c r="H6" s="228"/>
    </row>
    <row r="7" spans="1:8" x14ac:dyDescent="0.25">
      <c r="A7" s="21" t="s">
        <v>1215</v>
      </c>
      <c r="B7" s="115">
        <v>1</v>
      </c>
      <c r="C7" s="162" t="s">
        <v>542</v>
      </c>
      <c r="D7" s="191" t="s">
        <v>8</v>
      </c>
      <c r="E7" s="228"/>
      <c r="F7" s="374" t="s">
        <v>1870</v>
      </c>
      <c r="G7" s="228"/>
      <c r="H7" s="228"/>
    </row>
    <row r="8" spans="1:8" x14ac:dyDescent="0.25">
      <c r="A8" s="21" t="s">
        <v>1446</v>
      </c>
      <c r="B8" s="115">
        <v>1</v>
      </c>
      <c r="C8" s="162" t="s">
        <v>250</v>
      </c>
      <c r="D8" s="191" t="s">
        <v>10</v>
      </c>
      <c r="E8" s="228"/>
      <c r="F8" s="362" t="s">
        <v>1876</v>
      </c>
      <c r="G8" s="228"/>
      <c r="H8" s="228"/>
    </row>
    <row r="9" spans="1:8" x14ac:dyDescent="0.25">
      <c r="A9" s="21" t="s">
        <v>1443</v>
      </c>
      <c r="B9" s="115">
        <v>4</v>
      </c>
      <c r="C9" s="162" t="s">
        <v>24</v>
      </c>
      <c r="D9" s="191" t="s">
        <v>8</v>
      </c>
      <c r="E9" s="228"/>
      <c r="F9" s="362" t="s">
        <v>1877</v>
      </c>
      <c r="G9" s="228"/>
      <c r="H9" s="228"/>
    </row>
    <row r="10" spans="1:8" x14ac:dyDescent="0.25">
      <c r="A10" s="21" t="s">
        <v>35</v>
      </c>
      <c r="B10" s="115">
        <v>4</v>
      </c>
      <c r="C10" s="162" t="s">
        <v>36</v>
      </c>
      <c r="D10" s="191" t="s">
        <v>8</v>
      </c>
      <c r="E10" s="228"/>
      <c r="F10" s="375" t="s">
        <v>1881</v>
      </c>
      <c r="G10" s="228"/>
      <c r="H10" s="228"/>
    </row>
    <row r="11" spans="1:8" x14ac:dyDescent="0.25">
      <c r="A11" s="21" t="s">
        <v>38</v>
      </c>
      <c r="B11" s="115">
        <v>2</v>
      </c>
      <c r="C11" s="162" t="s">
        <v>39</v>
      </c>
      <c r="D11" s="191" t="s">
        <v>8</v>
      </c>
      <c r="E11" s="228"/>
      <c r="F11" s="373" t="s">
        <v>1883</v>
      </c>
      <c r="G11" s="228"/>
      <c r="H11" s="228"/>
    </row>
    <row r="12" spans="1:8" x14ac:dyDescent="0.25">
      <c r="A12" s="21" t="s">
        <v>44</v>
      </c>
      <c r="B12" s="115">
        <v>1</v>
      </c>
      <c r="C12" s="162" t="s">
        <v>45</v>
      </c>
      <c r="D12" s="191" t="s">
        <v>8</v>
      </c>
      <c r="E12" s="228"/>
      <c r="F12" s="362" t="s">
        <v>1886</v>
      </c>
      <c r="G12" s="228"/>
      <c r="H12" s="228"/>
    </row>
    <row r="13" spans="1:8" x14ac:dyDescent="0.25">
      <c r="A13" s="21" t="s">
        <v>706</v>
      </c>
      <c r="B13" s="115">
        <v>1</v>
      </c>
      <c r="C13" s="162" t="s">
        <v>678</v>
      </c>
      <c r="D13" s="191" t="s">
        <v>8</v>
      </c>
      <c r="E13" s="228"/>
      <c r="F13" s="362" t="s">
        <v>1887</v>
      </c>
      <c r="G13" s="228"/>
      <c r="H13" s="228"/>
    </row>
    <row r="14" spans="1:8" x14ac:dyDescent="0.25">
      <c r="A14" s="21" t="s">
        <v>1444</v>
      </c>
      <c r="B14" s="115">
        <v>6</v>
      </c>
      <c r="C14" s="162">
        <v>957</v>
      </c>
      <c r="D14" s="191" t="s">
        <v>4</v>
      </c>
      <c r="E14" s="228"/>
      <c r="F14" s="362" t="s">
        <v>1895</v>
      </c>
      <c r="G14" s="228"/>
      <c r="H14" s="228"/>
    </row>
    <row r="15" spans="1:8" x14ac:dyDescent="0.25">
      <c r="A15" s="21" t="s">
        <v>525</v>
      </c>
      <c r="B15" s="115">
        <v>1</v>
      </c>
      <c r="C15" s="162" t="s">
        <v>53</v>
      </c>
      <c r="D15" s="191" t="s">
        <v>8</v>
      </c>
      <c r="E15" s="228"/>
      <c r="F15" s="376" t="s">
        <v>1900</v>
      </c>
      <c r="G15" s="228"/>
      <c r="H15" s="228"/>
    </row>
    <row r="16" spans="1:8" x14ac:dyDescent="0.25">
      <c r="A16" s="21" t="s">
        <v>1436</v>
      </c>
      <c r="B16" s="115">
        <v>2</v>
      </c>
      <c r="C16" s="162" t="s">
        <v>736</v>
      </c>
      <c r="D16" s="191" t="s">
        <v>8</v>
      </c>
      <c r="E16" s="228"/>
      <c r="F16" s="362" t="s">
        <v>1901</v>
      </c>
      <c r="G16" s="228"/>
      <c r="H16" s="228"/>
    </row>
    <row r="17" spans="1:8" x14ac:dyDescent="0.25">
      <c r="A17" s="21" t="s">
        <v>56</v>
      </c>
      <c r="B17" s="115">
        <v>1</v>
      </c>
      <c r="C17" s="162" t="s">
        <v>57</v>
      </c>
      <c r="D17" s="191" t="s">
        <v>8</v>
      </c>
      <c r="E17" s="228"/>
      <c r="F17" s="333" t="s">
        <v>1911</v>
      </c>
      <c r="G17" s="228"/>
      <c r="H17" s="228"/>
    </row>
    <row r="18" spans="1:8" x14ac:dyDescent="0.25">
      <c r="A18" s="21" t="s">
        <v>1222</v>
      </c>
      <c r="B18" s="115">
        <v>1</v>
      </c>
      <c r="C18" s="162" t="s">
        <v>683</v>
      </c>
      <c r="D18" s="191" t="s">
        <v>8</v>
      </c>
      <c r="E18" s="228"/>
      <c r="F18" s="362" t="s">
        <v>1914</v>
      </c>
      <c r="G18" s="228"/>
      <c r="H18" s="228"/>
    </row>
    <row r="19" spans="1:8" x14ac:dyDescent="0.25">
      <c r="A19" s="21" t="s">
        <v>1439</v>
      </c>
      <c r="B19" s="115">
        <v>2</v>
      </c>
      <c r="C19" s="162" t="s">
        <v>1226</v>
      </c>
      <c r="D19" s="191" t="s">
        <v>8</v>
      </c>
      <c r="E19" s="228"/>
      <c r="F19" s="362" t="s">
        <v>1916</v>
      </c>
      <c r="G19" s="228"/>
      <c r="H19" s="228"/>
    </row>
    <row r="20" spans="1:8" x14ac:dyDescent="0.25">
      <c r="A20" s="21" t="s">
        <v>1447</v>
      </c>
      <c r="B20" s="115">
        <v>2</v>
      </c>
      <c r="C20" s="162" t="s">
        <v>1352</v>
      </c>
      <c r="D20" s="191" t="s">
        <v>8</v>
      </c>
      <c r="E20" s="228"/>
      <c r="F20" s="362" t="s">
        <v>1917</v>
      </c>
      <c r="G20" s="228"/>
      <c r="H20" s="228"/>
    </row>
    <row r="21" spans="1:8" x14ac:dyDescent="0.25">
      <c r="A21" s="21" t="s">
        <v>1448</v>
      </c>
      <c r="B21" s="115">
        <v>1</v>
      </c>
      <c r="C21" s="162" t="s">
        <v>1354</v>
      </c>
      <c r="D21" s="191" t="s">
        <v>8</v>
      </c>
      <c r="E21" s="228"/>
      <c r="F21" s="362" t="s">
        <v>1919</v>
      </c>
      <c r="G21" s="228"/>
      <c r="H21" s="228"/>
    </row>
    <row r="22" spans="1:8" x14ac:dyDescent="0.25">
      <c r="A22" s="21" t="s">
        <v>338</v>
      </c>
      <c r="B22" s="115">
        <v>4</v>
      </c>
      <c r="C22" s="162" t="s">
        <v>66</v>
      </c>
      <c r="D22" s="191" t="s">
        <v>8</v>
      </c>
      <c r="E22" s="228"/>
      <c r="F22" s="375" t="s">
        <v>1931</v>
      </c>
      <c r="G22" s="228"/>
      <c r="H22" s="228"/>
    </row>
    <row r="23" spans="1:8" x14ac:dyDescent="0.25">
      <c r="A23" s="21" t="s">
        <v>339</v>
      </c>
      <c r="B23" s="115">
        <v>4</v>
      </c>
      <c r="C23" s="162" t="s">
        <v>68</v>
      </c>
      <c r="D23" s="191" t="s">
        <v>8</v>
      </c>
      <c r="E23" s="228"/>
      <c r="F23" s="372" t="s">
        <v>1932</v>
      </c>
      <c r="G23" s="228"/>
      <c r="H23" s="228"/>
    </row>
    <row r="24" spans="1:8" x14ac:dyDescent="0.25">
      <c r="A24" s="21" t="s">
        <v>1440</v>
      </c>
      <c r="B24" s="115">
        <v>2</v>
      </c>
      <c r="C24" s="162" t="s">
        <v>684</v>
      </c>
      <c r="D24" s="191" t="s">
        <v>8</v>
      </c>
      <c r="E24" s="228"/>
      <c r="F24" s="362" t="s">
        <v>1934</v>
      </c>
      <c r="G24" s="228"/>
      <c r="H24" s="228"/>
    </row>
    <row r="25" spans="1:8" x14ac:dyDescent="0.25">
      <c r="A25" s="21" t="s">
        <v>1441</v>
      </c>
      <c r="B25" s="115">
        <v>4</v>
      </c>
      <c r="C25" s="162" t="s">
        <v>73</v>
      </c>
      <c r="D25" s="191" t="s">
        <v>8</v>
      </c>
      <c r="E25" s="228"/>
      <c r="F25" s="362" t="s">
        <v>1937</v>
      </c>
      <c r="G25" s="228"/>
      <c r="H25" s="228"/>
    </row>
    <row r="26" spans="1:8" x14ac:dyDescent="0.25">
      <c r="A26" s="21" t="s">
        <v>1370</v>
      </c>
      <c r="B26" s="115">
        <v>2</v>
      </c>
      <c r="C26" s="162" t="s">
        <v>1235</v>
      </c>
      <c r="D26" s="191" t="s">
        <v>8</v>
      </c>
      <c r="E26" s="228"/>
      <c r="F26" s="362" t="s">
        <v>1942</v>
      </c>
      <c r="G26" s="228"/>
      <c r="H26" s="228"/>
    </row>
    <row r="27" spans="1:8" x14ac:dyDescent="0.25">
      <c r="A27" s="21" t="s">
        <v>1442</v>
      </c>
      <c r="B27" s="115">
        <v>4</v>
      </c>
      <c r="C27" s="162" t="s">
        <v>26</v>
      </c>
      <c r="D27" s="191" t="s">
        <v>8</v>
      </c>
      <c r="E27" s="228"/>
      <c r="F27" s="373" t="s">
        <v>1878</v>
      </c>
      <c r="G27" s="228"/>
      <c r="H27" s="228"/>
    </row>
    <row r="28" spans="1:8" x14ac:dyDescent="0.25">
      <c r="A28" s="21" t="s">
        <v>549</v>
      </c>
      <c r="B28" s="115">
        <v>1</v>
      </c>
      <c r="C28" s="162" t="s">
        <v>550</v>
      </c>
      <c r="D28" s="191" t="s">
        <v>8</v>
      </c>
      <c r="E28" s="228"/>
      <c r="F28" s="362" t="s">
        <v>1943</v>
      </c>
      <c r="G28" s="228"/>
      <c r="H28" s="228"/>
    </row>
    <row r="29" spans="1:8" x14ac:dyDescent="0.25">
      <c r="A29" s="21" t="s">
        <v>551</v>
      </c>
      <c r="B29" s="115">
        <v>1</v>
      </c>
      <c r="C29" s="162" t="s">
        <v>252</v>
      </c>
      <c r="D29" s="191" t="s">
        <v>8</v>
      </c>
      <c r="E29" s="228"/>
      <c r="F29" s="362" t="s">
        <v>1947</v>
      </c>
      <c r="G29" s="228"/>
      <c r="H29" s="228"/>
    </row>
    <row r="30" spans="1:8" x14ac:dyDescent="0.25">
      <c r="A30" s="21" t="s">
        <v>1389</v>
      </c>
      <c r="B30" s="115">
        <v>1</v>
      </c>
      <c r="C30" s="162" t="s">
        <v>113</v>
      </c>
      <c r="D30" s="191" t="s">
        <v>8</v>
      </c>
      <c r="E30" s="228"/>
      <c r="F30" s="362" t="s">
        <v>1967</v>
      </c>
      <c r="G30" s="228"/>
      <c r="H30" s="228"/>
    </row>
    <row r="31" spans="1:8" x14ac:dyDescent="0.25">
      <c r="A31" s="21" t="s">
        <v>1388</v>
      </c>
      <c r="B31" s="115">
        <v>2</v>
      </c>
      <c r="C31" s="162" t="s">
        <v>115</v>
      </c>
      <c r="D31" s="191" t="s">
        <v>8</v>
      </c>
      <c r="E31" s="228"/>
      <c r="F31" s="373" t="s">
        <v>1966</v>
      </c>
      <c r="G31" s="228"/>
      <c r="H31" s="228"/>
    </row>
    <row r="32" spans="1:8" x14ac:dyDescent="0.25">
      <c r="A32" s="21" t="s">
        <v>95</v>
      </c>
      <c r="B32" s="115">
        <v>1</v>
      </c>
      <c r="C32" s="162" t="s">
        <v>96</v>
      </c>
      <c r="D32" s="191" t="s">
        <v>8</v>
      </c>
      <c r="E32" s="228"/>
      <c r="F32" s="374" t="s">
        <v>2003</v>
      </c>
      <c r="G32" s="228"/>
      <c r="H32" s="228"/>
    </row>
    <row r="33" spans="1:9" x14ac:dyDescent="0.25">
      <c r="A33" s="21" t="s">
        <v>97</v>
      </c>
      <c r="B33" s="115">
        <v>1</v>
      </c>
      <c r="C33" s="162" t="s">
        <v>98</v>
      </c>
      <c r="D33" s="191" t="s">
        <v>8</v>
      </c>
      <c r="E33" s="228"/>
      <c r="F33" s="375" t="s">
        <v>1995</v>
      </c>
      <c r="G33" s="228"/>
      <c r="H33" s="228"/>
    </row>
    <row r="34" spans="1:9" x14ac:dyDescent="0.25">
      <c r="A34" s="21" t="s">
        <v>929</v>
      </c>
      <c r="B34" s="115">
        <v>1</v>
      </c>
      <c r="C34" s="162" t="s">
        <v>1445</v>
      </c>
      <c r="D34" s="191" t="s">
        <v>8</v>
      </c>
      <c r="E34" s="228"/>
      <c r="F34" s="374" t="s">
        <v>2004</v>
      </c>
      <c r="G34" s="228"/>
      <c r="H34" s="228"/>
    </row>
    <row r="35" spans="1:9" x14ac:dyDescent="0.25">
      <c r="A35" s="21" t="s">
        <v>99</v>
      </c>
      <c r="B35" s="115">
        <v>2</v>
      </c>
      <c r="C35" s="162" t="s">
        <v>662</v>
      </c>
      <c r="D35" s="191" t="s">
        <v>8</v>
      </c>
      <c r="E35" s="228"/>
      <c r="F35" s="373" t="s">
        <v>2006</v>
      </c>
      <c r="G35" s="228"/>
      <c r="H35" s="228"/>
    </row>
    <row r="36" spans="1:9" x14ac:dyDescent="0.25">
      <c r="A36" s="21" t="s">
        <v>517</v>
      </c>
      <c r="B36" s="115">
        <v>1</v>
      </c>
      <c r="C36" s="162" t="s">
        <v>518</v>
      </c>
      <c r="D36" s="191" t="s">
        <v>8</v>
      </c>
      <c r="E36" s="228"/>
      <c r="F36" s="373" t="s">
        <v>2008</v>
      </c>
      <c r="G36" s="228"/>
      <c r="H36" s="228"/>
    </row>
    <row r="37" spans="1:9" x14ac:dyDescent="0.25">
      <c r="A37" s="21" t="s">
        <v>1431</v>
      </c>
      <c r="B37" s="115">
        <v>1</v>
      </c>
      <c r="C37" s="270" t="s">
        <v>141</v>
      </c>
      <c r="D37" s="191" t="s">
        <v>8</v>
      </c>
      <c r="E37" s="228"/>
      <c r="F37" s="362" t="s">
        <v>1858</v>
      </c>
      <c r="G37" s="228"/>
      <c r="H37" s="228"/>
    </row>
    <row r="38" spans="1:9" x14ac:dyDescent="0.25">
      <c r="A38" s="21" t="s">
        <v>1338</v>
      </c>
      <c r="B38" s="161">
        <v>1</v>
      </c>
      <c r="C38" s="136" t="s">
        <v>143</v>
      </c>
      <c r="D38" s="271" t="s">
        <v>8</v>
      </c>
      <c r="F38" s="376" t="s">
        <v>1861</v>
      </c>
    </row>
    <row r="39" spans="1:9" x14ac:dyDescent="0.25">
      <c r="A39" s="567" t="s">
        <v>1432</v>
      </c>
      <c r="B39" s="115">
        <v>2</v>
      </c>
      <c r="C39" s="138" t="s">
        <v>1433</v>
      </c>
      <c r="D39" s="138" t="s">
        <v>8</v>
      </c>
      <c r="F39" s="568" t="s">
        <v>2177</v>
      </c>
      <c r="I39" t="s">
        <v>2178</v>
      </c>
    </row>
  </sheetData>
  <sortState xmlns:xlrd2="http://schemas.microsoft.com/office/spreadsheetml/2017/richdata2" ref="A2:D39">
    <sortCondition ref="A1:A39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ED-AB05-47E8-9351-B33E093868EE}">
  <sheetPr codeName="Planilha42">
    <tabColor rgb="FF92D050"/>
    <pageSetUpPr fitToPage="1"/>
  </sheetPr>
  <dimension ref="A1:H58"/>
  <sheetViews>
    <sheetView workbookViewId="0">
      <pane ySplit="1" topLeftCell="A2" activePane="bottomLeft" state="frozen"/>
      <selection activeCell="A53" sqref="A53"/>
      <selection pane="bottomLeft" activeCell="D22" sqref="D22"/>
    </sheetView>
  </sheetViews>
  <sheetFormatPr defaultRowHeight="15" x14ac:dyDescent="0.25"/>
  <cols>
    <col min="1" max="1" width="45" customWidth="1"/>
    <col min="2" max="2" width="22.28515625" customWidth="1"/>
    <col min="3" max="3" width="19.140625" customWidth="1"/>
    <col min="4" max="4" width="18.7109375" customWidth="1"/>
    <col min="6" max="6" width="13.85546875" customWidth="1"/>
  </cols>
  <sheetData>
    <row r="1" spans="1:8" ht="15.75" x14ac:dyDescent="0.25">
      <c r="A1" s="97" t="s">
        <v>0</v>
      </c>
      <c r="B1" s="48" t="s">
        <v>305</v>
      </c>
      <c r="C1" s="171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2" t="s">
        <v>1494</v>
      </c>
      <c r="B2" s="140">
        <v>1</v>
      </c>
      <c r="C2" s="162" t="s">
        <v>1495</v>
      </c>
      <c r="D2" s="258" t="s">
        <v>8</v>
      </c>
      <c r="E2" s="228"/>
      <c r="F2" s="193" t="s">
        <v>1755</v>
      </c>
      <c r="G2" s="228"/>
      <c r="H2" s="228"/>
    </row>
    <row r="3" spans="1:8" x14ac:dyDescent="0.25">
      <c r="A3" s="12" t="s">
        <v>1435</v>
      </c>
      <c r="B3" s="140">
        <v>2</v>
      </c>
      <c r="C3" s="162" t="s">
        <v>14</v>
      </c>
      <c r="D3" s="258" t="s">
        <v>8</v>
      </c>
      <c r="E3" s="228"/>
      <c r="F3" s="193" t="s">
        <v>1756</v>
      </c>
      <c r="G3" s="228"/>
      <c r="H3" s="228"/>
    </row>
    <row r="4" spans="1:8" x14ac:dyDescent="0.25">
      <c r="A4" s="12" t="s">
        <v>1500</v>
      </c>
      <c r="B4" s="140">
        <v>1</v>
      </c>
      <c r="C4" s="162" t="s">
        <v>131</v>
      </c>
      <c r="D4" s="258" t="s">
        <v>8</v>
      </c>
      <c r="E4" s="228"/>
      <c r="F4" s="193" t="s">
        <v>1798</v>
      </c>
      <c r="G4" s="228"/>
      <c r="H4" s="228"/>
    </row>
    <row r="5" spans="1:8" x14ac:dyDescent="0.25">
      <c r="A5" s="524" t="s">
        <v>1449</v>
      </c>
      <c r="B5" s="140">
        <v>1</v>
      </c>
      <c r="C5" s="162"/>
      <c r="D5" s="258"/>
      <c r="E5" s="228"/>
      <c r="F5" s="228"/>
      <c r="G5" s="228"/>
      <c r="H5" s="228"/>
    </row>
    <row r="6" spans="1:8" x14ac:dyDescent="0.25">
      <c r="A6" s="12" t="s">
        <v>1474</v>
      </c>
      <c r="B6" s="140">
        <v>2</v>
      </c>
      <c r="C6" s="162" t="s">
        <v>1475</v>
      </c>
      <c r="D6" s="258" t="s">
        <v>8</v>
      </c>
      <c r="E6" s="228"/>
      <c r="F6" s="228" t="s">
        <v>2106</v>
      </c>
      <c r="G6" s="228"/>
      <c r="H6" s="228"/>
    </row>
    <row r="7" spans="1:8" x14ac:dyDescent="0.25">
      <c r="A7" s="12" t="s">
        <v>1499</v>
      </c>
      <c r="B7" s="140">
        <v>1</v>
      </c>
      <c r="C7" s="162" t="s">
        <v>1212</v>
      </c>
      <c r="D7" s="258" t="s">
        <v>8</v>
      </c>
      <c r="E7" s="228"/>
      <c r="F7" s="193" t="s">
        <v>1830</v>
      </c>
      <c r="G7" s="228"/>
      <c r="H7" s="228"/>
    </row>
    <row r="8" spans="1:8" x14ac:dyDescent="0.25">
      <c r="A8" s="12" t="s">
        <v>1497</v>
      </c>
      <c r="B8" s="140">
        <v>1</v>
      </c>
      <c r="C8" s="162" t="s">
        <v>1498</v>
      </c>
      <c r="D8" s="258" t="s">
        <v>8</v>
      </c>
      <c r="E8" s="228"/>
      <c r="F8" s="193" t="s">
        <v>1833</v>
      </c>
      <c r="G8" s="228"/>
      <c r="H8" s="228"/>
    </row>
    <row r="9" spans="1:8" x14ac:dyDescent="0.25">
      <c r="A9" s="12" t="s">
        <v>703</v>
      </c>
      <c r="B9" s="140">
        <v>2</v>
      </c>
      <c r="C9" s="162" t="s">
        <v>601</v>
      </c>
      <c r="D9" s="258" t="s">
        <v>8</v>
      </c>
      <c r="E9" s="228"/>
      <c r="F9" s="228" t="s">
        <v>1754</v>
      </c>
      <c r="G9" s="228"/>
      <c r="H9" s="228"/>
    </row>
    <row r="10" spans="1:8" x14ac:dyDescent="0.25">
      <c r="A10" s="12" t="s">
        <v>1456</v>
      </c>
      <c r="B10" s="140">
        <v>1</v>
      </c>
      <c r="C10" s="162" t="s">
        <v>33</v>
      </c>
      <c r="D10" s="258" t="s">
        <v>8</v>
      </c>
      <c r="E10" s="228"/>
      <c r="F10" s="228" t="s">
        <v>1753</v>
      </c>
      <c r="G10" s="228"/>
      <c r="H10" s="228"/>
    </row>
    <row r="11" spans="1:8" x14ac:dyDescent="0.25">
      <c r="A11" s="12" t="s">
        <v>1464</v>
      </c>
      <c r="B11" s="140">
        <v>4</v>
      </c>
      <c r="C11" s="162" t="s">
        <v>36</v>
      </c>
      <c r="D11" s="258" t="s">
        <v>8</v>
      </c>
      <c r="E11" s="228"/>
      <c r="F11" s="228" t="s">
        <v>1881</v>
      </c>
      <c r="G11" s="228"/>
      <c r="H11" s="228"/>
    </row>
    <row r="12" spans="1:8" x14ac:dyDescent="0.25">
      <c r="A12" s="12" t="s">
        <v>38</v>
      </c>
      <c r="B12" s="140">
        <v>4</v>
      </c>
      <c r="C12" s="162" t="s">
        <v>36</v>
      </c>
      <c r="D12" s="258" t="s">
        <v>8</v>
      </c>
      <c r="E12" s="228"/>
      <c r="F12" s="228" t="s">
        <v>1882</v>
      </c>
      <c r="G12" s="228"/>
      <c r="H12" s="228"/>
    </row>
    <row r="13" spans="1:8" x14ac:dyDescent="0.25">
      <c r="A13" s="12" t="s">
        <v>1451</v>
      </c>
      <c r="B13" s="140">
        <v>1</v>
      </c>
      <c r="C13" s="162" t="s">
        <v>47</v>
      </c>
      <c r="D13" s="258" t="s">
        <v>8</v>
      </c>
      <c r="E13" s="228"/>
      <c r="F13" s="228" t="s">
        <v>1889</v>
      </c>
      <c r="G13" s="228"/>
      <c r="H13" s="228"/>
    </row>
    <row r="14" spans="1:8" x14ac:dyDescent="0.25">
      <c r="A14" s="12" t="s">
        <v>1450</v>
      </c>
      <c r="B14" s="140">
        <v>1</v>
      </c>
      <c r="C14" s="89" t="s">
        <v>51</v>
      </c>
      <c r="D14" s="258" t="s">
        <v>8</v>
      </c>
      <c r="E14" s="228"/>
      <c r="F14" s="228" t="s">
        <v>1890</v>
      </c>
      <c r="G14" s="228"/>
      <c r="H14" s="228"/>
    </row>
    <row r="15" spans="1:8" x14ac:dyDescent="0.25">
      <c r="A15" s="12" t="s">
        <v>48</v>
      </c>
      <c r="B15" s="140">
        <v>2</v>
      </c>
      <c r="C15" s="162" t="s">
        <v>49</v>
      </c>
      <c r="D15" s="258" t="s">
        <v>8</v>
      </c>
      <c r="E15" s="228"/>
      <c r="F15" s="228" t="s">
        <v>1888</v>
      </c>
      <c r="G15" s="228"/>
      <c r="H15" s="228"/>
    </row>
    <row r="16" spans="1:8" x14ac:dyDescent="0.25">
      <c r="A16" s="12" t="s">
        <v>1467</v>
      </c>
      <c r="B16" s="140">
        <v>2</v>
      </c>
      <c r="C16" s="162" t="s">
        <v>1468</v>
      </c>
      <c r="D16" s="258" t="s">
        <v>8</v>
      </c>
      <c r="E16" s="228"/>
      <c r="F16" s="228" t="s">
        <v>2107</v>
      </c>
      <c r="G16" s="228"/>
      <c r="H16" s="228"/>
    </row>
    <row r="17" spans="1:8" x14ac:dyDescent="0.25">
      <c r="A17" s="12" t="s">
        <v>1465</v>
      </c>
      <c r="B17" s="140">
        <v>2</v>
      </c>
      <c r="C17" s="162" t="s">
        <v>1466</v>
      </c>
      <c r="D17" s="258" t="s">
        <v>8</v>
      </c>
      <c r="E17" s="228"/>
      <c r="F17" s="228" t="s">
        <v>1892</v>
      </c>
      <c r="G17" s="228"/>
      <c r="H17" s="228"/>
    </row>
    <row r="18" spans="1:8" x14ac:dyDescent="0.25">
      <c r="A18" s="12" t="s">
        <v>1485</v>
      </c>
      <c r="B18" s="140">
        <v>2</v>
      </c>
      <c r="C18" s="162" t="s">
        <v>84</v>
      </c>
      <c r="D18" s="258" t="s">
        <v>8</v>
      </c>
      <c r="E18" s="228"/>
      <c r="F18" s="193" t="s">
        <v>1894</v>
      </c>
      <c r="G18" s="228"/>
      <c r="H18" s="228"/>
    </row>
    <row r="19" spans="1:8" x14ac:dyDescent="0.25">
      <c r="A19" s="12" t="s">
        <v>537</v>
      </c>
      <c r="B19" s="140">
        <v>4</v>
      </c>
      <c r="C19" s="162">
        <v>971</v>
      </c>
      <c r="D19" s="258" t="s">
        <v>4</v>
      </c>
      <c r="E19" s="228"/>
      <c r="F19" t="s">
        <v>1896</v>
      </c>
      <c r="G19" s="228"/>
      <c r="H19" s="228"/>
    </row>
    <row r="20" spans="1:8" x14ac:dyDescent="0.25">
      <c r="A20" s="12" t="s">
        <v>308</v>
      </c>
      <c r="B20" s="140">
        <v>4</v>
      </c>
      <c r="C20" s="162">
        <v>957</v>
      </c>
      <c r="D20" s="258" t="s">
        <v>4</v>
      </c>
      <c r="E20" s="228"/>
      <c r="F20" s="228" t="s">
        <v>1895</v>
      </c>
      <c r="G20" s="228"/>
      <c r="H20" s="228"/>
    </row>
    <row r="21" spans="1:8" x14ac:dyDescent="0.25">
      <c r="A21" s="12" t="s">
        <v>1493</v>
      </c>
      <c r="B21" s="140">
        <v>1</v>
      </c>
      <c r="C21" s="162" t="s">
        <v>53</v>
      </c>
      <c r="D21" s="258" t="s">
        <v>8</v>
      </c>
      <c r="E21" s="228"/>
      <c r="F21" s="300" t="s">
        <v>1900</v>
      </c>
      <c r="G21" s="228"/>
      <c r="H21" s="228"/>
    </row>
    <row r="22" spans="1:8" x14ac:dyDescent="0.25">
      <c r="A22" s="12" t="s">
        <v>1486</v>
      </c>
      <c r="B22" s="140">
        <v>1</v>
      </c>
      <c r="C22" s="162" t="s">
        <v>53</v>
      </c>
      <c r="D22" s="258" t="s">
        <v>8</v>
      </c>
      <c r="E22" s="228"/>
      <c r="F22" s="300" t="s">
        <v>1900</v>
      </c>
      <c r="G22" s="228"/>
      <c r="H22" s="228"/>
    </row>
    <row r="23" spans="1:8" x14ac:dyDescent="0.25">
      <c r="A23" s="12" t="s">
        <v>1472</v>
      </c>
      <c r="B23" s="140">
        <v>2</v>
      </c>
      <c r="C23" s="162" t="s">
        <v>1473</v>
      </c>
      <c r="D23" s="258" t="s">
        <v>8</v>
      </c>
      <c r="E23" s="228"/>
      <c r="F23" s="228" t="s">
        <v>2108</v>
      </c>
      <c r="G23" s="228"/>
      <c r="H23" s="228"/>
    </row>
    <row r="24" spans="1:8" x14ac:dyDescent="0.25">
      <c r="A24" s="12" t="s">
        <v>1455</v>
      </c>
      <c r="B24" s="140">
        <v>2</v>
      </c>
      <c r="C24" s="162" t="s">
        <v>1363</v>
      </c>
      <c r="D24" s="258" t="s">
        <v>8</v>
      </c>
      <c r="E24" s="228"/>
      <c r="F24" s="228" t="s">
        <v>2050</v>
      </c>
      <c r="G24" s="228"/>
      <c r="H24" s="228"/>
    </row>
    <row r="25" spans="1:8" x14ac:dyDescent="0.25">
      <c r="A25" s="12" t="s">
        <v>1454</v>
      </c>
      <c r="B25" s="140">
        <v>2</v>
      </c>
      <c r="C25" s="162" t="s">
        <v>1365</v>
      </c>
      <c r="D25" s="258" t="s">
        <v>8</v>
      </c>
      <c r="E25" s="228"/>
      <c r="F25" s="228" t="s">
        <v>2051</v>
      </c>
      <c r="G25" s="228"/>
      <c r="H25" s="228"/>
    </row>
    <row r="26" spans="1:8" x14ac:dyDescent="0.25">
      <c r="A26" s="12" t="s">
        <v>1453</v>
      </c>
      <c r="B26" s="140">
        <v>1</v>
      </c>
      <c r="C26" s="162" t="s">
        <v>1367</v>
      </c>
      <c r="D26" s="258" t="s">
        <v>8</v>
      </c>
      <c r="E26" s="228"/>
      <c r="F26" s="228" t="s">
        <v>2104</v>
      </c>
      <c r="G26" s="228"/>
      <c r="H26" s="228"/>
    </row>
    <row r="27" spans="1:8" x14ac:dyDescent="0.25">
      <c r="A27" s="524" t="s">
        <v>1491</v>
      </c>
      <c r="B27" s="140">
        <v>1</v>
      </c>
      <c r="C27" s="162" t="s">
        <v>1492</v>
      </c>
      <c r="D27" s="258" t="s">
        <v>8</v>
      </c>
      <c r="E27" s="228"/>
      <c r="F27" s="228" t="s">
        <v>2153</v>
      </c>
      <c r="G27" s="228"/>
      <c r="H27" s="228"/>
    </row>
    <row r="28" spans="1:8" x14ac:dyDescent="0.25">
      <c r="A28" s="12" t="s">
        <v>1487</v>
      </c>
      <c r="B28" s="140">
        <v>1</v>
      </c>
      <c r="C28" s="162" t="s">
        <v>1488</v>
      </c>
      <c r="D28" s="258" t="s">
        <v>8</v>
      </c>
      <c r="E28" s="228"/>
      <c r="F28" s="228" t="s">
        <v>2112</v>
      </c>
      <c r="G28" s="228"/>
      <c r="H28" s="228"/>
    </row>
    <row r="29" spans="1:8" x14ac:dyDescent="0.25">
      <c r="A29" s="12" t="s">
        <v>1489</v>
      </c>
      <c r="B29" s="140">
        <v>1</v>
      </c>
      <c r="C29" s="162" t="s">
        <v>1490</v>
      </c>
      <c r="D29" s="258" t="s">
        <v>8</v>
      </c>
      <c r="E29" s="228"/>
      <c r="F29" s="228" t="s">
        <v>1812</v>
      </c>
      <c r="G29" s="228"/>
      <c r="H29" s="228"/>
    </row>
    <row r="30" spans="1:8" x14ac:dyDescent="0.25">
      <c r="A30" s="12" t="s">
        <v>1452</v>
      </c>
      <c r="B30" s="140">
        <v>1</v>
      </c>
      <c r="C30" s="162" t="s">
        <v>63</v>
      </c>
      <c r="D30" s="258" t="s">
        <v>8</v>
      </c>
      <c r="E30" s="228"/>
      <c r="F30" s="228" t="s">
        <v>1913</v>
      </c>
      <c r="G30" s="228"/>
      <c r="H30" s="228"/>
    </row>
    <row r="31" spans="1:8" x14ac:dyDescent="0.25">
      <c r="A31" s="12" t="s">
        <v>58</v>
      </c>
      <c r="B31" s="140">
        <v>2</v>
      </c>
      <c r="C31" s="162" t="s">
        <v>59</v>
      </c>
      <c r="D31" s="258" t="s">
        <v>8</v>
      </c>
      <c r="E31" s="228"/>
      <c r="F31" s="228" t="s">
        <v>1915</v>
      </c>
      <c r="G31" s="228"/>
      <c r="H31" s="228"/>
    </row>
    <row r="32" spans="1:8" x14ac:dyDescent="0.25">
      <c r="A32" s="12" t="s">
        <v>60</v>
      </c>
      <c r="B32" s="140">
        <v>1</v>
      </c>
      <c r="C32" s="162" t="s">
        <v>61</v>
      </c>
      <c r="D32" s="258" t="s">
        <v>8</v>
      </c>
      <c r="E32" s="228"/>
      <c r="F32" s="228" t="s">
        <v>1912</v>
      </c>
      <c r="G32" s="228"/>
      <c r="H32" s="228"/>
    </row>
    <row r="33" spans="1:8" x14ac:dyDescent="0.25">
      <c r="A33" s="12" t="s">
        <v>1482</v>
      </c>
      <c r="B33" s="140">
        <v>4</v>
      </c>
      <c r="C33" s="162" t="s">
        <v>1226</v>
      </c>
      <c r="D33" s="258" t="s">
        <v>8</v>
      </c>
      <c r="E33" s="228"/>
      <c r="F33" s="228" t="s">
        <v>2098</v>
      </c>
      <c r="G33" s="228"/>
      <c r="H33" s="228"/>
    </row>
    <row r="34" spans="1:8" x14ac:dyDescent="0.25">
      <c r="A34" s="12" t="s">
        <v>1471</v>
      </c>
      <c r="B34" s="140">
        <v>1</v>
      </c>
      <c r="C34" s="162" t="s">
        <v>1352</v>
      </c>
      <c r="D34" s="258" t="s">
        <v>8</v>
      </c>
      <c r="E34" s="228"/>
      <c r="F34" s="228" t="s">
        <v>1917</v>
      </c>
      <c r="G34" s="228"/>
      <c r="H34" s="228"/>
    </row>
    <row r="35" spans="1:8" x14ac:dyDescent="0.25">
      <c r="A35" s="12" t="s">
        <v>1469</v>
      </c>
      <c r="B35" s="140">
        <v>1</v>
      </c>
      <c r="C35" s="162" t="s">
        <v>1470</v>
      </c>
      <c r="D35" s="258" t="s">
        <v>8</v>
      </c>
      <c r="E35" s="228"/>
      <c r="F35" s="228" t="s">
        <v>1919</v>
      </c>
      <c r="G35" s="228"/>
      <c r="H35" s="228"/>
    </row>
    <row r="36" spans="1:8" x14ac:dyDescent="0.25">
      <c r="A36" s="186" t="s">
        <v>1483</v>
      </c>
      <c r="B36" s="187">
        <v>2</v>
      </c>
      <c r="C36" s="260" t="s">
        <v>1484</v>
      </c>
      <c r="D36" s="210" t="s">
        <v>10</v>
      </c>
      <c r="E36" s="228"/>
      <c r="F36" s="228" t="s">
        <v>2109</v>
      </c>
      <c r="G36" s="228"/>
      <c r="H36" s="228"/>
    </row>
    <row r="37" spans="1:8" x14ac:dyDescent="0.25">
      <c r="A37" s="12" t="s">
        <v>1459</v>
      </c>
      <c r="B37" s="140">
        <v>8</v>
      </c>
      <c r="C37" s="162" t="s">
        <v>66</v>
      </c>
      <c r="D37" s="258" t="s">
        <v>8</v>
      </c>
      <c r="E37" s="228"/>
      <c r="F37" s="228" t="s">
        <v>1931</v>
      </c>
      <c r="G37" s="228"/>
      <c r="H37" s="228"/>
    </row>
    <row r="38" spans="1:8" x14ac:dyDescent="0.25">
      <c r="A38" s="12" t="s">
        <v>1458</v>
      </c>
      <c r="B38" s="140">
        <v>4</v>
      </c>
      <c r="C38" s="162" t="s">
        <v>68</v>
      </c>
      <c r="D38" s="258" t="s">
        <v>8</v>
      </c>
      <c r="E38" s="228"/>
      <c r="F38" s="228" t="s">
        <v>1932</v>
      </c>
      <c r="G38" s="228"/>
      <c r="H38" s="228"/>
    </row>
    <row r="39" spans="1:8" x14ac:dyDescent="0.25">
      <c r="A39" s="12" t="s">
        <v>1462</v>
      </c>
      <c r="B39" s="140">
        <v>4</v>
      </c>
      <c r="C39" s="162" t="s">
        <v>1463</v>
      </c>
      <c r="D39" s="258" t="s">
        <v>8</v>
      </c>
      <c r="E39" s="228"/>
      <c r="F39" s="228" t="s">
        <v>2111</v>
      </c>
      <c r="G39" s="228"/>
      <c r="H39" s="228"/>
    </row>
    <row r="40" spans="1:8" x14ac:dyDescent="0.25">
      <c r="A40" s="12" t="s">
        <v>1460</v>
      </c>
      <c r="B40" s="140">
        <v>4</v>
      </c>
      <c r="C40" s="162" t="s">
        <v>1461</v>
      </c>
      <c r="D40" s="258" t="s">
        <v>8</v>
      </c>
      <c r="E40" s="228"/>
      <c r="F40" s="228" t="s">
        <v>2110</v>
      </c>
      <c r="G40" s="228"/>
      <c r="H40" s="228"/>
    </row>
    <row r="41" spans="1:8" x14ac:dyDescent="0.25">
      <c r="A41" s="12" t="s">
        <v>1481</v>
      </c>
      <c r="B41" s="140">
        <v>2</v>
      </c>
      <c r="C41" s="162" t="s">
        <v>82</v>
      </c>
      <c r="D41" s="258" t="s">
        <v>8</v>
      </c>
      <c r="E41" s="228"/>
      <c r="F41" s="228" t="s">
        <v>1940</v>
      </c>
      <c r="G41" s="228"/>
      <c r="H41" s="228"/>
    </row>
    <row r="42" spans="1:8" x14ac:dyDescent="0.25">
      <c r="A42" s="12" t="s">
        <v>1234</v>
      </c>
      <c r="B42" s="140">
        <v>4</v>
      </c>
      <c r="C42" s="162" t="s">
        <v>1235</v>
      </c>
      <c r="D42" s="258" t="s">
        <v>8</v>
      </c>
      <c r="E42" s="228"/>
      <c r="F42" s="228" t="s">
        <v>1942</v>
      </c>
      <c r="G42" s="228"/>
      <c r="H42" s="228"/>
    </row>
    <row r="43" spans="1:8" x14ac:dyDescent="0.25">
      <c r="A43" s="12" t="s">
        <v>1457</v>
      </c>
      <c r="B43" s="140">
        <v>8</v>
      </c>
      <c r="C43" s="162" t="s">
        <v>24</v>
      </c>
      <c r="D43" s="258" t="s">
        <v>8</v>
      </c>
      <c r="E43" s="228"/>
      <c r="F43" s="228" t="s">
        <v>1877</v>
      </c>
      <c r="G43" s="228"/>
      <c r="H43" s="228"/>
    </row>
    <row r="44" spans="1:8" x14ac:dyDescent="0.25">
      <c r="A44" s="12" t="s">
        <v>1442</v>
      </c>
      <c r="B44" s="140">
        <v>4</v>
      </c>
      <c r="C44" s="162" t="s">
        <v>26</v>
      </c>
      <c r="D44" s="258" t="s">
        <v>8</v>
      </c>
      <c r="E44" s="228"/>
      <c r="F44" s="15" t="s">
        <v>1878</v>
      </c>
      <c r="G44" s="228"/>
      <c r="H44" s="228"/>
    </row>
    <row r="45" spans="1:8" x14ac:dyDescent="0.25">
      <c r="A45" s="12" t="s">
        <v>1480</v>
      </c>
      <c r="B45" s="140">
        <v>2</v>
      </c>
      <c r="C45" s="162" t="s">
        <v>28</v>
      </c>
      <c r="D45" s="258" t="s">
        <v>8</v>
      </c>
      <c r="E45" s="228"/>
      <c r="F45" s="15" t="s">
        <v>1879</v>
      </c>
      <c r="G45" s="228"/>
      <c r="H45" s="228"/>
    </row>
    <row r="46" spans="1:8" x14ac:dyDescent="0.25">
      <c r="A46" s="12" t="s">
        <v>1477</v>
      </c>
      <c r="B46" s="140">
        <v>1</v>
      </c>
      <c r="C46" s="162" t="s">
        <v>88</v>
      </c>
      <c r="D46" s="258" t="s">
        <v>8</v>
      </c>
      <c r="E46" s="228"/>
      <c r="F46" s="228" t="s">
        <v>1960</v>
      </c>
      <c r="G46" s="228"/>
      <c r="H46" s="228"/>
    </row>
    <row r="47" spans="1:8" x14ac:dyDescent="0.25">
      <c r="A47" s="12" t="s">
        <v>1387</v>
      </c>
      <c r="B47" s="140">
        <v>2</v>
      </c>
      <c r="C47" s="162" t="s">
        <v>1479</v>
      </c>
      <c r="D47" s="258" t="s">
        <v>8</v>
      </c>
      <c r="E47" s="228"/>
      <c r="F47" s="228" t="s">
        <v>1965</v>
      </c>
      <c r="G47" s="228"/>
      <c r="H47" s="228"/>
    </row>
    <row r="48" spans="1:8" x14ac:dyDescent="0.25">
      <c r="A48" s="12" t="s">
        <v>1389</v>
      </c>
      <c r="B48" s="140">
        <v>1</v>
      </c>
      <c r="C48" s="162" t="s">
        <v>113</v>
      </c>
      <c r="D48" s="258" t="s">
        <v>8</v>
      </c>
      <c r="E48" s="228"/>
      <c r="F48" s="228" t="s">
        <v>1967</v>
      </c>
      <c r="G48" s="228"/>
      <c r="H48" s="228"/>
    </row>
    <row r="49" spans="1:8" x14ac:dyDescent="0.25">
      <c r="A49" s="12" t="s">
        <v>1388</v>
      </c>
      <c r="B49" s="140">
        <v>2</v>
      </c>
      <c r="C49" s="162" t="s">
        <v>115</v>
      </c>
      <c r="D49" s="258" t="s">
        <v>8</v>
      </c>
      <c r="E49" s="228"/>
      <c r="F49" s="15" t="s">
        <v>1966</v>
      </c>
      <c r="G49" s="228"/>
      <c r="H49" s="228"/>
    </row>
    <row r="50" spans="1:8" x14ac:dyDescent="0.25">
      <c r="A50" s="12" t="s">
        <v>1478</v>
      </c>
      <c r="B50" s="140">
        <v>1</v>
      </c>
      <c r="C50" s="162" t="s">
        <v>117</v>
      </c>
      <c r="D50" s="258" t="s">
        <v>8</v>
      </c>
      <c r="E50" s="228"/>
      <c r="F50" s="15" t="s">
        <v>1969</v>
      </c>
      <c r="G50" s="228"/>
      <c r="H50" s="228"/>
    </row>
    <row r="51" spans="1:8" x14ac:dyDescent="0.25">
      <c r="A51" s="12" t="s">
        <v>1476</v>
      </c>
      <c r="B51" s="140">
        <v>1</v>
      </c>
      <c r="C51" s="162" t="s">
        <v>96</v>
      </c>
      <c r="D51" s="258" t="s">
        <v>8</v>
      </c>
      <c r="E51" s="228"/>
      <c r="F51" s="15" t="s">
        <v>2003</v>
      </c>
      <c r="G51" s="228"/>
      <c r="H51" s="228"/>
    </row>
    <row r="52" spans="1:8" x14ac:dyDescent="0.25">
      <c r="A52" s="12" t="s">
        <v>97</v>
      </c>
      <c r="B52" s="140">
        <v>2</v>
      </c>
      <c r="C52" s="162" t="s">
        <v>98</v>
      </c>
      <c r="D52" s="258" t="s">
        <v>8</v>
      </c>
      <c r="E52" s="228"/>
      <c r="F52" s="228" t="s">
        <v>1995</v>
      </c>
      <c r="G52" s="228"/>
      <c r="H52" s="228"/>
    </row>
    <row r="53" spans="1:8" x14ac:dyDescent="0.25">
      <c r="A53" s="12" t="s">
        <v>1384</v>
      </c>
      <c r="B53" s="140">
        <v>2</v>
      </c>
      <c r="C53" s="162" t="s">
        <v>662</v>
      </c>
      <c r="D53" s="258" t="s">
        <v>8</v>
      </c>
      <c r="E53" s="228"/>
      <c r="F53" s="228" t="s">
        <v>2006</v>
      </c>
      <c r="G53" s="228"/>
      <c r="H53" s="228"/>
    </row>
    <row r="54" spans="1:8" x14ac:dyDescent="0.25">
      <c r="A54" s="12" t="s">
        <v>104</v>
      </c>
      <c r="B54" s="140">
        <v>1</v>
      </c>
      <c r="C54" s="162" t="s">
        <v>520</v>
      </c>
      <c r="D54" s="258" t="s">
        <v>8</v>
      </c>
      <c r="E54" s="228"/>
      <c r="F54" s="15" t="s">
        <v>2007</v>
      </c>
      <c r="G54" s="228"/>
      <c r="H54" s="228"/>
    </row>
    <row r="55" spans="1:8" x14ac:dyDescent="0.25">
      <c r="A55" s="12" t="s">
        <v>517</v>
      </c>
      <c r="B55" s="140">
        <v>1</v>
      </c>
      <c r="C55" s="162" t="s">
        <v>518</v>
      </c>
      <c r="D55" s="258" t="s">
        <v>8</v>
      </c>
      <c r="E55" s="228"/>
      <c r="F55" s="15" t="s">
        <v>2008</v>
      </c>
      <c r="G55" s="228"/>
      <c r="H55" s="228"/>
    </row>
    <row r="56" spans="1:8" x14ac:dyDescent="0.25">
      <c r="A56" s="272" t="s">
        <v>1496</v>
      </c>
      <c r="B56" s="141">
        <v>2</v>
      </c>
      <c r="C56" s="270" t="s">
        <v>135</v>
      </c>
      <c r="D56" s="273" t="s">
        <v>8</v>
      </c>
      <c r="E56" s="267"/>
      <c r="F56" s="194" t="s">
        <v>1859</v>
      </c>
      <c r="G56" s="267"/>
      <c r="H56" s="267"/>
    </row>
    <row r="57" spans="1:8" x14ac:dyDescent="0.25">
      <c r="A57" s="193" t="s">
        <v>1340</v>
      </c>
      <c r="B57" s="274">
        <v>1</v>
      </c>
      <c r="C57" s="191" t="s">
        <v>137</v>
      </c>
      <c r="D57" s="258" t="s">
        <v>8</v>
      </c>
      <c r="E57" s="228"/>
      <c r="F57" s="193" t="s">
        <v>1862</v>
      </c>
      <c r="G57" s="228"/>
      <c r="H57" s="228"/>
    </row>
    <row r="58" spans="1:8" x14ac:dyDescent="0.25">
      <c r="A58" s="94"/>
      <c r="B58" s="94"/>
    </row>
  </sheetData>
  <sortState xmlns:xlrd2="http://schemas.microsoft.com/office/spreadsheetml/2017/richdata2" ref="A2:H58">
    <sortCondition ref="A1:A58"/>
  </sortState>
  <pageMargins left="0.7" right="0.7" top="0.75" bottom="0.75" header="0.3" footer="0.3"/>
  <pageSetup paperSize="9" fitToHeight="0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67-17F4-430B-BCC7-7D53F5E21672}">
  <sheetPr codeName="Planilha43">
    <tabColor rgb="FF92D050"/>
  </sheetPr>
  <dimension ref="A1:H51"/>
  <sheetViews>
    <sheetView workbookViewId="0">
      <pane ySplit="1" topLeftCell="A39" activePane="bottomLeft" state="frozen"/>
      <selection activeCell="A53" sqref="A53"/>
      <selection pane="bottomLeft" activeCell="F7" sqref="F7"/>
    </sheetView>
  </sheetViews>
  <sheetFormatPr defaultRowHeight="15" x14ac:dyDescent="0.25"/>
  <cols>
    <col min="1" max="1" width="46" customWidth="1"/>
    <col min="2" max="2" width="23.42578125" customWidth="1"/>
    <col min="3" max="3" width="21" customWidth="1"/>
    <col min="4" max="4" width="21.28515625" customWidth="1"/>
    <col min="6" max="6" width="17.57031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66" t="s">
        <v>1501</v>
      </c>
      <c r="B2" s="71">
        <v>2</v>
      </c>
      <c r="C2" s="353" t="s">
        <v>12</v>
      </c>
      <c r="D2" s="210" t="s">
        <v>8</v>
      </c>
      <c r="E2" s="228"/>
      <c r="F2" s="376" t="s">
        <v>1767</v>
      </c>
      <c r="G2" s="228"/>
      <c r="H2" s="228"/>
    </row>
    <row r="3" spans="1:8" x14ac:dyDescent="0.25">
      <c r="A3" s="66" t="s">
        <v>1502</v>
      </c>
      <c r="B3" s="71">
        <v>2</v>
      </c>
      <c r="C3" s="176" t="s">
        <v>230</v>
      </c>
      <c r="D3" s="210" t="s">
        <v>8</v>
      </c>
      <c r="E3" s="228"/>
      <c r="F3" s="377" t="s">
        <v>1782</v>
      </c>
      <c r="G3" s="228"/>
      <c r="H3" s="228"/>
    </row>
    <row r="4" spans="1:8" ht="27" x14ac:dyDescent="0.25">
      <c r="A4" s="66" t="s">
        <v>1503</v>
      </c>
      <c r="B4" s="175">
        <v>1</v>
      </c>
      <c r="C4" s="79" t="s">
        <v>232</v>
      </c>
      <c r="D4" s="210" t="s">
        <v>8</v>
      </c>
      <c r="E4" s="228"/>
      <c r="F4" s="372" t="s">
        <v>1758</v>
      </c>
      <c r="G4" s="228"/>
      <c r="H4" s="228"/>
    </row>
    <row r="5" spans="1:8" x14ac:dyDescent="0.25">
      <c r="A5" s="66" t="s">
        <v>1504</v>
      </c>
      <c r="B5" s="175">
        <v>1</v>
      </c>
      <c r="C5" s="79" t="s">
        <v>1505</v>
      </c>
      <c r="D5" s="210" t="s">
        <v>8</v>
      </c>
      <c r="E5" s="228"/>
      <c r="F5" s="377" t="s">
        <v>1785</v>
      </c>
      <c r="G5" s="228"/>
      <c r="H5" s="228"/>
    </row>
    <row r="6" spans="1:8" x14ac:dyDescent="0.25">
      <c r="A6" s="519" t="s">
        <v>1506</v>
      </c>
      <c r="B6" s="175">
        <v>1</v>
      </c>
      <c r="C6" s="501">
        <v>460</v>
      </c>
      <c r="D6" s="74" t="s">
        <v>4</v>
      </c>
      <c r="E6" s="228"/>
      <c r="F6" s="377" t="s">
        <v>2153</v>
      </c>
      <c r="G6" s="228"/>
      <c r="H6" s="228"/>
    </row>
    <row r="7" spans="1:8" x14ac:dyDescent="0.25">
      <c r="A7" s="66" t="s">
        <v>1507</v>
      </c>
      <c r="B7" s="175">
        <v>1</v>
      </c>
      <c r="C7" s="152">
        <v>2045</v>
      </c>
      <c r="D7" s="74" t="s">
        <v>4</v>
      </c>
      <c r="E7" s="228"/>
      <c r="F7" s="377" t="s">
        <v>1787</v>
      </c>
      <c r="G7" s="228"/>
      <c r="H7" s="228"/>
    </row>
    <row r="8" spans="1:8" x14ac:dyDescent="0.25">
      <c r="A8" s="66" t="s">
        <v>1508</v>
      </c>
      <c r="B8" s="71">
        <v>1</v>
      </c>
      <c r="C8" s="184">
        <v>2049</v>
      </c>
      <c r="D8" s="74" t="s">
        <v>4</v>
      </c>
      <c r="E8" s="228"/>
      <c r="F8" s="377" t="s">
        <v>1796</v>
      </c>
      <c r="G8" s="228"/>
      <c r="H8" s="228"/>
    </row>
    <row r="9" spans="1:8" x14ac:dyDescent="0.25">
      <c r="A9" s="66" t="s">
        <v>1509</v>
      </c>
      <c r="B9" s="71">
        <v>2</v>
      </c>
      <c r="C9" s="75">
        <v>204307</v>
      </c>
      <c r="D9" s="74" t="s">
        <v>162</v>
      </c>
      <c r="E9" s="228"/>
      <c r="F9" s="377" t="s">
        <v>1789</v>
      </c>
      <c r="G9" s="228"/>
      <c r="H9" s="228"/>
    </row>
    <row r="10" spans="1:8" x14ac:dyDescent="0.25">
      <c r="A10" s="66" t="s">
        <v>823</v>
      </c>
      <c r="B10" s="71">
        <v>2</v>
      </c>
      <c r="C10" s="75">
        <v>204310</v>
      </c>
      <c r="D10" s="74" t="s">
        <v>162</v>
      </c>
      <c r="E10" s="228"/>
      <c r="F10" s="373" t="s">
        <v>1791</v>
      </c>
      <c r="G10" s="228"/>
      <c r="H10" s="228"/>
    </row>
    <row r="11" spans="1:8" x14ac:dyDescent="0.25">
      <c r="A11" s="66" t="s">
        <v>1510</v>
      </c>
      <c r="B11" s="71">
        <v>1</v>
      </c>
      <c r="C11" s="75">
        <v>204313</v>
      </c>
      <c r="D11" s="74" t="s">
        <v>162</v>
      </c>
      <c r="E11" s="228"/>
      <c r="F11" s="380" t="s">
        <v>1794</v>
      </c>
      <c r="G11" s="228"/>
      <c r="H11" s="228"/>
    </row>
    <row r="12" spans="1:8" x14ac:dyDescent="0.25">
      <c r="A12" s="66" t="s">
        <v>824</v>
      </c>
      <c r="B12" s="71">
        <v>1</v>
      </c>
      <c r="C12" s="75">
        <v>204315</v>
      </c>
      <c r="D12" s="74" t="s">
        <v>162</v>
      </c>
      <c r="E12" s="228"/>
      <c r="F12" s="132" t="s">
        <v>1792</v>
      </c>
      <c r="G12" s="228"/>
      <c r="H12" s="228"/>
    </row>
    <row r="13" spans="1:8" x14ac:dyDescent="0.25">
      <c r="A13" s="66" t="s">
        <v>825</v>
      </c>
      <c r="B13" s="71">
        <v>1</v>
      </c>
      <c r="C13" s="75">
        <v>204320</v>
      </c>
      <c r="D13" s="74" t="s">
        <v>162</v>
      </c>
      <c r="E13" s="228"/>
      <c r="F13" s="132" t="s">
        <v>1793</v>
      </c>
      <c r="G13" s="228"/>
      <c r="H13" s="228"/>
    </row>
    <row r="14" spans="1:8" x14ac:dyDescent="0.25">
      <c r="A14" s="66" t="s">
        <v>1511</v>
      </c>
      <c r="B14" s="71">
        <v>1</v>
      </c>
      <c r="C14" s="75" t="s">
        <v>1512</v>
      </c>
      <c r="D14" s="74" t="s">
        <v>162</v>
      </c>
      <c r="E14" s="248"/>
      <c r="F14" s="530" t="s">
        <v>1799</v>
      </c>
      <c r="G14" s="228"/>
      <c r="H14" s="228"/>
    </row>
    <row r="15" spans="1:8" x14ac:dyDescent="0.25">
      <c r="A15" s="517" t="s">
        <v>361</v>
      </c>
      <c r="B15" s="45">
        <v>1</v>
      </c>
      <c r="C15" s="53">
        <v>662590</v>
      </c>
      <c r="D15" s="112" t="s">
        <v>362</v>
      </c>
      <c r="E15" s="228"/>
      <c r="F15" s="374"/>
      <c r="G15" s="228"/>
      <c r="H15" s="228"/>
    </row>
    <row r="16" spans="1:8" x14ac:dyDescent="0.25">
      <c r="A16" s="519" t="s">
        <v>1513</v>
      </c>
      <c r="B16" s="71">
        <v>1</v>
      </c>
      <c r="C16" s="75">
        <v>204200</v>
      </c>
      <c r="D16" s="74" t="s">
        <v>162</v>
      </c>
      <c r="E16" s="228"/>
      <c r="F16" s="377" t="s">
        <v>2153</v>
      </c>
      <c r="G16" s="228"/>
      <c r="H16" s="228"/>
    </row>
    <row r="17" spans="1:8" x14ac:dyDescent="0.25">
      <c r="A17" s="66" t="s">
        <v>157</v>
      </c>
      <c r="B17" s="71">
        <v>1</v>
      </c>
      <c r="C17" s="353" t="s">
        <v>158</v>
      </c>
      <c r="D17" s="210" t="s">
        <v>8</v>
      </c>
      <c r="E17" s="228"/>
      <c r="F17" s="377" t="s">
        <v>1825</v>
      </c>
      <c r="G17" s="228"/>
      <c r="H17" s="228"/>
    </row>
    <row r="18" spans="1:8" x14ac:dyDescent="0.25">
      <c r="A18" s="66" t="s">
        <v>1514</v>
      </c>
      <c r="B18" s="71">
        <v>1</v>
      </c>
      <c r="C18" s="176" t="s">
        <v>1515</v>
      </c>
      <c r="D18" s="210" t="s">
        <v>8</v>
      </c>
      <c r="E18" s="228"/>
      <c r="F18" s="413" t="s">
        <v>1826</v>
      </c>
      <c r="G18" s="228"/>
      <c r="H18" s="228"/>
    </row>
    <row r="19" spans="1:8" x14ac:dyDescent="0.25">
      <c r="A19" s="519" t="s">
        <v>1516</v>
      </c>
      <c r="B19" s="175">
        <v>1</v>
      </c>
      <c r="C19" s="152" t="s">
        <v>1517</v>
      </c>
      <c r="D19" s="74" t="s">
        <v>10</v>
      </c>
      <c r="E19" s="228"/>
      <c r="F19" s="377" t="s">
        <v>2216</v>
      </c>
      <c r="G19" s="228"/>
      <c r="H19" s="228"/>
    </row>
    <row r="20" spans="1:8" x14ac:dyDescent="0.25">
      <c r="A20" s="519" t="s">
        <v>1518</v>
      </c>
      <c r="B20" s="449">
        <v>1</v>
      </c>
      <c r="C20" s="152">
        <v>122003</v>
      </c>
      <c r="D20" s="74" t="s">
        <v>162</v>
      </c>
      <c r="E20" s="228"/>
      <c r="F20" s="377" t="s">
        <v>2209</v>
      </c>
      <c r="G20" s="228"/>
      <c r="H20" s="228"/>
    </row>
    <row r="21" spans="1:8" x14ac:dyDescent="0.25">
      <c r="A21" s="531" t="s">
        <v>1519</v>
      </c>
      <c r="B21" s="87">
        <v>1</v>
      </c>
      <c r="C21" s="75">
        <v>122004</v>
      </c>
      <c r="D21" s="74" t="s">
        <v>162</v>
      </c>
      <c r="E21" s="228"/>
      <c r="F21" s="377" t="s">
        <v>2210</v>
      </c>
      <c r="G21" s="228"/>
      <c r="H21" s="228"/>
    </row>
    <row r="22" spans="1:8" x14ac:dyDescent="0.25">
      <c r="A22" s="519" t="s">
        <v>1520</v>
      </c>
      <c r="B22" s="71">
        <v>1</v>
      </c>
      <c r="C22" s="75">
        <v>122005</v>
      </c>
      <c r="D22" s="74" t="s">
        <v>162</v>
      </c>
      <c r="E22" s="228"/>
      <c r="F22" s="377" t="s">
        <v>2211</v>
      </c>
      <c r="G22" s="228"/>
      <c r="H22" s="228"/>
    </row>
    <row r="23" spans="1:8" x14ac:dyDescent="0.25">
      <c r="A23" s="519" t="s">
        <v>1521</v>
      </c>
      <c r="B23" s="71">
        <v>1</v>
      </c>
      <c r="C23" s="75">
        <v>122006</v>
      </c>
      <c r="D23" s="74" t="s">
        <v>162</v>
      </c>
      <c r="E23" s="228"/>
      <c r="F23" s="377" t="s">
        <v>2212</v>
      </c>
      <c r="G23" s="228"/>
      <c r="H23" s="228"/>
    </row>
    <row r="24" spans="1:8" x14ac:dyDescent="0.25">
      <c r="A24" s="519" t="s">
        <v>1522</v>
      </c>
      <c r="B24" s="71">
        <v>1</v>
      </c>
      <c r="C24" s="75">
        <v>122007</v>
      </c>
      <c r="D24" s="74" t="s">
        <v>162</v>
      </c>
      <c r="E24" s="228"/>
      <c r="F24" s="377" t="s">
        <v>2213</v>
      </c>
      <c r="G24" s="228"/>
      <c r="H24" s="228"/>
    </row>
    <row r="25" spans="1:8" x14ac:dyDescent="0.25">
      <c r="A25" s="66" t="s">
        <v>1523</v>
      </c>
      <c r="B25" s="71">
        <v>1</v>
      </c>
      <c r="C25" s="75" t="s">
        <v>1129</v>
      </c>
      <c r="D25" s="74" t="s">
        <v>8</v>
      </c>
      <c r="E25" s="228"/>
      <c r="F25" s="377" t="s">
        <v>1834</v>
      </c>
      <c r="G25" s="228"/>
      <c r="H25" s="228"/>
    </row>
    <row r="26" spans="1:8" x14ac:dyDescent="0.25">
      <c r="A26" s="66" t="s">
        <v>703</v>
      </c>
      <c r="B26" s="71">
        <v>2</v>
      </c>
      <c r="C26" s="502" t="s">
        <v>601</v>
      </c>
      <c r="D26" s="74" t="s">
        <v>8</v>
      </c>
      <c r="E26" s="228"/>
      <c r="F26" s="377" t="s">
        <v>1754</v>
      </c>
      <c r="G26" s="228"/>
      <c r="H26" s="228"/>
    </row>
    <row r="27" spans="1:8" x14ac:dyDescent="0.25">
      <c r="A27" s="66" t="s">
        <v>704</v>
      </c>
      <c r="B27" s="175">
        <v>1</v>
      </c>
      <c r="C27" s="260" t="s">
        <v>33</v>
      </c>
      <c r="D27" s="74" t="s">
        <v>8</v>
      </c>
      <c r="E27" s="228"/>
      <c r="F27" s="376" t="s">
        <v>1753</v>
      </c>
      <c r="G27" s="228"/>
      <c r="H27" s="228"/>
    </row>
    <row r="28" spans="1:8" x14ac:dyDescent="0.25">
      <c r="A28" s="66" t="s">
        <v>705</v>
      </c>
      <c r="B28" s="175">
        <v>4</v>
      </c>
      <c r="C28" s="260" t="s">
        <v>36</v>
      </c>
      <c r="D28" s="74" t="s">
        <v>8</v>
      </c>
      <c r="E28" s="228"/>
      <c r="F28" s="375" t="s">
        <v>1881</v>
      </c>
      <c r="G28" s="228"/>
      <c r="H28" s="228"/>
    </row>
    <row r="29" spans="1:8" x14ac:dyDescent="0.25">
      <c r="A29" s="3" t="s">
        <v>306</v>
      </c>
      <c r="B29" s="142">
        <v>2</v>
      </c>
      <c r="C29" s="131">
        <v>971</v>
      </c>
      <c r="D29" s="112" t="s">
        <v>4</v>
      </c>
      <c r="E29" s="228"/>
      <c r="F29" s="374" t="s">
        <v>1896</v>
      </c>
      <c r="G29" s="228"/>
      <c r="H29" s="228"/>
    </row>
    <row r="30" spans="1:8" x14ac:dyDescent="0.25">
      <c r="A30" s="3" t="s">
        <v>308</v>
      </c>
      <c r="B30" s="142">
        <v>2</v>
      </c>
      <c r="C30" s="131">
        <v>957</v>
      </c>
      <c r="D30" s="112" t="s">
        <v>4</v>
      </c>
      <c r="E30" s="228"/>
      <c r="F30" s="362" t="s">
        <v>1895</v>
      </c>
      <c r="G30" s="228"/>
      <c r="H30" s="228"/>
    </row>
    <row r="31" spans="1:8" x14ac:dyDescent="0.25">
      <c r="A31" s="66" t="s">
        <v>1524</v>
      </c>
      <c r="B31" s="175">
        <v>1</v>
      </c>
      <c r="C31" s="79" t="s">
        <v>2113</v>
      </c>
      <c r="D31" s="74" t="s">
        <v>8</v>
      </c>
      <c r="E31" s="228"/>
      <c r="F31" s="377" t="s">
        <v>1880</v>
      </c>
      <c r="G31" s="228"/>
      <c r="H31" s="228"/>
    </row>
    <row r="32" spans="1:8" x14ac:dyDescent="0.25">
      <c r="A32" s="519" t="s">
        <v>1525</v>
      </c>
      <c r="B32" s="71">
        <v>1</v>
      </c>
      <c r="C32" s="75">
        <v>222900</v>
      </c>
      <c r="D32" s="74" t="s">
        <v>162</v>
      </c>
      <c r="E32" s="228"/>
      <c r="F32" s="377" t="s">
        <v>2153</v>
      </c>
      <c r="G32" s="228"/>
      <c r="H32" s="228"/>
    </row>
    <row r="33" spans="1:8" x14ac:dyDescent="0.25">
      <c r="A33" s="519" t="s">
        <v>1526</v>
      </c>
      <c r="B33" s="71">
        <v>1</v>
      </c>
      <c r="C33" s="75">
        <v>222800</v>
      </c>
      <c r="D33" s="74" t="s">
        <v>162</v>
      </c>
      <c r="E33" s="228"/>
      <c r="F33" s="377" t="s">
        <v>2153</v>
      </c>
      <c r="G33" s="228"/>
      <c r="H33" s="228"/>
    </row>
    <row r="34" spans="1:8" x14ac:dyDescent="0.25">
      <c r="A34" s="519" t="s">
        <v>1527</v>
      </c>
      <c r="B34" s="71">
        <v>1</v>
      </c>
      <c r="C34" s="75">
        <v>221100</v>
      </c>
      <c r="D34" s="74" t="s">
        <v>162</v>
      </c>
      <c r="E34" s="228"/>
      <c r="F34" s="377" t="s">
        <v>2214</v>
      </c>
      <c r="G34" s="228"/>
      <c r="H34" s="228"/>
    </row>
    <row r="35" spans="1:8" x14ac:dyDescent="0.25">
      <c r="A35" s="519" t="s">
        <v>1528</v>
      </c>
      <c r="B35" s="71">
        <v>1</v>
      </c>
      <c r="C35" s="75">
        <v>221105</v>
      </c>
      <c r="D35" s="74" t="s">
        <v>162</v>
      </c>
      <c r="E35" s="228"/>
      <c r="F35" s="377" t="s">
        <v>2215</v>
      </c>
      <c r="G35" s="228"/>
      <c r="H35" s="228"/>
    </row>
    <row r="36" spans="1:8" x14ac:dyDescent="0.25">
      <c r="A36" s="66" t="s">
        <v>846</v>
      </c>
      <c r="B36" s="71">
        <v>2</v>
      </c>
      <c r="C36" s="75" t="s">
        <v>65</v>
      </c>
      <c r="D36" s="74" t="s">
        <v>8</v>
      </c>
      <c r="E36" s="228"/>
      <c r="F36" s="375" t="s">
        <v>1930</v>
      </c>
      <c r="G36" s="228"/>
      <c r="H36" s="228"/>
    </row>
    <row r="37" spans="1:8" x14ac:dyDescent="0.25">
      <c r="A37" s="66" t="s">
        <v>915</v>
      </c>
      <c r="B37" s="71">
        <v>2</v>
      </c>
      <c r="C37" s="75" t="s">
        <v>69</v>
      </c>
      <c r="D37" s="74" t="s">
        <v>8</v>
      </c>
      <c r="E37" s="228"/>
      <c r="F37" s="372" t="s">
        <v>1933</v>
      </c>
      <c r="G37" s="228"/>
      <c r="H37" s="228"/>
    </row>
    <row r="38" spans="1:8" x14ac:dyDescent="0.25">
      <c r="A38" s="66" t="s">
        <v>708</v>
      </c>
      <c r="B38" s="71">
        <v>2</v>
      </c>
      <c r="C38" s="176" t="s">
        <v>24</v>
      </c>
      <c r="D38" s="74" t="s">
        <v>8</v>
      </c>
      <c r="E38" s="228"/>
      <c r="F38" s="377" t="s">
        <v>1877</v>
      </c>
      <c r="G38" s="228"/>
      <c r="H38" s="228"/>
    </row>
    <row r="39" spans="1:8" x14ac:dyDescent="0.25">
      <c r="A39" s="3" t="s">
        <v>1529</v>
      </c>
      <c r="B39" s="142">
        <v>2</v>
      </c>
      <c r="C39" s="131" t="s">
        <v>1530</v>
      </c>
      <c r="D39" s="112" t="s">
        <v>10</v>
      </c>
      <c r="E39" s="228"/>
      <c r="F39" s="374" t="s">
        <v>2114</v>
      </c>
      <c r="G39" s="228"/>
      <c r="H39" s="228"/>
    </row>
    <row r="40" spans="1:8" x14ac:dyDescent="0.25">
      <c r="A40" s="3" t="s">
        <v>1531</v>
      </c>
      <c r="B40" s="142">
        <v>2</v>
      </c>
      <c r="C40" s="131" t="s">
        <v>1532</v>
      </c>
      <c r="D40" s="112" t="s">
        <v>10</v>
      </c>
      <c r="E40" s="228"/>
      <c r="F40" s="374" t="s">
        <v>2115</v>
      </c>
      <c r="G40" s="228"/>
      <c r="H40" s="228"/>
    </row>
    <row r="41" spans="1:8" x14ac:dyDescent="0.25">
      <c r="A41" s="66" t="s">
        <v>1533</v>
      </c>
      <c r="B41" s="175">
        <v>2</v>
      </c>
      <c r="C41" s="79" t="s">
        <v>26</v>
      </c>
      <c r="D41" s="74" t="s">
        <v>8</v>
      </c>
      <c r="E41" s="228"/>
      <c r="F41" s="357" t="s">
        <v>1878</v>
      </c>
      <c r="G41" s="228"/>
      <c r="H41" s="228"/>
    </row>
    <row r="42" spans="1:8" x14ac:dyDescent="0.25">
      <c r="A42" s="66" t="s">
        <v>710</v>
      </c>
      <c r="B42" s="175">
        <v>1</v>
      </c>
      <c r="C42" s="79" t="s">
        <v>711</v>
      </c>
      <c r="D42" s="74" t="s">
        <v>8</v>
      </c>
      <c r="E42" s="228"/>
      <c r="F42" s="241" t="s">
        <v>1945</v>
      </c>
      <c r="G42" s="228"/>
      <c r="H42" s="228"/>
    </row>
    <row r="43" spans="1:8" x14ac:dyDescent="0.25">
      <c r="A43" s="519" t="s">
        <v>1534</v>
      </c>
      <c r="B43" s="71">
        <v>1</v>
      </c>
      <c r="C43" s="75">
        <v>221450</v>
      </c>
      <c r="D43" s="74" t="s">
        <v>10</v>
      </c>
      <c r="E43" s="248"/>
      <c r="F43" s="241" t="s">
        <v>2153</v>
      </c>
      <c r="G43" s="228"/>
      <c r="H43" s="228"/>
    </row>
    <row r="44" spans="1:8" x14ac:dyDescent="0.25">
      <c r="A44" s="519" t="s">
        <v>1535</v>
      </c>
      <c r="B44" s="71">
        <v>1</v>
      </c>
      <c r="C44" s="75">
        <v>221409</v>
      </c>
      <c r="D44" s="74" t="s">
        <v>10</v>
      </c>
      <c r="E44" s="248"/>
      <c r="F44" s="241" t="s">
        <v>2153</v>
      </c>
      <c r="G44" s="228"/>
      <c r="H44" s="228"/>
    </row>
    <row r="45" spans="1:8" x14ac:dyDescent="0.25">
      <c r="A45" s="66" t="s">
        <v>1536</v>
      </c>
      <c r="B45" s="71">
        <v>2</v>
      </c>
      <c r="C45" s="75" t="s">
        <v>111</v>
      </c>
      <c r="D45" s="74" t="s">
        <v>8</v>
      </c>
      <c r="E45" s="228"/>
      <c r="F45" s="377" t="s">
        <v>1965</v>
      </c>
      <c r="G45" s="228"/>
      <c r="H45" s="228"/>
    </row>
    <row r="46" spans="1:8" x14ac:dyDescent="0.25">
      <c r="A46" s="66" t="s">
        <v>1537</v>
      </c>
      <c r="B46" s="71">
        <v>1</v>
      </c>
      <c r="C46" s="75" t="s">
        <v>416</v>
      </c>
      <c r="D46" s="74" t="s">
        <v>8</v>
      </c>
      <c r="E46" s="248"/>
      <c r="F46" s="431" t="s">
        <v>1985</v>
      </c>
      <c r="G46" s="228"/>
      <c r="H46" s="228"/>
    </row>
    <row r="47" spans="1:8" x14ac:dyDescent="0.25">
      <c r="A47" s="66" t="s">
        <v>1538</v>
      </c>
      <c r="B47" s="71">
        <v>2</v>
      </c>
      <c r="C47" s="75">
        <v>222600</v>
      </c>
      <c r="D47" s="74" t="s">
        <v>10</v>
      </c>
      <c r="E47" s="248"/>
      <c r="F47" s="413" t="s">
        <v>2116</v>
      </c>
      <c r="G47" s="228"/>
      <c r="H47" s="228"/>
    </row>
    <row r="48" spans="1:8" x14ac:dyDescent="0.25">
      <c r="A48" s="3" t="s">
        <v>1539</v>
      </c>
      <c r="B48" s="45">
        <v>1</v>
      </c>
      <c r="C48" s="207" t="s">
        <v>1540</v>
      </c>
      <c r="D48" s="112" t="s">
        <v>10</v>
      </c>
      <c r="E48" s="228"/>
      <c r="F48" s="374" t="s">
        <v>1993</v>
      </c>
      <c r="G48" s="228"/>
      <c r="H48" s="228"/>
    </row>
    <row r="49" spans="1:8" x14ac:dyDescent="0.25">
      <c r="A49" s="66" t="s">
        <v>1541</v>
      </c>
      <c r="B49" s="175">
        <v>1</v>
      </c>
      <c r="C49" s="79" t="s">
        <v>660</v>
      </c>
      <c r="D49" s="210" t="s">
        <v>8</v>
      </c>
      <c r="E49" s="228"/>
      <c r="F49" s="377" t="s">
        <v>1994</v>
      </c>
      <c r="G49" s="228"/>
      <c r="H49" s="228"/>
    </row>
    <row r="50" spans="1:8" x14ac:dyDescent="0.25">
      <c r="A50" s="20" t="s">
        <v>1542</v>
      </c>
      <c r="B50" s="92">
        <v>1</v>
      </c>
      <c r="C50" s="53" t="s">
        <v>1543</v>
      </c>
      <c r="D50" s="112" t="s">
        <v>10</v>
      </c>
      <c r="E50" s="228"/>
      <c r="F50" s="374" t="s">
        <v>2000</v>
      </c>
      <c r="G50" s="228"/>
      <c r="H50" s="228"/>
    </row>
    <row r="51" spans="1:8" x14ac:dyDescent="0.25">
      <c r="A51" s="19" t="s">
        <v>1544</v>
      </c>
      <c r="B51" s="113">
        <v>2</v>
      </c>
      <c r="C51" s="276" t="s">
        <v>101</v>
      </c>
      <c r="D51" s="112" t="s">
        <v>10</v>
      </c>
      <c r="E51" s="228"/>
      <c r="F51" s="374" t="s">
        <v>2004</v>
      </c>
      <c r="G51" s="228"/>
      <c r="H51" s="228"/>
    </row>
  </sheetData>
  <sortState xmlns:xlrd2="http://schemas.microsoft.com/office/spreadsheetml/2017/richdata2" ref="A2:D51">
    <sortCondition ref="A1:A51"/>
  </sortState>
  <phoneticPr fontId="3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EF5-9DA0-43B4-AEF6-83632377CA5E}">
  <sheetPr codeName="Planilha44">
    <tabColor theme="0"/>
  </sheetPr>
  <dimension ref="A1:H45"/>
  <sheetViews>
    <sheetView workbookViewId="0">
      <pane ySplit="1" topLeftCell="A2" activePane="bottomLeft" state="frozen"/>
      <selection activeCell="A53" sqref="A53"/>
      <selection pane="bottomLeft" activeCell="I25" sqref="I25"/>
    </sheetView>
  </sheetViews>
  <sheetFormatPr defaultRowHeight="15" x14ac:dyDescent="0.25"/>
  <cols>
    <col min="1" max="1" width="38.85546875" customWidth="1"/>
    <col min="2" max="2" width="21.42578125" customWidth="1"/>
    <col min="3" max="3" width="19" customWidth="1"/>
    <col min="4" max="4" width="18.140625" customWidth="1"/>
    <col min="6" max="6" width="14.710937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4" t="s">
        <v>1557</v>
      </c>
      <c r="B2" s="55">
        <v>2</v>
      </c>
      <c r="C2" s="75" t="s">
        <v>1558</v>
      </c>
      <c r="D2" s="74" t="s">
        <v>10</v>
      </c>
      <c r="E2" s="228"/>
      <c r="F2" s="527" t="s">
        <v>2117</v>
      </c>
      <c r="G2" s="228"/>
      <c r="H2" s="228"/>
    </row>
    <row r="3" spans="1:8" x14ac:dyDescent="0.25">
      <c r="A3" s="1" t="s">
        <v>1561</v>
      </c>
      <c r="B3" s="32">
        <v>2</v>
      </c>
      <c r="C3" s="53" t="s">
        <v>12</v>
      </c>
      <c r="D3" s="112" t="s">
        <v>8</v>
      </c>
      <c r="E3" s="228"/>
      <c r="F3" s="376" t="s">
        <v>1767</v>
      </c>
      <c r="G3" s="228"/>
      <c r="H3" s="228"/>
    </row>
    <row r="4" spans="1:8" x14ac:dyDescent="0.25">
      <c r="A4" s="1" t="s">
        <v>1559</v>
      </c>
      <c r="B4" s="32">
        <v>2</v>
      </c>
      <c r="C4" s="53" t="s">
        <v>200</v>
      </c>
      <c r="D4" s="112" t="s">
        <v>8</v>
      </c>
      <c r="E4" s="228"/>
      <c r="F4" s="430" t="s">
        <v>1772</v>
      </c>
      <c r="G4" s="228"/>
      <c r="H4" s="228"/>
    </row>
    <row r="5" spans="1:8" x14ac:dyDescent="0.25">
      <c r="A5" s="1" t="s">
        <v>1560</v>
      </c>
      <c r="B5" s="32">
        <v>2</v>
      </c>
      <c r="C5" s="53" t="s">
        <v>18</v>
      </c>
      <c r="D5" s="112" t="s">
        <v>8</v>
      </c>
      <c r="E5" s="228"/>
      <c r="F5" s="373" t="s">
        <v>1780</v>
      </c>
      <c r="G5" s="228"/>
      <c r="H5" s="228"/>
    </row>
    <row r="6" spans="1:8" x14ac:dyDescent="0.25">
      <c r="A6" s="1" t="s">
        <v>1298</v>
      </c>
      <c r="B6" s="32">
        <v>2</v>
      </c>
      <c r="C6" s="53" t="s">
        <v>22</v>
      </c>
      <c r="D6" s="112" t="s">
        <v>8</v>
      </c>
      <c r="E6" s="228"/>
      <c r="F6" s="376" t="s">
        <v>1779</v>
      </c>
      <c r="G6" s="228"/>
      <c r="H6" s="228"/>
    </row>
    <row r="7" spans="1:8" x14ac:dyDescent="0.25">
      <c r="A7" s="1" t="s">
        <v>367</v>
      </c>
      <c r="B7" s="32">
        <v>2</v>
      </c>
      <c r="C7" s="53" t="s">
        <v>230</v>
      </c>
      <c r="D7" s="112" t="s">
        <v>8</v>
      </c>
      <c r="E7" s="228"/>
      <c r="F7" s="373" t="s">
        <v>1782</v>
      </c>
      <c r="G7" s="228"/>
      <c r="H7" s="228"/>
    </row>
    <row r="8" spans="1:8" x14ac:dyDescent="0.25">
      <c r="A8" s="425" t="s">
        <v>976</v>
      </c>
      <c r="B8" s="32">
        <v>1</v>
      </c>
      <c r="C8" s="53" t="s">
        <v>307</v>
      </c>
      <c r="D8" s="112" t="s">
        <v>10</v>
      </c>
      <c r="E8" s="228"/>
      <c r="F8" s="373"/>
      <c r="G8" s="228"/>
      <c r="H8" s="228"/>
    </row>
    <row r="9" spans="1:8" x14ac:dyDescent="0.25">
      <c r="A9" s="24" t="s">
        <v>436</v>
      </c>
      <c r="B9" s="55">
        <v>1</v>
      </c>
      <c r="C9" s="75" t="s">
        <v>1545</v>
      </c>
      <c r="D9" s="74" t="s">
        <v>10</v>
      </c>
      <c r="E9" s="228"/>
      <c r="F9" s="377" t="s">
        <v>1825</v>
      </c>
      <c r="G9" s="228"/>
      <c r="H9" s="228"/>
    </row>
    <row r="10" spans="1:8" x14ac:dyDescent="0.25">
      <c r="A10" s="1" t="s">
        <v>1562</v>
      </c>
      <c r="B10" s="32">
        <v>2</v>
      </c>
      <c r="C10" s="53" t="s">
        <v>226</v>
      </c>
      <c r="D10" s="112" t="s">
        <v>8</v>
      </c>
      <c r="E10" s="228"/>
      <c r="F10" s="373" t="s">
        <v>1871</v>
      </c>
      <c r="G10" s="228"/>
      <c r="H10" s="228"/>
    </row>
    <row r="11" spans="1:8" x14ac:dyDescent="0.25">
      <c r="A11" s="1" t="s">
        <v>839</v>
      </c>
      <c r="B11" s="32">
        <v>2</v>
      </c>
      <c r="C11" s="53" t="s">
        <v>1556</v>
      </c>
      <c r="D11" s="112" t="s">
        <v>8</v>
      </c>
      <c r="E11" s="228"/>
      <c r="F11" s="373" t="s">
        <v>1872</v>
      </c>
      <c r="G11" s="228"/>
      <c r="H11" s="228"/>
    </row>
    <row r="12" spans="1:8" x14ac:dyDescent="0.25">
      <c r="A12" s="1" t="s">
        <v>703</v>
      </c>
      <c r="B12" s="32">
        <v>2</v>
      </c>
      <c r="C12" s="53" t="s">
        <v>601</v>
      </c>
      <c r="D12" s="112" t="s">
        <v>8</v>
      </c>
      <c r="E12" s="228"/>
      <c r="F12" s="373" t="s">
        <v>1754</v>
      </c>
      <c r="G12" s="228"/>
      <c r="H12" s="228"/>
    </row>
    <row r="13" spans="1:8" x14ac:dyDescent="0.25">
      <c r="A13" s="1" t="s">
        <v>704</v>
      </c>
      <c r="B13" s="32">
        <v>2</v>
      </c>
      <c r="C13" s="53" t="s">
        <v>33</v>
      </c>
      <c r="D13" s="112" t="s">
        <v>8</v>
      </c>
      <c r="E13" s="228"/>
      <c r="F13" s="376" t="s">
        <v>1753</v>
      </c>
      <c r="G13" s="228"/>
      <c r="H13" s="228"/>
    </row>
    <row r="14" spans="1:8" x14ac:dyDescent="0.25">
      <c r="A14" s="1" t="s">
        <v>1563</v>
      </c>
      <c r="B14" s="32">
        <v>6</v>
      </c>
      <c r="C14" s="53" t="s">
        <v>36</v>
      </c>
      <c r="D14" s="112" t="s">
        <v>8</v>
      </c>
      <c r="E14" s="228"/>
      <c r="F14" s="375" t="s">
        <v>1881</v>
      </c>
      <c r="G14" s="228"/>
      <c r="H14" s="228"/>
    </row>
    <row r="15" spans="1:8" x14ac:dyDescent="0.25">
      <c r="A15" s="1" t="s">
        <v>42</v>
      </c>
      <c r="B15" s="32">
        <v>1</v>
      </c>
      <c r="C15" s="53" t="s">
        <v>43</v>
      </c>
      <c r="D15" s="112" t="s">
        <v>8</v>
      </c>
      <c r="E15" s="228"/>
      <c r="F15" s="373" t="s">
        <v>1885</v>
      </c>
      <c r="G15" s="228"/>
      <c r="H15" s="228"/>
    </row>
    <row r="16" spans="1:8" x14ac:dyDescent="0.25">
      <c r="A16" s="1" t="s">
        <v>44</v>
      </c>
      <c r="B16" s="32">
        <v>1</v>
      </c>
      <c r="C16" s="53" t="s">
        <v>45</v>
      </c>
      <c r="D16" s="112" t="s">
        <v>8</v>
      </c>
      <c r="E16" s="228"/>
      <c r="F16" s="362" t="s">
        <v>1886</v>
      </c>
      <c r="G16" s="228"/>
      <c r="H16" s="228"/>
    </row>
    <row r="17" spans="1:8" x14ac:dyDescent="0.25">
      <c r="A17" s="1" t="s">
        <v>1465</v>
      </c>
      <c r="B17" s="32">
        <v>4</v>
      </c>
      <c r="C17" s="53" t="s">
        <v>1466</v>
      </c>
      <c r="D17" s="112" t="s">
        <v>8</v>
      </c>
      <c r="E17" s="228"/>
      <c r="F17" s="373" t="s">
        <v>1892</v>
      </c>
      <c r="G17" s="228"/>
      <c r="H17" s="228"/>
    </row>
    <row r="18" spans="1:8" x14ac:dyDescent="0.25">
      <c r="A18" s="1" t="s">
        <v>1555</v>
      </c>
      <c r="B18" s="32">
        <v>8</v>
      </c>
      <c r="C18" s="53" t="s">
        <v>84</v>
      </c>
      <c r="D18" s="112" t="s">
        <v>8</v>
      </c>
      <c r="E18" s="228"/>
      <c r="F18" s="373" t="s">
        <v>1894</v>
      </c>
      <c r="G18" s="228"/>
      <c r="H18" s="228"/>
    </row>
    <row r="19" spans="1:8" x14ac:dyDescent="0.25">
      <c r="A19" s="1" t="s">
        <v>308</v>
      </c>
      <c r="B19" s="32">
        <v>6</v>
      </c>
      <c r="C19" s="53">
        <v>957</v>
      </c>
      <c r="D19" s="112" t="s">
        <v>4</v>
      </c>
      <c r="E19" s="228"/>
      <c r="F19" s="362" t="s">
        <v>1895</v>
      </c>
      <c r="G19" s="228"/>
      <c r="H19" s="228"/>
    </row>
    <row r="20" spans="1:8" x14ac:dyDescent="0.25">
      <c r="A20" s="1" t="s">
        <v>335</v>
      </c>
      <c r="B20" s="32">
        <v>1</v>
      </c>
      <c r="C20" s="53" t="s">
        <v>53</v>
      </c>
      <c r="D20" s="112" t="s">
        <v>8</v>
      </c>
      <c r="E20" s="228"/>
      <c r="F20" s="376" t="s">
        <v>1900</v>
      </c>
      <c r="G20" s="228"/>
      <c r="H20" s="228"/>
    </row>
    <row r="21" spans="1:8" x14ac:dyDescent="0.25">
      <c r="A21" s="24" t="s">
        <v>1569</v>
      </c>
      <c r="B21" s="55">
        <v>2</v>
      </c>
      <c r="C21" s="75" t="s">
        <v>1570</v>
      </c>
      <c r="D21" s="74" t="s">
        <v>8</v>
      </c>
      <c r="E21" s="228"/>
      <c r="F21" s="376" t="s">
        <v>1909</v>
      </c>
      <c r="G21" s="228"/>
      <c r="H21" s="228"/>
    </row>
    <row r="22" spans="1:8" x14ac:dyDescent="0.25">
      <c r="A22" s="24" t="s">
        <v>1568</v>
      </c>
      <c r="B22" s="55">
        <v>2</v>
      </c>
      <c r="C22" s="75" t="s">
        <v>611</v>
      </c>
      <c r="D22" s="74" t="s">
        <v>8</v>
      </c>
      <c r="E22" s="228"/>
      <c r="F22" s="376" t="s">
        <v>1908</v>
      </c>
      <c r="G22" s="228"/>
      <c r="H22" s="228"/>
    </row>
    <row r="23" spans="1:8" x14ac:dyDescent="0.25">
      <c r="A23" s="24" t="s">
        <v>1571</v>
      </c>
      <c r="B23" s="55">
        <v>2</v>
      </c>
      <c r="C23" s="75" t="s">
        <v>260</v>
      </c>
      <c r="D23" s="74" t="s">
        <v>8</v>
      </c>
      <c r="E23" s="228"/>
      <c r="F23" s="376" t="s">
        <v>2050</v>
      </c>
      <c r="G23" s="228"/>
      <c r="H23" s="228"/>
    </row>
    <row r="24" spans="1:8" x14ac:dyDescent="0.25">
      <c r="A24" s="1" t="s">
        <v>56</v>
      </c>
      <c r="B24" s="32">
        <v>2</v>
      </c>
      <c r="C24" s="53" t="s">
        <v>57</v>
      </c>
      <c r="D24" s="112" t="s">
        <v>8</v>
      </c>
      <c r="E24" s="228"/>
      <c r="F24" s="333" t="s">
        <v>1911</v>
      </c>
      <c r="G24" s="228"/>
      <c r="H24" s="228"/>
    </row>
    <row r="25" spans="1:8" x14ac:dyDescent="0.25">
      <c r="A25" s="24" t="s">
        <v>1546</v>
      </c>
      <c r="B25" s="55">
        <v>4</v>
      </c>
      <c r="C25" s="75" t="s">
        <v>1547</v>
      </c>
      <c r="D25" s="74" t="s">
        <v>10</v>
      </c>
      <c r="E25" s="228"/>
      <c r="F25" s="376" t="s">
        <v>1920</v>
      </c>
      <c r="G25" s="228"/>
      <c r="H25" s="228"/>
    </row>
    <row r="26" spans="1:8" x14ac:dyDescent="0.25">
      <c r="A26" s="24" t="s">
        <v>1572</v>
      </c>
      <c r="B26" s="55">
        <v>3</v>
      </c>
      <c r="C26" s="75" t="s">
        <v>1573</v>
      </c>
      <c r="D26" s="74" t="s">
        <v>10</v>
      </c>
      <c r="E26" s="228"/>
      <c r="F26" s="376" t="s">
        <v>1921</v>
      </c>
      <c r="G26" s="228"/>
      <c r="H26" s="228"/>
    </row>
    <row r="27" spans="1:8" x14ac:dyDescent="0.25">
      <c r="A27" s="1" t="s">
        <v>846</v>
      </c>
      <c r="B27" s="32">
        <v>5</v>
      </c>
      <c r="C27" s="53" t="s">
        <v>65</v>
      </c>
      <c r="D27" s="112" t="s">
        <v>8</v>
      </c>
      <c r="E27" s="228"/>
      <c r="F27" s="375" t="s">
        <v>1930</v>
      </c>
      <c r="G27" s="228"/>
      <c r="H27" s="228"/>
    </row>
    <row r="28" spans="1:8" x14ac:dyDescent="0.25">
      <c r="A28" s="1" t="s">
        <v>338</v>
      </c>
      <c r="B28" s="32">
        <v>5</v>
      </c>
      <c r="C28" s="53" t="s">
        <v>66</v>
      </c>
      <c r="D28" s="112" t="s">
        <v>8</v>
      </c>
      <c r="E28" s="228"/>
      <c r="F28" s="375" t="s">
        <v>1931</v>
      </c>
      <c r="G28" s="228"/>
      <c r="H28" s="228"/>
    </row>
    <row r="29" spans="1:8" x14ac:dyDescent="0.25">
      <c r="A29" s="1" t="s">
        <v>72</v>
      </c>
      <c r="B29" s="32">
        <v>3</v>
      </c>
      <c r="C29" s="53" t="s">
        <v>73</v>
      </c>
      <c r="D29" s="112" t="s">
        <v>8</v>
      </c>
      <c r="E29" s="228"/>
      <c r="F29" s="373" t="s">
        <v>1937</v>
      </c>
      <c r="G29" s="228"/>
      <c r="H29" s="228"/>
    </row>
    <row r="30" spans="1:8" x14ac:dyDescent="0.25">
      <c r="A30" s="24" t="s">
        <v>1457</v>
      </c>
      <c r="B30" s="55">
        <v>5</v>
      </c>
      <c r="C30" s="75" t="s">
        <v>24</v>
      </c>
      <c r="D30" s="74" t="s">
        <v>8</v>
      </c>
      <c r="E30" s="228"/>
      <c r="F30" s="376" t="s">
        <v>1877</v>
      </c>
      <c r="G30" s="228"/>
      <c r="H30" s="228"/>
    </row>
    <row r="31" spans="1:8" x14ac:dyDescent="0.25">
      <c r="A31" s="1" t="s">
        <v>1554</v>
      </c>
      <c r="B31" s="32">
        <v>15</v>
      </c>
      <c r="C31" s="53" t="s">
        <v>649</v>
      </c>
      <c r="D31" s="112" t="s">
        <v>8</v>
      </c>
      <c r="E31" s="228"/>
      <c r="F31" s="373" t="s">
        <v>1877</v>
      </c>
      <c r="G31" s="228"/>
      <c r="H31" s="228"/>
    </row>
    <row r="32" spans="1:8" x14ac:dyDescent="0.25">
      <c r="A32" s="1" t="s">
        <v>1552</v>
      </c>
      <c r="B32" s="32">
        <v>6</v>
      </c>
      <c r="C32" s="53" t="s">
        <v>1553</v>
      </c>
      <c r="D32" s="112" t="s">
        <v>8</v>
      </c>
      <c r="E32" s="228"/>
      <c r="F32" s="373" t="s">
        <v>1878</v>
      </c>
      <c r="G32" s="228"/>
      <c r="H32" s="228"/>
    </row>
    <row r="33" spans="1:8" x14ac:dyDescent="0.25">
      <c r="A33" s="24" t="s">
        <v>1548</v>
      </c>
      <c r="B33" s="55">
        <v>1</v>
      </c>
      <c r="C33" s="75" t="s">
        <v>1549</v>
      </c>
      <c r="D33" s="74" t="s">
        <v>10</v>
      </c>
      <c r="E33" s="228"/>
      <c r="F33" s="376" t="s">
        <v>1944</v>
      </c>
      <c r="G33" s="228"/>
      <c r="H33" s="228"/>
    </row>
    <row r="34" spans="1:8" x14ac:dyDescent="0.25">
      <c r="A34" s="24" t="s">
        <v>1480</v>
      </c>
      <c r="B34" s="55">
        <v>2</v>
      </c>
      <c r="C34" s="75" t="s">
        <v>28</v>
      </c>
      <c r="D34" s="74" t="s">
        <v>8</v>
      </c>
      <c r="E34" s="228"/>
      <c r="F34" s="376" t="s">
        <v>1879</v>
      </c>
      <c r="G34" s="228"/>
      <c r="H34" s="228"/>
    </row>
    <row r="35" spans="1:8" x14ac:dyDescent="0.25">
      <c r="A35" s="24" t="s">
        <v>1567</v>
      </c>
      <c r="B35" s="55">
        <v>2</v>
      </c>
      <c r="C35" s="75" t="s">
        <v>855</v>
      </c>
      <c r="D35" s="74" t="s">
        <v>363</v>
      </c>
      <c r="E35" s="228"/>
      <c r="F35" s="372" t="s">
        <v>1961</v>
      </c>
      <c r="G35" s="228"/>
      <c r="H35" s="228"/>
    </row>
    <row r="36" spans="1:8" x14ac:dyDescent="0.25">
      <c r="A36" s="24" t="s">
        <v>1575</v>
      </c>
      <c r="B36" s="55">
        <v>1</v>
      </c>
      <c r="C36" s="75" t="s">
        <v>627</v>
      </c>
      <c r="D36" s="74" t="s">
        <v>8</v>
      </c>
      <c r="E36" s="228"/>
      <c r="F36" s="376" t="s">
        <v>1978</v>
      </c>
      <c r="G36" s="228"/>
      <c r="H36" s="228"/>
    </row>
    <row r="37" spans="1:8" x14ac:dyDescent="0.25">
      <c r="A37" s="24" t="s">
        <v>1574</v>
      </c>
      <c r="B37" s="55">
        <v>1</v>
      </c>
      <c r="C37" s="75" t="s">
        <v>631</v>
      </c>
      <c r="D37" s="74" t="s">
        <v>8</v>
      </c>
      <c r="E37" s="228"/>
      <c r="F37" s="376" t="s">
        <v>1997</v>
      </c>
      <c r="G37" s="228"/>
      <c r="H37" s="228"/>
    </row>
    <row r="38" spans="1:8" x14ac:dyDescent="0.25">
      <c r="A38" s="1" t="s">
        <v>1566</v>
      </c>
      <c r="B38" s="32">
        <v>1</v>
      </c>
      <c r="C38" s="53" t="s">
        <v>665</v>
      </c>
      <c r="D38" s="112" t="s">
        <v>8</v>
      </c>
      <c r="E38" s="228"/>
      <c r="F38" s="374" t="s">
        <v>1993</v>
      </c>
      <c r="G38" s="228"/>
      <c r="H38" s="228"/>
    </row>
    <row r="39" spans="1:8" x14ac:dyDescent="0.25">
      <c r="A39" s="1" t="s">
        <v>1542</v>
      </c>
      <c r="B39" s="32">
        <v>1</v>
      </c>
      <c r="C39" s="53" t="s">
        <v>665</v>
      </c>
      <c r="D39" s="112" t="s">
        <v>8</v>
      </c>
      <c r="E39" s="228"/>
      <c r="F39" s="374" t="s">
        <v>2000</v>
      </c>
      <c r="G39" s="228"/>
      <c r="H39" s="228"/>
    </row>
    <row r="40" spans="1:8" x14ac:dyDescent="0.25">
      <c r="A40" s="427" t="s">
        <v>1550</v>
      </c>
      <c r="B40" s="55">
        <v>1</v>
      </c>
      <c r="C40" s="75" t="s">
        <v>1551</v>
      </c>
      <c r="D40" s="74" t="s">
        <v>10</v>
      </c>
      <c r="E40" s="228"/>
      <c r="F40" s="376" t="s">
        <v>2130</v>
      </c>
      <c r="G40" s="228"/>
      <c r="H40" s="228"/>
    </row>
    <row r="41" spans="1:8" x14ac:dyDescent="0.25">
      <c r="A41" s="1" t="s">
        <v>1564</v>
      </c>
      <c r="B41" s="32">
        <v>1</v>
      </c>
      <c r="C41" s="53" t="s">
        <v>1565</v>
      </c>
      <c r="D41" s="112" t="s">
        <v>8</v>
      </c>
      <c r="E41" s="228"/>
      <c r="F41" s="373" t="s">
        <v>2001</v>
      </c>
      <c r="G41" s="228"/>
      <c r="H41" s="228"/>
    </row>
    <row r="42" spans="1:8" x14ac:dyDescent="0.25">
      <c r="A42" s="24" t="s">
        <v>349</v>
      </c>
      <c r="B42" s="55">
        <v>1</v>
      </c>
      <c r="C42" s="75" t="s">
        <v>96</v>
      </c>
      <c r="D42" s="74" t="s">
        <v>8</v>
      </c>
      <c r="E42" s="228"/>
      <c r="F42" s="19" t="s">
        <v>2003</v>
      </c>
      <c r="G42" s="228"/>
      <c r="H42" s="228"/>
    </row>
    <row r="43" spans="1:8" x14ac:dyDescent="0.25">
      <c r="A43" s="1" t="s">
        <v>1242</v>
      </c>
      <c r="B43" s="329">
        <v>1</v>
      </c>
      <c r="C43" s="53" t="s">
        <v>660</v>
      </c>
      <c r="D43" s="112" t="s">
        <v>8</v>
      </c>
      <c r="E43" s="228"/>
      <c r="F43" s="317" t="s">
        <v>1994</v>
      </c>
      <c r="G43" s="228"/>
      <c r="H43" s="228"/>
    </row>
    <row r="44" spans="1:8" x14ac:dyDescent="0.25">
      <c r="A44" s="407" t="s">
        <v>929</v>
      </c>
      <c r="B44" s="36">
        <v>1</v>
      </c>
      <c r="C44" s="503" t="s">
        <v>635</v>
      </c>
      <c r="D44" s="112" t="s">
        <v>8</v>
      </c>
      <c r="E44" s="228"/>
      <c r="F44" s="19" t="s">
        <v>2004</v>
      </c>
      <c r="G44" s="228"/>
      <c r="H44" s="228"/>
    </row>
    <row r="45" spans="1:8" x14ac:dyDescent="0.25">
      <c r="A45" s="9" t="s">
        <v>99</v>
      </c>
      <c r="B45" s="166">
        <v>1</v>
      </c>
      <c r="C45" s="131" t="s">
        <v>662</v>
      </c>
      <c r="D45" s="112" t="s">
        <v>8</v>
      </c>
      <c r="E45" s="228"/>
      <c r="F45" s="9" t="s">
        <v>2006</v>
      </c>
      <c r="G45" s="228"/>
      <c r="H45" s="228"/>
    </row>
  </sheetData>
  <sortState xmlns:xlrd2="http://schemas.microsoft.com/office/spreadsheetml/2017/richdata2" ref="A2:D45">
    <sortCondition ref="A1:A45"/>
  </sortSt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E3FB-CCFB-41B3-A768-94C43AA33173}">
  <sheetPr codeName="Planilha45">
    <tabColor theme="7"/>
  </sheetPr>
  <dimension ref="A1:H5"/>
  <sheetViews>
    <sheetView workbookViewId="0">
      <pane ySplit="1" topLeftCell="A2" activePane="bottomLeft" state="frozen"/>
      <selection activeCell="A53" sqref="A53"/>
      <selection pane="bottomLeft" activeCell="G19" sqref="G19"/>
    </sheetView>
  </sheetViews>
  <sheetFormatPr defaultRowHeight="15" x14ac:dyDescent="0.25"/>
  <cols>
    <col min="1" max="2" width="24.7109375" customWidth="1"/>
    <col min="3" max="3" width="13.85546875" customWidth="1"/>
    <col min="4" max="4" width="13.7109375" customWidth="1"/>
  </cols>
  <sheetData>
    <row r="1" spans="1:8" ht="15.75" x14ac:dyDescent="0.25">
      <c r="A1" s="107" t="s">
        <v>0</v>
      </c>
      <c r="B1" s="107" t="s">
        <v>305</v>
      </c>
      <c r="C1" s="185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9" t="s">
        <v>1576</v>
      </c>
      <c r="B2" s="36">
        <v>20</v>
      </c>
      <c r="C2" s="131" t="s">
        <v>1577</v>
      </c>
      <c r="D2" s="258" t="s">
        <v>4</v>
      </c>
      <c r="E2" s="228"/>
      <c r="F2" s="228"/>
      <c r="G2" s="228"/>
      <c r="H2" s="228"/>
    </row>
    <row r="3" spans="1:8" x14ac:dyDescent="0.25">
      <c r="A3" s="9" t="s">
        <v>1578</v>
      </c>
      <c r="B3" s="36">
        <v>10</v>
      </c>
      <c r="C3" s="131" t="s">
        <v>1579</v>
      </c>
      <c r="D3" s="258" t="s">
        <v>4</v>
      </c>
      <c r="E3" s="228"/>
      <c r="F3" s="228"/>
      <c r="G3" s="228"/>
      <c r="H3" s="228"/>
    </row>
    <row r="4" spans="1:8" x14ac:dyDescent="0.25">
      <c r="A4" s="9" t="s">
        <v>1580</v>
      </c>
      <c r="B4" s="36">
        <v>8</v>
      </c>
      <c r="C4" s="131" t="s">
        <v>1581</v>
      </c>
      <c r="D4" s="258" t="s">
        <v>4</v>
      </c>
      <c r="E4" s="228"/>
      <c r="F4" s="228"/>
      <c r="G4" s="228"/>
      <c r="H4" s="228"/>
    </row>
    <row r="5" spans="1:8" x14ac:dyDescent="0.25">
      <c r="A5" s="9" t="s">
        <v>1582</v>
      </c>
      <c r="B5" s="36">
        <v>2</v>
      </c>
      <c r="C5" s="131" t="s">
        <v>1583</v>
      </c>
      <c r="D5" s="258" t="s">
        <v>4</v>
      </c>
      <c r="E5" s="228"/>
      <c r="F5" s="228"/>
      <c r="G5" s="228"/>
      <c r="H5" s="22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0BE-9EF8-41CB-A83A-54E8E7DB2A38}">
  <sheetPr codeName="Planilha46">
    <tabColor rgb="FFFF0000"/>
  </sheetPr>
  <dimension ref="A1:H11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9.85546875" bestFit="1" customWidth="1"/>
    <col min="2" max="2" width="25.28515625" customWidth="1"/>
    <col min="3" max="3" width="16.140625" customWidth="1"/>
    <col min="4" max="4" width="12.42578125" customWidth="1"/>
  </cols>
  <sheetData>
    <row r="1" spans="1:8" ht="15.75" x14ac:dyDescent="0.25">
      <c r="A1" s="107" t="s">
        <v>0</v>
      </c>
      <c r="B1" s="107" t="s">
        <v>305</v>
      </c>
      <c r="C1" s="185" t="s">
        <v>360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22" t="s">
        <v>1584</v>
      </c>
      <c r="B2" s="38">
        <v>18</v>
      </c>
      <c r="C2" s="131">
        <v>662845</v>
      </c>
      <c r="D2" s="112" t="s">
        <v>362</v>
      </c>
      <c r="E2" s="228"/>
      <c r="F2" s="228"/>
      <c r="G2" s="228"/>
      <c r="H2" s="228"/>
    </row>
    <row r="3" spans="1:8" x14ac:dyDescent="0.25">
      <c r="A3" s="22" t="s">
        <v>1585</v>
      </c>
      <c r="B3" s="38">
        <v>2</v>
      </c>
      <c r="C3" s="131" t="s">
        <v>1586</v>
      </c>
      <c r="D3" s="112" t="s">
        <v>162</v>
      </c>
      <c r="E3" s="228"/>
      <c r="F3" s="228"/>
      <c r="G3" s="228"/>
      <c r="H3" s="228"/>
    </row>
    <row r="4" spans="1:8" x14ac:dyDescent="0.25">
      <c r="A4" s="65" t="s">
        <v>1587</v>
      </c>
      <c r="B4" s="188">
        <v>2</v>
      </c>
      <c r="C4" s="158" t="s">
        <v>1588</v>
      </c>
      <c r="D4" s="74" t="s">
        <v>162</v>
      </c>
      <c r="E4" s="228"/>
      <c r="F4" s="228"/>
      <c r="G4" s="228"/>
      <c r="H4" s="228"/>
    </row>
    <row r="5" spans="1:8" x14ac:dyDescent="0.25">
      <c r="A5" s="65" t="s">
        <v>1589</v>
      </c>
      <c r="B5" s="188">
        <v>1</v>
      </c>
      <c r="C5" s="158" t="s">
        <v>1590</v>
      </c>
      <c r="D5" s="74" t="s">
        <v>162</v>
      </c>
      <c r="E5" s="228"/>
      <c r="F5" s="228"/>
      <c r="G5" s="228"/>
      <c r="H5" s="228"/>
    </row>
    <row r="6" spans="1:8" x14ac:dyDescent="0.25">
      <c r="A6" s="22" t="s">
        <v>1591</v>
      </c>
      <c r="B6" s="38">
        <v>2</v>
      </c>
      <c r="C6" s="131" t="s">
        <v>1592</v>
      </c>
      <c r="D6" s="112" t="s">
        <v>162</v>
      </c>
      <c r="E6" s="228"/>
      <c r="F6" s="228"/>
      <c r="G6" s="228"/>
      <c r="H6" s="228"/>
    </row>
    <row r="7" spans="1:8" x14ac:dyDescent="0.25">
      <c r="A7" s="22" t="s">
        <v>1593</v>
      </c>
      <c r="B7" s="38">
        <v>2</v>
      </c>
      <c r="C7" s="131" t="s">
        <v>1594</v>
      </c>
      <c r="D7" s="112" t="s">
        <v>162</v>
      </c>
      <c r="E7" s="228"/>
      <c r="F7" s="228"/>
      <c r="G7" s="228"/>
      <c r="H7" s="228"/>
    </row>
    <row r="8" spans="1:8" x14ac:dyDescent="0.25">
      <c r="A8" s="22" t="s">
        <v>797</v>
      </c>
      <c r="B8" s="38">
        <v>2</v>
      </c>
      <c r="C8" s="131" t="s">
        <v>798</v>
      </c>
      <c r="D8" s="112" t="s">
        <v>162</v>
      </c>
      <c r="E8" s="228"/>
      <c r="F8" s="228"/>
      <c r="G8" s="228"/>
      <c r="H8" s="228"/>
    </row>
    <row r="9" spans="1:8" x14ac:dyDescent="0.25">
      <c r="A9" s="22" t="s">
        <v>1595</v>
      </c>
      <c r="B9" s="38">
        <v>2</v>
      </c>
      <c r="C9" s="131" t="s">
        <v>1596</v>
      </c>
      <c r="D9" s="112" t="s">
        <v>162</v>
      </c>
      <c r="E9" s="228"/>
      <c r="F9" s="228"/>
      <c r="G9" s="228"/>
      <c r="H9" s="228"/>
    </row>
    <row r="10" spans="1:8" x14ac:dyDescent="0.25">
      <c r="A10" s="22" t="s">
        <v>1597</v>
      </c>
      <c r="B10" s="38">
        <v>2</v>
      </c>
      <c r="C10" s="131" t="s">
        <v>1598</v>
      </c>
      <c r="D10" s="112" t="s">
        <v>162</v>
      </c>
      <c r="E10" s="228"/>
      <c r="F10" s="228"/>
      <c r="G10" s="228"/>
      <c r="H10" s="228"/>
    </row>
    <row r="11" spans="1:8" x14ac:dyDescent="0.25">
      <c r="A11" s="22" t="s">
        <v>1599</v>
      </c>
      <c r="B11" s="38">
        <v>2</v>
      </c>
      <c r="C11" s="131" t="s">
        <v>1600</v>
      </c>
      <c r="D11" s="112" t="s">
        <v>162</v>
      </c>
      <c r="E11" s="228"/>
      <c r="F11" s="228"/>
      <c r="G11" s="228"/>
      <c r="H11" s="22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15F-4E37-429E-85A6-C9862041A251}">
  <sheetPr codeName="Planilha47">
    <tabColor theme="8" tint="-0.249977111117893"/>
  </sheetPr>
  <dimension ref="A1:I118"/>
  <sheetViews>
    <sheetView tabSelected="1" workbookViewId="0">
      <pane ySplit="1" topLeftCell="A2" activePane="bottomLeft" state="frozen"/>
      <selection activeCell="A53" sqref="A53"/>
      <selection pane="bottomLeft" activeCell="F39" sqref="F39"/>
    </sheetView>
  </sheetViews>
  <sheetFormatPr defaultRowHeight="15" x14ac:dyDescent="0.25"/>
  <cols>
    <col min="1" max="1" width="46.7109375" customWidth="1"/>
    <col min="2" max="2" width="16.42578125" customWidth="1"/>
    <col min="3" max="3" width="19.140625" customWidth="1"/>
    <col min="4" max="4" width="21.42578125" customWidth="1"/>
    <col min="6" max="6" width="15" customWidth="1"/>
  </cols>
  <sheetData>
    <row r="1" spans="1:8" ht="31.5" x14ac:dyDescent="0.25">
      <c r="A1" s="155" t="s">
        <v>0</v>
      </c>
      <c r="B1" s="155" t="s">
        <v>305</v>
      </c>
      <c r="C1" s="278" t="s">
        <v>2</v>
      </c>
      <c r="D1" s="232" t="s">
        <v>1723</v>
      </c>
      <c r="E1" s="227" t="s">
        <v>1725</v>
      </c>
      <c r="F1" s="227" t="s">
        <v>1726</v>
      </c>
      <c r="G1" s="227" t="s">
        <v>1724</v>
      </c>
      <c r="H1" s="227" t="s">
        <v>1727</v>
      </c>
    </row>
    <row r="2" spans="1:8" x14ac:dyDescent="0.25">
      <c r="A2" s="15" t="s">
        <v>1672</v>
      </c>
      <c r="B2" s="15">
        <v>10</v>
      </c>
      <c r="C2" s="110"/>
      <c r="D2" s="228"/>
      <c r="E2" s="228"/>
      <c r="F2" s="228" t="s">
        <v>1749</v>
      </c>
      <c r="G2" s="228"/>
      <c r="H2" s="228"/>
    </row>
    <row r="3" spans="1:8" x14ac:dyDescent="0.25">
      <c r="A3" s="154" t="s">
        <v>1656</v>
      </c>
      <c r="B3" s="154">
        <v>10</v>
      </c>
      <c r="C3" s="152" t="s">
        <v>33</v>
      </c>
      <c r="D3" s="74" t="s">
        <v>8</v>
      </c>
      <c r="E3" s="228"/>
      <c r="F3" s="228" t="s">
        <v>1753</v>
      </c>
      <c r="G3" s="228"/>
      <c r="H3" s="228"/>
    </row>
    <row r="4" spans="1:8" x14ac:dyDescent="0.25">
      <c r="A4" s="154" t="s">
        <v>1656</v>
      </c>
      <c r="B4" s="154">
        <v>10</v>
      </c>
      <c r="C4" s="152" t="s">
        <v>33</v>
      </c>
      <c r="D4" s="74" t="s">
        <v>8</v>
      </c>
      <c r="E4" s="228"/>
      <c r="F4" s="228" t="s">
        <v>1753</v>
      </c>
      <c r="G4" s="228"/>
      <c r="H4" s="228"/>
    </row>
    <row r="5" spans="1:8" x14ac:dyDescent="0.25">
      <c r="A5" s="532" t="s">
        <v>1622</v>
      </c>
      <c r="B5" s="154">
        <v>10</v>
      </c>
      <c r="C5" s="152" t="s">
        <v>1165</v>
      </c>
      <c r="D5" s="74" t="s">
        <v>8</v>
      </c>
      <c r="E5" s="228"/>
      <c r="F5" s="575" t="s">
        <v>2217</v>
      </c>
      <c r="G5" s="228" t="s">
        <v>2056</v>
      </c>
      <c r="H5" s="538">
        <v>690</v>
      </c>
    </row>
    <row r="6" spans="1:8" x14ac:dyDescent="0.25">
      <c r="A6" s="154" t="s">
        <v>1602</v>
      </c>
      <c r="B6" s="154">
        <v>10</v>
      </c>
      <c r="C6" s="152" t="s">
        <v>12</v>
      </c>
      <c r="D6" s="74" t="s">
        <v>8</v>
      </c>
      <c r="E6" s="228"/>
      <c r="F6" s="228" t="s">
        <v>1767</v>
      </c>
      <c r="G6" s="228"/>
      <c r="H6" s="228"/>
    </row>
    <row r="7" spans="1:8" x14ac:dyDescent="0.25">
      <c r="A7" s="533" t="s">
        <v>1673</v>
      </c>
      <c r="B7" s="15">
        <v>4</v>
      </c>
      <c r="C7" s="110"/>
      <c r="D7" s="228"/>
      <c r="E7" s="228"/>
      <c r="F7" s="228" t="s">
        <v>2218</v>
      </c>
      <c r="G7" s="228"/>
      <c r="H7" s="228"/>
    </row>
    <row r="8" spans="1:8" x14ac:dyDescent="0.25">
      <c r="A8" s="533" t="s">
        <v>1674</v>
      </c>
      <c r="B8" s="15">
        <v>4</v>
      </c>
      <c r="C8" s="110"/>
      <c r="D8" s="228"/>
      <c r="E8" s="228"/>
      <c r="F8" s="228" t="s">
        <v>2219</v>
      </c>
      <c r="G8" s="228"/>
      <c r="H8" s="228"/>
    </row>
    <row r="9" spans="1:8" x14ac:dyDescent="0.25">
      <c r="A9" s="154" t="s">
        <v>1623</v>
      </c>
      <c r="B9" s="154">
        <v>4</v>
      </c>
      <c r="C9" s="152" t="s">
        <v>1624</v>
      </c>
      <c r="D9" s="74" t="s">
        <v>8</v>
      </c>
      <c r="E9" s="228"/>
      <c r="F9" s="527" t="s">
        <v>1797</v>
      </c>
      <c r="G9" s="228"/>
      <c r="H9" s="228"/>
    </row>
    <row r="10" spans="1:8" x14ac:dyDescent="0.25">
      <c r="A10" s="532" t="s">
        <v>1625</v>
      </c>
      <c r="B10" s="154">
        <v>4</v>
      </c>
      <c r="C10" s="152">
        <v>2059</v>
      </c>
      <c r="D10" s="74" t="s">
        <v>4</v>
      </c>
      <c r="E10" s="228"/>
      <c r="F10" s="228" t="s">
        <v>2153</v>
      </c>
      <c r="G10" s="228"/>
      <c r="H10" s="228"/>
    </row>
    <row r="11" spans="1:8" x14ac:dyDescent="0.25">
      <c r="A11" s="532" t="s">
        <v>1626</v>
      </c>
      <c r="B11" s="154">
        <v>4</v>
      </c>
      <c r="C11" s="152">
        <v>2061</v>
      </c>
      <c r="D11" s="74" t="s">
        <v>4</v>
      </c>
      <c r="E11" s="228"/>
      <c r="F11" s="228" t="s">
        <v>2153</v>
      </c>
      <c r="G11" s="228"/>
      <c r="H11" s="228"/>
    </row>
    <row r="12" spans="1:8" x14ac:dyDescent="0.25">
      <c r="A12" s="532" t="s">
        <v>1627</v>
      </c>
      <c r="B12" s="154">
        <v>4</v>
      </c>
      <c r="C12" s="152">
        <v>2062</v>
      </c>
      <c r="D12" s="74" t="s">
        <v>4</v>
      </c>
      <c r="E12" s="228"/>
      <c r="F12" s="228" t="s">
        <v>2153</v>
      </c>
      <c r="G12" s="228"/>
      <c r="H12" s="228"/>
    </row>
    <row r="13" spans="1:8" x14ac:dyDescent="0.25">
      <c r="A13" s="532" t="s">
        <v>1628</v>
      </c>
      <c r="B13" s="154">
        <v>4</v>
      </c>
      <c r="C13" s="152">
        <v>2063</v>
      </c>
      <c r="D13" s="74" t="s">
        <v>4</v>
      </c>
      <c r="E13" s="228"/>
      <c r="F13" s="228" t="s">
        <v>2153</v>
      </c>
      <c r="G13" s="228"/>
      <c r="H13" s="228"/>
    </row>
    <row r="14" spans="1:8" x14ac:dyDescent="0.25">
      <c r="A14" s="532" t="s">
        <v>1629</v>
      </c>
      <c r="B14" s="154">
        <v>4</v>
      </c>
      <c r="C14" s="152">
        <v>2064</v>
      </c>
      <c r="D14" s="74" t="s">
        <v>4</v>
      </c>
      <c r="E14" s="228"/>
      <c r="F14" s="228" t="s">
        <v>2153</v>
      </c>
      <c r="G14" s="228"/>
      <c r="H14" s="228"/>
    </row>
    <row r="15" spans="1:8" x14ac:dyDescent="0.25">
      <c r="A15" s="532" t="s">
        <v>1630</v>
      </c>
      <c r="B15" s="154">
        <v>4</v>
      </c>
      <c r="C15" s="152">
        <v>2065</v>
      </c>
      <c r="D15" s="74" t="s">
        <v>4</v>
      </c>
      <c r="E15" s="228"/>
      <c r="F15" s="228" t="s">
        <v>2153</v>
      </c>
      <c r="G15" s="228"/>
      <c r="H15" s="228"/>
    </row>
    <row r="16" spans="1:8" x14ac:dyDescent="0.25">
      <c r="A16" s="532" t="s">
        <v>1631</v>
      </c>
      <c r="B16" s="154">
        <v>4</v>
      </c>
      <c r="C16" s="152" t="s">
        <v>1632</v>
      </c>
      <c r="D16" s="74" t="s">
        <v>8</v>
      </c>
      <c r="E16" s="228"/>
      <c r="F16" s="228" t="s">
        <v>2220</v>
      </c>
      <c r="G16" s="228"/>
      <c r="H16" s="228"/>
    </row>
    <row r="17" spans="1:8" x14ac:dyDescent="0.25">
      <c r="A17" s="154" t="s">
        <v>1633</v>
      </c>
      <c r="B17" s="154">
        <v>2</v>
      </c>
      <c r="C17" s="152" t="s">
        <v>1634</v>
      </c>
      <c r="D17" s="74" t="s">
        <v>8</v>
      </c>
      <c r="E17" s="228"/>
      <c r="F17" s="228" t="s">
        <v>2118</v>
      </c>
      <c r="G17" s="228"/>
      <c r="H17" s="228"/>
    </row>
    <row r="18" spans="1:8" x14ac:dyDescent="0.25">
      <c r="A18" s="154" t="s">
        <v>1621</v>
      </c>
      <c r="B18" s="154">
        <v>10</v>
      </c>
      <c r="C18" s="152" t="s">
        <v>310</v>
      </c>
      <c r="D18" s="74" t="s">
        <v>8</v>
      </c>
      <c r="E18" s="228"/>
      <c r="F18" s="228" t="s">
        <v>1749</v>
      </c>
      <c r="G18" s="228"/>
      <c r="H18" s="228"/>
    </row>
    <row r="19" spans="1:8" x14ac:dyDescent="0.25">
      <c r="A19" s="535" t="s">
        <v>1601</v>
      </c>
      <c r="B19" s="153">
        <v>10</v>
      </c>
      <c r="C19" s="534">
        <v>662490</v>
      </c>
      <c r="D19" s="74" t="s">
        <v>8</v>
      </c>
      <c r="E19" s="228"/>
      <c r="F19" s="228"/>
      <c r="G19" s="228"/>
      <c r="H19" s="228"/>
    </row>
    <row r="20" spans="1:8" x14ac:dyDescent="0.25">
      <c r="A20" s="532" t="s">
        <v>1635</v>
      </c>
      <c r="B20" s="154">
        <v>14</v>
      </c>
      <c r="C20" s="152" t="s">
        <v>129</v>
      </c>
      <c r="D20" s="74" t="s">
        <v>8</v>
      </c>
      <c r="E20" s="228"/>
      <c r="F20" s="539" t="s">
        <v>2154</v>
      </c>
      <c r="G20" s="228" t="s">
        <v>2056</v>
      </c>
      <c r="H20" s="576">
        <v>125</v>
      </c>
    </row>
    <row r="21" spans="1:8" x14ac:dyDescent="0.25">
      <c r="A21" s="153" t="s">
        <v>1616</v>
      </c>
      <c r="B21" s="153">
        <v>12</v>
      </c>
      <c r="C21" s="279">
        <v>231014</v>
      </c>
      <c r="D21" s="74" t="s">
        <v>8</v>
      </c>
      <c r="E21" s="228"/>
      <c r="F21" s="228" t="s">
        <v>2048</v>
      </c>
      <c r="G21" s="228"/>
      <c r="H21" s="228"/>
    </row>
    <row r="22" spans="1:8" x14ac:dyDescent="0.25">
      <c r="A22" s="535" t="s">
        <v>1619</v>
      </c>
      <c r="B22" s="153">
        <v>20</v>
      </c>
      <c r="C22" s="152" t="s">
        <v>1165</v>
      </c>
      <c r="D22" s="74" t="s">
        <v>8</v>
      </c>
      <c r="E22" s="228"/>
      <c r="F22" s="228"/>
      <c r="G22" s="228"/>
      <c r="H22" s="228"/>
    </row>
    <row r="23" spans="1:8" x14ac:dyDescent="0.25">
      <c r="A23" s="535" t="s">
        <v>1618</v>
      </c>
      <c r="B23" s="153">
        <v>10</v>
      </c>
      <c r="C23" s="152" t="s">
        <v>1165</v>
      </c>
      <c r="D23" s="74" t="s">
        <v>8</v>
      </c>
      <c r="E23" s="228"/>
      <c r="F23" s="228"/>
      <c r="G23" s="228"/>
      <c r="H23" s="228"/>
    </row>
    <row r="24" spans="1:8" x14ac:dyDescent="0.25">
      <c r="A24" s="535" t="s">
        <v>1617</v>
      </c>
      <c r="B24" s="153">
        <v>10</v>
      </c>
      <c r="C24" s="152" t="s">
        <v>1165</v>
      </c>
      <c r="D24" s="74" t="s">
        <v>8</v>
      </c>
      <c r="E24" s="228"/>
      <c r="F24" s="228"/>
      <c r="G24" s="228"/>
      <c r="H24" s="228"/>
    </row>
    <row r="25" spans="1:8" x14ac:dyDescent="0.25">
      <c r="A25" s="535" t="s">
        <v>1620</v>
      </c>
      <c r="B25" s="153">
        <v>10</v>
      </c>
      <c r="C25" s="152" t="s">
        <v>722</v>
      </c>
      <c r="D25" s="74" t="s">
        <v>8</v>
      </c>
      <c r="E25" s="228"/>
      <c r="F25" s="228"/>
      <c r="G25" s="228"/>
      <c r="H25" s="228"/>
    </row>
    <row r="26" spans="1:8" x14ac:dyDescent="0.25">
      <c r="A26" s="532" t="s">
        <v>1636</v>
      </c>
      <c r="B26" s="154">
        <v>10</v>
      </c>
      <c r="C26" s="152">
        <v>495</v>
      </c>
      <c r="D26" s="74" t="s">
        <v>4</v>
      </c>
      <c r="E26" s="228"/>
      <c r="F26" s="228"/>
      <c r="G26" s="228"/>
      <c r="H26" s="228"/>
    </row>
    <row r="27" spans="1:8" x14ac:dyDescent="0.25">
      <c r="A27" s="532" t="s">
        <v>1637</v>
      </c>
      <c r="B27" s="154">
        <v>10</v>
      </c>
      <c r="C27" s="152">
        <v>494</v>
      </c>
      <c r="D27" s="74" t="s">
        <v>4</v>
      </c>
      <c r="E27" s="228"/>
      <c r="F27" s="228"/>
      <c r="G27" s="228"/>
      <c r="H27" s="228"/>
    </row>
    <row r="28" spans="1:8" x14ac:dyDescent="0.25">
      <c r="A28" s="532" t="s">
        <v>1638</v>
      </c>
      <c r="B28" s="154">
        <v>10</v>
      </c>
      <c r="C28" s="152">
        <v>490</v>
      </c>
      <c r="D28" s="74" t="s">
        <v>4</v>
      </c>
      <c r="E28" s="228"/>
      <c r="F28" s="228"/>
      <c r="G28" s="228"/>
      <c r="H28" s="228"/>
    </row>
    <row r="29" spans="1:8" x14ac:dyDescent="0.25">
      <c r="A29" s="532" t="s">
        <v>1639</v>
      </c>
      <c r="B29" s="154">
        <v>10</v>
      </c>
      <c r="C29" s="152">
        <v>492</v>
      </c>
      <c r="D29" s="74" t="s">
        <v>4</v>
      </c>
      <c r="E29" s="228"/>
      <c r="F29" s="228"/>
      <c r="G29" s="228"/>
      <c r="H29" s="228"/>
    </row>
    <row r="30" spans="1:8" x14ac:dyDescent="0.25">
      <c r="A30" s="532" t="s">
        <v>1640</v>
      </c>
      <c r="B30" s="154">
        <v>10</v>
      </c>
      <c r="C30" s="152">
        <v>2556</v>
      </c>
      <c r="D30" s="74" t="s">
        <v>4</v>
      </c>
      <c r="E30" s="228"/>
      <c r="F30" s="228"/>
      <c r="G30" s="228"/>
      <c r="H30" s="228"/>
    </row>
    <row r="31" spans="1:8" x14ac:dyDescent="0.25">
      <c r="A31" s="532" t="s">
        <v>1641</v>
      </c>
      <c r="B31" s="154">
        <v>10</v>
      </c>
      <c r="C31" s="152">
        <v>2556</v>
      </c>
      <c r="D31" s="74" t="s">
        <v>4</v>
      </c>
      <c r="E31" s="228"/>
      <c r="F31" s="228"/>
      <c r="G31" s="228"/>
      <c r="H31" s="228"/>
    </row>
    <row r="32" spans="1:8" x14ac:dyDescent="0.25">
      <c r="A32" s="532" t="s">
        <v>1642</v>
      </c>
      <c r="B32" s="154">
        <v>10</v>
      </c>
      <c r="C32" s="152">
        <v>2556</v>
      </c>
      <c r="D32" s="74" t="s">
        <v>4</v>
      </c>
      <c r="E32" s="228"/>
      <c r="F32" s="228"/>
      <c r="G32" s="228"/>
      <c r="H32" s="228"/>
    </row>
    <row r="33" spans="1:8" x14ac:dyDescent="0.25">
      <c r="A33" s="532" t="s">
        <v>1643</v>
      </c>
      <c r="B33" s="154">
        <v>10</v>
      </c>
      <c r="C33" s="152">
        <v>2556</v>
      </c>
      <c r="D33" s="74" t="s">
        <v>4</v>
      </c>
      <c r="E33" s="228"/>
      <c r="F33" s="228"/>
      <c r="G33" s="228"/>
      <c r="H33" s="228"/>
    </row>
    <row r="34" spans="1:8" x14ac:dyDescent="0.25">
      <c r="A34" s="532" t="s">
        <v>1644</v>
      </c>
      <c r="B34" s="154">
        <v>5</v>
      </c>
      <c r="C34" s="152" t="s">
        <v>1165</v>
      </c>
      <c r="D34" s="74" t="s">
        <v>8</v>
      </c>
      <c r="E34" s="228"/>
      <c r="F34" s="228"/>
      <c r="G34" s="228"/>
      <c r="H34" s="228"/>
    </row>
    <row r="35" spans="1:8" x14ac:dyDescent="0.25">
      <c r="A35" s="532" t="s">
        <v>1645</v>
      </c>
      <c r="B35" s="154">
        <v>10</v>
      </c>
      <c r="C35" s="152" t="s">
        <v>1646</v>
      </c>
      <c r="D35" s="74" t="s">
        <v>8</v>
      </c>
      <c r="E35" s="228"/>
      <c r="F35" s="228" t="s">
        <v>2223</v>
      </c>
      <c r="G35" s="228"/>
      <c r="H35" s="228"/>
    </row>
    <row r="36" spans="1:8" x14ac:dyDescent="0.25">
      <c r="A36" s="532" t="s">
        <v>1647</v>
      </c>
      <c r="B36" s="154">
        <v>10</v>
      </c>
      <c r="C36" s="152" t="s">
        <v>1648</v>
      </c>
      <c r="D36" s="74" t="s">
        <v>8</v>
      </c>
      <c r="E36" s="228"/>
      <c r="F36" s="228" t="s">
        <v>2222</v>
      </c>
      <c r="G36" s="228"/>
      <c r="H36" s="228"/>
    </row>
    <row r="37" spans="1:8" x14ac:dyDescent="0.25">
      <c r="A37" s="532" t="s">
        <v>1649</v>
      </c>
      <c r="B37" s="154">
        <v>10</v>
      </c>
      <c r="C37" s="152" t="s">
        <v>1648</v>
      </c>
      <c r="D37" s="74" t="s">
        <v>8</v>
      </c>
      <c r="E37" s="228"/>
      <c r="F37" s="228" t="s">
        <v>2221</v>
      </c>
      <c r="G37" s="228"/>
      <c r="H37" s="228"/>
    </row>
    <row r="38" spans="1:8" x14ac:dyDescent="0.25">
      <c r="A38" s="536" t="s">
        <v>1671</v>
      </c>
      <c r="B38" s="25">
        <v>5</v>
      </c>
      <c r="C38" s="283"/>
      <c r="D38" s="248"/>
      <c r="E38" s="228"/>
      <c r="F38" s="228" t="s">
        <v>2153</v>
      </c>
      <c r="G38" s="228"/>
      <c r="H38" s="228"/>
    </row>
    <row r="39" spans="1:8" x14ac:dyDescent="0.25">
      <c r="A39" s="532" t="s">
        <v>1650</v>
      </c>
      <c r="B39" s="154">
        <v>2</v>
      </c>
      <c r="C39" s="152" t="s">
        <v>226</v>
      </c>
      <c r="D39" s="74" t="s">
        <v>8</v>
      </c>
      <c r="E39" s="228"/>
      <c r="F39" s="228" t="s">
        <v>1871</v>
      </c>
      <c r="G39" s="228"/>
      <c r="H39" s="228"/>
    </row>
    <row r="40" spans="1:8" x14ac:dyDescent="0.25">
      <c r="A40" s="25" t="s">
        <v>1675</v>
      </c>
      <c r="B40" s="25">
        <v>2</v>
      </c>
      <c r="C40" s="283"/>
      <c r="D40" s="248"/>
      <c r="E40" s="228"/>
      <c r="F40" s="228" t="s">
        <v>1871</v>
      </c>
      <c r="G40" s="228"/>
      <c r="H40" s="228"/>
    </row>
    <row r="41" spans="1:8" x14ac:dyDescent="0.25">
      <c r="A41" s="532" t="s">
        <v>1651</v>
      </c>
      <c r="B41" s="154">
        <v>10</v>
      </c>
      <c r="C41" s="152" t="s">
        <v>1165</v>
      </c>
      <c r="D41" s="74" t="s">
        <v>8</v>
      </c>
      <c r="E41" s="228"/>
      <c r="F41" s="228"/>
      <c r="G41" s="228"/>
      <c r="H41" s="228"/>
    </row>
    <row r="42" spans="1:8" x14ac:dyDescent="0.25">
      <c r="A42" s="532" t="s">
        <v>1652</v>
      </c>
      <c r="B42" s="154">
        <v>10</v>
      </c>
      <c r="C42" s="152" t="s">
        <v>1165</v>
      </c>
      <c r="D42" s="74" t="s">
        <v>8</v>
      </c>
      <c r="E42" s="228"/>
      <c r="F42" s="228"/>
      <c r="G42" s="228"/>
      <c r="H42" s="228"/>
    </row>
    <row r="43" spans="1:8" x14ac:dyDescent="0.25">
      <c r="A43" s="154" t="s">
        <v>1653</v>
      </c>
      <c r="B43" s="154">
        <v>15</v>
      </c>
      <c r="C43" s="152" t="s">
        <v>66</v>
      </c>
      <c r="D43" s="74" t="s">
        <v>8</v>
      </c>
      <c r="E43" s="228"/>
      <c r="F43" s="228" t="s">
        <v>1931</v>
      </c>
      <c r="G43" s="228"/>
      <c r="H43" s="228"/>
    </row>
    <row r="44" spans="1:8" x14ac:dyDescent="0.25">
      <c r="A44" s="154" t="s">
        <v>1654</v>
      </c>
      <c r="B44" s="154">
        <v>15</v>
      </c>
      <c r="C44" s="152" t="s">
        <v>68</v>
      </c>
      <c r="D44" s="74" t="s">
        <v>8</v>
      </c>
      <c r="E44" s="228"/>
      <c r="F44" s="228" t="s">
        <v>1932</v>
      </c>
      <c r="G44" s="228"/>
      <c r="H44" s="228"/>
    </row>
    <row r="45" spans="1:8" x14ac:dyDescent="0.25">
      <c r="A45" s="533" t="s">
        <v>1676</v>
      </c>
      <c r="B45" s="15">
        <v>30</v>
      </c>
      <c r="C45" s="110"/>
      <c r="D45" s="228"/>
      <c r="E45" s="228"/>
      <c r="F45" s="228"/>
      <c r="G45" s="228"/>
      <c r="H45" s="228"/>
    </row>
    <row r="46" spans="1:8" x14ac:dyDescent="0.25">
      <c r="A46" s="153" t="s">
        <v>1658</v>
      </c>
      <c r="B46" s="153">
        <v>12</v>
      </c>
      <c r="C46" s="152" t="s">
        <v>76</v>
      </c>
      <c r="D46" s="74" t="s">
        <v>8</v>
      </c>
      <c r="E46" s="228"/>
      <c r="F46" s="228" t="s">
        <v>1938</v>
      </c>
      <c r="G46" s="228"/>
      <c r="H46" s="228"/>
    </row>
    <row r="47" spans="1:8" x14ac:dyDescent="0.25">
      <c r="A47" s="154" t="s">
        <v>1276</v>
      </c>
      <c r="B47" s="154">
        <v>10</v>
      </c>
      <c r="C47" s="152" t="s">
        <v>166</v>
      </c>
      <c r="D47" s="74" t="s">
        <v>8</v>
      </c>
      <c r="E47" s="228"/>
      <c r="F47" s="228" t="s">
        <v>2022</v>
      </c>
      <c r="G47" s="228"/>
      <c r="H47" s="228"/>
    </row>
    <row r="48" spans="1:8" x14ac:dyDescent="0.25">
      <c r="A48" s="153" t="s">
        <v>1615</v>
      </c>
      <c r="B48" s="153">
        <v>12</v>
      </c>
      <c r="C48" s="152" t="s">
        <v>24</v>
      </c>
      <c r="D48" s="74" t="s">
        <v>8</v>
      </c>
      <c r="E48" s="228"/>
      <c r="F48" s="228" t="s">
        <v>1877</v>
      </c>
      <c r="G48" s="228"/>
      <c r="H48" s="228"/>
    </row>
    <row r="49" spans="1:8" x14ac:dyDescent="0.25">
      <c r="A49" s="154" t="s">
        <v>1615</v>
      </c>
      <c r="B49" s="154">
        <v>12</v>
      </c>
      <c r="C49" s="152" t="s">
        <v>24</v>
      </c>
      <c r="D49" s="74" t="s">
        <v>8</v>
      </c>
      <c r="E49" s="228"/>
      <c r="F49" s="228" t="s">
        <v>1877</v>
      </c>
      <c r="G49" s="228"/>
      <c r="H49" s="228"/>
    </row>
    <row r="50" spans="1:8" x14ac:dyDescent="0.25">
      <c r="A50" s="154" t="s">
        <v>1659</v>
      </c>
      <c r="B50" s="154">
        <v>12</v>
      </c>
      <c r="C50" s="152" t="s">
        <v>26</v>
      </c>
      <c r="D50" s="74" t="s">
        <v>8</v>
      </c>
      <c r="E50" s="228"/>
      <c r="F50" s="228" t="s">
        <v>1878</v>
      </c>
      <c r="G50" s="228"/>
      <c r="H50" s="228"/>
    </row>
    <row r="51" spans="1:8" x14ac:dyDescent="0.25">
      <c r="A51" s="154" t="s">
        <v>159</v>
      </c>
      <c r="B51" s="154">
        <v>10</v>
      </c>
      <c r="C51" s="152" t="s">
        <v>160</v>
      </c>
      <c r="D51" s="74" t="s">
        <v>8</v>
      </c>
      <c r="E51" s="228"/>
      <c r="F51" s="228" t="s">
        <v>1880</v>
      </c>
      <c r="G51" s="228"/>
      <c r="H51" s="228"/>
    </row>
    <row r="52" spans="1:8" x14ac:dyDescent="0.25">
      <c r="A52" s="154" t="s">
        <v>600</v>
      </c>
      <c r="B52" s="154">
        <v>10</v>
      </c>
      <c r="C52" s="152" t="s">
        <v>601</v>
      </c>
      <c r="D52" s="74" t="s">
        <v>8</v>
      </c>
      <c r="E52" s="228"/>
      <c r="F52" s="228" t="s">
        <v>1754</v>
      </c>
      <c r="G52" s="228"/>
      <c r="H52" s="228"/>
    </row>
    <row r="53" spans="1:8" x14ac:dyDescent="0.25">
      <c r="A53" s="153" t="s">
        <v>600</v>
      </c>
      <c r="B53" s="154">
        <v>10</v>
      </c>
      <c r="C53" s="152" t="s">
        <v>601</v>
      </c>
      <c r="D53" s="74" t="s">
        <v>8</v>
      </c>
      <c r="E53" s="228"/>
      <c r="F53" s="228" t="s">
        <v>1754</v>
      </c>
      <c r="G53" s="228"/>
      <c r="H53" s="228"/>
    </row>
    <row r="54" spans="1:8" x14ac:dyDescent="0.25">
      <c r="A54" s="154" t="s">
        <v>600</v>
      </c>
      <c r="B54" s="154">
        <v>10</v>
      </c>
      <c r="C54" s="152" t="s">
        <v>601</v>
      </c>
      <c r="D54" s="74" t="s">
        <v>8</v>
      </c>
      <c r="E54" s="228"/>
      <c r="F54" s="228" t="s">
        <v>1754</v>
      </c>
      <c r="G54" s="228"/>
      <c r="H54" s="228"/>
    </row>
    <row r="55" spans="1:8" x14ac:dyDescent="0.25">
      <c r="A55" s="154" t="s">
        <v>600</v>
      </c>
      <c r="B55" s="154">
        <v>10</v>
      </c>
      <c r="C55" s="152" t="s">
        <v>601</v>
      </c>
      <c r="D55" s="74" t="s">
        <v>8</v>
      </c>
      <c r="E55" s="228"/>
      <c r="F55" s="228" t="s">
        <v>1754</v>
      </c>
      <c r="G55" s="228"/>
      <c r="H55" s="228"/>
    </row>
    <row r="56" spans="1:8" x14ac:dyDescent="0.25">
      <c r="A56" s="154" t="s">
        <v>600</v>
      </c>
      <c r="B56" s="154">
        <v>10</v>
      </c>
      <c r="C56" s="152" t="s">
        <v>601</v>
      </c>
      <c r="D56" s="74" t="s">
        <v>8</v>
      </c>
      <c r="E56" s="228"/>
      <c r="F56" s="228" t="s">
        <v>1754</v>
      </c>
      <c r="G56" s="228"/>
      <c r="H56" s="228"/>
    </row>
    <row r="57" spans="1:8" x14ac:dyDescent="0.25">
      <c r="A57" s="154" t="s">
        <v>703</v>
      </c>
      <c r="B57" s="154">
        <v>10</v>
      </c>
      <c r="C57" s="152" t="s">
        <v>601</v>
      </c>
      <c r="D57" s="74" t="s">
        <v>8</v>
      </c>
      <c r="E57" s="228"/>
      <c r="F57" s="228" t="s">
        <v>1754</v>
      </c>
      <c r="G57" s="228"/>
      <c r="H57" s="228"/>
    </row>
    <row r="58" spans="1:8" x14ac:dyDescent="0.25">
      <c r="A58" s="154" t="s">
        <v>602</v>
      </c>
      <c r="B58" s="154">
        <v>60</v>
      </c>
      <c r="C58" s="152" t="s">
        <v>33</v>
      </c>
      <c r="D58" s="74" t="s">
        <v>8</v>
      </c>
      <c r="E58" s="228"/>
      <c r="F58" s="228" t="s">
        <v>2119</v>
      </c>
      <c r="G58" s="228"/>
      <c r="H58" s="228"/>
    </row>
    <row r="59" spans="1:8" x14ac:dyDescent="0.25">
      <c r="A59" s="153" t="s">
        <v>602</v>
      </c>
      <c r="B59" s="154">
        <v>10</v>
      </c>
      <c r="C59" s="152" t="s">
        <v>33</v>
      </c>
      <c r="D59" s="74" t="s">
        <v>8</v>
      </c>
      <c r="E59" s="228"/>
      <c r="F59" s="228" t="s">
        <v>2119</v>
      </c>
      <c r="G59" s="228"/>
      <c r="H59" s="228"/>
    </row>
    <row r="60" spans="1:8" x14ac:dyDescent="0.25">
      <c r="A60" s="154" t="s">
        <v>602</v>
      </c>
      <c r="B60" s="154">
        <v>10</v>
      </c>
      <c r="C60" s="152" t="s">
        <v>33</v>
      </c>
      <c r="D60" s="74" t="s">
        <v>8</v>
      </c>
      <c r="E60" s="228"/>
      <c r="F60" s="228" t="s">
        <v>2119</v>
      </c>
      <c r="G60" s="228"/>
      <c r="H60" s="228"/>
    </row>
    <row r="61" spans="1:8" x14ac:dyDescent="0.25">
      <c r="A61" s="154" t="s">
        <v>602</v>
      </c>
      <c r="B61" s="154">
        <v>10</v>
      </c>
      <c r="C61" s="152" t="s">
        <v>33</v>
      </c>
      <c r="D61" s="74" t="s">
        <v>8</v>
      </c>
      <c r="E61" s="228"/>
      <c r="F61" s="577" t="s">
        <v>1753</v>
      </c>
      <c r="G61" s="228"/>
      <c r="H61" s="228"/>
    </row>
    <row r="62" spans="1:8" x14ac:dyDescent="0.25">
      <c r="A62" s="154" t="s">
        <v>704</v>
      </c>
      <c r="B62" s="154">
        <v>70</v>
      </c>
      <c r="C62" s="152" t="s">
        <v>33</v>
      </c>
      <c r="D62" s="74" t="s">
        <v>8</v>
      </c>
      <c r="E62" s="228"/>
      <c r="F62" s="228" t="s">
        <v>2119</v>
      </c>
      <c r="G62" s="228"/>
      <c r="H62" s="228"/>
    </row>
    <row r="63" spans="1:8" x14ac:dyDescent="0.25">
      <c r="A63" s="154" t="s">
        <v>705</v>
      </c>
      <c r="B63" s="154">
        <v>10</v>
      </c>
      <c r="C63" s="152" t="s">
        <v>36</v>
      </c>
      <c r="D63" s="74" t="s">
        <v>8</v>
      </c>
      <c r="E63" s="228"/>
      <c r="F63" s="228" t="s">
        <v>1881</v>
      </c>
      <c r="G63" s="228"/>
      <c r="H63" s="228"/>
    </row>
    <row r="64" spans="1:8" x14ac:dyDescent="0.25">
      <c r="A64" s="154" t="s">
        <v>1606</v>
      </c>
      <c r="B64" s="154">
        <v>12</v>
      </c>
      <c r="C64" s="152" t="s">
        <v>43</v>
      </c>
      <c r="D64" s="74" t="s">
        <v>8</v>
      </c>
      <c r="E64" s="228"/>
      <c r="F64" s="228" t="s">
        <v>1885</v>
      </c>
      <c r="G64" s="228"/>
      <c r="H64" s="228"/>
    </row>
    <row r="65" spans="1:9" x14ac:dyDescent="0.25">
      <c r="A65" s="153" t="s">
        <v>1606</v>
      </c>
      <c r="B65" s="154">
        <v>10</v>
      </c>
      <c r="C65" s="152" t="s">
        <v>43</v>
      </c>
      <c r="D65" s="74" t="s">
        <v>8</v>
      </c>
      <c r="E65" s="228"/>
      <c r="F65" s="228" t="s">
        <v>1885</v>
      </c>
      <c r="G65" s="228"/>
      <c r="H65" s="228"/>
    </row>
    <row r="66" spans="1:9" x14ac:dyDescent="0.25">
      <c r="A66" s="154" t="s">
        <v>1606</v>
      </c>
      <c r="B66" s="154">
        <v>10</v>
      </c>
      <c r="C66" s="152" t="s">
        <v>43</v>
      </c>
      <c r="D66" s="74" t="s">
        <v>8</v>
      </c>
      <c r="E66" s="228"/>
      <c r="F66" s="228" t="s">
        <v>1885</v>
      </c>
      <c r="G66" s="228"/>
      <c r="H66" s="228"/>
    </row>
    <row r="67" spans="1:9" x14ac:dyDescent="0.25">
      <c r="A67" s="154" t="s">
        <v>1606</v>
      </c>
      <c r="B67" s="154">
        <v>10</v>
      </c>
      <c r="C67" s="152" t="s">
        <v>43</v>
      </c>
      <c r="D67" s="74" t="s">
        <v>8</v>
      </c>
      <c r="E67" s="228"/>
      <c r="F67" s="326" t="s">
        <v>1885</v>
      </c>
      <c r="G67" s="228"/>
      <c r="H67" s="228"/>
    </row>
    <row r="68" spans="1:9" x14ac:dyDescent="0.25">
      <c r="A68" s="154" t="s">
        <v>706</v>
      </c>
      <c r="B68" s="154">
        <v>10</v>
      </c>
      <c r="C68" s="152" t="s">
        <v>678</v>
      </c>
      <c r="D68" s="74" t="s">
        <v>8</v>
      </c>
      <c r="E68" s="228"/>
      <c r="F68" s="228" t="s">
        <v>1887</v>
      </c>
      <c r="G68" s="228"/>
      <c r="H68" s="228"/>
    </row>
    <row r="69" spans="1:9" x14ac:dyDescent="0.25">
      <c r="A69" s="154" t="s">
        <v>308</v>
      </c>
      <c r="B69" s="154">
        <v>10</v>
      </c>
      <c r="C69" s="152">
        <v>957</v>
      </c>
      <c r="D69" s="74" t="s">
        <v>4</v>
      </c>
      <c r="E69" s="228"/>
      <c r="F69" s="228" t="s">
        <v>1895</v>
      </c>
      <c r="G69" s="228"/>
      <c r="H69" s="228"/>
    </row>
    <row r="70" spans="1:9" x14ac:dyDescent="0.25">
      <c r="A70" s="154" t="s">
        <v>1251</v>
      </c>
      <c r="B70" s="154">
        <v>10</v>
      </c>
      <c r="C70" s="152" t="s">
        <v>156</v>
      </c>
      <c r="D70" s="74" t="s">
        <v>8</v>
      </c>
      <c r="E70" s="228"/>
      <c r="F70" s="228" t="s">
        <v>1898</v>
      </c>
      <c r="G70" s="228"/>
      <c r="H70" s="228"/>
    </row>
    <row r="71" spans="1:9" x14ac:dyDescent="0.25">
      <c r="A71" s="532" t="s">
        <v>1660</v>
      </c>
      <c r="B71" s="154">
        <v>5</v>
      </c>
      <c r="C71" s="152" t="s">
        <v>559</v>
      </c>
      <c r="D71" s="74" t="s">
        <v>8</v>
      </c>
      <c r="E71" s="228"/>
      <c r="F71" s="326" t="s">
        <v>2153</v>
      </c>
      <c r="G71" s="228"/>
      <c r="H71" s="228"/>
      <c r="I71" t="s">
        <v>2120</v>
      </c>
    </row>
    <row r="72" spans="1:9" x14ac:dyDescent="0.25">
      <c r="A72" s="532" t="s">
        <v>1661</v>
      </c>
      <c r="B72" s="154">
        <v>10</v>
      </c>
      <c r="C72" s="152" t="s">
        <v>1165</v>
      </c>
      <c r="D72" s="74" t="s">
        <v>8</v>
      </c>
      <c r="E72" s="248"/>
      <c r="F72" s="326" t="s">
        <v>2153</v>
      </c>
      <c r="G72" s="228"/>
      <c r="H72" s="228"/>
    </row>
    <row r="73" spans="1:9" x14ac:dyDescent="0.25">
      <c r="A73" s="154" t="s">
        <v>52</v>
      </c>
      <c r="B73" s="65">
        <v>5</v>
      </c>
      <c r="C73" s="152" t="s">
        <v>53</v>
      </c>
      <c r="D73" s="74" t="s">
        <v>8</v>
      </c>
      <c r="E73" s="228"/>
      <c r="F73" s="300" t="s">
        <v>1900</v>
      </c>
      <c r="G73" s="228"/>
      <c r="H73" s="228"/>
    </row>
    <row r="74" spans="1:9" x14ac:dyDescent="0.25">
      <c r="A74" s="153" t="s">
        <v>1613</v>
      </c>
      <c r="B74" s="154">
        <v>10</v>
      </c>
      <c r="C74" s="152" t="s">
        <v>55</v>
      </c>
      <c r="D74" s="74" t="s">
        <v>8</v>
      </c>
      <c r="E74" s="228"/>
      <c r="F74" s="228" t="s">
        <v>1910</v>
      </c>
      <c r="G74" s="228"/>
      <c r="H74" s="228"/>
    </row>
    <row r="75" spans="1:9" x14ac:dyDescent="0.25">
      <c r="A75" s="154" t="s">
        <v>1613</v>
      </c>
      <c r="B75" s="154">
        <v>10</v>
      </c>
      <c r="C75" s="152" t="s">
        <v>55</v>
      </c>
      <c r="D75" s="74" t="s">
        <v>8</v>
      </c>
      <c r="E75" s="228"/>
      <c r="F75" s="326" t="s">
        <v>1910</v>
      </c>
      <c r="G75" s="228"/>
      <c r="H75" s="228"/>
    </row>
    <row r="76" spans="1:9" x14ac:dyDescent="0.25">
      <c r="A76" s="154" t="s">
        <v>54</v>
      </c>
      <c r="B76" s="154">
        <v>12</v>
      </c>
      <c r="C76" s="152" t="s">
        <v>55</v>
      </c>
      <c r="D76" s="74" t="s">
        <v>8</v>
      </c>
      <c r="E76" s="228"/>
      <c r="F76" s="228" t="s">
        <v>1910</v>
      </c>
      <c r="G76" s="228"/>
      <c r="H76" s="228"/>
    </row>
    <row r="77" spans="1:9" x14ac:dyDescent="0.25">
      <c r="A77" s="154" t="s">
        <v>338</v>
      </c>
      <c r="B77" s="154">
        <v>15</v>
      </c>
      <c r="C77" s="152" t="s">
        <v>66</v>
      </c>
      <c r="D77" s="74" t="s">
        <v>8</v>
      </c>
      <c r="E77" s="228"/>
      <c r="F77" s="228" t="s">
        <v>1931</v>
      </c>
      <c r="G77" s="228"/>
      <c r="H77" s="228"/>
    </row>
    <row r="78" spans="1:9" x14ac:dyDescent="0.25">
      <c r="A78" s="153" t="s">
        <v>1612</v>
      </c>
      <c r="B78" s="154">
        <v>10</v>
      </c>
      <c r="C78" s="152" t="s">
        <v>65</v>
      </c>
      <c r="D78" s="74" t="s">
        <v>8</v>
      </c>
      <c r="E78" s="228"/>
      <c r="F78" s="228" t="s">
        <v>1930</v>
      </c>
      <c r="G78" s="228"/>
      <c r="H78" s="228"/>
    </row>
    <row r="79" spans="1:9" x14ac:dyDescent="0.25">
      <c r="A79" s="153" t="s">
        <v>1259</v>
      </c>
      <c r="B79" s="153">
        <v>15</v>
      </c>
      <c r="C79" s="152" t="s">
        <v>68</v>
      </c>
      <c r="D79" s="74" t="s">
        <v>8</v>
      </c>
      <c r="E79" s="228"/>
      <c r="F79" s="228" t="s">
        <v>1933</v>
      </c>
      <c r="G79" s="228"/>
      <c r="H79" s="228"/>
    </row>
    <row r="80" spans="1:9" x14ac:dyDescent="0.25">
      <c r="A80" s="154" t="s">
        <v>75</v>
      </c>
      <c r="B80" s="154">
        <v>12</v>
      </c>
      <c r="C80" s="152" t="s">
        <v>76</v>
      </c>
      <c r="D80" s="74" t="s">
        <v>8</v>
      </c>
      <c r="E80" s="228"/>
      <c r="F80" s="228" t="s">
        <v>1938</v>
      </c>
      <c r="G80" s="228"/>
      <c r="H80" s="228"/>
    </row>
    <row r="81" spans="1:8" x14ac:dyDescent="0.25">
      <c r="A81" s="153" t="s">
        <v>1610</v>
      </c>
      <c r="B81" s="154">
        <v>10</v>
      </c>
      <c r="C81" s="152" t="s">
        <v>1611</v>
      </c>
      <c r="D81" s="74" t="s">
        <v>8</v>
      </c>
      <c r="E81" s="228"/>
      <c r="F81" s="228" t="s">
        <v>2121</v>
      </c>
      <c r="G81" s="228"/>
      <c r="H81" s="228"/>
    </row>
    <row r="82" spans="1:8" x14ac:dyDescent="0.25">
      <c r="A82" s="154" t="s">
        <v>708</v>
      </c>
      <c r="B82" s="154">
        <v>10</v>
      </c>
      <c r="C82" s="152" t="s">
        <v>24</v>
      </c>
      <c r="D82" s="74" t="s">
        <v>8</v>
      </c>
      <c r="E82" s="228"/>
      <c r="F82" s="228" t="s">
        <v>1877</v>
      </c>
      <c r="G82" s="228"/>
      <c r="H82" s="228"/>
    </row>
    <row r="83" spans="1:8" x14ac:dyDescent="0.25">
      <c r="A83" s="154" t="s">
        <v>709</v>
      </c>
      <c r="B83" s="154">
        <v>10</v>
      </c>
      <c r="C83" s="152" t="s">
        <v>26</v>
      </c>
      <c r="D83" s="74" t="s">
        <v>8</v>
      </c>
      <c r="E83" s="228"/>
      <c r="F83" s="228" t="s">
        <v>1878</v>
      </c>
      <c r="G83" s="228"/>
      <c r="H83" s="228"/>
    </row>
    <row r="84" spans="1:8" x14ac:dyDescent="0.25">
      <c r="A84" s="153" t="s">
        <v>1614</v>
      </c>
      <c r="B84" s="153">
        <v>12</v>
      </c>
      <c r="C84" s="152" t="s">
        <v>26</v>
      </c>
      <c r="D84" s="74" t="s">
        <v>8</v>
      </c>
      <c r="E84" s="228"/>
      <c r="F84" s="228" t="s">
        <v>1878</v>
      </c>
      <c r="G84" s="228"/>
      <c r="H84" s="228"/>
    </row>
    <row r="85" spans="1:8" x14ac:dyDescent="0.25">
      <c r="A85" s="153" t="s">
        <v>1035</v>
      </c>
      <c r="B85" s="154">
        <v>10</v>
      </c>
      <c r="C85" s="152" t="s">
        <v>711</v>
      </c>
      <c r="D85" s="74" t="s">
        <v>8</v>
      </c>
      <c r="E85" s="228"/>
      <c r="F85" s="228" t="s">
        <v>1945</v>
      </c>
      <c r="G85" s="228"/>
      <c r="H85" s="228"/>
    </row>
    <row r="86" spans="1:8" x14ac:dyDescent="0.25">
      <c r="A86" s="154" t="s">
        <v>1035</v>
      </c>
      <c r="B86" s="154">
        <v>10</v>
      </c>
      <c r="C86" s="152" t="s">
        <v>711</v>
      </c>
      <c r="D86" s="74" t="s">
        <v>8</v>
      </c>
      <c r="E86" s="228"/>
      <c r="F86" s="228" t="s">
        <v>1945</v>
      </c>
      <c r="G86" s="228"/>
      <c r="H86" s="228"/>
    </row>
    <row r="87" spans="1:8" x14ac:dyDescent="0.25">
      <c r="A87" s="154" t="s">
        <v>710</v>
      </c>
      <c r="B87" s="154">
        <v>12</v>
      </c>
      <c r="C87" s="152" t="s">
        <v>711</v>
      </c>
      <c r="D87" s="74" t="s">
        <v>8</v>
      </c>
      <c r="E87" s="228"/>
      <c r="F87" s="228" t="s">
        <v>1945</v>
      </c>
      <c r="G87" s="228"/>
      <c r="H87" s="228"/>
    </row>
    <row r="88" spans="1:8" x14ac:dyDescent="0.25">
      <c r="A88" s="153" t="s">
        <v>1662</v>
      </c>
      <c r="B88" s="154">
        <v>10</v>
      </c>
      <c r="C88" s="152" t="s">
        <v>711</v>
      </c>
      <c r="D88" s="74" t="s">
        <v>8</v>
      </c>
      <c r="E88" s="228"/>
      <c r="F88" s="504" t="s">
        <v>1945</v>
      </c>
      <c r="G88" s="228"/>
      <c r="H88" s="228"/>
    </row>
    <row r="89" spans="1:8" x14ac:dyDescent="0.25">
      <c r="A89" s="154" t="s">
        <v>712</v>
      </c>
      <c r="B89" s="154">
        <v>10</v>
      </c>
      <c r="C89" s="152" t="s">
        <v>713</v>
      </c>
      <c r="D89" s="74" t="s">
        <v>8</v>
      </c>
      <c r="E89" s="228"/>
      <c r="F89" s="228" t="s">
        <v>2122</v>
      </c>
      <c r="G89" s="228"/>
      <c r="H89" s="228"/>
    </row>
    <row r="90" spans="1:8" x14ac:dyDescent="0.25">
      <c r="A90" s="154" t="s">
        <v>714</v>
      </c>
      <c r="B90" s="154">
        <v>10</v>
      </c>
      <c r="C90" s="152" t="s">
        <v>88</v>
      </c>
      <c r="D90" s="74" t="s">
        <v>8</v>
      </c>
      <c r="E90" s="228"/>
      <c r="F90" s="228" t="s">
        <v>1960</v>
      </c>
      <c r="G90" s="228"/>
      <c r="H90" s="228"/>
    </row>
    <row r="91" spans="1:8" x14ac:dyDescent="0.25">
      <c r="A91" s="154" t="s">
        <v>1655</v>
      </c>
      <c r="B91" s="154">
        <v>10</v>
      </c>
      <c r="C91" s="152" t="s">
        <v>111</v>
      </c>
      <c r="D91" s="74" t="s">
        <v>8</v>
      </c>
      <c r="E91" s="228"/>
      <c r="F91" s="228" t="s">
        <v>1965</v>
      </c>
      <c r="G91" s="228"/>
      <c r="H91" s="228"/>
    </row>
    <row r="92" spans="1:8" x14ac:dyDescent="0.25">
      <c r="A92" s="154" t="s">
        <v>1655</v>
      </c>
      <c r="B92" s="154">
        <v>10</v>
      </c>
      <c r="C92" s="152" t="s">
        <v>111</v>
      </c>
      <c r="D92" s="74" t="s">
        <v>8</v>
      </c>
      <c r="E92" s="228"/>
      <c r="F92" s="228" t="s">
        <v>1965</v>
      </c>
      <c r="G92" s="228"/>
      <c r="H92" s="228"/>
    </row>
    <row r="93" spans="1:8" x14ac:dyDescent="0.25">
      <c r="A93" s="154" t="s">
        <v>1607</v>
      </c>
      <c r="B93" s="154">
        <v>10</v>
      </c>
      <c r="C93" s="152" t="s">
        <v>111</v>
      </c>
      <c r="D93" s="74" t="s">
        <v>8</v>
      </c>
      <c r="E93" s="228"/>
      <c r="F93" s="228" t="s">
        <v>1965</v>
      </c>
      <c r="G93" s="228"/>
      <c r="H93" s="228"/>
    </row>
    <row r="94" spans="1:8" x14ac:dyDescent="0.25">
      <c r="A94" s="153" t="s">
        <v>1663</v>
      </c>
      <c r="B94" s="153">
        <v>5</v>
      </c>
      <c r="C94" s="152" t="s">
        <v>252</v>
      </c>
      <c r="D94" s="74" t="s">
        <v>8</v>
      </c>
      <c r="E94" s="228"/>
      <c r="F94" s="504" t="s">
        <v>1947</v>
      </c>
      <c r="G94" s="228"/>
      <c r="H94" s="228"/>
    </row>
    <row r="95" spans="1:8" x14ac:dyDescent="0.25">
      <c r="A95" s="535" t="s">
        <v>1664</v>
      </c>
      <c r="B95" s="153">
        <v>10</v>
      </c>
      <c r="C95" s="152" t="s">
        <v>1165</v>
      </c>
      <c r="D95" s="74" t="s">
        <v>8</v>
      </c>
      <c r="E95" s="248"/>
      <c r="F95" s="504" t="s">
        <v>2153</v>
      </c>
      <c r="G95" s="228"/>
      <c r="H95" s="228"/>
    </row>
    <row r="96" spans="1:8" x14ac:dyDescent="0.25">
      <c r="A96" s="535" t="s">
        <v>1665</v>
      </c>
      <c r="B96" s="153">
        <v>10</v>
      </c>
      <c r="C96" s="152" t="s">
        <v>1165</v>
      </c>
      <c r="D96" s="74" t="s">
        <v>8</v>
      </c>
      <c r="E96" s="248"/>
      <c r="F96" s="504" t="s">
        <v>2153</v>
      </c>
      <c r="G96" s="228"/>
      <c r="H96" s="228"/>
    </row>
    <row r="97" spans="1:8" x14ac:dyDescent="0.25">
      <c r="A97" s="154" t="s">
        <v>1657</v>
      </c>
      <c r="B97" s="154">
        <v>10</v>
      </c>
      <c r="C97" s="152" t="s">
        <v>665</v>
      </c>
      <c r="D97" s="74" t="s">
        <v>8</v>
      </c>
      <c r="E97" s="248"/>
      <c r="F97" s="25" t="s">
        <v>2123</v>
      </c>
      <c r="G97" s="228"/>
      <c r="H97" s="228"/>
    </row>
    <row r="98" spans="1:8" x14ac:dyDescent="0.25">
      <c r="A98" s="153" t="s">
        <v>1608</v>
      </c>
      <c r="B98" s="154">
        <v>10</v>
      </c>
      <c r="C98" s="152" t="s">
        <v>1609</v>
      </c>
      <c r="D98" s="74" t="s">
        <v>8</v>
      </c>
      <c r="E98" s="248"/>
      <c r="F98" s="153" t="s">
        <v>1991</v>
      </c>
      <c r="G98" s="228"/>
      <c r="H98" s="228"/>
    </row>
    <row r="99" spans="1:8" x14ac:dyDescent="0.25">
      <c r="A99" s="153" t="s">
        <v>1608</v>
      </c>
      <c r="B99" s="153">
        <v>18</v>
      </c>
      <c r="C99" s="152" t="s">
        <v>1609</v>
      </c>
      <c r="D99" s="74" t="s">
        <v>8</v>
      </c>
      <c r="E99" s="248"/>
      <c r="F99" s="153" t="s">
        <v>1991</v>
      </c>
      <c r="G99" s="228"/>
      <c r="H99" s="228"/>
    </row>
    <row r="100" spans="1:8" x14ac:dyDescent="0.25">
      <c r="A100" s="154" t="s">
        <v>1666</v>
      </c>
      <c r="B100" s="154">
        <v>6</v>
      </c>
      <c r="C100" s="152" t="s">
        <v>1165</v>
      </c>
      <c r="D100" s="74" t="s">
        <v>8</v>
      </c>
      <c r="E100" s="248"/>
      <c r="F100" s="154" t="s">
        <v>1992</v>
      </c>
      <c r="G100" s="228"/>
      <c r="H100" s="228"/>
    </row>
    <row r="101" spans="1:8" x14ac:dyDescent="0.25">
      <c r="A101" s="154" t="s">
        <v>1604</v>
      </c>
      <c r="B101" s="154">
        <v>50</v>
      </c>
      <c r="C101" s="152" t="s">
        <v>1605</v>
      </c>
      <c r="D101" s="74" t="s">
        <v>8</v>
      </c>
      <c r="E101" s="228"/>
      <c r="F101" s="15" t="s">
        <v>1867</v>
      </c>
      <c r="G101" s="228"/>
      <c r="H101" s="228"/>
    </row>
    <row r="102" spans="1:8" x14ac:dyDescent="0.25">
      <c r="A102" s="154" t="s">
        <v>1604</v>
      </c>
      <c r="B102" s="154">
        <v>10</v>
      </c>
      <c r="C102" s="152" t="s">
        <v>1605</v>
      </c>
      <c r="D102" s="74" t="s">
        <v>8</v>
      </c>
      <c r="E102" s="228"/>
      <c r="F102" s="15" t="s">
        <v>1867</v>
      </c>
      <c r="G102" s="228"/>
      <c r="H102" s="228"/>
    </row>
    <row r="103" spans="1:8" x14ac:dyDescent="0.25">
      <c r="A103" s="154" t="s">
        <v>1667</v>
      </c>
      <c r="B103" s="154">
        <v>5</v>
      </c>
      <c r="C103" s="152" t="s">
        <v>522</v>
      </c>
      <c r="D103" s="74" t="s">
        <v>8</v>
      </c>
      <c r="E103" s="228"/>
      <c r="F103" s="154" t="s">
        <v>1998</v>
      </c>
      <c r="G103" s="228"/>
      <c r="H103" s="228"/>
    </row>
    <row r="104" spans="1:8" x14ac:dyDescent="0.25">
      <c r="A104" s="153" t="s">
        <v>1668</v>
      </c>
      <c r="B104" s="153">
        <v>16</v>
      </c>
      <c r="C104" s="152" t="s">
        <v>1669</v>
      </c>
      <c r="D104" s="74" t="s">
        <v>8</v>
      </c>
      <c r="E104" s="228"/>
      <c r="F104" s="19" t="s">
        <v>1993</v>
      </c>
      <c r="G104" s="228"/>
      <c r="H104" s="228"/>
    </row>
    <row r="105" spans="1:8" x14ac:dyDescent="0.25">
      <c r="A105" s="154" t="s">
        <v>1026</v>
      </c>
      <c r="B105" s="154">
        <v>30</v>
      </c>
      <c r="C105" s="152" t="s">
        <v>667</v>
      </c>
      <c r="D105" s="74" t="s">
        <v>8</v>
      </c>
      <c r="E105" s="228"/>
      <c r="F105" s="15" t="s">
        <v>1993</v>
      </c>
      <c r="G105" s="228"/>
      <c r="H105" s="228"/>
    </row>
    <row r="106" spans="1:8" x14ac:dyDescent="0.25">
      <c r="A106" s="154" t="s">
        <v>1026</v>
      </c>
      <c r="B106" s="154">
        <v>10</v>
      </c>
      <c r="C106" s="152" t="s">
        <v>667</v>
      </c>
      <c r="D106" s="74" t="s">
        <v>8</v>
      </c>
      <c r="E106" s="228"/>
      <c r="F106" s="15" t="s">
        <v>1993</v>
      </c>
      <c r="G106" s="228"/>
      <c r="H106" s="228"/>
    </row>
    <row r="107" spans="1:8" x14ac:dyDescent="0.25">
      <c r="A107" s="154" t="s">
        <v>1026</v>
      </c>
      <c r="B107" s="154">
        <v>10</v>
      </c>
      <c r="C107" s="152" t="s">
        <v>667</v>
      </c>
      <c r="D107" s="74" t="s">
        <v>8</v>
      </c>
      <c r="E107" s="228"/>
      <c r="F107" s="15" t="s">
        <v>1993</v>
      </c>
      <c r="G107" s="228"/>
      <c r="H107" s="228"/>
    </row>
    <row r="108" spans="1:8" x14ac:dyDescent="0.25">
      <c r="A108" s="154" t="s">
        <v>1026</v>
      </c>
      <c r="B108" s="154">
        <v>10</v>
      </c>
      <c r="C108" s="152" t="s">
        <v>667</v>
      </c>
      <c r="D108" s="74" t="s">
        <v>8</v>
      </c>
      <c r="E108" s="228"/>
      <c r="F108" s="15" t="s">
        <v>1993</v>
      </c>
      <c r="G108" s="228"/>
      <c r="H108" s="228"/>
    </row>
    <row r="109" spans="1:8" x14ac:dyDescent="0.25">
      <c r="A109" s="154" t="s">
        <v>1026</v>
      </c>
      <c r="B109" s="154">
        <v>10</v>
      </c>
      <c r="C109" s="152" t="s">
        <v>667</v>
      </c>
      <c r="D109" s="74" t="s">
        <v>8</v>
      </c>
      <c r="E109" s="228"/>
      <c r="F109" s="15" t="s">
        <v>1993</v>
      </c>
      <c r="G109" s="228"/>
      <c r="H109" s="228"/>
    </row>
    <row r="110" spans="1:8" x14ac:dyDescent="0.25">
      <c r="A110" s="154" t="s">
        <v>716</v>
      </c>
      <c r="B110" s="154">
        <v>10</v>
      </c>
      <c r="C110" s="152" t="s">
        <v>665</v>
      </c>
      <c r="D110" s="74" t="s">
        <v>8</v>
      </c>
      <c r="E110" s="228"/>
      <c r="F110" s="15" t="s">
        <v>1993</v>
      </c>
      <c r="G110" s="228"/>
      <c r="H110" s="228"/>
    </row>
    <row r="111" spans="1:8" x14ac:dyDescent="0.25">
      <c r="A111" s="154" t="s">
        <v>717</v>
      </c>
      <c r="B111" s="154">
        <v>10</v>
      </c>
      <c r="C111" s="152" t="s">
        <v>665</v>
      </c>
      <c r="D111" s="74" t="s">
        <v>8</v>
      </c>
      <c r="E111" s="228"/>
      <c r="F111" s="15" t="s">
        <v>2000</v>
      </c>
      <c r="G111" s="228"/>
      <c r="H111" s="228"/>
    </row>
    <row r="112" spans="1:8" x14ac:dyDescent="0.25">
      <c r="A112" s="505" t="s">
        <v>632</v>
      </c>
      <c r="B112" s="506">
        <v>10</v>
      </c>
      <c r="C112" s="487" t="s">
        <v>633</v>
      </c>
      <c r="D112" s="311" t="s">
        <v>8</v>
      </c>
      <c r="E112" s="267"/>
      <c r="F112" s="507" t="s">
        <v>2002</v>
      </c>
      <c r="G112" s="267"/>
      <c r="H112" s="267"/>
    </row>
    <row r="113" spans="1:8" x14ac:dyDescent="0.25">
      <c r="A113" s="504" t="s">
        <v>632</v>
      </c>
      <c r="B113" s="504">
        <v>20</v>
      </c>
      <c r="C113" s="74" t="s">
        <v>633</v>
      </c>
      <c r="D113" s="74" t="s">
        <v>8</v>
      </c>
      <c r="E113" s="228"/>
      <c r="F113" s="504" t="s">
        <v>2002</v>
      </c>
      <c r="G113" s="228"/>
      <c r="H113" s="228"/>
    </row>
    <row r="114" spans="1:8" x14ac:dyDescent="0.25">
      <c r="A114" s="326" t="s">
        <v>718</v>
      </c>
      <c r="B114" s="326">
        <v>10</v>
      </c>
      <c r="C114" s="74" t="s">
        <v>633</v>
      </c>
      <c r="D114" s="74" t="s">
        <v>8</v>
      </c>
      <c r="E114" s="228"/>
      <c r="F114" s="504" t="s">
        <v>2002</v>
      </c>
      <c r="G114" s="228"/>
      <c r="H114" s="228"/>
    </row>
    <row r="115" spans="1:8" x14ac:dyDescent="0.25">
      <c r="A115" s="326" t="s">
        <v>719</v>
      </c>
      <c r="B115" s="326">
        <v>10</v>
      </c>
      <c r="C115" s="74" t="s">
        <v>516</v>
      </c>
      <c r="D115" s="74" t="s">
        <v>8</v>
      </c>
      <c r="E115" s="228"/>
      <c r="F115" s="228" t="s">
        <v>1995</v>
      </c>
      <c r="G115" s="228"/>
      <c r="H115" s="228"/>
    </row>
    <row r="116" spans="1:8" x14ac:dyDescent="0.25">
      <c r="A116" s="326" t="s">
        <v>929</v>
      </c>
      <c r="B116" s="326">
        <v>10</v>
      </c>
      <c r="C116" s="74" t="s">
        <v>1603</v>
      </c>
      <c r="D116" s="74" t="s">
        <v>8</v>
      </c>
      <c r="E116" s="228"/>
      <c r="F116" s="228" t="s">
        <v>2124</v>
      </c>
      <c r="G116" s="228"/>
      <c r="H116" s="228"/>
    </row>
    <row r="117" spans="1:8" x14ac:dyDescent="0.25">
      <c r="A117" s="326" t="s">
        <v>99</v>
      </c>
      <c r="B117" s="326">
        <v>10</v>
      </c>
      <c r="C117" s="74" t="s">
        <v>351</v>
      </c>
      <c r="D117" s="74" t="s">
        <v>8</v>
      </c>
      <c r="E117" s="228"/>
      <c r="F117" s="228" t="s">
        <v>2006</v>
      </c>
      <c r="G117" s="228"/>
      <c r="H117" s="228"/>
    </row>
    <row r="118" spans="1:8" x14ac:dyDescent="0.25">
      <c r="A118" s="326" t="s">
        <v>1670</v>
      </c>
      <c r="B118" s="326">
        <v>30</v>
      </c>
      <c r="C118" s="74" t="s">
        <v>1605</v>
      </c>
      <c r="D118" s="74" t="s">
        <v>8</v>
      </c>
      <c r="E118" s="228"/>
      <c r="F118" s="326" t="s">
        <v>1867</v>
      </c>
      <c r="G118" s="228"/>
      <c r="H118" s="228"/>
    </row>
  </sheetData>
  <autoFilter ref="A1:D118" xr:uid="{A81BE15F-4E37-429E-85A6-C9862041A251}"/>
  <sortState xmlns:xlrd2="http://schemas.microsoft.com/office/spreadsheetml/2017/richdata2" ref="A2:H119">
    <sortCondition ref="A1:A119"/>
  </sortState>
  <phoneticPr fontId="3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13F7-1FC0-4CC9-BEA0-C60E90E5FEAF}">
  <sheetPr codeName="Planilha48">
    <tabColor rgb="FF92D050"/>
  </sheetPr>
  <dimension ref="A1:G38"/>
  <sheetViews>
    <sheetView workbookViewId="0">
      <pane ySplit="1" topLeftCell="A2" activePane="bottomLeft" state="frozen"/>
      <selection activeCell="A53" sqref="A53"/>
      <selection pane="bottomLeft" activeCell="E2" sqref="E2"/>
    </sheetView>
  </sheetViews>
  <sheetFormatPr defaultRowHeight="15" x14ac:dyDescent="0.25"/>
  <cols>
    <col min="1" max="1" width="32.28515625" customWidth="1"/>
    <col min="2" max="2" width="15.140625" customWidth="1"/>
    <col min="3" max="3" width="20.85546875" customWidth="1"/>
    <col min="4" max="4" width="12.42578125" bestFit="1" customWidth="1"/>
    <col min="5" max="5" width="12.85546875" style="43" bestFit="1" customWidth="1"/>
  </cols>
  <sheetData>
    <row r="1" spans="1:7" ht="15.75" x14ac:dyDescent="0.25">
      <c r="A1" s="280" t="s">
        <v>0</v>
      </c>
      <c r="B1" s="97" t="s">
        <v>1677</v>
      </c>
      <c r="C1" s="102" t="s">
        <v>1678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281" t="s">
        <v>1679</v>
      </c>
      <c r="B2" s="208">
        <v>5</v>
      </c>
      <c r="C2" s="284" t="s">
        <v>1680</v>
      </c>
      <c r="D2" s="228"/>
      <c r="E2" s="540" t="s">
        <v>2131</v>
      </c>
      <c r="F2" s="228"/>
      <c r="G2" s="228"/>
    </row>
    <row r="3" spans="1:7" x14ac:dyDescent="0.25">
      <c r="A3" s="282" t="s">
        <v>1681</v>
      </c>
      <c r="B3" s="285">
        <v>1</v>
      </c>
      <c r="C3" s="286"/>
      <c r="D3" s="228"/>
      <c r="E3" s="540"/>
      <c r="F3" s="228"/>
      <c r="G3" s="228"/>
    </row>
    <row r="4" spans="1:7" x14ac:dyDescent="0.25">
      <c r="A4" s="283" t="s">
        <v>1682</v>
      </c>
      <c r="B4" s="208">
        <v>1</v>
      </c>
      <c r="C4" s="284" t="s">
        <v>1680</v>
      </c>
      <c r="D4" s="228"/>
      <c r="E4" s="540" t="s">
        <v>2131</v>
      </c>
      <c r="F4" s="228"/>
      <c r="G4" s="228"/>
    </row>
    <row r="5" spans="1:7" x14ac:dyDescent="0.25">
      <c r="A5" s="283" t="s">
        <v>1683</v>
      </c>
      <c r="B5" s="208">
        <v>10</v>
      </c>
      <c r="C5" s="210" t="s">
        <v>1684</v>
      </c>
      <c r="D5" s="228"/>
      <c r="E5" s="540" t="s">
        <v>2132</v>
      </c>
      <c r="F5" s="228"/>
      <c r="G5" s="228"/>
    </row>
    <row r="6" spans="1:7" x14ac:dyDescent="0.25">
      <c r="A6" s="283" t="s">
        <v>1685</v>
      </c>
      <c r="B6" s="208">
        <v>1</v>
      </c>
      <c r="C6" s="210" t="s">
        <v>1686</v>
      </c>
      <c r="D6" s="228"/>
      <c r="E6" s="540" t="s">
        <v>2134</v>
      </c>
      <c r="F6" s="228"/>
      <c r="G6" s="228"/>
    </row>
    <row r="7" spans="1:7" x14ac:dyDescent="0.25">
      <c r="A7" s="283" t="s">
        <v>1687</v>
      </c>
      <c r="B7" s="208">
        <v>2</v>
      </c>
      <c r="C7" s="284" t="s">
        <v>1680</v>
      </c>
      <c r="D7" s="228"/>
      <c r="E7" s="540" t="s">
        <v>2131</v>
      </c>
      <c r="F7" s="228"/>
      <c r="G7" s="228"/>
    </row>
    <row r="8" spans="1:7" x14ac:dyDescent="0.25">
      <c r="A8" s="283" t="s">
        <v>1688</v>
      </c>
      <c r="B8" s="208">
        <v>1</v>
      </c>
      <c r="C8" s="284" t="s">
        <v>1680</v>
      </c>
      <c r="D8" s="228"/>
      <c r="E8" s="540" t="s">
        <v>2131</v>
      </c>
      <c r="F8" s="228"/>
      <c r="G8" s="228"/>
    </row>
    <row r="9" spans="1:7" x14ac:dyDescent="0.25">
      <c r="A9" s="283" t="s">
        <v>1689</v>
      </c>
      <c r="B9" s="208">
        <v>2</v>
      </c>
      <c r="C9" s="284" t="s">
        <v>1680</v>
      </c>
      <c r="D9" s="228"/>
      <c r="E9" s="540" t="s">
        <v>2131</v>
      </c>
      <c r="F9" s="228"/>
      <c r="G9" s="228"/>
    </row>
    <row r="10" spans="1:7" x14ac:dyDescent="0.25">
      <c r="A10" s="283" t="s">
        <v>1690</v>
      </c>
      <c r="B10" s="208">
        <v>1</v>
      </c>
      <c r="C10" s="210" t="s">
        <v>697</v>
      </c>
      <c r="D10" s="228"/>
      <c r="E10" s="540" t="s">
        <v>2135</v>
      </c>
      <c r="F10" s="228"/>
      <c r="G10" s="228"/>
    </row>
    <row r="11" spans="1:7" x14ac:dyDescent="0.25">
      <c r="A11" s="283" t="s">
        <v>1691</v>
      </c>
      <c r="B11" s="208">
        <v>2</v>
      </c>
      <c r="C11" s="284" t="s">
        <v>1680</v>
      </c>
      <c r="D11" s="228"/>
      <c r="E11" s="540" t="s">
        <v>2131</v>
      </c>
      <c r="F11" s="228"/>
      <c r="G11" s="228"/>
    </row>
    <row r="12" spans="1:7" x14ac:dyDescent="0.25">
      <c r="A12" s="283" t="s">
        <v>1692</v>
      </c>
      <c r="B12" s="208">
        <v>6</v>
      </c>
      <c r="C12" s="284" t="s">
        <v>1680</v>
      </c>
      <c r="D12" s="228"/>
      <c r="E12" s="540" t="s">
        <v>2131</v>
      </c>
      <c r="F12" s="228"/>
      <c r="G12" s="228"/>
    </row>
    <row r="13" spans="1:7" x14ac:dyDescent="0.25">
      <c r="A13" s="283" t="s">
        <v>1693</v>
      </c>
      <c r="B13" s="208">
        <v>15</v>
      </c>
      <c r="C13" s="210" t="s">
        <v>1686</v>
      </c>
      <c r="D13" s="228"/>
      <c r="E13" s="540" t="s">
        <v>2134</v>
      </c>
      <c r="F13" s="228"/>
      <c r="G13" s="228"/>
    </row>
    <row r="14" spans="1:7" x14ac:dyDescent="0.25">
      <c r="A14" s="283" t="s">
        <v>1694</v>
      </c>
      <c r="B14" s="208">
        <v>1</v>
      </c>
      <c r="C14" s="284" t="s">
        <v>1680</v>
      </c>
      <c r="D14" s="228"/>
      <c r="E14" s="540" t="s">
        <v>2131</v>
      </c>
      <c r="F14" s="228"/>
      <c r="G14" s="228"/>
    </row>
    <row r="15" spans="1:7" x14ac:dyDescent="0.25">
      <c r="A15" s="283" t="s">
        <v>1695</v>
      </c>
      <c r="B15" s="208">
        <v>1</v>
      </c>
      <c r="C15" s="284" t="s">
        <v>1680</v>
      </c>
      <c r="D15" s="228"/>
      <c r="E15" s="540" t="s">
        <v>2131</v>
      </c>
      <c r="F15" s="228"/>
      <c r="G15" s="228"/>
    </row>
    <row r="16" spans="1:7" x14ac:dyDescent="0.25">
      <c r="A16" s="283" t="s">
        <v>1696</v>
      </c>
      <c r="B16" s="208">
        <v>2</v>
      </c>
      <c r="C16" s="284" t="s">
        <v>1680</v>
      </c>
      <c r="D16" s="228"/>
      <c r="E16" s="540" t="s">
        <v>2131</v>
      </c>
      <c r="F16" s="228"/>
      <c r="G16" s="228"/>
    </row>
    <row r="17" spans="1:7" x14ac:dyDescent="0.25">
      <c r="A17" s="283" t="s">
        <v>1697</v>
      </c>
      <c r="B17" s="208">
        <v>1</v>
      </c>
      <c r="C17" s="284" t="s">
        <v>1680</v>
      </c>
      <c r="D17" s="228"/>
      <c r="E17" s="540" t="s">
        <v>2131</v>
      </c>
      <c r="F17" s="228"/>
      <c r="G17" s="228"/>
    </row>
    <row r="18" spans="1:7" x14ac:dyDescent="0.25">
      <c r="A18" s="283" t="s">
        <v>1698</v>
      </c>
      <c r="B18" s="208">
        <v>1</v>
      </c>
      <c r="C18" s="210" t="s">
        <v>1686</v>
      </c>
      <c r="D18" s="228"/>
      <c r="E18" s="540" t="s">
        <v>2134</v>
      </c>
      <c r="F18" s="228"/>
      <c r="G18" s="228"/>
    </row>
    <row r="19" spans="1:7" x14ac:dyDescent="0.25">
      <c r="A19" s="282" t="s">
        <v>1699</v>
      </c>
      <c r="B19" s="285">
        <v>3</v>
      </c>
      <c r="C19" s="287"/>
      <c r="D19" s="228"/>
      <c r="E19" s="540"/>
      <c r="F19" s="228"/>
      <c r="G19" s="228"/>
    </row>
    <row r="20" spans="1:7" x14ac:dyDescent="0.25">
      <c r="A20" s="283" t="s">
        <v>1700</v>
      </c>
      <c r="B20" s="208">
        <v>32</v>
      </c>
      <c r="C20" s="210" t="s">
        <v>1701</v>
      </c>
      <c r="D20" s="228"/>
      <c r="E20" s="540" t="s">
        <v>2136</v>
      </c>
      <c r="F20" s="228"/>
      <c r="G20" s="228"/>
    </row>
    <row r="21" spans="1:7" x14ac:dyDescent="0.25">
      <c r="A21" s="283" t="s">
        <v>1702</v>
      </c>
      <c r="B21" s="208">
        <v>5</v>
      </c>
      <c r="C21" s="210" t="s">
        <v>697</v>
      </c>
      <c r="D21" s="228"/>
      <c r="E21" s="540" t="s">
        <v>2135</v>
      </c>
      <c r="F21" s="228"/>
      <c r="G21" s="228"/>
    </row>
    <row r="22" spans="1:7" x14ac:dyDescent="0.25">
      <c r="A22" s="283" t="s">
        <v>1703</v>
      </c>
      <c r="B22" s="208">
        <v>2</v>
      </c>
      <c r="C22" s="210" t="s">
        <v>1704</v>
      </c>
      <c r="D22" s="228"/>
      <c r="E22" s="540" t="s">
        <v>2133</v>
      </c>
      <c r="F22" s="228"/>
      <c r="G22" s="228"/>
    </row>
    <row r="23" spans="1:7" x14ac:dyDescent="0.25">
      <c r="A23" s="283" t="s">
        <v>1705</v>
      </c>
      <c r="B23" s="208">
        <v>2</v>
      </c>
      <c r="C23" s="210" t="s">
        <v>1686</v>
      </c>
      <c r="D23" s="228"/>
      <c r="E23" s="540" t="s">
        <v>2134</v>
      </c>
      <c r="F23" s="228"/>
      <c r="G23" s="228"/>
    </row>
    <row r="24" spans="1:7" x14ac:dyDescent="0.25">
      <c r="A24" s="283" t="s">
        <v>1706</v>
      </c>
      <c r="B24" s="208">
        <v>2</v>
      </c>
      <c r="C24" s="210" t="s">
        <v>1686</v>
      </c>
      <c r="D24" s="228"/>
      <c r="E24" s="540" t="s">
        <v>2134</v>
      </c>
      <c r="F24" s="228"/>
      <c r="G24" s="228"/>
    </row>
    <row r="25" spans="1:7" x14ac:dyDescent="0.25">
      <c r="A25" s="283" t="s">
        <v>1707</v>
      </c>
      <c r="B25" s="208">
        <v>1</v>
      </c>
      <c r="C25" s="210" t="s">
        <v>1686</v>
      </c>
      <c r="D25" s="228"/>
      <c r="E25" s="540" t="s">
        <v>2134</v>
      </c>
      <c r="F25" s="228"/>
      <c r="G25" s="228"/>
    </row>
    <row r="26" spans="1:7" x14ac:dyDescent="0.25">
      <c r="A26" s="283" t="s">
        <v>1708</v>
      </c>
      <c r="B26" s="208">
        <v>1</v>
      </c>
      <c r="C26" s="210" t="s">
        <v>1686</v>
      </c>
      <c r="D26" s="228"/>
      <c r="E26" s="540" t="s">
        <v>2134</v>
      </c>
      <c r="F26" s="228"/>
      <c r="G26" s="228"/>
    </row>
    <row r="27" spans="1:7" x14ac:dyDescent="0.25">
      <c r="A27" s="283" t="s">
        <v>1709</v>
      </c>
      <c r="B27" s="208">
        <v>1</v>
      </c>
      <c r="C27" s="210" t="s">
        <v>1704</v>
      </c>
      <c r="D27" s="228"/>
      <c r="E27" s="540" t="s">
        <v>2133</v>
      </c>
      <c r="F27" s="228"/>
      <c r="G27" s="228"/>
    </row>
    <row r="28" spans="1:7" x14ac:dyDescent="0.25">
      <c r="A28" s="283" t="s">
        <v>1710</v>
      </c>
      <c r="B28" s="208">
        <v>1</v>
      </c>
      <c r="C28" s="210" t="s">
        <v>1704</v>
      </c>
      <c r="D28" s="228"/>
      <c r="E28" s="540" t="s">
        <v>2133</v>
      </c>
      <c r="F28" s="228"/>
      <c r="G28" s="228"/>
    </row>
    <row r="29" spans="1:7" x14ac:dyDescent="0.25">
      <c r="A29" s="283" t="s">
        <v>1711</v>
      </c>
      <c r="B29" s="208">
        <v>10</v>
      </c>
      <c r="C29" s="284" t="s">
        <v>1680</v>
      </c>
      <c r="D29" s="228"/>
      <c r="E29" s="540" t="s">
        <v>2131</v>
      </c>
      <c r="F29" s="228"/>
      <c r="G29" s="228"/>
    </row>
    <row r="30" spans="1:7" x14ac:dyDescent="0.25">
      <c r="A30" s="283" t="s">
        <v>1712</v>
      </c>
      <c r="B30" s="208">
        <v>1</v>
      </c>
      <c r="C30" s="284" t="s">
        <v>1680</v>
      </c>
      <c r="D30" s="228"/>
      <c r="E30" s="540" t="s">
        <v>2131</v>
      </c>
      <c r="F30" s="228"/>
      <c r="G30" s="228"/>
    </row>
    <row r="31" spans="1:7" x14ac:dyDescent="0.25">
      <c r="A31" s="283" t="s">
        <v>1713</v>
      </c>
      <c r="B31" s="208">
        <v>1</v>
      </c>
      <c r="C31" s="210" t="s">
        <v>1704</v>
      </c>
      <c r="D31" s="228"/>
      <c r="E31" s="540" t="s">
        <v>2133</v>
      </c>
      <c r="F31" s="228"/>
      <c r="G31" s="228"/>
    </row>
    <row r="32" spans="1:7" x14ac:dyDescent="0.25">
      <c r="A32" s="283" t="s">
        <v>1714</v>
      </c>
      <c r="B32" s="208">
        <v>1</v>
      </c>
      <c r="C32" s="284" t="s">
        <v>1680</v>
      </c>
      <c r="D32" s="228"/>
      <c r="E32" s="540" t="s">
        <v>2131</v>
      </c>
      <c r="F32" s="228"/>
      <c r="G32" s="228"/>
    </row>
    <row r="33" spans="1:7" x14ac:dyDescent="0.25">
      <c r="A33" s="283" t="s">
        <v>1715</v>
      </c>
      <c r="B33" s="208">
        <v>1</v>
      </c>
      <c r="C33" s="210" t="s">
        <v>1701</v>
      </c>
      <c r="D33" s="228"/>
      <c r="E33" s="540" t="s">
        <v>2136</v>
      </c>
      <c r="F33" s="228"/>
      <c r="G33" s="228"/>
    </row>
    <row r="34" spans="1:7" x14ac:dyDescent="0.25">
      <c r="A34" s="283" t="s">
        <v>1716</v>
      </c>
      <c r="B34" s="208">
        <v>2</v>
      </c>
      <c r="C34" s="210" t="s">
        <v>1704</v>
      </c>
      <c r="D34" s="228"/>
      <c r="E34" s="540" t="s">
        <v>2133</v>
      </c>
      <c r="F34" s="228"/>
      <c r="G34" s="228"/>
    </row>
    <row r="35" spans="1:7" x14ac:dyDescent="0.25">
      <c r="A35" s="283" t="s">
        <v>1717</v>
      </c>
      <c r="B35" s="208">
        <v>1</v>
      </c>
      <c r="C35" s="210" t="s">
        <v>697</v>
      </c>
      <c r="D35" s="228"/>
      <c r="E35" s="540" t="s">
        <v>2135</v>
      </c>
      <c r="F35" s="228"/>
      <c r="G35" s="228"/>
    </row>
    <row r="36" spans="1:7" x14ac:dyDescent="0.25">
      <c r="A36" s="283" t="s">
        <v>1718</v>
      </c>
      <c r="B36" s="208">
        <v>1</v>
      </c>
      <c r="C36" s="210" t="s">
        <v>1701</v>
      </c>
      <c r="D36" s="228"/>
      <c r="E36" s="540" t="s">
        <v>2136</v>
      </c>
      <c r="F36" s="228"/>
      <c r="G36" s="228"/>
    </row>
    <row r="37" spans="1:7" x14ac:dyDescent="0.25">
      <c r="A37" s="283" t="s">
        <v>1719</v>
      </c>
      <c r="B37" s="208">
        <v>1</v>
      </c>
      <c r="C37" s="210" t="s">
        <v>1701</v>
      </c>
      <c r="D37" s="228"/>
      <c r="E37" s="540" t="s">
        <v>2136</v>
      </c>
      <c r="F37" s="228"/>
      <c r="G37" s="228"/>
    </row>
    <row r="38" spans="1:7" x14ac:dyDescent="0.25">
      <c r="A38" s="283" t="s">
        <v>1720</v>
      </c>
      <c r="B38" s="208">
        <v>2</v>
      </c>
      <c r="C38" s="284" t="s">
        <v>1680</v>
      </c>
      <c r="D38" s="228"/>
      <c r="E38" s="540" t="s">
        <v>2131</v>
      </c>
      <c r="F38" s="228"/>
      <c r="G38" s="228"/>
    </row>
  </sheetData>
  <autoFilter ref="A1:G38" xr:uid="{28F313F7-1FC0-4CC9-BEA0-C60E90E5FEAF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C18-3404-484B-8C78-D173ADD3F36B}">
  <sheetPr codeName="Planilha49">
    <tabColor rgb="FF92D050"/>
  </sheetPr>
  <dimension ref="A1:G38"/>
  <sheetViews>
    <sheetView workbookViewId="0">
      <pane ySplit="1" topLeftCell="A2" activePane="bottomLeft" state="frozen"/>
      <selection activeCell="E1" sqref="E1:H1"/>
      <selection pane="bottomLeft" activeCell="C10" sqref="C10"/>
    </sheetView>
  </sheetViews>
  <sheetFormatPr defaultRowHeight="15" x14ac:dyDescent="0.25"/>
  <cols>
    <col min="1" max="1" width="32.85546875" customWidth="1"/>
    <col min="2" max="2" width="24.5703125" style="43" customWidth="1"/>
    <col min="3" max="3" width="44.28515625" customWidth="1"/>
    <col min="4" max="4" width="18.28515625" style="43" customWidth="1"/>
    <col min="5" max="6" width="16.28515625" style="43" customWidth="1"/>
    <col min="7" max="7" width="17.42578125" customWidth="1"/>
    <col min="17" max="17" width="25.28515625" customWidth="1"/>
  </cols>
  <sheetData>
    <row r="1" spans="1:7" ht="15.75" x14ac:dyDescent="0.25">
      <c r="A1" s="103" t="s">
        <v>0</v>
      </c>
      <c r="B1" s="256" t="s">
        <v>1677</v>
      </c>
      <c r="C1" s="102" t="s">
        <v>360</v>
      </c>
      <c r="D1" s="227" t="s">
        <v>1725</v>
      </c>
      <c r="E1" s="227" t="s">
        <v>1726</v>
      </c>
      <c r="F1" s="227" t="s">
        <v>1724</v>
      </c>
      <c r="G1" s="227" t="s">
        <v>1727</v>
      </c>
    </row>
    <row r="2" spans="1:7" x14ac:dyDescent="0.25">
      <c r="A2" s="15" t="s">
        <v>1679</v>
      </c>
      <c r="B2" s="257">
        <v>5</v>
      </c>
      <c r="C2" s="288">
        <v>662250</v>
      </c>
      <c r="D2" s="540" t="s">
        <v>2137</v>
      </c>
      <c r="E2" s="540" t="s">
        <v>2144</v>
      </c>
      <c r="F2" s="540"/>
      <c r="G2" s="228"/>
    </row>
    <row r="3" spans="1:7" x14ac:dyDescent="0.25">
      <c r="A3" s="25" t="s">
        <v>1681</v>
      </c>
      <c r="B3" s="164">
        <v>1</v>
      </c>
      <c r="C3" s="289">
        <v>662845</v>
      </c>
      <c r="D3" s="540" t="s">
        <v>2138</v>
      </c>
      <c r="E3" s="540" t="s">
        <v>2144</v>
      </c>
      <c r="F3" s="540"/>
      <c r="G3" s="228"/>
    </row>
    <row r="4" spans="1:7" x14ac:dyDescent="0.25">
      <c r="A4" s="15" t="s">
        <v>1682</v>
      </c>
      <c r="B4" s="257">
        <v>1</v>
      </c>
      <c r="C4" s="288">
        <v>662250</v>
      </c>
      <c r="D4" s="540" t="s">
        <v>2137</v>
      </c>
      <c r="E4" s="540" t="s">
        <v>2144</v>
      </c>
      <c r="F4" s="540"/>
      <c r="G4" s="228"/>
    </row>
    <row r="5" spans="1:7" x14ac:dyDescent="0.25">
      <c r="A5" s="25" t="s">
        <v>1683</v>
      </c>
      <c r="B5" s="164">
        <v>10</v>
      </c>
      <c r="C5" s="290" t="s">
        <v>1721</v>
      </c>
      <c r="D5" s="540" t="s">
        <v>2143</v>
      </c>
      <c r="E5" s="540" t="s">
        <v>2144</v>
      </c>
      <c r="F5" s="540"/>
      <c r="G5" s="228"/>
    </row>
    <row r="6" spans="1:7" x14ac:dyDescent="0.25">
      <c r="A6" s="15" t="s">
        <v>1685</v>
      </c>
      <c r="B6" s="257">
        <v>1</v>
      </c>
      <c r="C6" s="288">
        <v>662550</v>
      </c>
      <c r="D6" s="540">
        <v>245</v>
      </c>
      <c r="E6" s="540" t="s">
        <v>2146</v>
      </c>
      <c r="F6" s="540"/>
      <c r="G6" s="228"/>
    </row>
    <row r="7" spans="1:7" x14ac:dyDescent="0.25">
      <c r="A7" s="15" t="s">
        <v>1687</v>
      </c>
      <c r="B7" s="257">
        <v>2</v>
      </c>
      <c r="C7" s="288">
        <v>662250</v>
      </c>
      <c r="D7" s="540" t="s">
        <v>2137</v>
      </c>
      <c r="E7" s="540" t="s">
        <v>2144</v>
      </c>
      <c r="F7" s="540"/>
      <c r="G7" s="228"/>
    </row>
    <row r="8" spans="1:7" x14ac:dyDescent="0.25">
      <c r="A8" s="15" t="s">
        <v>1688</v>
      </c>
      <c r="B8" s="257">
        <v>1</v>
      </c>
      <c r="C8" s="288">
        <v>662250</v>
      </c>
      <c r="D8" s="540" t="s">
        <v>2137</v>
      </c>
      <c r="E8" s="540" t="s">
        <v>2144</v>
      </c>
      <c r="F8" s="540"/>
      <c r="G8" s="228"/>
    </row>
    <row r="9" spans="1:7" x14ac:dyDescent="0.25">
      <c r="A9" s="15" t="s">
        <v>1689</v>
      </c>
      <c r="B9" s="257">
        <v>2</v>
      </c>
      <c r="C9" s="288">
        <v>662250</v>
      </c>
      <c r="D9" s="540" t="s">
        <v>2137</v>
      </c>
      <c r="E9" s="540" t="s">
        <v>2144</v>
      </c>
      <c r="F9" s="540"/>
      <c r="G9" s="228"/>
    </row>
    <row r="10" spans="1:7" x14ac:dyDescent="0.25">
      <c r="A10" s="15" t="s">
        <v>1690</v>
      </c>
      <c r="B10" s="257">
        <v>1</v>
      </c>
      <c r="C10" s="288">
        <v>662590</v>
      </c>
      <c r="D10" s="540" t="s">
        <v>2141</v>
      </c>
      <c r="E10" s="540" t="s">
        <v>2147</v>
      </c>
      <c r="F10" s="540"/>
      <c r="G10" s="228"/>
    </row>
    <row r="11" spans="1:7" x14ac:dyDescent="0.25">
      <c r="A11" s="15" t="s">
        <v>1691</v>
      </c>
      <c r="B11" s="257">
        <v>2</v>
      </c>
      <c r="C11" s="288">
        <v>662250</v>
      </c>
      <c r="D11" s="540" t="s">
        <v>2137</v>
      </c>
      <c r="E11" s="540" t="s">
        <v>2144</v>
      </c>
      <c r="F11" s="540"/>
      <c r="G11" s="228"/>
    </row>
    <row r="12" spans="1:7" x14ac:dyDescent="0.25">
      <c r="A12" s="15" t="s">
        <v>1692</v>
      </c>
      <c r="B12" s="257">
        <v>6</v>
      </c>
      <c r="C12" s="288">
        <v>662250</v>
      </c>
      <c r="D12" s="540" t="s">
        <v>2137</v>
      </c>
      <c r="E12" s="540" t="s">
        <v>2144</v>
      </c>
      <c r="F12" s="540"/>
      <c r="G12" s="228"/>
    </row>
    <row r="13" spans="1:7" x14ac:dyDescent="0.25">
      <c r="A13" s="15" t="s">
        <v>1693</v>
      </c>
      <c r="B13" s="257">
        <v>15</v>
      </c>
      <c r="C13" s="288">
        <v>662550</v>
      </c>
      <c r="D13" s="540" t="s">
        <v>2140</v>
      </c>
      <c r="E13" s="540" t="s">
        <v>2146</v>
      </c>
      <c r="F13" s="540"/>
      <c r="G13" s="228"/>
    </row>
    <row r="14" spans="1:7" x14ac:dyDescent="0.25">
      <c r="A14" s="15" t="s">
        <v>1694</v>
      </c>
      <c r="B14" s="257">
        <v>1</v>
      </c>
      <c r="C14" s="288">
        <v>662250</v>
      </c>
      <c r="D14" s="540" t="s">
        <v>2137</v>
      </c>
      <c r="E14" s="540" t="s">
        <v>2144</v>
      </c>
      <c r="F14" s="540"/>
      <c r="G14" s="228"/>
    </row>
    <row r="15" spans="1:7" x14ac:dyDescent="0.25">
      <c r="A15" s="15" t="s">
        <v>1695</v>
      </c>
      <c r="B15" s="257">
        <v>1</v>
      </c>
      <c r="C15" s="288">
        <v>662250</v>
      </c>
      <c r="D15" s="540" t="s">
        <v>2137</v>
      </c>
      <c r="E15" s="540" t="s">
        <v>2144</v>
      </c>
      <c r="F15" s="540"/>
      <c r="G15" s="228"/>
    </row>
    <row r="16" spans="1:7" x14ac:dyDescent="0.25">
      <c r="A16" s="15" t="s">
        <v>1696</v>
      </c>
      <c r="B16" s="257">
        <v>2</v>
      </c>
      <c r="C16" s="288">
        <v>662250</v>
      </c>
      <c r="D16" s="540" t="s">
        <v>2137</v>
      </c>
      <c r="E16" s="540" t="s">
        <v>2144</v>
      </c>
      <c r="F16" s="540"/>
      <c r="G16" s="228"/>
    </row>
    <row r="17" spans="1:7" x14ac:dyDescent="0.25">
      <c r="A17" s="25" t="s">
        <v>1697</v>
      </c>
      <c r="B17" s="164">
        <v>1</v>
      </c>
      <c r="C17" s="291" t="s">
        <v>1721</v>
      </c>
      <c r="D17" s="540" t="s">
        <v>2143</v>
      </c>
      <c r="E17" s="540" t="s">
        <v>2144</v>
      </c>
      <c r="F17" s="540"/>
      <c r="G17" s="228"/>
    </row>
    <row r="18" spans="1:7" x14ac:dyDescent="0.25">
      <c r="A18" s="25" t="s">
        <v>1698</v>
      </c>
      <c r="B18" s="164">
        <v>1</v>
      </c>
      <c r="C18" s="289">
        <v>662550</v>
      </c>
      <c r="D18" s="540" t="s">
        <v>2140</v>
      </c>
      <c r="E18" s="540" t="s">
        <v>2146</v>
      </c>
      <c r="F18" s="540"/>
      <c r="G18" s="228"/>
    </row>
    <row r="19" spans="1:7" x14ac:dyDescent="0.25">
      <c r="A19" s="25" t="s">
        <v>1699</v>
      </c>
      <c r="B19" s="164">
        <v>3</v>
      </c>
      <c r="C19" s="208" t="s">
        <v>1722</v>
      </c>
      <c r="D19" s="540" t="s">
        <v>2142</v>
      </c>
      <c r="E19" s="541" t="s">
        <v>2148</v>
      </c>
      <c r="F19" s="540" t="s">
        <v>2149</v>
      </c>
      <c r="G19" s="228"/>
    </row>
    <row r="20" spans="1:7" x14ac:dyDescent="0.25">
      <c r="A20" s="15" t="s">
        <v>1700</v>
      </c>
      <c r="B20" s="257">
        <v>32</v>
      </c>
      <c r="C20" s="288">
        <v>662250</v>
      </c>
      <c r="D20" s="540" t="s">
        <v>2137</v>
      </c>
      <c r="E20" s="540" t="s">
        <v>2144</v>
      </c>
      <c r="F20" s="540"/>
      <c r="G20" s="228"/>
    </row>
    <row r="21" spans="1:7" x14ac:dyDescent="0.25">
      <c r="A21" s="15" t="s">
        <v>1702</v>
      </c>
      <c r="B21" s="257">
        <v>5</v>
      </c>
      <c r="C21" s="288">
        <v>662550</v>
      </c>
      <c r="D21" s="540" t="s">
        <v>2140</v>
      </c>
      <c r="E21" s="540" t="s">
        <v>2146</v>
      </c>
      <c r="F21" s="540"/>
      <c r="G21" s="228"/>
    </row>
    <row r="22" spans="1:7" x14ac:dyDescent="0.25">
      <c r="A22" s="15" t="s">
        <v>1703</v>
      </c>
      <c r="B22" s="257">
        <v>2</v>
      </c>
      <c r="C22" s="288">
        <v>662290</v>
      </c>
      <c r="D22" s="540" t="s">
        <v>2139</v>
      </c>
      <c r="E22" s="540" t="s">
        <v>2145</v>
      </c>
      <c r="F22" s="540"/>
      <c r="G22" s="228"/>
    </row>
    <row r="23" spans="1:7" x14ac:dyDescent="0.25">
      <c r="A23" s="15" t="s">
        <v>1705</v>
      </c>
      <c r="B23" s="257">
        <v>2</v>
      </c>
      <c r="C23" s="288">
        <v>662550</v>
      </c>
      <c r="D23" s="540" t="s">
        <v>2140</v>
      </c>
      <c r="E23" s="540" t="s">
        <v>2146</v>
      </c>
      <c r="F23" s="540"/>
      <c r="G23" s="228"/>
    </row>
    <row r="24" spans="1:7" x14ac:dyDescent="0.25">
      <c r="A24" s="15" t="s">
        <v>1706</v>
      </c>
      <c r="B24" s="257">
        <v>2</v>
      </c>
      <c r="C24" s="288">
        <v>662550</v>
      </c>
      <c r="D24" s="540" t="s">
        <v>2140</v>
      </c>
      <c r="E24" s="540" t="s">
        <v>2146</v>
      </c>
      <c r="F24" s="540"/>
      <c r="G24" s="228"/>
    </row>
    <row r="25" spans="1:7" x14ac:dyDescent="0.25">
      <c r="A25" s="15" t="s">
        <v>1707</v>
      </c>
      <c r="B25" s="257">
        <v>1</v>
      </c>
      <c r="C25" s="288">
        <v>662550</v>
      </c>
      <c r="D25" s="540" t="s">
        <v>2140</v>
      </c>
      <c r="E25" s="540" t="s">
        <v>2146</v>
      </c>
      <c r="F25" s="540"/>
      <c r="G25" s="228"/>
    </row>
    <row r="26" spans="1:7" x14ac:dyDescent="0.25">
      <c r="A26" s="15" t="s">
        <v>1708</v>
      </c>
      <c r="B26" s="257">
        <v>1</v>
      </c>
      <c r="C26" s="288">
        <v>662550</v>
      </c>
      <c r="D26" s="540" t="s">
        <v>2140</v>
      </c>
      <c r="E26" s="540" t="s">
        <v>2146</v>
      </c>
      <c r="F26" s="540"/>
      <c r="G26" s="228"/>
    </row>
    <row r="27" spans="1:7" x14ac:dyDescent="0.25">
      <c r="A27" s="15" t="s">
        <v>1709</v>
      </c>
      <c r="B27" s="257">
        <v>1</v>
      </c>
      <c r="C27" s="288">
        <v>662290</v>
      </c>
      <c r="D27" s="540" t="s">
        <v>2139</v>
      </c>
      <c r="E27" s="540" t="s">
        <v>2145</v>
      </c>
      <c r="F27" s="540"/>
      <c r="G27" s="228"/>
    </row>
    <row r="28" spans="1:7" x14ac:dyDescent="0.25">
      <c r="A28" s="15" t="s">
        <v>1710</v>
      </c>
      <c r="B28" s="257">
        <v>1</v>
      </c>
      <c r="C28" s="288">
        <v>662290</v>
      </c>
      <c r="D28" s="540" t="s">
        <v>2139</v>
      </c>
      <c r="E28" s="540" t="s">
        <v>2145</v>
      </c>
      <c r="F28" s="540"/>
      <c r="G28" s="228"/>
    </row>
    <row r="29" spans="1:7" x14ac:dyDescent="0.25">
      <c r="A29" s="15" t="s">
        <v>1711</v>
      </c>
      <c r="B29" s="257">
        <v>10</v>
      </c>
      <c r="C29" s="288">
        <v>662250</v>
      </c>
      <c r="D29" s="540" t="s">
        <v>2137</v>
      </c>
      <c r="E29" s="540" t="s">
        <v>2144</v>
      </c>
      <c r="F29" s="540"/>
      <c r="G29" s="228"/>
    </row>
    <row r="30" spans="1:7" x14ac:dyDescent="0.25">
      <c r="A30" s="15" t="s">
        <v>1712</v>
      </c>
      <c r="B30" s="257">
        <v>1</v>
      </c>
      <c r="C30" s="288">
        <v>662250</v>
      </c>
      <c r="D30" s="540" t="s">
        <v>2137</v>
      </c>
      <c r="E30" s="540" t="s">
        <v>2144</v>
      </c>
      <c r="F30" s="540"/>
      <c r="G30" s="228"/>
    </row>
    <row r="31" spans="1:7" x14ac:dyDescent="0.25">
      <c r="A31" s="15" t="s">
        <v>1713</v>
      </c>
      <c r="B31" s="257">
        <v>1</v>
      </c>
      <c r="C31" s="288">
        <v>662290</v>
      </c>
      <c r="D31" s="540" t="s">
        <v>2139</v>
      </c>
      <c r="E31" s="540" t="s">
        <v>2145</v>
      </c>
      <c r="F31" s="540"/>
      <c r="G31" s="228"/>
    </row>
    <row r="32" spans="1:7" x14ac:dyDescent="0.25">
      <c r="A32" s="15" t="s">
        <v>1714</v>
      </c>
      <c r="B32" s="257">
        <v>1</v>
      </c>
      <c r="C32" s="288">
        <v>662250</v>
      </c>
      <c r="D32" s="540" t="s">
        <v>2137</v>
      </c>
      <c r="E32" s="540" t="s">
        <v>2144</v>
      </c>
      <c r="F32" s="540"/>
      <c r="G32" s="228"/>
    </row>
    <row r="33" spans="1:7" x14ac:dyDescent="0.25">
      <c r="A33" s="15" t="s">
        <v>1715</v>
      </c>
      <c r="B33" s="257">
        <v>1</v>
      </c>
      <c r="C33" s="288">
        <v>662290</v>
      </c>
      <c r="D33" s="540" t="s">
        <v>2139</v>
      </c>
      <c r="E33" s="540" t="s">
        <v>2145</v>
      </c>
      <c r="F33" s="540"/>
      <c r="G33" s="228"/>
    </row>
    <row r="34" spans="1:7" x14ac:dyDescent="0.25">
      <c r="A34" s="15" t="s">
        <v>1716</v>
      </c>
      <c r="B34" s="257">
        <v>2</v>
      </c>
      <c r="C34" s="288">
        <v>662290</v>
      </c>
      <c r="D34" s="540" t="s">
        <v>2139</v>
      </c>
      <c r="E34" s="540" t="s">
        <v>2145</v>
      </c>
      <c r="F34" s="540"/>
      <c r="G34" s="228"/>
    </row>
    <row r="35" spans="1:7" x14ac:dyDescent="0.25">
      <c r="A35" s="15" t="s">
        <v>1717</v>
      </c>
      <c r="B35" s="257">
        <v>1</v>
      </c>
      <c r="C35" s="288">
        <v>662590</v>
      </c>
      <c r="D35" s="540" t="s">
        <v>2141</v>
      </c>
      <c r="E35" s="540" t="s">
        <v>2147</v>
      </c>
      <c r="F35" s="540"/>
      <c r="G35" s="228"/>
    </row>
    <row r="36" spans="1:7" x14ac:dyDescent="0.25">
      <c r="A36" s="15" t="s">
        <v>1718</v>
      </c>
      <c r="B36" s="257">
        <v>1</v>
      </c>
      <c r="C36" s="288">
        <v>662290</v>
      </c>
      <c r="D36" s="540" t="s">
        <v>2139</v>
      </c>
      <c r="E36" s="540" t="s">
        <v>2145</v>
      </c>
      <c r="F36" s="540"/>
      <c r="G36" s="228"/>
    </row>
    <row r="37" spans="1:7" x14ac:dyDescent="0.25">
      <c r="A37" s="25" t="s">
        <v>1719</v>
      </c>
      <c r="B37" s="164">
        <v>1</v>
      </c>
      <c r="C37" s="289">
        <v>662290</v>
      </c>
      <c r="D37" s="540" t="s">
        <v>2139</v>
      </c>
      <c r="E37" s="540" t="s">
        <v>2145</v>
      </c>
      <c r="F37" s="540"/>
      <c r="G37" s="228"/>
    </row>
    <row r="38" spans="1:7" x14ac:dyDescent="0.25">
      <c r="A38" s="25" t="s">
        <v>1720</v>
      </c>
      <c r="B38" s="164">
        <v>2</v>
      </c>
      <c r="C38" s="291" t="s">
        <v>1721</v>
      </c>
      <c r="D38" s="540" t="s">
        <v>2143</v>
      </c>
      <c r="E38" s="540" t="s">
        <v>2144</v>
      </c>
      <c r="F38" s="540"/>
      <c r="G38" s="228"/>
    </row>
  </sheetData>
  <autoFilter ref="A1:G38" xr:uid="{9A788C18-3404-484B-8C78-D173ADD3F3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17a1e6b265c4e94eaa1252c689c487df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4a4a41aa0d641802737a88d7db90617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2FB7F5-EC88-4A65-BC06-3DD7B8BE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EDC80-5AA4-4F5F-BA1D-854BA021B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226E3-56B8-4B8F-9BB4-7DE949CE23AD}">
  <ds:schemaRefs>
    <ds:schemaRef ds:uri="http://purl.org/dc/dcmitype/"/>
    <ds:schemaRef ds:uri="http://schemas.microsoft.com/office/2006/documentManagement/types"/>
    <ds:schemaRef ds:uri="http://schemas.microsoft.com/sharepoint/v3"/>
    <ds:schemaRef ds:uri="4fea15e8-1763-497e-968b-607bf922aad1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49</vt:i4>
      </vt:variant>
    </vt:vector>
  </HeadingPairs>
  <TitlesOfParts>
    <vt:vector size="49" baseType="lpstr">
      <vt:lpstr>Consolidada</vt:lpstr>
      <vt:lpstr>AVULSOS</vt:lpstr>
      <vt:lpstr>AMIGDALA</vt:lpstr>
      <vt:lpstr>ASP. HEMORROIDA</vt:lpstr>
      <vt:lpstr>BUCO ESPECIAL</vt:lpstr>
      <vt:lpstr>CANULAS DE LIPO</vt:lpstr>
      <vt:lpstr>CENTRIFUGA</vt:lpstr>
      <vt:lpstr>CLAMP VASCULAR</vt:lpstr>
      <vt:lpstr>CISTOSCOPIA</vt:lpstr>
      <vt:lpstr>COMPL. GINECO</vt:lpstr>
      <vt:lpstr>CTG</vt:lpstr>
      <vt:lpstr>ESTILETES OUVIDO</vt:lpstr>
      <vt:lpstr>FAV</vt:lpstr>
      <vt:lpstr>VARIZES</vt:lpstr>
      <vt:lpstr>GERAL MEDIA</vt:lpstr>
      <vt:lpstr>GERAL PEQUENA</vt:lpstr>
      <vt:lpstr>HEMORROIDE</vt:lpstr>
      <vt:lpstr>RESSECÇÃO ENDOSCOPICA</vt:lpstr>
      <vt:lpstr>HISTEROSCOPIA</vt:lpstr>
      <vt:lpstr>2.7</vt:lpstr>
      <vt:lpstr>MICRO URO</vt:lpstr>
      <vt:lpstr>PINÇAS HISTEROSCOPIA</vt:lpstr>
      <vt:lpstr>KART</vt:lpstr>
      <vt:lpstr>KIT MERINGO</vt:lpstr>
      <vt:lpstr>PLASTICA</vt:lpstr>
      <vt:lpstr>RINOSSEPTO</vt:lpstr>
      <vt:lpstr>SEPTO</vt:lpstr>
      <vt:lpstr>LAPAROSCOPIA ESPECIAL</vt:lpstr>
      <vt:lpstr>VASECTOMIA</vt:lpstr>
      <vt:lpstr>VELAS HEGAR</vt:lpstr>
      <vt:lpstr>VELAS HEGAR  GROSSAS</vt:lpstr>
      <vt:lpstr>VIBROLIPO</vt:lpstr>
      <vt:lpstr>DERMATOMO</vt:lpstr>
      <vt:lpstr>REDUÇÃO FRATURA NASAL</vt:lpstr>
      <vt:lpstr>MICRO LARINGE</vt:lpstr>
      <vt:lpstr>HTA</vt:lpstr>
      <vt:lpstr>SEPTO FACTORY</vt:lpstr>
      <vt:lpstr>COMPL VASCULAR</vt:lpstr>
      <vt:lpstr>MASTECTOMIA</vt:lpstr>
      <vt:lpstr>COMPL. URO</vt:lpstr>
      <vt:lpstr>CIRURGIA GINECOLOGICA</vt:lpstr>
      <vt:lpstr>URGENCIA GERAL</vt:lpstr>
      <vt:lpstr>TIMPANOMASTOIDE</vt:lpstr>
      <vt:lpstr>TIREOIDE</vt:lpstr>
      <vt:lpstr>AFASTADORES ILUMINADOS</vt:lpstr>
      <vt:lpstr>OTICAS</vt:lpstr>
      <vt:lpstr>AMB. PINHEIROS</vt:lpstr>
      <vt:lpstr>CONTAINER AESCULAP</vt:lpstr>
      <vt:lpstr>CESTOS MNH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Camila Cadamuro</cp:lastModifiedBy>
  <cp:revision/>
  <dcterms:created xsi:type="dcterms:W3CDTF">2025-11-11T14:30:52Z</dcterms:created>
  <dcterms:modified xsi:type="dcterms:W3CDTF">2026-02-06T00:23:02Z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